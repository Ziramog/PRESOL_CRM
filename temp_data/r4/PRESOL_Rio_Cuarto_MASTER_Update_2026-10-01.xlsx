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2334e24ad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596771a0cb1433b"/>
    <x:sheet xmlns:r="http://schemas.openxmlformats.org/officeDocument/2006/relationships" name="Gira Principal" sheetId="2" r:id="Rd348cb038c874a73"/>
    <x:sheet xmlns:r="http://schemas.openxmlformats.org/officeDocument/2006/relationships" name="Rental-Containers" sheetId="3" r:id="R3d4325cf1ebd47ce"/>
    <x:sheet xmlns:r="http://schemas.openxmlformats.org/officeDocument/2006/relationships" name="Prospectos" sheetId="4" r:id="Rdfb76b1e258c4563"/>
    <x:sheet xmlns:r="http://schemas.openxmlformats.org/officeDocument/2006/relationships" name="CRM Update" sheetId="5" r:id="Reb79f43d147a49ee"/>
    <x:sheet xmlns:r="http://schemas.openxmlformats.org/officeDocument/2006/relationships" name="Delta Antigravity" sheetId="6" r:id="Rb4d74ad88d354387"/>
    <x:sheet xmlns:r="http://schemas.openxmlformats.org/officeDocument/2006/relationships" name="Fuentes" sheetId="7" r:id="R44216366bc59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2"/>
      <x:color rgb="FF111827"/>
      <x:name val="Carlito"/>
    </x:font>
    <x:font>
      <x:b/>
      <x:sz val="11"/>
      <x:color rgb="FF1423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334"/>
      </x:patternFill>
    </x:fill>
    <x:fill>
      <x:patternFill patternType="solid">
        <x:fgColor rgb="FFF5F7F9"/>
      </x:patternFill>
    </x:fill>
    <x:fill>
      <x:patternFill patternType="solid">
        <x:fgColor rgb="FF273A4D"/>
      </x:patternFill>
    </x:fill>
    <x:fill>
      <x:patternFill patternType="solid">
        <x:fgColor rgb="FFF2A900"/>
      </x:patternFill>
    </x:fill>
    <x:fill>
      <x:patternFill patternType="solid">
        <x:fgColor rgb="FFE7EDF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FDE68A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DE68A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DE68A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DE68A"/>
        </x:patternFill>
      </x:fill>
    </x:dxf>
    <x:dxf>
      <x:font>
        <x:b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e8f639d084025" /><Relationship Type="http://schemas.openxmlformats.org/officeDocument/2006/relationships/theme" Target="/xl/theme/theme1.xml" Id="Re54060b4c7964a3e" /><Relationship Type="http://schemas.openxmlformats.org/officeDocument/2006/relationships/sharedStrings" Target="/xl/sharedStrings.xml" Id="R196f8c5a54fe4a76" /><Relationship Type="http://schemas.openxmlformats.org/officeDocument/2006/relationships/worksheet" Target="/xl/worksheets/sheet1.xml" Id="R5596771a0cb1433b" /><Relationship Type="http://schemas.openxmlformats.org/officeDocument/2006/relationships/worksheet" Target="/xl/worksheets/sheet2.xml" Id="Rd348cb038c874a73" /><Relationship Type="http://schemas.openxmlformats.org/officeDocument/2006/relationships/worksheet" Target="/xl/worksheets/sheet3.xml" Id="R3d4325cf1ebd47ce" /><Relationship Type="http://schemas.openxmlformats.org/officeDocument/2006/relationships/worksheet" Target="/xl/worksheets/sheet4.xml" Id="Rdfb76b1e258c4563" /><Relationship Type="http://schemas.openxmlformats.org/officeDocument/2006/relationships/worksheet" Target="/xl/worksheets/sheet5.xml" Id="Reb79f43d147a49ee" /><Relationship Type="http://schemas.openxmlformats.org/officeDocument/2006/relationships/worksheet" Target="/xl/worksheets/sheet6.xml" Id="Rb4d74ad88d354387" /><Relationship Type="http://schemas.openxmlformats.org/officeDocument/2006/relationships/worksheet" Target="/xl/worksheets/sheet7.xml" Id="R44216366bc594de5" /></Relationships>
</file>

<file path=xl/tables/table1.xml><?xml version="1.0" encoding="utf-8"?>
<x:table xmlns:x="http://schemas.openxmlformats.org/spreadsheetml/2006/main" id="1" name="GiraPrincipalTable" displayName="GiraPrincipalTable" ref="A4:J18" headerRowCount="1" totalsRowCount="0" totalsRowShown="0">
  <x:tableColumns count="10">
    <x:tableColumn id="1" name="Orden"/>
    <x:tableColumn id="2" name="Hora"/>
    <x:tableColumn id="3" name="Empresa"/>
    <x:tableColumn id="4" name="Marca / foco"/>
    <x:tableColumn id="5" name="Prioridad"/>
    <x:tableColumn id="6" name="Dirección"/>
    <x:tableColumn id="7" name="Contacto"/>
    <x:tableColumn id="8" name="Objetivo"/>
    <x:tableColumn id="9" name="Pitch PRESOL"/>
    <x:tableColumn id="10" name="Ma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ondaryLeadsTable" displayName="SecondaryLeadsTable" ref="A4:J15" headerRowCount="1" totalsRowCount="0" totalsRowShown="0">
  <x:tableColumns count="10">
    <x:tableColumn id="1" name="Grupo"/>
    <x:tableColumn id="2" name="Prioridad"/>
    <x:tableColumn id="3" name="Empresa"/>
    <x:tableColumn id="4" name="Subcategoría"/>
    <x:tableColumn id="5" name="Dirección / cobertura"/>
    <x:tableColumn id="6" name="Teléfono"/>
    <x:tableColumn id="7" name="Próxima acción"/>
    <x:tableColumn id="8" name="Necesidad probable"/>
    <x:tableColumn id="9" name="Advertencia"/>
    <x:tableColumn id="10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spectMasterTable" displayName="ProspectMasterTable" ref="A3:U32" headerRowCount="1" totalsRowCount="0" totalsRowShown="0">
  <x:tableColumns count="21">
    <x:tableColumn id="1" name="Canonical key"/>
    <x:tableColumn id="2" name="Empresa"/>
    <x:tableColumn id="3" name="Grupo"/>
    <x:tableColumn id="4" name="Subcategoría"/>
    <x:tableColumn id="5" name="Marcas"/>
    <x:tableColumn id="6" name="Prioridad"/>
    <x:tableColumn id="7" name="Ruta"/>
    <x:tableColumn id="8" name="Orden"/>
    <x:tableColumn id="9" name="Hora"/>
    <x:tableColumn id="10" name="Dirección"/>
    <x:tableColumn id="11" name="Teléfono"/>
    <x:tableColumn id="12" name="WhatsApp"/>
    <x:tableColumn id="13" name="Email"/>
    <x:tableColumn id="14" name="Web"/>
    <x:tableColumn id="15" name="Objetivo"/>
    <x:tableColumn id="16" name="Necesidad probable"/>
    <x:tableColumn id="17" name="Estado"/>
    <x:tableColumn id="18" name="Próxima acción"/>
    <x:tableColumn id="19" name="Confianza"/>
    <x:tableColumn id="20" name="Maps"/>
    <x:tableColumn id="21" name="Fu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MUpdateTable" displayName="CRMUpdateTable" ref="A1:Z30" headerRowCount="1" totalsRowCount="0" totalsRowShown="0">
  <x:tableColumns count="26">
    <x:tableColumn id="1" name="record_action"/>
    <x:tableColumn id="2" name="canonical_key"/>
    <x:tableColumn id="3" name="aliases"/>
    <x:tableColumn id="4" name="company_name"/>
    <x:tableColumn id="5" name="city"/>
    <x:tableColumn id="6" name="province"/>
    <x:tableColumn id="7" name="category"/>
    <x:tableColumn id="8" name="subcategory"/>
    <x:tableColumn id="9" name="brands"/>
    <x:tableColumn id="10" name="priority"/>
    <x:tableColumn id="11" name="route_group"/>
    <x:tableColumn id="12" name="route_order"/>
    <x:tableColumn id="13" name="planned_time"/>
    <x:tableColumn id="14" name="commercial_status"/>
    <x:tableColumn id="15" name="address"/>
    <x:tableColumn id="16" name="phone"/>
    <x:tableColumn id="17" name="whatsapp"/>
    <x:tableColumn id="18" name="email"/>
    <x:tableColumn id="19" name="website"/>
    <x:tableColumn id="20" name="maps_url"/>
    <x:tableColumn id="21" name="target_role"/>
    <x:tableColumn id="22" name="visit_reason"/>
    <x:tableColumn id="23" name="next_action"/>
    <x:tableColumn id="24" name="notes"/>
    <x:tableColumn id="25" name="source_confidence"/>
    <x:tableColumn id="26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ltaTable" displayName="DeltaTable" ref="A3:F17" headerRowCount="1" totalsRowCount="0" totalsRowShown="0">
  <x:tableColumns count="6">
    <x:tableColumn id="1" name="Tipo"/>
    <x:tableColumn id="2" name="Canonical key"/>
    <x:tableColumn id="3" name="Entidad"/>
    <x:tableColumn id="4" name="Acción"/>
    <x:tableColumn id="5" name="Regla"/>
    <x:tableColumn id="6" name="Motiv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E30" headerRowCount="1" totalsRowCount="0" totalsRowShown="0">
  <x:tableColumns count="5">
    <x:tableColumn id="1" name="Entidad"/>
    <x:tableColumn id="2" name="Qué valida"/>
    <x:tableColumn id="3" name="Fuente"/>
    <x:tableColumn id="4" name="Confianza"/>
    <x:tableColumn id="5" name="Fecha revis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89f5cccf9349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142c8861bb4e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d0fcf9508f43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1dd23106da40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62a421b1b745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454457d9b04c7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32" hidden="0" customWidth="1"/>
    <x:col min="4" max="4" width="28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0" customHeight="1">
      <x:c r="A1" s="4" t="str">
        <x:v>PRESOL · Río Cuarto · Prospectos viales, agrícolas, rental y contenedores · Rev. 2026-10-01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Revisión completa: prioriza concesionarios vial/agro. Rental queda como segunda línea. Contenedores marítimos ISO se separan de volquetes/obradores locales.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Métrica</x:v>
      </x:c>
      <x:c r="B4" s="18" t="str">
        <x:v>Valor</x:v>
      </x:c>
      <x:c r="C4" s="18" t="str">
        <x:v>Qué significa</x:v>
      </x:c>
      <x:c r="D4" s="18" t="str">
        <x:v>Acción</x:v>
      </x:c>
      <x:c r="F4" s="18" t="str">
        <x:v>Cambios clave vs. versión anterior</x:v>
      </x:c>
      <x:c r="G4" s="18"/>
      <x:c r="H4" s="18"/>
    </x:row>
    <x:row r="5">
      <x:c r="A5" t="str">
        <x:v>Total prospectos</x:v>
      </x:c>
      <x:c r="B5" s="27" t="n">
        <x:f>COUNTA(Prospectos!B4:B32)</x:f>
        <x:v>29</x:v>
      </x:c>
      <x:c r="C5" s="32" t="str">
        <x:v>Universo depurado de la revisión</x:v>
      </x:c>
      <x:c r="D5" s="32" t="str">
        <x:v>Importar/actualizar CRM</x:v>
      </x:c>
      <x:c r="F5" s="10" t="str">
        <x:v>• Bricchi Hnos. es la cuenta canónica; Lonking Río Cuarto queda como alias/marca.
• Se agregan SALA/John Deere, Agro GM/Massey Ferguson, Metalfor, AgroRio/Tanzi y Agrorancho.
• Agrokeegan sube de relevancia: maneja múltiples marcas y división vial Grosspal.
• Se agregan Terramobil y La Helena como rental vial fuerte.
• Boxtainer y Sudamérica Contenedores se crean como leads remotos de ISO 20/40 pies.
• Alzaco/RANQUEL/Imperio quedan separados: contenedores locales, no ISO marítimo confirmado.</x:v>
      </x:c>
      <x:c r="G5" s="10"/>
      <x:c r="H5" s="10"/>
    </x:row>
    <x:row r="6">
      <x:c r="A6" t="str">
        <x:v>Gira principal</x:v>
      </x:c>
      <x:c r="B6" s="27" t="n">
        <x:f>COUNTIF(Prospectos!G4:G32,"Principal")</x:f>
        <x:v>14</x:v>
      </x:c>
      <x:c r="C6" s="32" t="str">
        <x:v>Visitas ordenadas desde las 10:00</x:v>
      </x:c>
      <x:c r="D6" s="32" t="str">
        <x:v>Crear gira borrador</x:v>
      </x:c>
      <x:c r="F6" s="10"/>
      <x:c r="G6" s="10"/>
      <x:c r="H6" s="10"/>
    </x:row>
    <x:row r="7">
      <x:c r="A7" t="str">
        <x:v>A++</x:v>
      </x:c>
      <x:c r="B7" s="27" t="n">
        <x:f>COUNTIF(Prospectos!F4:F32,"A++")</x:f>
        <x:v>8</x:v>
      </x:c>
      <x:c r="C7" s="32" t="str">
        <x:v>Máxima prioridad comercial</x:v>
      </x:c>
      <x:c r="D7" s="32" t="str">
        <x:v>No perder estas visitas</x:v>
      </x:c>
      <x:c r="F7" s="10"/>
      <x:c r="G7" s="10"/>
      <x:c r="H7" s="10"/>
    </x:row>
    <x:row r="8">
      <x:c r="A8" t="str">
        <x:v>A+</x:v>
      </x:c>
      <x:c r="B8" s="27" t="n">
        <x:f>COUNTIF(Prospectos!F4:F32,"A+")</x:f>
        <x:v>9</x:v>
      </x:c>
      <x:c r="C8" s="32" t="str">
        <x:v>Prioridad alta</x:v>
      </x:c>
      <x:c r="D8" s="32" t="str">
        <x:v>Atacar si hay tiempo</x:v>
      </x:c>
      <x:c r="F8" s="10"/>
      <x:c r="G8" s="10"/>
      <x:c r="H8" s="10"/>
    </x:row>
    <x:row r="9">
      <x:c r="A9" t="str">
        <x:v>Rental/vial</x:v>
      </x:c>
      <x:c r="B9" s="27" t="n">
        <x:f>COUNTIF(Prospectos!G4:G32,"Rental")</x:f>
        <x:v>6</x:v>
      </x:c>
      <x:c r="C9" s="32" t="str">
        <x:v>Operadores con flota/movimientos</x:v>
      </x:c>
      <x:c r="D9" s="32" t="str">
        <x:v>Segunda gira</x:v>
      </x:c>
      <x:c r="F9" s="10"/>
      <x:c r="G9" s="10"/>
      <x:c r="H9" s="10"/>
    </x:row>
    <x:row r="10">
      <x:c r="A10" t="str">
        <x:v>Contenedores marítimos</x:v>
      </x:c>
      <x:c r="B10" s="27" t="n">
        <x:f>COUNTIF(Prospectos!C4:C32,"Contenedores marítimos")</x:f>
        <x:v>2</x:v>
      </x:c>
      <x:c r="C10" s="32" t="str">
        <x:v>ISO 20/40 pies; contacto remoto</x:v>
      </x:c>
      <x:c r="D10" s="32" t="str">
        <x:v>Validar origen y logística</x:v>
      </x:c>
      <x:c r="F10" s="10"/>
      <x:c r="G10" s="10"/>
      <x:c r="H10" s="10"/>
    </x:row>
    <x:row r="11">
      <x:c r="A11" t="str">
        <x:v>Locales contenedores no ISO</x:v>
      </x:c>
      <x:c r="B11" s="27" t="n">
        <x:f>COUNTIF(Prospectos!C4:C32,"Contenedores / residuos")+COUNTIF(Prospectos!C4:C32,"Contenedores de obra / rental")</x:f>
        <x:v>3</x:v>
      </x:c>
      <x:c r="C11" s="32" t="str">
        <x:v>No asumir marítimo ISO</x:v>
      </x:c>
      <x:c r="D11" s="32" t="str">
        <x:v>Calificar antes de vender carretón</x:v>
      </x:c>
    </x:row>
  </x:sheetData>
  <x:mergeCells>
    <x:mergeCell ref="A1:H1"/>
    <x:mergeCell ref="A2:H2"/>
    <x:mergeCell ref="F4:H4"/>
    <x:mergeCell ref="F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29" hidden="0" customWidth="1"/>
    <x:col min="4" max="4" width="28" hidden="0" customWidth="1"/>
    <x:col min="5" max="5" width="10" hidden="0" customWidth="1"/>
    <x:col min="6" max="6" width="38" hidden="0" customWidth="1"/>
    <x:col min="7" max="7" width="25" hidden="0" customWidth="1"/>
    <x:col min="8" max="8" width="28" hidden="0" customWidth="1"/>
    <x:col min="9" max="9" width="46" hidden="0" customWidth="1"/>
    <x:col min="10" max="10" width="42" hidden="0" customWidth="1"/>
  </x:cols>
  <x:sheetData>
    <x:row r="1">
      <x:c r="A1" s="4" t="str">
        <x:v>Gira principal · concesionarios vial + agrícola · inicio 10:00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0" t="str">
        <x:v>Orden comercial, no cronómetro rígido. Reservar 15–20 min por visita; si una reunión se extiende, mantener A++ y recortar A/A+.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6" customHeight="1">
      <x:c r="A4" s="18" t="str">
        <x:v>Orden</x:v>
      </x:c>
      <x:c r="B4" s="18" t="str">
        <x:v>Hora</x:v>
      </x:c>
      <x:c r="C4" s="18" t="str">
        <x:v>Empresa</x:v>
      </x:c>
      <x:c r="D4" s="18" t="str">
        <x:v>Marca / foco</x:v>
      </x:c>
      <x:c r="E4" s="18" t="str">
        <x:v>Prioridad</x:v>
      </x:c>
      <x:c r="F4" s="18" t="str">
        <x:v>Dirección</x:v>
      </x:c>
      <x:c r="G4" s="18" t="str">
        <x:v>Contacto</x:v>
      </x:c>
      <x:c r="H4" s="18" t="str">
        <x:v>Objetivo</x:v>
      </x:c>
      <x:c r="I4" s="18" t="str">
        <x:v>Pitch PRESOL</x:v>
      </x:c>
      <x:c r="J4" s="18" t="str">
        <x:v>Maps</x:v>
      </x:c>
    </x:row>
    <x:row r="5" ht="36" customHeight="1">
      <x:c r="A5" s="32" t="n">
        <x:v>1</x:v>
      </x:c>
      <x:c r="B5" s="32" t="str">
        <x:v>10:00</x:v>
      </x:c>
      <x:c r="C5" s="32" t="str">
        <x:v>SALA / Agrotecnología Sala S.A.</x:v>
      </x:c>
      <x:c r="D5" s="32" t="str">
        <x:v>John Deere / PLA</x:v>
      </x:c>
      <x:c r="E5" s="32" t="str">
        <x:v>A++</x:v>
      </x:c>
      <x:c r="F5" s="32" t="str">
        <x:v>RN36 km 609, Río Cuarto, Córdoba</x:v>
      </x:c>
      <x:c r="G5" s="32" t="str">
        <x:v>+54 9 358 240-9477</x:v>
      </x:c>
      <x:c r="H5" s="32" t="str">
        <x:v>Logística / Expedición / Posventa / Gerencia</x:v>
      </x:c>
      <x:c r="I5" s="32" t="str">
        <x:v>Tractores, cosechadoras y pulverización; entregas, retiros y movimientos de posventa.</x:v>
      </x:c>
      <x:c r="J5" s="32" t="str">
        <x:v>https://www.google.com/maps/search/?api=1&amp;query=SALA+%2F+Agrotecnolog%C3%ADa+Sala+S.A.+RN36+km+609%2C+R%C3%ADo+Cuarto%2C+C%C3%B3rdoba</x:v>
      </x:c>
    </x:row>
    <x:row r="6" ht="36" customHeight="1">
      <x:c r="A6" s="32" t="n">
        <x:v>2</x:v>
      </x:c>
      <x:c r="B6" s="32" t="str">
        <x:v>10:25</x:v>
      </x:c>
      <x:c r="C6" s="32" t="str">
        <x:v>Pallotti Maquinarias</x:v>
      </x:c>
      <x:c r="D6" s="32" t="str">
        <x:v>LiuGong</x:v>
      </x:c>
      <x:c r="E6" s="32" t="str">
        <x:v>A++</x:v>
      </x:c>
      <x:c r="F6" s="32" t="str">
        <x:v>RN A005 km 3,5, Río Cuarto, Córdoba</x:v>
      </x:c>
      <x:c r="G6" s="32" t="str">
        <x:v>+54 358 571-3137 / +54 358 509-1218</x:v>
      </x:c>
      <x:c r="H6" s="32" t="str">
        <x:v>Logística / Expedición / Posventa</x:v>
      </x:c>
      <x:c r="I6" s="32" t="str">
        <x:v>Palas, retroexcavadoras, excavadoras y equipos viales; traslado de entrega/recupero.</x:v>
      </x:c>
      <x:c r="J6" s="32" t="str">
        <x:v>https://www.google.com/maps/search/?api=1&amp;query=Pallotti+Maquinarias+RN+A005+km+3%2C5%2C+R%C3%ADo+Cuarto%2C+C%C3%B3rdoba</x:v>
      </x:c>
    </x:row>
    <x:row r="7" ht="36" customHeight="1">
      <x:c r="A7" s="32" t="n">
        <x:v>3</x:v>
      </x:c>
      <x:c r="B7" s="32" t="str">
        <x:v>10:50</x:v>
      </x:c>
      <x:c r="C7" s="32" t="str">
        <x:v>Bricchi Hnos. S.A.</x:v>
      </x:c>
      <x:c r="D7" s="32" t="str">
        <x:v>Lonking / Apache / Hanomag / otros</x:v>
      </x:c>
      <x:c r="E7" s="32" t="str">
        <x:v>A++</x:v>
      </x:c>
      <x:c r="F7" s="32" t="str">
        <x:v>Ruta A005 km 1,2, Río Cuarto, Córdoba</x:v>
      </x:c>
      <x:c r="G7" s="32" t="str">
        <x:v>+54 9 358 485-4418</x:v>
      </x:c>
      <x:c r="H7" s="32" t="str">
        <x:v>Gerencia / Maquinaria / Logística</x:v>
      </x:c>
      <x:c r="I7" s="32" t="str">
        <x:v>Maquinaria vial y agrícola; palas, retros, motoniveladoras y equipos. Transporte de unidades completas.</x:v>
      </x:c>
      <x:c r="J7" s="32" t="str">
        <x:v>https://www.google.com/maps/search/?api=1&amp;query=Bricchi+Hnos.+S.A.+Ruta+A005+km+1%2C2%2C+R%C3%ADo+Cuarto%2C+C%C3%B3rdoba</x:v>
      </x:c>
    </x:row>
    <x:row r="8" ht="36" customHeight="1">
      <x:c r="A8" s="32" t="n">
        <x:v>4</x:v>
      </x:c>
      <x:c r="B8" s="32" t="str">
        <x:v>11:15</x:v>
      </x:c>
      <x:c r="C8" s="32" t="str">
        <x:v>Metalfor S.A. / Servicap Río Cuarto</x:v>
      </x:c>
      <x:c r="D8" s="32" t="str">
        <x:v>Metalfor</x:v>
      </x:c>
      <x:c r="E8" s="32" t="str">
        <x:v>A+</x:v>
      </x:c>
      <x:c r="F8" s="32" t="str">
        <x:v>Ruta A005 km 2,5-3, Río Cuarto, Córdoba</x:v>
      </x:c>
      <x:c r="G8" s="32" t="str">
        <x:v>+54 358 601-1697 / +54 358 465-5642</x:v>
      </x:c>
      <x:c r="H8" s="32" t="str">
        <x:v>Expedición / Logística / Servicio</x:v>
      </x:c>
      <x:c r="I8" s="32" t="str">
        <x:v>Pulverizadoras y maquinaria de gran porte; expedición de equipos y traslados de servicio.</x:v>
      </x:c>
      <x:c r="J8" s="32" t="str">
        <x:v>https://www.google.com/maps/search/?api=1&amp;query=Metalfor+S.A.+%2F+Servicap+R%C3%ADo+Cuarto+Ruta+A005+km+2%2C5-3%2C+R%C3%ADo+Cuarto%2C+C%C3%B3rdoba</x:v>
      </x:c>
    </x:row>
    <x:row r="9" ht="36" customHeight="1">
      <x:c r="A9" s="32" t="n">
        <x:v>5</x:v>
      </x:c>
      <x:c r="B9" s="32" t="str">
        <x:v>11:35</x:v>
      </x:c>
      <x:c r="C9" s="32" t="str">
        <x:v>AgroRio Maquinaria Agrícola</x:v>
      </x:c>
      <x:c r="D9" s="32" t="str">
        <x:v>Tanzi</x:v>
      </x:c>
      <x:c r="E9" s="32" t="str">
        <x:v>A+</x:v>
      </x:c>
      <x:c r="F9" s="32" t="str">
        <x:v>Colectora Dr. Alfredo Palacios 2594, RN A005 km 3, Río Cuarto, Córdoba</x:v>
      </x:c>
      <x:c r="G9" s="32" t="str">
        <x:v>+54 358 609-3110</x:v>
      </x:c>
      <x:c r="H9" s="32" t="str">
        <x:v>Ventas / Expedición / Logística</x:v>
      </x:c>
      <x:c r="I9" s="32" t="str">
        <x:v>Sembradoras Air Drill y maquinaria agrícola; movimientos de entrega y usados.</x:v>
      </x:c>
      <x:c r="J9" s="32" t="str">
        <x:v>https://www.google.com/maps/search/?api=1&amp;query=AgroRio+Maquinaria+Agr%C3%ADcola+Colectora+Dr.+Alfredo+Palacios+2594%2C+RN+A005+km+3%2C+R%C3%ADo+Cuarto%2C+C%C3%B3rdoba</x:v>
      </x:c>
    </x:row>
    <x:row r="10" ht="36" customHeight="1">
      <x:c r="A10" s="32" t="n">
        <x:v>6</x:v>
      </x:c>
      <x:c r="B10" s="32" t="str">
        <x:v>11:55</x:v>
      </x:c>
      <x:c r="C10" s="32" t="str">
        <x:v>Agrorancho Maquinarias</x:v>
      </x:c>
      <x:c r="D10" s="32" t="str">
        <x:v>Multimarca</x:v>
      </x:c>
      <x:c r="E10" s="32" t="str">
        <x:v>A</x:v>
      </x:c>
      <x:c r="F10" s="32" t="str">
        <x:v>Ruta A005 km 3,5, Río Cuarto, Córdoba</x:v>
      </x:c>
      <x:c r="G10" s="32" t="str">
        <x:v>+54 358 465-2174</x:v>
      </x:c>
      <x:c r="H10" s="32" t="str">
        <x:v>Ventas / Logística</x:v>
      </x:c>
      <x:c r="I10" s="32" t="str">
        <x:v>Proveedor de equipos agrícolas; validar líneas y frecuencia de entrega.</x:v>
      </x:c>
      <x:c r="J10" s="32" t="str">
        <x:v>https://www.google.com/maps/search/?api=1&amp;query=Agrorancho+Maquinarias+Ruta+A005+km+3%2C5%2C+R%C3%ADo+Cuarto%2C+C%C3%B3rdoba</x:v>
      </x:c>
    </x:row>
    <x:row r="11" ht="36" customHeight="1">
      <x:c r="A11" s="32" t="n">
        <x:v>7</x:v>
      </x:c>
      <x:c r="B11" s="32" t="str">
        <x:v>12:15</x:v>
      </x:c>
      <x:c r="C11" s="32" t="str">
        <x:v>Grossvial Río Cuarto</x:v>
      </x:c>
      <x:c r="D11" s="32" t="str">
        <x:v>Maquinaria vial / construcción</x:v>
      </x:c>
      <x:c r="E11" s="32" t="str">
        <x:v>A++</x:v>
      </x:c>
      <x:c r="F11" s="32" t="str">
        <x:v>RN A005, Río Cuarto, Córdoba</x:v>
      </x:c>
      <x:c r="G11" s="32" t="str">
        <x:v>+54 358 439-9599</x:v>
      </x:c>
      <x:c r="H11" s="32" t="str">
        <x:v>Logística / Entregas / Posventa</x:v>
      </x:c>
      <x:c r="I11" s="32" t="str">
        <x:v>Retroexcavadoras, compactación y maquinaria vial; entrega de nuevas/usadas y soporte posventa.</x:v>
      </x:c>
      <x:c r="J11" s="32" t="str">
        <x:v>https://www.google.com/maps/search/?api=1&amp;query=Grossvial+R%C3%ADo+Cuarto+RN+A005%2C+R%C3%ADo+Cuarto%2C+C%C3%B3rdoba</x:v>
      </x:c>
    </x:row>
    <x:row r="12" ht="36" customHeight="1">
      <x:c r="A12" s="32" t="n">
        <x:v>8</x:v>
      </x:c>
      <x:c r="B12" s="32" t="str">
        <x:v>12:40</x:v>
      </x:c>
      <x:c r="C12" s="32" t="str">
        <x:v>Semtraco S.A. - Río Cuarto</x:v>
      </x:c>
      <x:c r="D12" s="32" t="str">
        <x:v>JCB / CASE IH</x:v>
      </x:c>
      <x:c r="E12" s="32" t="str">
        <x:v>A++</x:v>
      </x:c>
      <x:c r="F12" s="32" t="str">
        <x:v>Acceso 005 – Circunvalación, Río Cuarto, Córdoba</x:v>
      </x:c>
      <x:c r="G12" s="32" t="str">
        <x:v>+54 358 415-8451</x:v>
      </x:c>
      <x:c r="H12" s="32" t="str">
        <x:v>Gerencia / Logística / Posventa</x:v>
      </x:c>
      <x:c r="I12" s="32" t="str">
        <x:v>JCB + CASE IH: traslado vial/agro, entregas a clientes, recuperos y taller.</x:v>
      </x:c>
      <x:c r="J12" s="32" t="str">
        <x:v>https://www.google.com/maps/search/?api=1&amp;query=Semtraco+S.A.+-+R%C3%ADo+Cuarto+Acceso+005+%E2%80%93+Circunvalaci%C3%B3n%2C+R%C3%ADo+Cuarto%2C+C%C3%B3rdoba</x:v>
      </x:c>
    </x:row>
    <x:row r="13" ht="36" customHeight="1">
      <x:c r="A13" s="32" t="n">
        <x:v>9</x:v>
      </x:c>
      <x:c r="B13" s="32" t="str">
        <x:v>14:00</x:v>
      </x:c>
      <x:c r="C13" s="32" t="str">
        <x:v>Agro GM S.A. - Río Cuarto</x:v>
      </x:c>
      <x:c r="D13" s="32" t="str">
        <x:v>Massey Ferguson</x:v>
      </x:c>
      <x:c r="E13" s="32" t="str">
        <x:v>A++</x:v>
      </x:c>
      <x:c r="F13" s="32" t="str">
        <x:v>Ruta 8 km 606,5, Río Cuarto, Córdoba</x:v>
      </x:c>
      <x:c r="G13" s="32" t="str">
        <x:v>+54 358 462-6444 / +54 3582 15449168</x:v>
      </x:c>
      <x:c r="H13" s="32" t="str">
        <x:v>Comercial / Logística / Servicio</x:v>
      </x:c>
      <x:c r="I13" s="32" t="str">
        <x:v>Tractores, cosechadoras, pulverizadoras y forrajeras; entregas y posventa.</x:v>
      </x:c>
      <x:c r="J13" s="32" t="str">
        <x:v>https://www.google.com/maps/search/?api=1&amp;query=Agro+GM+S.A.+-+R%C3%ADo+Cuarto+Ruta+8+km+606%2C5%2C+R%C3%ADo+Cuarto%2C+C%C3%B3rdoba</x:v>
      </x:c>
    </x:row>
    <x:row r="14" ht="36" customHeight="1">
      <x:c r="A14" s="32" t="n">
        <x:v>10</x:v>
      </x:c>
      <x:c r="B14" s="32" t="str">
        <x:v>14:25</x:v>
      </x:c>
      <x:c r="C14" s="32" t="str">
        <x:v>Demarchi S.A.</x:v>
      </x:c>
      <x:c r="D14" s="32" t="str">
        <x:v>Valtra</x:v>
      </x:c>
      <x:c r="E14" s="32" t="str">
        <x:v>A++</x:v>
      </x:c>
      <x:c r="F14" s="32" t="str">
        <x:v>Av. Godoy Cruz 485, Río Cuarto, Córdoba</x:v>
      </x:c>
      <x:c r="G14" s="32" t="str">
        <x:v>+54 358 401-0714</x:v>
      </x:c>
      <x:c r="H14" s="32" t="str">
        <x:v>Gerencia / Logística / Posventa</x:v>
      </x:c>
      <x:c r="I14" s="32" t="str">
        <x:v>Tractores Valtra; entrega, retiro, taller y movimientos entre clientes.</x:v>
      </x:c>
      <x:c r="J14" s="32" t="str">
        <x:v>https://www.google.com/maps/search/?api=1&amp;query=Demarchi+S.A.+Av.+Godoy+Cruz+485%2C+R%C3%ADo+Cuarto%2C+C%C3%B3rdoba</x:v>
      </x:c>
    </x:row>
    <x:row r="15" ht="36" customHeight="1">
      <x:c r="A15" s="32" t="n">
        <x:v>11</x:v>
      </x:c>
      <x:c r="B15" s="32" t="str">
        <x:v>14:50</x:v>
      </x:c>
      <x:c r="C15" s="32" t="str">
        <x:v>Aníbal Barbero - El Amigazo SRL</x:v>
      </x:c>
      <x:c r="D15" s="32" t="str">
        <x:v>Vassalli / Don Roque</x:v>
      </x:c>
      <x:c r="E15" s="32" t="str">
        <x:v>A+</x:v>
      </x:c>
      <x:c r="F15" s="32" t="str">
        <x:v>Av. Godoy Cruz 520, Río Cuarto, Córdoba</x:v>
      </x:c>
      <x:c r="G15" s="32" t="str">
        <x:v>+54 358 412-1247 / +54 358 412-1252</x:v>
      </x:c>
      <x:c r="H15" s="32" t="str">
        <x:v>Ventas / Expedición / Posventa</x:v>
      </x:c>
      <x:c r="I15" s="32" t="str">
        <x:v>Cosechadoras y maquinaria agrícola; transporte a campo/taller y recuperos.</x:v>
      </x:c>
      <x:c r="J15" s="32" t="str">
        <x:v>https://www.google.com/maps/search/?api=1&amp;query=An%C3%ADbal+Barbero+-+El+Amigazo+SRL+Av.+Godoy+Cruz+520%2C+R%C3%ADo+Cuarto%2C+C%C3%B3rdoba</x:v>
      </x:c>
    </x:row>
    <x:row r="16" ht="36" customHeight="1">
      <x:c r="A16" s="32" t="n">
        <x:v>12</x:v>
      </x:c>
      <x:c r="B16" s="32" t="str">
        <x:v>15:15</x:v>
      </x:c>
      <x:c r="C16" s="32" t="str">
        <x:v>Simonassi Maquinarias Agrícolas</x:v>
      </x:c>
      <x:c r="D16" s="32" t="str">
        <x:v>Lovol</x:v>
      </x:c>
      <x:c r="E16" s="32" t="str">
        <x:v>A+</x:v>
      </x:c>
      <x:c r="F16" s="32" t="str">
        <x:v>Av. Amadeo Sabattini 2950, Río Cuarto, Córdoba</x:v>
      </x:c>
      <x:c r="G16" s="32" t="str">
        <x:v>+54 358 506-2964</x:v>
      </x:c>
      <x:c r="H16" s="32" t="str">
        <x:v>Ventas / Logística / Posventa</x:v>
      </x:c>
      <x:c r="I16" s="32" t="str">
        <x:v>Tractores y equipos agrícolas; entrega a campo y movimientos de servicio.</x:v>
      </x:c>
      <x:c r="J16" s="32" t="str">
        <x:v>https://www.google.com/maps/search/?api=1&amp;query=Simonassi+Maquinarias+Agr%C3%ADcolas+Av.+Amadeo+Sabattini+2950%2C+R%C3%ADo+Cuarto%2C+C%C3%B3rdoba</x:v>
      </x:c>
    </x:row>
    <x:row r="17" ht="36" customHeight="1">
      <x:c r="A17" s="32" t="n">
        <x:v>13</x:v>
      </x:c>
      <x:c r="B17" s="32" t="str">
        <x:v>15:45</x:v>
      </x:c>
      <x:c r="C17" s="32" t="str">
        <x:v>RINO Pauny</x:v>
      </x:c>
      <x:c r="D17" s="32" t="str">
        <x:v>Pauny</x:v>
      </x:c>
      <x:c r="E17" s="32" t="str">
        <x:v>A+</x:v>
      </x:c>
      <x:c r="F17" s="32" t="str">
        <x:v>RN A005 km 10,5, Río Cuarto, Córdoba</x:v>
      </x:c>
      <x:c r="G17" s="32" t="str">
        <x:v>+54 358 509-1232</x:v>
      </x:c>
      <x:c r="H17" s="32" t="str">
        <x:v>Ventas / Logística / Posventa</x:v>
      </x:c>
      <x:c r="I17" s="32" t="str">
        <x:v>Tractores Pauny; entregas, retiros y movimientos a taller/campo.</x:v>
      </x:c>
      <x:c r="J17" s="32" t="str">
        <x:v>https://www.google.com/maps/search/?api=1&amp;query=RINO+Pauny+RN+A005+km+10%2C5%2C+R%C3%ADo+Cuarto%2C+C%C3%B3rdoba</x:v>
      </x:c>
    </x:row>
    <x:row r="18" ht="36" customHeight="1">
      <x:c r="A18" s="32" t="n">
        <x:v>14</x:v>
      </x:c>
      <x:c r="B18" s="32" t="str">
        <x:v>16:15</x:v>
      </x:c>
      <x:c r="C18" s="32" t="str">
        <x:v>CATPRO Maquinarias</x:v>
      </x:c>
      <x:c r="D18" s="32" t="str">
        <x:v>New Holland Agriculture</x:v>
      </x:c>
      <x:c r="E18" s="32" t="str">
        <x:v>A++</x:v>
      </x:c>
      <x:c r="F18" s="32" t="str">
        <x:v>Av. Godoy Cruz 564, Río Cuarto, Córdoba</x:v>
      </x:c>
      <x:c r="G18" s="32" t="str">
        <x:v>+54 358 465-0092 / +54 358 463-2206</x:v>
      </x:c>
      <x:c r="H18" s="32" t="str">
        <x:v>Logística / Ventas / Posventa</x:v>
      </x:c>
      <x:c r="I18" s="32" t="str">
        <x:v>Cosechadoras, tractores y pulverizadoras; entrega, usados, taller y asistencia a campo.</x:v>
      </x:c>
      <x:c r="J18" s="32" t="str">
        <x:v>https://www.google.com/maps/search/?api=1&amp;query=CATPRO+Maquinarias+Av.+Godoy+Cruz+564%2C+R%C3%ADo+Cuarto%2C+C%C3%B3rdoba</x:v>
      </x:c>
    </x:row>
    <x:row r="21">
      <x:c r="A21" s="36" t="str">
        <x:v>Rutas</x:v>
      </x:c>
      <x:c r="B21" s="36" t="str">
        <x:v>Google Maps</x:v>
      </x:c>
    </x:row>
    <x:row r="22">
      <x:c r="A22" t="str">
        <x:v>Tramo mañana</x:v>
      </x:c>
      <x:c r="B22" s="32" t="str">
        <x:v>https://www.google.com/maps/dir/?api=1&amp;origin=RN36+km+609%2C+R%C3%ADo+Cuarto%2C+C%C3%B3rdoba&amp;destination=Acceso+005+%E2%80%93+Circunvalaci%C3%B3n%2C+R%C3%ADo+Cuarto%2C+C%C3%B3rdoba&amp;waypoints=RN+A005+km+3%2C5%2C+R%C3%ADo+Cuarto%2C+C%C3%B3rdoba|Ruta+A005+km+1%2C2%2C+R%C3%ADo+Cuarto%2C+C%C3%B3rdoba|Ruta+A005+km+2%2C5-3%2C+R%C3%ADo+Cuarto%2C+C%C3%B3rdoba|Colectora+Dr.+Alfredo+Palacios+2594%2C+RN+A005+km+3%2C+R%C3%ADo+Cuarto%2C+C%C3%B3rdoba|Ruta+A005+km+3%2C5%2C+R%C3%ADo+Cuarto%2C+C%C3%B3rdoba|RN+A005%2C+R%C3%ADo+Cuarto%2C+C%C3%B3rdoba&amp;travelmode=driving</x:v>
      </x:c>
    </x:row>
    <x:row r="23">
      <x:c r="A23" t="str">
        <x:v>Tramo tarde</x:v>
      </x:c>
      <x:c r="B23" s="32" t="str">
        <x:v>https://www.google.com/maps/dir/?api=1&amp;origin=Ruta+8+km+606%2C5%2C+R%C3%ADo+Cuarto%2C+C%C3%B3rdoba&amp;destination=Av.+Godoy+Cruz+564%2C+R%C3%ADo+Cuarto%2C+C%C3%B3rdoba&amp;waypoints=Av.+Godoy+Cruz+485%2C+R%C3%ADo+Cuarto%2C+C%C3%B3rdoba|Av.+Godoy+Cruz+520%2C+R%C3%ADo+Cuarto%2C+C%C3%B3rdoba|Av.+Amadeo+Sabattini+2950%2C+R%C3%ADo+Cuarto%2C+C%C3%B3rdoba|RN+A005+km+10%2C5%2C+R%C3%ADo+Cuarto%2C+C%C3%B3rdoba&amp;travelmode=driving</x:v>
      </x:c>
    </x:row>
  </x:sheetData>
  <x:mergeCells>
    <x:mergeCell ref="A1:J1"/>
    <x:mergeCell ref="A2:J2"/>
  </x:mergeCells>
  <x:conditionalFormatting sqref="E5:E18">
    <x:cfRule type="expression" dxfId="0" priority="1">
      <x:formula>E5="A++"</x:formula>
    </x:cfRule>
    <x:cfRule type="expression" dxfId="1" priority="2">
      <x:formula>E5="A+"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89f5cccf9349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30" hidden="0" customWidth="1"/>
    <x:col min="4" max="4" width="25" hidden="0" customWidth="1"/>
    <x:col min="5" max="5" width="42" hidden="0" customWidth="1"/>
    <x:col min="6" max="6" width="24" hidden="0" customWidth="1"/>
    <x:col min="7" max="7" width="32" hidden="0" customWidth="1"/>
    <x:col min="8" max="8" width="46" hidden="0" customWidth="1"/>
    <x:col min="9" max="9" width="34" hidden="0" customWidth="1"/>
    <x:col min="10" max="10" width="42" hidden="0" customWidth="1"/>
  </x:cols>
  <x:sheetData>
    <x:row r="1">
      <x:c r="A1" s="4" t="str">
        <x:v>Segunda línea · rental vial + contenedores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0" t="str">
        <x:v>Rental puede generar viajes repetitivos. Contenedores ISO 20/40 se trabajan como outbound remoto; los servicios locales de volquetes/obradores se califican antes.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6" customHeight="1">
      <x:c r="A4" s="18" t="str">
        <x:v>Grupo</x:v>
      </x:c>
      <x:c r="B4" s="18" t="str">
        <x:v>Prioridad</x:v>
      </x:c>
      <x:c r="C4" s="18" t="str">
        <x:v>Empresa</x:v>
      </x:c>
      <x:c r="D4" s="18" t="str">
        <x:v>Subcategoría</x:v>
      </x:c>
      <x:c r="E4" s="18" t="str">
        <x:v>Dirección / cobertura</x:v>
      </x:c>
      <x:c r="F4" s="18" t="str">
        <x:v>Teléfono</x:v>
      </x:c>
      <x:c r="G4" s="18" t="str">
        <x:v>Próxima acción</x:v>
      </x:c>
      <x:c r="H4" s="18" t="str">
        <x:v>Necesidad probable</x:v>
      </x:c>
      <x:c r="I4" s="18" t="str">
        <x:v>Advertencia</x:v>
      </x:c>
      <x:c r="J4" s="18" t="str">
        <x:v>Fuente</x:v>
      </x:c>
    </x:row>
    <x:row r="5" ht="36" customHeight="1">
      <x:c r="A5" s="32" t="str">
        <x:v>Rental</x:v>
      </x:c>
      <x:c r="B5" s="32" t="str">
        <x:v>A+</x:v>
      </x:c>
      <x:c r="C5" s="32" t="str">
        <x:v>Terramobil - Alquiler de Maquinaria Vial</x:v>
      </x:c>
      <x:c r="D5" s="32" t="str">
        <x:v>Vial / Rental</x:v>
      </x:c>
      <x:c r="E5" s="32" t="str">
        <x:v>Pirovano 613, Río Cuarto, Córdoba</x:v>
      </x:c>
      <x:c r="F5" s="32" t="str">
        <x:v>+54 358 518-0190</x:v>
      </x:c>
      <x:c r="G5" s="32" t="str">
        <x:v>Visita / llamada para detectar flota y tercerización</x:v>
      </x:c>
      <x:c r="H5" s="32" t="str">
        <x:v>Traslado recurrente de máquinas rental entre base y obras.</x:v>
      </x:c>
      <x:c r="I5" s="32" t="str"/>
      <x:c r="J5" s="32" t="str">
        <x:v>https://www.google.com/maps/search/?api=1&amp;query=Terramobil+alquiler+maquinaria+vial+Pirovano+613%2C+R%C3%ADo+Cuarto%2C+C%C3%B3rdoba</x:v>
      </x:c>
    </x:row>
    <x:row r="6" ht="36" customHeight="1">
      <x:c r="A6" s="32" t="str">
        <x:v>Rental</x:v>
      </x:c>
      <x:c r="B6" s="32" t="str">
        <x:v>A+</x:v>
      </x:c>
      <x:c r="C6" s="32" t="str">
        <x:v>Cantera La Helena</x:v>
      </x:c>
      <x:c r="D6" s="32" t="str">
        <x:v>Vial / Rental</x:v>
      </x:c>
      <x:c r="E6" s="32" t="str">
        <x:v>Ex Ruta 36 km 610, Río Cuarto, Córdoba</x:v>
      </x:c>
      <x:c r="F6" s="32" t="str">
        <x:v>+54 358 430-9507</x:v>
      </x:c>
      <x:c r="G6" s="32" t="str">
        <x:v>Visita rental</x:v>
      </x:c>
      <x:c r="H6" s="32" t="str">
        <x:v>Alquiler de cargadoras, excavadoras y camiones; movimientos de equipos a obra.</x:v>
      </x:c>
      <x:c r="I6" s="32" t="str"/>
      <x:c r="J6" s="32" t="str">
        <x:v>https://lahelena.com.ar/services/</x:v>
      </x:c>
    </x:row>
    <x:row r="7" ht="36" customHeight="1">
      <x:c r="A7" s="32" t="str">
        <x:v>Rental</x:v>
      </x:c>
      <x:c r="B7" s="32" t="str">
        <x:v>B+</x:v>
      </x:c>
      <x:c r="C7" s="32" t="str">
        <x:v>Casale Maquinarias / Movimientos Agro Vial S.A.</x:v>
      </x:c>
      <x:c r="D7" s="32" t="str">
        <x:v>Vial / Rental</x:v>
      </x:c>
      <x:c r="E7" s="32" t="str">
        <x:v>RN36 km 606, Río Cuarto, Córdoba</x:v>
      </x:c>
      <x:c r="F7" s="32" t="str">
        <x:v>+54 358 509-4615</x:v>
      </x:c>
      <x:c r="G7" s="32" t="str">
        <x:v>Visita exploratoria</x:v>
      </x:c>
      <x:c r="H7" s="32" t="str">
        <x:v>Backup y picos de demanda para maquinaria vial pesada.</x:v>
      </x:c>
      <x:c r="I7" s="32" t="str">
        <x:v>Tiene transporte propio; pitch = backup/picos.</x:v>
      </x:c>
      <x:c r="J7" s="32" t="str">
        <x:v>https://casalemaquinarias.com.ar/</x:v>
      </x:c>
    </x:row>
    <x:row r="8" ht="36" customHeight="1">
      <x:c r="A8" s="32" t="str">
        <x:v>Rental</x:v>
      </x:c>
      <x:c r="B8" s="32" t="str">
        <x:v>B+</x:v>
      </x:c>
      <x:c r="C8" s="32" t="str">
        <x:v>Alquilo Todo Río Cuarto</x:v>
      </x:c>
      <x:c r="D8" s="32" t="str">
        <x:v>Rental</x:v>
      </x:c>
      <x:c r="E8" s="32" t="str">
        <x:v>Reverendo Padre Geniale Silvi 273, colectora A005, Río Cuarto, Córdoba</x:v>
      </x:c>
      <x:c r="F8" s="32" t="str">
        <x:v>+54 3546 490-403</x:v>
      </x:c>
      <x:c r="G8" s="32" t="str">
        <x:v>Visita exploratoria</x:v>
      </x:c>
      <x:c r="H8" s="32" t="str">
        <x:v>Validar tamaño de equipos y si requiere transporte pesado.</x:v>
      </x:c>
      <x:c r="I8" s="32" t="str"/>
      <x:c r="J8" s="32" t="str">
        <x:v>https://www.google.com/maps/search/?api=1&amp;query=Alquilo+Todo+R%C3%ADo+Cuarto+Reverendo+Padre+Geniale+Silvi+273%2C+R%C3%ADo+Cuarto%2C+C%C3%B3rdoba</x:v>
      </x:c>
    </x:row>
    <x:row r="9" ht="36" customHeight="1">
      <x:c r="A9" s="32" t="str">
        <x:v>Rental</x:v>
      </x:c>
      <x:c r="B9" s="32" t="str">
        <x:v>B+</x:v>
      </x:c>
      <x:c r="C9" s="32" t="str">
        <x:v>SAV Autoelevadores y Máquinas Viales</x:v>
      </x:c>
      <x:c r="D9" s="32" t="str">
        <x:v>Vial</x:v>
      </x:c>
      <x:c r="E9" s="32" t="str">
        <x:v>Lope de Vega 946, Río Cuarto, Córdoba</x:v>
      </x:c>
      <x:c r="F9" s="32" t="str">
        <x:v>+54 358 509-2695</x:v>
      </x:c>
      <x:c r="G9" s="32" t="str">
        <x:v>Llamar y validar venta/rental vs taller</x:v>
      </x:c>
      <x:c r="H9" s="32" t="str">
        <x:v>Movimiento de autoelevadores y máquinas viales hacia clientes/taller.</x:v>
      </x:c>
      <x:c r="I9" s="32" t="str"/>
      <x:c r="J9" s="32" t="str">
        <x:v>https://www.google.com/maps/search/?api=1&amp;query=SAV+Autoelevadores+y+Maquinas+Viales+Lope+de+Vega+946%2C+R%C3%ADo+Cuarto%2C+C%C3%B3rdoba</x:v>
      </x:c>
    </x:row>
    <x:row r="10" ht="36" customHeight="1">
      <x:c r="A10" s="32" t="str">
        <x:v>Rental</x:v>
      </x:c>
      <x:c r="B10" s="32" t="str">
        <x:v>B</x:v>
      </x:c>
      <x:c r="C10" s="32" t="str">
        <x:v>TECNAC S.R.L.</x:v>
      </x:c>
      <x:c r="D10" s="32" t="str">
        <x:v>Vial / Obras</x:v>
      </x:c>
      <x:c r="E10" s="32" t="str">
        <x:v>De las Postas 2435, Río Cuarto, Córdoba</x:v>
      </x:c>
      <x:c r="F10" s="32" t="str"/>
      <x:c r="G10" s="32" t="str">
        <x:v>Llamada exploratoria</x:v>
      </x:c>
      <x:c r="H10" s="32" t="str">
        <x:v>Traslado de flota a obras; potencial backup de equipos.</x:v>
      </x:c>
      <x:c r="I10" s="32" t="str"/>
      <x:c r="J10" s="32" t="str">
        <x:v>https://www.tecnac.com.ar/nosotros</x:v>
      </x:c>
    </x:row>
    <x:row r="11" ht="36" customHeight="1">
      <x:c r="A11" s="32" t="str">
        <x:v>Remoto</x:v>
      </x:c>
      <x:c r="B11" s="32" t="str">
        <x:v>A+</x:v>
      </x:c>
      <x:c r="C11" s="32" t="str">
        <x:v>Boxtainer</x:v>
      </x:c>
      <x:c r="D11" s="32" t="str">
        <x:v>ISO 20/40 pies</x:v>
      </x:c>
      <x:c r="E11" s="32" t="str">
        <x:v>Depósitos en Córdoba / Mendoza / Buenos Aires; publicaciones activas para Río Cuarto</x:v>
      </x:c>
      <x:c r="F11" s="32" t="str">
        <x:v>+54 351 254-0586</x:v>
      </x:c>
      <x:c r="G11" s="32" t="str">
        <x:v>Contactar y validar origen habitual de despachos a Río Cuarto</x:v>
      </x:c>
      <x:c r="H11" s="32" t="str">
        <x:v>Ofrecer flete final a Río Cuarto/zona para contenedores 20' y 40'; carretón PRESOL compatible por longitud/capacidad.</x:v>
      </x:c>
      <x:c r="I11" s="32" t="str">
        <x:v>No asumir sucursal física Río Cuarto.</x:v>
      </x:c>
      <x:c r="J11" s="32" t="str">
        <x:v>https://vehiculo.mercadolibre.com.ar/MLA-1626447959-contenedores-maritimos-entrega-inmediata-20-y-40-pies-stock-_JM</x:v>
      </x:c>
    </x:row>
    <x:row r="12" ht="36" customHeight="1">
      <x:c r="A12" s="32" t="str">
        <x:v>Remoto</x:v>
      </x:c>
      <x:c r="B12" s="32" t="str">
        <x:v>A</x:v>
      </x:c>
      <x:c r="C12" s="32" t="str">
        <x:v>Sudamérica Contenedores</x:v>
      </x:c>
      <x:c r="D12" s="32" t="str">
        <x:v>ISO 20/40 pies</x:v>
      </x:c>
      <x:c r="E12" s="32" t="str">
        <x:v>Depósitos en varias plazas; confirmar depósito que abastece Río Cuarto</x:v>
      </x:c>
      <x:c r="F12" s="32" t="str">
        <x:v>Validar en canal comercial</x:v>
      </x:c>
      <x:c r="G12" s="32" t="str">
        <x:v>Contactar y validar depósito/origen de entrega a Río Cuarto</x:v>
      </x:c>
      <x:c r="H12" s="32" t="str">
        <x:v>Transporte de 20'/40'/HC hacia Río Cuarto y sur de Córdoba.</x:v>
      </x:c>
      <x:c r="I12" s="32" t="str">
        <x:v>No asumir sucursal física Río Cuarto.</x:v>
      </x:c>
      <x:c r="J12" s="32" t="str">
        <x:v>https://sudamericacontenedores.com.ar/</x:v>
      </x:c>
    </x:row>
    <x:row r="13" ht="36" customHeight="1">
      <x:c r="A13" s="32" t="str">
        <x:v>Contenedores local</x:v>
      </x:c>
      <x:c r="B13" s="32" t="str">
        <x:v>B</x:v>
      </x:c>
      <x:c r="C13" s="32" t="str">
        <x:v>Alzaco - División Contenedores</x:v>
      </x:c>
      <x:c r="D13" s="32" t="str">
        <x:v>NO confirmado marítimo ISO</x:v>
      </x:c>
      <x:c r="E13" s="32" t="str">
        <x:v>Hipólito Yrigoyen 2224, Río Cuarto, Córdoba</x:v>
      </x:c>
      <x:c r="F13" s="32" t="str">
        <x:v>+54 358 462-6742 / +54 358 464-9543</x:v>
      </x:c>
      <x:c r="G13" s="32" t="str">
        <x:v>Llamar y validar si manejan módulos/ISO de gran porte</x:v>
      </x:c>
      <x:c r="H13" s="32" t="str">
        <x:v>Explorar movimientos de obradores/equipos; no vender pitch de ISO 40' sin validar.</x:v>
      </x:c>
      <x:c r="I13" s="32" t="str">
        <x:v>No etiquetar como marítimo ISO sin confirmación.</x:v>
      </x:c>
      <x:c r="J13" s="32" t="str">
        <x:v>https://www.alzaco.com.ar/contenedores/</x:v>
      </x:c>
    </x:row>
    <x:row r="14" ht="36" customHeight="1">
      <x:c r="A14" s="32" t="str">
        <x:v>Contenedores local</x:v>
      </x:c>
      <x:c r="B14" s="32" t="str">
        <x:v>B-</x:v>
      </x:c>
      <x:c r="C14" s="32" t="str">
        <x:v>Contenedores RANQUEL</x:v>
      </x:c>
      <x:c r="D14" s="32" t="str">
        <x:v>NO confirmado marítimo ISO</x:v>
      </x:c>
      <x:c r="E14" s="32" t="str">
        <x:v>Sarmiento 3177, Río Cuarto, Córdoba</x:v>
      </x:c>
      <x:c r="F14" s="32" t="str">
        <x:v>+54 358 464-2148</x:v>
      </x:c>
      <x:c r="G14" s="32" t="str">
        <x:v>Validar tipo de contenedores</x:v>
      </x:c>
      <x:c r="H14" s="32" t="str">
        <x:v>Explorar sólo si moviliza módulos/obradores pesados; no asumir contenedor marítimo.</x:v>
      </x:c>
      <x:c r="I14" s="32" t="str">
        <x:v>No etiquetar como marítimo ISO sin confirmación.</x:v>
      </x:c>
      <x:c r="J14" s="32" t="str">
        <x:v>https://www.google.com/maps/search/?api=1&amp;query=Contenedores+RANQUEL+Sarmiento+3177%2C+R%C3%ADo+Cuarto%2C+C%C3%B3rdoba</x:v>
      </x:c>
    </x:row>
    <x:row r="15" ht="36" customHeight="1">
      <x:c r="A15" s="32" t="str">
        <x:v>Contenedores local</x:v>
      </x:c>
      <x:c r="B15" s="32" t="str">
        <x:v>B-</x:v>
      </x:c>
      <x:c r="C15" s="32" t="str">
        <x:v>Contenedores Imperio Río Cuarto</x:v>
      </x:c>
      <x:c r="D15" s="32" t="str">
        <x:v>NO confirmado marítimo ISO</x:v>
      </x:c>
      <x:c r="E15" s="32" t="str">
        <x:v>Colombia 527, Río Cuarto, Córdoba</x:v>
      </x:c>
      <x:c r="F15" s="32" t="str">
        <x:v>+54 358 463-8604</x:v>
      </x:c>
      <x:c r="G15" s="32" t="str">
        <x:v>Validar tipo de contenedores</x:v>
      </x:c>
      <x:c r="H15" s="32" t="str">
        <x:v>Validar si maneja módulos/containers pesados además de contenedores de residuos.</x:v>
      </x:c>
      <x:c r="I15" s="32" t="str">
        <x:v>No etiquetar como marítimo ISO sin confirmación.</x:v>
      </x:c>
      <x:c r="J15" s="32" t="str">
        <x:v>https://www.google.com/maps/search/?api=1&amp;query=Contenedores+Imperio+R%C3%ADo+Cuarto+Colombia+527%2C+R%C3%ADo+Cuarto%2C+C%C3%B3rdoba</x:v>
      </x:c>
    </x:row>
  </x:sheetData>
  <x:mergeCells>
    <x:mergeCell ref="A1:J1"/>
    <x:mergeCell ref="A2:J2"/>
  </x:mergeCells>
  <x:conditionalFormatting sqref="B5:B15">
    <x:cfRule type="expression" dxfId="4" priority="1">
      <x:formula>B5="A++"</x:formula>
    </x:cfRule>
    <x:cfRule type="expression" dxfId="5" priority="2">
      <x:formula>B5="A+"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142c8861bb4e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8" hidden="0" customWidth="1"/>
    <x:col min="4" max="4" width="24" hidden="0" customWidth="1"/>
    <x:col min="5" max="5" width="30" hidden="0" customWidth="1"/>
    <x:col min="6" max="6" width="10" hidden="0" customWidth="1"/>
    <x:col min="7" max="7" width="18" hidden="0" customWidth="1"/>
    <x:col min="8" max="8" width="8" hidden="0" customWidth="1"/>
    <x:col min="9" max="9" width="10" hidden="0" customWidth="1"/>
    <x:col min="10" max="10" width="42" hidden="0" customWidth="1"/>
    <x:col min="11" max="11" width="25" hidden="0" customWidth="1"/>
    <x:col min="12" max="12" width="25" hidden="0" customWidth="1"/>
    <x:col min="13" max="13" width="32" hidden="0" customWidth="1"/>
    <x:col min="14" max="14" width="30" hidden="0" customWidth="1"/>
    <x:col min="15" max="15" width="30" hidden="0" customWidth="1"/>
    <x:col min="16" max="16" width="48" hidden="0" customWidth="1"/>
    <x:col min="17" max="17" width="14" hidden="0" customWidth="1"/>
    <x:col min="18" max="18" width="34" hidden="0" customWidth="1"/>
    <x:col min="19" max="19" width="12" hidden="0" customWidth="1"/>
    <x:col min="20" max="20" width="42" hidden="0" customWidth="1"/>
    <x:col min="21" max="21" width="42" hidden="0" customWidth="1"/>
  </x:cols>
  <x:sheetData>
    <x:row r="1">
      <x:c r="A1" s="4" t="str">
        <x:v>Master de prospectos PRESOL · Río Cuarto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3" ht="36" customHeight="1">
      <x:c r="A3" s="18" t="str">
        <x:v>Canonical key</x:v>
      </x:c>
      <x:c r="B3" s="18" t="str">
        <x:v>Empresa</x:v>
      </x:c>
      <x:c r="C3" s="18" t="str">
        <x:v>Grupo</x:v>
      </x:c>
      <x:c r="D3" s="18" t="str">
        <x:v>Subcategoría</x:v>
      </x:c>
      <x:c r="E3" s="18" t="str">
        <x:v>Marcas</x:v>
      </x:c>
      <x:c r="F3" s="18" t="str">
        <x:v>Prioridad</x:v>
      </x:c>
      <x:c r="G3" s="18" t="str">
        <x:v>Ruta</x:v>
      </x:c>
      <x:c r="H3" s="18" t="str">
        <x:v>Orden</x:v>
      </x:c>
      <x:c r="I3" s="18" t="str">
        <x:v>Hora</x:v>
      </x:c>
      <x:c r="J3" s="18" t="str">
        <x:v>Dirección</x:v>
      </x:c>
      <x:c r="K3" s="18" t="str">
        <x:v>Teléfono</x:v>
      </x:c>
      <x:c r="L3" s="18" t="str">
        <x:v>WhatsApp</x:v>
      </x:c>
      <x:c r="M3" s="18" t="str">
        <x:v>Email</x:v>
      </x:c>
      <x:c r="N3" s="18" t="str">
        <x:v>Web</x:v>
      </x:c>
      <x:c r="O3" s="18" t="str">
        <x:v>Objetivo</x:v>
      </x:c>
      <x:c r="P3" s="18" t="str">
        <x:v>Necesidad probable</x:v>
      </x:c>
      <x:c r="Q3" s="18" t="str">
        <x:v>Estado</x:v>
      </x:c>
      <x:c r="R3" s="18" t="str">
        <x:v>Próxima acción</x:v>
      </x:c>
      <x:c r="S3" s="18" t="str">
        <x:v>Confianza</x:v>
      </x:c>
      <x:c r="T3" s="18" t="str">
        <x:v>Maps</x:v>
      </x:c>
      <x:c r="U3" s="18" t="str">
        <x:v>Fuente</x:v>
      </x:c>
    </x:row>
    <x:row r="4" ht="36" customHeight="1">
      <x:c r="A4" s="32" t="str">
        <x:v>sala-rio-cuarto</x:v>
      </x:c>
      <x:c r="B4" s="32" t="str">
        <x:v>SALA / Agrotecnología Sala S.A.</x:v>
      </x:c>
      <x:c r="C4" s="32" t="str">
        <x:v>Concesionario agrícola</x:v>
      </x:c>
      <x:c r="D4" s="32" t="str">
        <x:v>Agrícola</x:v>
      </x:c>
      <x:c r="E4" s="32" t="str">
        <x:v>John Deere / PLA</x:v>
      </x:c>
      <x:c r="F4" s="32" t="str">
        <x:v>A++</x:v>
      </x:c>
      <x:c r="G4" s="32" t="str">
        <x:v>Principal</x:v>
      </x:c>
      <x:c r="H4" s="32" t="n">
        <x:v>1</x:v>
      </x:c>
      <x:c r="I4" s="32" t="str">
        <x:v>10:00</x:v>
      </x:c>
      <x:c r="J4" s="32" t="str">
        <x:v>RN36 km 609, Río Cuarto, Córdoba</x:v>
      </x:c>
      <x:c r="K4" s="32" t="str">
        <x:v>+54 9 358 240-9477</x:v>
      </x:c>
      <x:c r="L4" s="32" t="str">
        <x:v>Validar comercial</x:v>
      </x:c>
      <x:c r="M4" s="32" t="str"/>
      <x:c r="N4" s="32" t="str">
        <x:v>https://www.deere.com.ar/</x:v>
      </x:c>
      <x:c r="O4" s="32" t="str">
        <x:v>Logística / Expedición / Posventa / Gerencia</x:v>
      </x:c>
      <x:c r="P4" s="32" t="str">
        <x:v>Tractores, cosechadoras y pulverización; entregas, retiros y movimientos de posventa.</x:v>
      </x:c>
      <x:c r="Q4" s="32" t="str">
        <x:v>Prospecto</x:v>
      </x:c>
      <x:c r="R4" s="32" t="str">
        <x:v>Visita comercial inicial</x:v>
      </x:c>
      <x:c r="S4" s="32" t="str">
        <x:v>Alta</x:v>
      </x:c>
      <x:c r="T4" s="32" t="str">
        <x:v>https://www.google.com/maps/search/?api=1&amp;query=SALA+%2F+Agrotecnolog%C3%ADa+Sala+S.A.+RN36+km+609%2C+R%C3%ADo+Cuarto%2C+C%C3%B3rdoba</x:v>
      </x:c>
      <x:c r="U4" s="32" t="str">
        <x:v>https://www.deere.com.ar/assets/pdfs/region-3/our-company/news/032024-bases-y-condiciones-promo-bater%C3%ADas-jd.pdf</x:v>
      </x:c>
    </x:row>
    <x:row r="5" ht="36" customHeight="1">
      <x:c r="A5" s="32" t="str">
        <x:v>pallotti-liugong-rio-cuarto</x:v>
      </x:c>
      <x:c r="B5" s="32" t="str">
        <x:v>Pallotti Maquinarias</x:v>
      </x:c>
      <x:c r="C5" s="32" t="str">
        <x:v>Concesionario vial</x:v>
      </x:c>
      <x:c r="D5" s="32" t="str">
        <x:v>Vial</x:v>
      </x:c>
      <x:c r="E5" s="32" t="str">
        <x:v>LiuGong</x:v>
      </x:c>
      <x:c r="F5" s="32" t="str">
        <x:v>A++</x:v>
      </x:c>
      <x:c r="G5" s="32" t="str">
        <x:v>Principal</x:v>
      </x:c>
      <x:c r="H5" s="32" t="n">
        <x:v>2</x:v>
      </x:c>
      <x:c r="I5" s="32" t="str">
        <x:v>10:25</x:v>
      </x:c>
      <x:c r="J5" s="32" t="str">
        <x:v>RN A005 km 3,5, Río Cuarto, Córdoba</x:v>
      </x:c>
      <x:c r="K5" s="32" t="str">
        <x:v>+54 358 571-3137 / +54 358 509-1218</x:v>
      </x:c>
      <x:c r="L5" s="32" t="str">
        <x:v>Validar comercial</x:v>
      </x:c>
      <x:c r="M5" s="32" t="str">
        <x:v>contacto@pallottimaquinarias.ar</x:v>
      </x:c>
      <x:c r="N5" s="32" t="str">
        <x:v>https://pallottimaquinarias.ar/</x:v>
      </x:c>
      <x:c r="O5" s="32" t="str">
        <x:v>Logística / Expedición / Posventa</x:v>
      </x:c>
      <x:c r="P5" s="32" t="str">
        <x:v>Palas, retroexcavadoras, excavadoras y equipos viales; traslado de entrega/recupero.</x:v>
      </x:c>
      <x:c r="Q5" s="32" t="str">
        <x:v>Prospecto</x:v>
      </x:c>
      <x:c r="R5" s="32" t="str">
        <x:v>Visita comercial inicial</x:v>
      </x:c>
      <x:c r="S5" s="32" t="str">
        <x:v>Alta</x:v>
      </x:c>
      <x:c r="T5" s="32" t="str">
        <x:v>https://www.google.com/maps/search/?api=1&amp;query=Pallotti+Maquinarias+RN+A005+km+3%2C5%2C+R%C3%ADo+Cuarto%2C+C%C3%B3rdoba</x:v>
      </x:c>
      <x:c r="U5" s="32" t="str">
        <x:v>https://pallottimaquinarias.ar/contacto</x:v>
      </x:c>
    </x:row>
    <x:row r="6" ht="36" customHeight="1">
      <x:c r="A6" s="32" t="str">
        <x:v>bricchi-rio-cuarto</x:v>
      </x:c>
      <x:c r="B6" s="32" t="str">
        <x:v>Bricchi Hnos. S.A.</x:v>
      </x:c>
      <x:c r="C6" s="32" t="str">
        <x:v>Concesionario vial + agrícola</x:v>
      </x:c>
      <x:c r="D6" s="32" t="str">
        <x:v>Mixto vial + agrícola</x:v>
      </x:c>
      <x:c r="E6" s="32" t="str">
        <x:v>Lonking / Apache / Hanomag / otros</x:v>
      </x:c>
      <x:c r="F6" s="32" t="str">
        <x:v>A++</x:v>
      </x:c>
      <x:c r="G6" s="32" t="str">
        <x:v>Principal</x:v>
      </x:c>
      <x:c r="H6" s="32" t="n">
        <x:v>3</x:v>
      </x:c>
      <x:c r="I6" s="32" t="str">
        <x:v>10:50</x:v>
      </x:c>
      <x:c r="J6" s="32" t="str">
        <x:v>Ruta A005 km 1,2, Río Cuarto, Córdoba</x:v>
      </x:c>
      <x:c r="K6" s="32" t="str">
        <x:v>+54 9 358 485-4418</x:v>
      </x:c>
      <x:c r="L6" s="32" t="str">
        <x:v>+54 9 358 485-4418</x:v>
      </x:c>
      <x:c r="M6" s="32" t="str">
        <x:v>alejandropirchio@bricchihnos.com; juan@bricchihnos.com</x:v>
      </x:c>
      <x:c r="N6" s="32" t="str">
        <x:v>https://www.bricchihnos.com/</x:v>
      </x:c>
      <x:c r="O6" s="32" t="str">
        <x:v>Gerencia / Maquinaria / Logística</x:v>
      </x:c>
      <x:c r="P6" s="32" t="str">
        <x:v>Maquinaria vial y agrícola; palas, retros, motoniveladoras y equipos. Transporte de unidades completas.</x:v>
      </x:c>
      <x:c r="Q6" s="32" t="str">
        <x:v>Prospecto</x:v>
      </x:c>
      <x:c r="R6" s="32" t="str">
        <x:v>Visita comercial inicial</x:v>
      </x:c>
      <x:c r="S6" s="32" t="str">
        <x:v>Alta</x:v>
      </x:c>
      <x:c r="T6" s="32" t="str">
        <x:v>https://www.google.com/maps/search/?api=1&amp;query=Bricchi+Hnos.+S.A.+Ruta+A005+km+1%2C2%2C+R%C3%ADo+Cuarto%2C+C%C3%B3rdoba</x:v>
      </x:c>
      <x:c r="U6" s="32" t="str">
        <x:v>https://www.bricchihnos.com/contact</x:v>
      </x:c>
    </x:row>
    <x:row r="7" ht="36" customHeight="1">
      <x:c r="A7" s="32" t="str">
        <x:v>metalfor-rio-cuarto</x:v>
      </x:c>
      <x:c r="B7" s="32" t="str">
        <x:v>Metalfor S.A. / Servicap Río Cuarto</x:v>
      </x:c>
      <x:c r="C7" s="32" t="str">
        <x:v>Fabricante / maquinaria agrícola</x:v>
      </x:c>
      <x:c r="D7" s="32" t="str">
        <x:v>Agrícola</x:v>
      </x:c>
      <x:c r="E7" s="32" t="str">
        <x:v>Metalfor</x:v>
      </x:c>
      <x:c r="F7" s="32" t="str">
        <x:v>A+</x:v>
      </x:c>
      <x:c r="G7" s="32" t="str">
        <x:v>Principal</x:v>
      </x:c>
      <x:c r="H7" s="32" t="n">
        <x:v>4</x:v>
      </x:c>
      <x:c r="I7" s="32" t="str">
        <x:v>11:15</x:v>
      </x:c>
      <x:c r="J7" s="32" t="str">
        <x:v>Ruta A005 km 2,5-3, Río Cuarto, Córdoba</x:v>
      </x:c>
      <x:c r="K7" s="32" t="str">
        <x:v>+54 358 601-1697 / +54 358 465-5642</x:v>
      </x:c>
      <x:c r="L7" s="32" t="str">
        <x:v>Validar</x:v>
      </x:c>
      <x:c r="M7" s="32" t="str"/>
      <x:c r="N7" s="32" t="str">
        <x:v>https://www.metalfor.com.ar/</x:v>
      </x:c>
      <x:c r="O7" s="32" t="str">
        <x:v>Expedición / Logística / Servicio</x:v>
      </x:c>
      <x:c r="P7" s="32" t="str">
        <x:v>Pulverizadoras y maquinaria de gran porte; expedición de equipos y traslados de servicio.</x:v>
      </x:c>
      <x:c r="Q7" s="32" t="str">
        <x:v>Prospecto</x:v>
      </x:c>
      <x:c r="R7" s="32" t="str">
        <x:v>Visita comercial inicial</x:v>
      </x:c>
      <x:c r="S7" s="32" t="str">
        <x:v>Media</x:v>
      </x:c>
      <x:c r="T7" s="32" t="str">
        <x:v>https://www.google.com/maps/search/?api=1&amp;query=Metalfor+S.A.+%2F+Servicap+R%C3%ADo+Cuarto+Ruta+A005+km+2%2C5-3%2C+R%C3%ADo+Cuarto%2C+C%C3%B3rdoba</x:v>
      </x:c>
      <x:c r="U7" s="32" t="str">
        <x:v>https://locatoradmin.cummins.com/locator-interface/rv-or-motorhome-locations?page=34</x:v>
      </x:c>
    </x:row>
    <x:row r="8" ht="36" customHeight="1">
      <x:c r="A8" s="32" t="str">
        <x:v>agrorio-tanzi-rio-cuarto</x:v>
      </x:c>
      <x:c r="B8" s="32" t="str">
        <x:v>AgroRio Maquinaria Agrícola</x:v>
      </x:c>
      <x:c r="C8" s="32" t="str">
        <x:v>Concesionario agrícola</x:v>
      </x:c>
      <x:c r="D8" s="32" t="str">
        <x:v>Agrícola</x:v>
      </x:c>
      <x:c r="E8" s="32" t="str">
        <x:v>Tanzi</x:v>
      </x:c>
      <x:c r="F8" s="32" t="str">
        <x:v>A+</x:v>
      </x:c>
      <x:c r="G8" s="32" t="str">
        <x:v>Principal</x:v>
      </x:c>
      <x:c r="H8" s="32" t="n">
        <x:v>5</x:v>
      </x:c>
      <x:c r="I8" s="32" t="str">
        <x:v>11:35</x:v>
      </x:c>
      <x:c r="J8" s="32" t="str">
        <x:v>Colectora Dr. Alfredo Palacios 2594, RN A005 km 3, Río Cuarto, Córdoba</x:v>
      </x:c>
      <x:c r="K8" s="32" t="str">
        <x:v>+54 358 609-3110</x:v>
      </x:c>
      <x:c r="L8" s="32" t="str">
        <x:v>Validar</x:v>
      </x:c>
      <x:c r="M8" s="32" t="str">
        <x:v>agrorio.maquinarias@gmail.com</x:v>
      </x:c>
      <x:c r="N8" s="32" t="str"/>
      <x:c r="O8" s="32" t="str">
        <x:v>Ventas / Expedición / Logística</x:v>
      </x:c>
      <x:c r="P8" s="32" t="str">
        <x:v>Sembradoras Air Drill y maquinaria agrícola; movimientos de entrega y usados.</x:v>
      </x:c>
      <x:c r="Q8" s="32" t="str">
        <x:v>Prospecto</x:v>
      </x:c>
      <x:c r="R8" s="32" t="str">
        <x:v>Visita comercial inicial</x:v>
      </x:c>
      <x:c r="S8" s="32" t="str">
        <x:v>Alta</x:v>
      </x:c>
      <x:c r="T8" s="32" t="str">
        <x:v>https://www.google.com/maps/search/?api=1&amp;query=AgroRio+Maquinaria+Agr%C3%ADcola+Colectora+Dr.+Alfredo+Palacios+2594%2C+RN+A005+km+3%2C+R%C3%ADo+Cuarto%2C+C%C3%B3rdoba</x:v>
      </x:c>
      <x:c r="U8" s="32" t="str">
        <x:v>https://www.tanzi.com.ar/concesionarios.php</x:v>
      </x:c>
    </x:row>
    <x:row r="9" ht="36" customHeight="1">
      <x:c r="A9" s="32" t="str">
        <x:v>agrorancho-rio-cuarto</x:v>
      </x:c>
      <x:c r="B9" s="32" t="str">
        <x:v>Agrorancho Maquinarias</x:v>
      </x:c>
      <x:c r="C9" s="32" t="str">
        <x:v>Concesionario agrícola</x:v>
      </x:c>
      <x:c r="D9" s="32" t="str">
        <x:v>Agrícola</x:v>
      </x:c>
      <x:c r="E9" s="32" t="str">
        <x:v>Multimarca</x:v>
      </x:c>
      <x:c r="F9" s="32" t="str">
        <x:v>A</x:v>
      </x:c>
      <x:c r="G9" s="32" t="str">
        <x:v>Principal</x:v>
      </x:c>
      <x:c r="H9" s="32" t="n">
        <x:v>6</x:v>
      </x:c>
      <x:c r="I9" s="32" t="str">
        <x:v>11:55</x:v>
      </x:c>
      <x:c r="J9" s="32" t="str">
        <x:v>Ruta A005 km 3,5, Río Cuarto, Córdoba</x:v>
      </x:c>
      <x:c r="K9" s="32" t="str">
        <x:v>+54 358 465-2174</x:v>
      </x:c>
      <x:c r="L9" s="32" t="str">
        <x:v>Validar</x:v>
      </x:c>
      <x:c r="M9" s="32" t="str"/>
      <x:c r="N9" s="32" t="str"/>
      <x:c r="O9" s="32" t="str">
        <x:v>Ventas / Logística</x:v>
      </x:c>
      <x:c r="P9" s="32" t="str">
        <x:v>Proveedor de equipos agrícolas; validar líneas y frecuencia de entrega.</x:v>
      </x:c>
      <x:c r="Q9" s="32" t="str">
        <x:v>Prospecto</x:v>
      </x:c>
      <x:c r="R9" s="32" t="str">
        <x:v>Visita exploratoria y validar marcas</x:v>
      </x:c>
      <x:c r="S9" s="32" t="str">
        <x:v>Media</x:v>
      </x:c>
      <x:c r="T9" s="32" t="str">
        <x:v>https://www.google.com/maps/search/?api=1&amp;query=Agrorancho+Maquinarias+Ruta+A005+km+3%2C5%2C+R%C3%ADo+Cuarto%2C+C%C3%B3rdoba</x:v>
      </x:c>
      <x:c r="U9" s="32" t="str">
        <x:v>https://indicadores.ar/empresa/33719441039-agrorancho-maquinarias-s-a-s</x:v>
      </x:c>
    </x:row>
    <x:row r="10" ht="36" customHeight="1">
      <x:c r="A10" s="32" t="str">
        <x:v>grossvial-rio-cuarto</x:v>
      </x:c>
      <x:c r="B10" s="32" t="str">
        <x:v>Grossvial Río Cuarto</x:v>
      </x:c>
      <x:c r="C10" s="32" t="str">
        <x:v>Concesionario vial</x:v>
      </x:c>
      <x:c r="D10" s="32" t="str">
        <x:v>Vial</x:v>
      </x:c>
      <x:c r="E10" s="32" t="str">
        <x:v>Maquinaria vial / construcción</x:v>
      </x:c>
      <x:c r="F10" s="32" t="str">
        <x:v>A++</x:v>
      </x:c>
      <x:c r="G10" s="32" t="str">
        <x:v>Principal</x:v>
      </x:c>
      <x:c r="H10" s="32" t="n">
        <x:v>7</x:v>
      </x:c>
      <x:c r="I10" s="32" t="str">
        <x:v>12:15</x:v>
      </x:c>
      <x:c r="J10" s="32" t="str">
        <x:v>RN A005, Río Cuarto, Córdoba</x:v>
      </x:c>
      <x:c r="K10" s="32" t="str">
        <x:v>+54 358 439-9599</x:v>
      </x:c>
      <x:c r="L10" s="32" t="str">
        <x:v>Validar</x:v>
      </x:c>
      <x:c r="M10" s="32" t="str"/>
      <x:c r="N10" s="32" t="str">
        <x:v>https://grossvial.com/</x:v>
      </x:c>
      <x:c r="O10" s="32" t="str">
        <x:v>Logística / Entregas / Posventa</x:v>
      </x:c>
      <x:c r="P10" s="32" t="str">
        <x:v>Retroexcavadoras, compactación y maquinaria vial; entrega de nuevas/usadas y soporte posventa.</x:v>
      </x:c>
      <x:c r="Q10" s="32" t="str">
        <x:v>Prospecto</x:v>
      </x:c>
      <x:c r="R10" s="32" t="str">
        <x:v>Visita comercial inicial</x:v>
      </x:c>
      <x:c r="S10" s="32" t="str">
        <x:v>Alta</x:v>
      </x:c>
      <x:c r="T10" s="32" t="str">
        <x:v>https://www.google.com/maps/search/?api=1&amp;query=Grossvial+R%C3%ADo+Cuarto+RN+A005%2C+R%C3%ADo+Cuarto%2C+C%C3%B3rdoba</x:v>
      </x:c>
      <x:c r="U10" s="32" t="str">
        <x:v>https://grossvial.com/</x:v>
      </x:c>
    </x:row>
    <x:row r="11" ht="36" customHeight="1">
      <x:c r="A11" s="32" t="str">
        <x:v>semtraco-rio-cuarto</x:v>
      </x:c>
      <x:c r="B11" s="32" t="str">
        <x:v>Semtraco S.A. - Río Cuarto</x:v>
      </x:c>
      <x:c r="C11" s="32" t="str">
        <x:v>Concesionario vial + agrícola</x:v>
      </x:c>
      <x:c r="D11" s="32" t="str">
        <x:v>Mixto vial + agrícola</x:v>
      </x:c>
      <x:c r="E11" s="32" t="str">
        <x:v>JCB / CASE IH</x:v>
      </x:c>
      <x:c r="F11" s="32" t="str">
        <x:v>A++</x:v>
      </x:c>
      <x:c r="G11" s="32" t="str">
        <x:v>Principal</x:v>
      </x:c>
      <x:c r="H11" s="32" t="n">
        <x:v>8</x:v>
      </x:c>
      <x:c r="I11" s="32" t="str">
        <x:v>12:40</x:v>
      </x:c>
      <x:c r="J11" s="32" t="str">
        <x:v>Acceso 005 – Circunvalación, Río Cuarto, Córdoba</x:v>
      </x:c>
      <x:c r="K11" s="32" t="str">
        <x:v>+54 358 415-8451</x:v>
      </x:c>
      <x:c r="L11" s="32" t="str">
        <x:v>Validar</x:v>
      </x:c>
      <x:c r="M11" s="32" t="str"/>
      <x:c r="N11" s="32" t="str">
        <x:v>https://www.semtraco.com.ar/</x:v>
      </x:c>
      <x:c r="O11" s="32" t="str">
        <x:v>Gerencia / Logística / Posventa</x:v>
      </x:c>
      <x:c r="P11" s="32" t="str">
        <x:v>JCB + CASE IH: traslado vial/agro, entregas a clientes, recuperos y taller.</x:v>
      </x:c>
      <x:c r="Q11" s="32" t="str">
        <x:v>Prospecto</x:v>
      </x:c>
      <x:c r="R11" s="32" t="str">
        <x:v>Visita comercial inicial</x:v>
      </x:c>
      <x:c r="S11" s="32" t="str">
        <x:v>Alta</x:v>
      </x:c>
      <x:c r="T11" s="32" t="str">
        <x:v>https://www.google.com/maps/search/?api=1&amp;query=Semtraco+S.A.+-+R%C3%ADo+Cuarto+Acceso+005+%E2%80%93+Circunvalaci%C3%B3n%2C+R%C3%ADo+Cuarto%2C+C%C3%B3rdoba</x:v>
      </x:c>
      <x:c r="U11" s="32" t="str">
        <x:v>https://www.semtraco.com.ar/productos/jcb-argentina.html</x:v>
      </x:c>
    </x:row>
    <x:row r="12" ht="36" customHeight="1">
      <x:c r="A12" s="32" t="str">
        <x:v>agrogm-rio-cuarto</x:v>
      </x:c>
      <x:c r="B12" s="32" t="str">
        <x:v>Agro GM S.A. - Río Cuarto</x:v>
      </x:c>
      <x:c r="C12" s="32" t="str">
        <x:v>Concesionario agrícola</x:v>
      </x:c>
      <x:c r="D12" s="32" t="str">
        <x:v>Agrícola</x:v>
      </x:c>
      <x:c r="E12" s="32" t="str">
        <x:v>Massey Ferguson</x:v>
      </x:c>
      <x:c r="F12" s="32" t="str">
        <x:v>A++</x:v>
      </x:c>
      <x:c r="G12" s="32" t="str">
        <x:v>Principal</x:v>
      </x:c>
      <x:c r="H12" s="32" t="n">
        <x:v>9</x:v>
      </x:c>
      <x:c r="I12" s="32" t="str">
        <x:v>14:00</x:v>
      </x:c>
      <x:c r="J12" s="32" t="str">
        <x:v>Ruta 8 km 606,5, Río Cuarto, Córdoba</x:v>
      </x:c>
      <x:c r="K12" s="32" t="str">
        <x:v>+54 358 462-6444 / +54 3582 15449168</x:v>
      </x:c>
      <x:c r="L12" s="32" t="str">
        <x:v>Comercial: +54 3582 15449168</x:v>
      </x:c>
      <x:c r="M12" s="32" t="str">
        <x:v>info@agrogmsa.com.ar</x:v>
      </x:c>
      <x:c r="N12" s="32" t="str">
        <x:v>https://www.agrogmsa.com.ar/</x:v>
      </x:c>
      <x:c r="O12" s="32" t="str">
        <x:v>Comercial / Logística / Servicio</x:v>
      </x:c>
      <x:c r="P12" s="32" t="str">
        <x:v>Tractores, cosechadoras, pulverizadoras y forrajeras; entregas y posventa.</x:v>
      </x:c>
      <x:c r="Q12" s="32" t="str">
        <x:v>Prospecto</x:v>
      </x:c>
      <x:c r="R12" s="32" t="str">
        <x:v>Visita comercial inicial</x:v>
      </x:c>
      <x:c r="S12" s="32" t="str">
        <x:v>Alta</x:v>
      </x:c>
      <x:c r="T12" s="32" t="str">
        <x:v>https://www.google.com/maps/search/?api=1&amp;query=Agro+GM+S.A.+-+R%C3%ADo+Cuarto+Ruta+8+km+606%2C5%2C+R%C3%ADo+Cuarto%2C+C%C3%B3rdoba</x:v>
      </x:c>
      <x:c r="U12" s="32" t="str">
        <x:v>https://www.agrogmsa.com.ar/contacto/</x:v>
      </x:c>
    </x:row>
    <x:row r="13" ht="36" customHeight="1">
      <x:c r="A13" s="32" t="str">
        <x:v>demarchi-rio-cuarto</x:v>
      </x:c>
      <x:c r="B13" s="32" t="str">
        <x:v>Demarchi S.A.</x:v>
      </x:c>
      <x:c r="C13" s="32" t="str">
        <x:v>Concesionario agrícola</x:v>
      </x:c>
      <x:c r="D13" s="32" t="str">
        <x:v>Agrícola</x:v>
      </x:c>
      <x:c r="E13" s="32" t="str">
        <x:v>Valtra</x:v>
      </x:c>
      <x:c r="F13" s="32" t="str">
        <x:v>A++</x:v>
      </x:c>
      <x:c r="G13" s="32" t="str">
        <x:v>Principal</x:v>
      </x:c>
      <x:c r="H13" s="32" t="n">
        <x:v>10</x:v>
      </x:c>
      <x:c r="I13" s="32" t="str">
        <x:v>14:25</x:v>
      </x:c>
      <x:c r="J13" s="32" t="str">
        <x:v>Av. Godoy Cruz 485, Río Cuarto, Córdoba</x:v>
      </x:c>
      <x:c r="K13" s="32" t="str">
        <x:v>+54 358 401-0714</x:v>
      </x:c>
      <x:c r="L13" s="32" t="str">
        <x:v>Validar</x:v>
      </x:c>
      <x:c r="M13" s="32" t="str"/>
      <x:c r="N13" s="32" t="str">
        <x:v>https://www.demarchi.com.ar/</x:v>
      </x:c>
      <x:c r="O13" s="32" t="str">
        <x:v>Gerencia / Logística / Posventa</x:v>
      </x:c>
      <x:c r="P13" s="32" t="str">
        <x:v>Tractores Valtra; entrega, retiro, taller y movimientos entre clientes.</x:v>
      </x:c>
      <x:c r="Q13" s="32" t="str">
        <x:v>Prospecto</x:v>
      </x:c>
      <x:c r="R13" s="32" t="str">
        <x:v>Visita comercial inicial</x:v>
      </x:c>
      <x:c r="S13" s="32" t="str">
        <x:v>Alta</x:v>
      </x:c>
      <x:c r="T13" s="32" t="str">
        <x:v>https://www.google.com/maps/search/?api=1&amp;query=Demarchi+S.A.+Av.+Godoy+Cruz+485%2C+R%C3%ADo+Cuarto%2C+C%C3%B3rdoba</x:v>
      </x:c>
      <x:c r="U13" s="32" t="str">
        <x:v>https://www.demarchi.com.ar/es/quienes-somos/</x:v>
      </x:c>
    </x:row>
    <x:row r="14" ht="36" customHeight="1">
      <x:c r="A14" s="32" t="str">
        <x:v>anibal-barbero-rio-cuarto</x:v>
      </x:c>
      <x:c r="B14" s="32" t="str">
        <x:v>Aníbal Barbero - El Amigazo SRL</x:v>
      </x:c>
      <x:c r="C14" s="32" t="str">
        <x:v>Concesionario agrícola</x:v>
      </x:c>
      <x:c r="D14" s="32" t="str">
        <x:v>Agrícola</x:v>
      </x:c>
      <x:c r="E14" s="32" t="str">
        <x:v>Vassalli / Don Roque</x:v>
      </x:c>
      <x:c r="F14" s="32" t="str">
        <x:v>A+</x:v>
      </x:c>
      <x:c r="G14" s="32" t="str">
        <x:v>Principal</x:v>
      </x:c>
      <x:c r="H14" s="32" t="n">
        <x:v>11</x:v>
      </x:c>
      <x:c r="I14" s="32" t="str">
        <x:v>14:50</x:v>
      </x:c>
      <x:c r="J14" s="32" t="str">
        <x:v>Av. Godoy Cruz 520, Río Cuarto, Córdoba</x:v>
      </x:c>
      <x:c r="K14" s="32" t="str">
        <x:v>+54 358 412-1247 / +54 358 412-1252</x:v>
      </x:c>
      <x:c r="L14" s="32" t="str">
        <x:v>+54 358 412-1252</x:v>
      </x:c>
      <x:c r="M14" s="32" t="str">
        <x:v>anibalbarberoecommerce@gmail.com</x:v>
      </x:c>
      <x:c r="N14" s="32" t="str">
        <x:v>https://anibalbarbero.com/</x:v>
      </x:c>
      <x:c r="O14" s="32" t="str">
        <x:v>Ventas / Expedición / Posventa</x:v>
      </x:c>
      <x:c r="P14" s="32" t="str">
        <x:v>Cosechadoras y maquinaria agrícola; transporte a campo/taller y recuperos.</x:v>
      </x:c>
      <x:c r="Q14" s="32" t="str">
        <x:v>Prospecto</x:v>
      </x:c>
      <x:c r="R14" s="32" t="str">
        <x:v>Visita comercial inicial</x:v>
      </x:c>
      <x:c r="S14" s="32" t="str">
        <x:v>Alta</x:v>
      </x:c>
      <x:c r="T14" s="32" t="str">
        <x:v>https://www.google.com/maps/search/?api=1&amp;query=An%C3%ADbal+Barbero+-+El+Amigazo+SRL+Av.+Godoy+Cruz+520%2C+R%C3%ADo+Cuarto%2C+C%C3%B3rdoba</x:v>
      </x:c>
      <x:c r="U14" s="32" t="str">
        <x:v>https://anibalbarbero.com/nosotros/</x:v>
      </x:c>
    </x:row>
    <x:row r="15" ht="36" customHeight="1">
      <x:c r="A15" s="32" t="str">
        <x:v>simonassi-lovol-rio-cuarto</x:v>
      </x:c>
      <x:c r="B15" s="32" t="str">
        <x:v>Simonassi Maquinarias Agrícolas</x:v>
      </x:c>
      <x:c r="C15" s="32" t="str">
        <x:v>Concesionario agrícola</x:v>
      </x:c>
      <x:c r="D15" s="32" t="str">
        <x:v>Agrícola</x:v>
      </x:c>
      <x:c r="E15" s="32" t="str">
        <x:v>Lovol</x:v>
      </x:c>
      <x:c r="F15" s="32" t="str">
        <x:v>A+</x:v>
      </x:c>
      <x:c r="G15" s="32" t="str">
        <x:v>Principal</x:v>
      </x:c>
      <x:c r="H15" s="32" t="n">
        <x:v>12</x:v>
      </x:c>
      <x:c r="I15" s="32" t="str">
        <x:v>15:15</x:v>
      </x:c>
      <x:c r="J15" s="32" t="str">
        <x:v>Av. Amadeo Sabattini 2950, Río Cuarto, Córdoba</x:v>
      </x:c>
      <x:c r="K15" s="32" t="str">
        <x:v>+54 358 506-2964</x:v>
      </x:c>
      <x:c r="L15" s="32" t="str">
        <x:v>Validar</x:v>
      </x:c>
      <x:c r="M15" s="32" t="str"/>
      <x:c r="N15" s="32" t="str"/>
      <x:c r="O15" s="32" t="str">
        <x:v>Ventas / Logística / Posventa</x:v>
      </x:c>
      <x:c r="P15" s="32" t="str">
        <x:v>Tractores y equipos agrícolas; entrega a campo y movimientos de servicio.</x:v>
      </x:c>
      <x:c r="Q15" s="32" t="str">
        <x:v>Prospecto</x:v>
      </x:c>
      <x:c r="R15" s="32" t="str">
        <x:v>Visita comercial inicial</x:v>
      </x:c>
      <x:c r="S15" s="32" t="str">
        <x:v>Media</x:v>
      </x:c>
      <x:c r="T15" s="32" t="str">
        <x:v>https://www.google.com/maps/search/?api=1&amp;query=Simonassi+Maquinarias+Agr%C3%ADcolas+Av.+Amadeo+Sabattini+2950%2C+R%C3%ADo+Cuarto%2C+C%C3%B3rdoba</x:v>
      </x:c>
      <x:c r="U15" s="32" t="str">
        <x:v>https://www.google.com/maps/search/?api=1&amp;query=Simonassi+Maquinarias+Agr%C3%ADcolas+Lovol+Av.+Amadeo+Sabattini+2950%2C+R%C3%ADo+Cuarto%2C+C%C3%B3rdoba</x:v>
      </x:c>
    </x:row>
    <x:row r="16" ht="36" customHeight="1">
      <x:c r="A16" s="32" t="str">
        <x:v>rino-pauny-rio-cuarto</x:v>
      </x:c>
      <x:c r="B16" s="32" t="str">
        <x:v>RINO Pauny</x:v>
      </x:c>
      <x:c r="C16" s="32" t="str">
        <x:v>Concesionario agrícola</x:v>
      </x:c>
      <x:c r="D16" s="32" t="str">
        <x:v>Agrícola</x:v>
      </x:c>
      <x:c r="E16" s="32" t="str">
        <x:v>Pauny</x:v>
      </x:c>
      <x:c r="F16" s="32" t="str">
        <x:v>A+</x:v>
      </x:c>
      <x:c r="G16" s="32" t="str">
        <x:v>Principal</x:v>
      </x:c>
      <x:c r="H16" s="32" t="n">
        <x:v>13</x:v>
      </x:c>
      <x:c r="I16" s="32" t="str">
        <x:v>15:45</x:v>
      </x:c>
      <x:c r="J16" s="32" t="str">
        <x:v>RN A005 km 10,5, Río Cuarto, Córdoba</x:v>
      </x:c>
      <x:c r="K16" s="32" t="str">
        <x:v>+54 358 509-1232</x:v>
      </x:c>
      <x:c r="L16" s="32" t="str">
        <x:v>Validar</x:v>
      </x:c>
      <x:c r="M16" s="32" t="str"/>
      <x:c r="N16" s="32" t="str"/>
      <x:c r="O16" s="32" t="str">
        <x:v>Ventas / Logística / Posventa</x:v>
      </x:c>
      <x:c r="P16" s="32" t="str">
        <x:v>Tractores Pauny; entregas, retiros y movimientos a taller/campo.</x:v>
      </x:c>
      <x:c r="Q16" s="32" t="str">
        <x:v>Prospecto</x:v>
      </x:c>
      <x:c r="R16" s="32" t="str">
        <x:v>Visita comercial inicial</x:v>
      </x:c>
      <x:c r="S16" s="32" t="str">
        <x:v>Media</x:v>
      </x:c>
      <x:c r="T16" s="32" t="str">
        <x:v>https://www.google.com/maps/search/?api=1&amp;query=RINO+Pauny+RN+A005+km+10%2C5%2C+R%C3%ADo+Cuarto%2C+C%C3%B3rdoba</x:v>
      </x:c>
      <x:c r="U16" s="32" t="str">
        <x:v>https://www.google.com/maps/search/?api=1&amp;query=RINO+Pauny+RN+A005+km+10%2C5%2C+R%C3%ADo+Cuarto%2C+C%C3%B3rdoba</x:v>
      </x:c>
    </x:row>
    <x:row r="17" ht="36" customHeight="1">
      <x:c r="A17" s="32" t="str">
        <x:v>catpro-rio-cuarto</x:v>
      </x:c>
      <x:c r="B17" s="32" t="str">
        <x:v>CATPRO Maquinarias</x:v>
      </x:c>
      <x:c r="C17" s="32" t="str">
        <x:v>Concesionario agrícola</x:v>
      </x:c>
      <x:c r="D17" s="32" t="str">
        <x:v>Agrícola</x:v>
      </x:c>
      <x:c r="E17" s="32" t="str">
        <x:v>New Holland Agriculture</x:v>
      </x:c>
      <x:c r="F17" s="32" t="str">
        <x:v>A++</x:v>
      </x:c>
      <x:c r="G17" s="32" t="str">
        <x:v>Principal</x:v>
      </x:c>
      <x:c r="H17" s="32" t="n">
        <x:v>14</x:v>
      </x:c>
      <x:c r="I17" s="32" t="str">
        <x:v>16:15</x:v>
      </x:c>
      <x:c r="J17" s="32" t="str">
        <x:v>Av. Godoy Cruz 564, Río Cuarto, Córdoba</x:v>
      </x:c>
      <x:c r="K17" s="32" t="str">
        <x:v>+54 358 465-0092 / +54 358 463-2206</x:v>
      </x:c>
      <x:c r="L17" s="32" t="str">
        <x:v>Validar</x:v>
      </x:c>
      <x:c r="M17" s="32" t="str">
        <x:v>recepción@catprosa.com.ar</x:v>
      </x:c>
      <x:c r="N17" s="32" t="str">
        <x:v>https://www.catprosa.com.ar/</x:v>
      </x:c>
      <x:c r="O17" s="32" t="str">
        <x:v>Logística / Ventas / Posventa</x:v>
      </x:c>
      <x:c r="P17" s="32" t="str">
        <x:v>Cosechadoras, tractores y pulverizadoras; entrega, usados, taller y asistencia a campo.</x:v>
      </x:c>
      <x:c r="Q17" s="32" t="str">
        <x:v>Prospecto</x:v>
      </x:c>
      <x:c r="R17" s="32" t="str">
        <x:v>Visita comercial inicial</x:v>
      </x:c>
      <x:c r="S17" s="32" t="str">
        <x:v>Alta</x:v>
      </x:c>
      <x:c r="T17" s="32" t="str">
        <x:v>https://www.google.com/maps/search/?api=1&amp;query=CATPRO+Maquinarias+Av.+Godoy+Cruz+564%2C+R%C3%ADo+Cuarto%2C+C%C3%B3rdoba</x:v>
      </x:c>
      <x:c r="U17" s="32" t="str">
        <x:v>https://www.catprosa.com.ar/index.php/contacto</x:v>
      </x:c>
    </x:row>
    <x:row r="18" ht="36" customHeight="1">
      <x:c r="A18" s="32" t="str">
        <x:v>agrokeegan-rio-cuarto</x:v>
      </x:c>
      <x:c r="B18" s="32" t="str">
        <x:v>Agrokeegan Maquinarias</x:v>
      </x:c>
      <x:c r="C18" s="32" t="str">
        <x:v>Concesionario agrícola + vial liviano</x:v>
      </x:c>
      <x:c r="D18" s="32" t="str">
        <x:v>Mixto vial + agrícola</x:v>
      </x:c>
      <x:c r="E18" s="32" t="str">
        <x:v>Fercam / Montecor / Richiger / Grosspal / otros</x:v>
      </x:c>
      <x:c r="F18" s="32" t="str">
        <x:v>A+</x:v>
      </x:c>
      <x:c r="G18" s="32" t="str">
        <x:v>Backup</x:v>
      </x:c>
      <x:c r="H18" s="32" t="n">
        <x:v>101</x:v>
      </x:c>
      <x:c r="I18" s="32" t="str"/>
      <x:c r="J18" s="32" t="str">
        <x:v>Ruta A005 km 0,5, Río Cuarto, Córdoba</x:v>
      </x:c>
      <x:c r="K18" s="32" t="str">
        <x:v>+54 358 601-4848</x:v>
      </x:c>
      <x:c r="L18" s="32" t="str">
        <x:v>+54 358 601-4848</x:v>
      </x:c>
      <x:c r="M18" s="32" t="str">
        <x:v>agrokeegan@gmail.com</x:v>
      </x:c>
      <x:c r="N18" s="32" t="str">
        <x:v>https://www.agrokeegan.com.ar/</x:v>
      </x:c>
      <x:c r="O18" s="32" t="str">
        <x:v>Gerencia / Ventas / Logística</x:v>
      </x:c>
      <x:c r="P18" s="32" t="str">
        <x:v>Stock de equipos agro y división vial Grosspal; traslado de unidades y entregas.</x:v>
      </x:c>
      <x:c r="Q18" s="32" t="str">
        <x:v>Prospecto</x:v>
      </x:c>
      <x:c r="R18" s="32" t="str">
        <x:v>Visita backup / agendar llamada</x:v>
      </x:c>
      <x:c r="S18" s="32" t="str">
        <x:v>Alta</x:v>
      </x:c>
      <x:c r="T18" s="32" t="str">
        <x:v>https://www.google.com/maps/search/?api=1&amp;query=Agrokeegan+Maquinarias+Ruta+A005+km+0%2C5%2C+R%C3%ADo+Cuarto%2C+C%C3%B3rdoba</x:v>
      </x:c>
      <x:c r="U18" s="32" t="str">
        <x:v>https://www.agrokeegan.com.ar/</x:v>
      </x:c>
    </x:row>
    <x:row r="19" ht="36" customHeight="1">
      <x:c r="A19" s="32" t="str">
        <x:v>caon-rio-cuarto</x:v>
      </x:c>
      <x:c r="B19" s="32" t="str">
        <x:v>Caon Maquinarias</x:v>
      </x:c>
      <x:c r="C19" s="32" t="str">
        <x:v>Maquinaria agrícola</x:v>
      </x:c>
      <x:c r="D19" s="32" t="str">
        <x:v>Agrícola</x:v>
      </x:c>
      <x:c r="E19" s="32" t="str">
        <x:v>Multimarca</x:v>
      </x:c>
      <x:c r="F19" s="32" t="str">
        <x:v>A</x:v>
      </x:c>
      <x:c r="G19" s="32" t="str">
        <x:v>Backup</x:v>
      </x:c>
      <x:c r="H19" s="32" t="n">
        <x:v>102</x:v>
      </x:c>
      <x:c r="I19" s="32" t="str"/>
      <x:c r="J19" s="32" t="str">
        <x:v>RN8 km 608, Río Cuarto, Córdoba</x:v>
      </x:c>
      <x:c r="K19" s="32" t="str">
        <x:v>+54 358 411-7162</x:v>
      </x:c>
      <x:c r="L19" s="32" t="str">
        <x:v>Validar</x:v>
      </x:c>
      <x:c r="M19" s="32" t="str"/>
      <x:c r="N19" s="32" t="str"/>
      <x:c r="O19" s="32" t="str">
        <x:v>Ventas / Logística</x:v>
      </x:c>
      <x:c r="P19" s="32" t="str">
        <x:v>Traslado de maquinaria agrícola nueva/usada.</x:v>
      </x:c>
      <x:c r="Q19" s="32" t="str">
        <x:v>Prospecto</x:v>
      </x:c>
      <x:c r="R19" s="32" t="str">
        <x:v>Visita backup</x:v>
      </x:c>
      <x:c r="S19" s="32" t="str">
        <x:v>Media</x:v>
      </x:c>
      <x:c r="T19" s="32" t="str">
        <x:v>https://www.google.com/maps/search/?api=1&amp;query=Caon+Maquinarias+RN8+km+608%2C+R%C3%ADo+Cuarto%2C+C%C3%B3rdoba</x:v>
      </x:c>
      <x:c r="U19" s="32" t="str">
        <x:v>https://www.google.com/maps/search/?api=1&amp;query=Caon+Maquinarias+RN8+km+608%2C+R%C3%ADo+Cuarto%2C+C%C3%B3rdoba</x:v>
      </x:c>
    </x:row>
    <x:row r="20" ht="36" customHeight="1">
      <x:c r="A20" s="32" t="str">
        <x:v>ruben-marconi-rio-cuarto</x:v>
      </x:c>
      <x:c r="B20" s="32" t="str">
        <x:v>Concesionario Ruben Marconi</x:v>
      </x:c>
      <x:c r="C20" s="32" t="str">
        <x:v>Concesionario agrícola</x:v>
      </x:c>
      <x:c r="D20" s="32" t="str">
        <x:v>Agrícola</x:v>
      </x:c>
      <x:c r="E20" s="32" t="str">
        <x:v>Validar actuales</x:v>
      </x:c>
      <x:c r="F20" s="32" t="str">
        <x:v>A</x:v>
      </x:c>
      <x:c r="G20" s="32" t="str">
        <x:v>Backup</x:v>
      </x:c>
      <x:c r="H20" s="32" t="n">
        <x:v>103</x:v>
      </x:c>
      <x:c r="I20" s="32" t="str"/>
      <x:c r="J20" s="32" t="str">
        <x:v>RN A005 2708, Río Cuarto, Córdoba</x:v>
      </x:c>
      <x:c r="K20" s="32" t="str">
        <x:v>+54 358 470-0452</x:v>
      </x:c>
      <x:c r="L20" s="32" t="str">
        <x:v>Validar</x:v>
      </x:c>
      <x:c r="M20" s="32" t="str"/>
      <x:c r="N20" s="32" t="str"/>
      <x:c r="O20" s="32" t="str">
        <x:v>Ventas / Logística</x:v>
      </x:c>
      <x:c r="P20" s="32" t="str">
        <x:v>Equipos agrícolas y posventa; validar marcas vigentes y movimientos.</x:v>
      </x:c>
      <x:c r="Q20" s="32" t="str">
        <x:v>Prospecto</x:v>
      </x:c>
      <x:c r="R20" s="32" t="str">
        <x:v>Visita exploratoria / validar marcas</x:v>
      </x:c>
      <x:c r="S20" s="32" t="str">
        <x:v>Media</x:v>
      </x:c>
      <x:c r="T20" s="32" t="str">
        <x:v>https://www.google.com/maps/search/?api=1&amp;query=Concesionario+Ruben+Marconi+RN+A005+2708%2C+R%C3%ADo+Cuarto%2C+C%C3%B3rdoba</x:v>
      </x:c>
      <x:c r="U20" s="32" t="str">
        <x:v>https://www.google.com/maps/search/?api=1&amp;query=Concesionario+Ruben+Marconi+RN+A005+2708%2C+R%C3%ADo+Cuarto%2C+C%C3%B3rdoba</x:v>
      </x:c>
    </x:row>
    <x:row r="21" ht="36" customHeight="1">
      <x:c r="A21" s="32" t="str">
        <x:v>agro-vial-fernandez-rio-cuarto</x:v>
      </x:c>
      <x:c r="B21" s="32" t="str">
        <x:v>Agro Vial Fernández</x:v>
      </x:c>
      <x:c r="C21" s="32" t="str">
        <x:v>Fabricante maquinaria agrícola</x:v>
      </x:c>
      <x:c r="D21" s="32" t="str">
        <x:v>Agrícola</x:v>
      </x:c>
      <x:c r="E21" s="32" t="str">
        <x:v>Propia</x:v>
      </x:c>
      <x:c r="F21" s="32" t="str">
        <x:v>A</x:v>
      </x:c>
      <x:c r="G21" s="32" t="str">
        <x:v>Backup</x:v>
      </x:c>
      <x:c r="H21" s="32" t="n">
        <x:v>104</x:v>
      </x:c>
      <x:c r="I21" s="32" t="str"/>
      <x:c r="J21" s="32" t="str">
        <x:v>Ruta A005 y Arturo M. Bas, Río Cuarto, Córdoba</x:v>
      </x:c>
      <x:c r="K21" s="32" t="str">
        <x:v>+54 9 351 607-7077</x:v>
      </x:c>
      <x:c r="L21" s="32" t="str">
        <x:v>+54 9 351 607-7077</x:v>
      </x:c>
      <x:c r="M21" s="32" t="str"/>
      <x:c r="N21" s="32" t="str"/>
      <x:c r="O21" s="32" t="str">
        <x:v>Expedición / Logística</x:v>
      </x:c>
      <x:c r="P21" s="32" t="str">
        <x:v>Entregas de equipos fabricados y traslados especiales.</x:v>
      </x:c>
      <x:c r="Q21" s="32" t="str">
        <x:v>Prospecto</x:v>
      </x:c>
      <x:c r="R21" s="32" t="str">
        <x:v>Visita backup</x:v>
      </x:c>
      <x:c r="S21" s="32" t="str">
        <x:v>Media</x:v>
      </x:c>
      <x:c r="T21" s="32" t="str">
        <x:v>https://www.google.com/maps/search/?api=1&amp;query=Agro+Vial+Fern%C3%A1ndez+Ruta+A005+y+Arturo+M.+Bas%2C+R%C3%ADo+Cuarto%2C+C%C3%B3rdoba</x:v>
      </x:c>
      <x:c r="U21" s="32" t="str">
        <x:v>https://www.google.com/maps/search/?api=1&amp;query=Agro+Vial+Fernandez+Ruta+A005+y+Arturo+M.+Bas%2C+R%C3%ADo+Cuarto%2C+C%C3%B3rdoba</x:v>
      </x:c>
    </x:row>
    <x:row r="22" ht="36" customHeight="1">
      <x:c r="A22" s="32" t="str">
        <x:v>terramobil-rio-cuarto</x:v>
      </x:c>
      <x:c r="B22" s="32" t="str">
        <x:v>Terramobil - Alquiler de Maquinaria Vial</x:v>
      </x:c>
      <x:c r="C22" s="32" t="str">
        <x:v>Rental maquinaria vial</x:v>
      </x:c>
      <x:c r="D22" s="32" t="str">
        <x:v>Vial / Rental</x:v>
      </x:c>
      <x:c r="E22" s="32" t="str">
        <x:v>Flota rental</x:v>
      </x:c>
      <x:c r="F22" s="32" t="str">
        <x:v>A+</x:v>
      </x:c>
      <x:c r="G22" s="32" t="str">
        <x:v>Rental</x:v>
      </x:c>
      <x:c r="H22" s="32" t="n">
        <x:v>201</x:v>
      </x:c>
      <x:c r="I22" s="32" t="str">
        <x:v>10:00</x:v>
      </x:c>
      <x:c r="J22" s="32" t="str">
        <x:v>Pirovano 613, Río Cuarto, Córdoba</x:v>
      </x:c>
      <x:c r="K22" s="32" t="str">
        <x:v>+54 358 518-0190</x:v>
      </x:c>
      <x:c r="L22" s="32" t="str">
        <x:v>Validar</x:v>
      </x:c>
      <x:c r="M22" s="32" t="str"/>
      <x:c r="N22" s="32" t="str"/>
      <x:c r="O22" s="32" t="str">
        <x:v>Operaciones / Logística / Gerencia</x:v>
      </x:c>
      <x:c r="P22" s="32" t="str">
        <x:v>Traslado recurrente de máquinas rental entre base y obras.</x:v>
      </x:c>
      <x:c r="Q22" s="32" t="str">
        <x:v>Prospecto</x:v>
      </x:c>
      <x:c r="R22" s="32" t="str">
        <x:v>Visita / llamada para detectar flota y tercerización</x:v>
      </x:c>
      <x:c r="S22" s="32" t="str">
        <x:v>Media</x:v>
      </x:c>
      <x:c r="T22" s="32" t="str">
        <x:v>https://www.google.com/maps/search/?api=1&amp;query=Terramobil+-+Alquiler+de+Maquinaria+Vial+Pirovano+613%2C+R%C3%ADo+Cuarto%2C+C%C3%B3rdoba</x:v>
      </x:c>
      <x:c r="U22" s="32" t="str">
        <x:v>https://www.google.com/maps/search/?api=1&amp;query=Terramobil+alquiler+maquinaria+vial+Pirovano+613%2C+R%C3%ADo+Cuarto%2C+C%C3%B3rdoba</x:v>
      </x:c>
    </x:row>
    <x:row r="23" ht="36" customHeight="1">
      <x:c r="A23" s="32" t="str">
        <x:v>la-helena-rio-cuarto</x:v>
      </x:c>
      <x:c r="B23" s="32" t="str">
        <x:v>Cantera La Helena</x:v>
      </x:c>
      <x:c r="C23" s="32" t="str">
        <x:v>Rental maquinaria vial + cantera</x:v>
      </x:c>
      <x:c r="D23" s="32" t="str">
        <x:v>Vial / Rental</x:v>
      </x:c>
      <x:c r="E23" s="32" t="str">
        <x:v>Flota propia</x:v>
      </x:c>
      <x:c r="F23" s="32" t="str">
        <x:v>A+</x:v>
      </x:c>
      <x:c r="G23" s="32" t="str">
        <x:v>Rental</x:v>
      </x:c>
      <x:c r="H23" s="32" t="n">
        <x:v>202</x:v>
      </x:c>
      <x:c r="I23" s="32" t="str">
        <x:v>10:30</x:v>
      </x:c>
      <x:c r="J23" s="32" t="str">
        <x:v>Ex Ruta 36 km 610, Río Cuarto, Córdoba</x:v>
      </x:c>
      <x:c r="K23" s="32" t="str">
        <x:v>+54 358 430-9507</x:v>
      </x:c>
      <x:c r="L23" s="32" t="str">
        <x:v>Validar</x:v>
      </x:c>
      <x:c r="M23" s="32" t="str">
        <x:v>lahelena@lahelena.com.ar; administración@lahelena.com.ar</x:v>
      </x:c>
      <x:c r="N23" s="32" t="str">
        <x:v>https://lahelena.com.ar/</x:v>
      </x:c>
      <x:c r="O23" s="32" t="str">
        <x:v>Operaciones / Logística / Compras</x:v>
      </x:c>
      <x:c r="P23" s="32" t="str">
        <x:v>Alquiler de cargadoras, excavadoras y camiones; movimientos de equipos a obra.</x:v>
      </x:c>
      <x:c r="Q23" s="32" t="str">
        <x:v>Prospecto</x:v>
      </x:c>
      <x:c r="R23" s="32" t="str">
        <x:v>Visita rental</x:v>
      </x:c>
      <x:c r="S23" s="32" t="str">
        <x:v>Alta</x:v>
      </x:c>
      <x:c r="T23" s="32" t="str">
        <x:v>https://www.google.com/maps/search/?api=1&amp;query=Cantera+La+Helena+Ex+Ruta+36+km+610%2C+R%C3%ADo+Cuarto%2C+C%C3%B3rdoba</x:v>
      </x:c>
      <x:c r="U23" s="32" t="str">
        <x:v>https://lahelena.com.ar/services/</x:v>
      </x:c>
    </x:row>
    <x:row r="24" ht="36" customHeight="1">
      <x:c r="A24" s="32" t="str">
        <x:v>casale-rio-cuarto</x:v>
      </x:c>
      <x:c r="B24" s="32" t="str">
        <x:v>Casale Maquinarias / Movimientos Agro Vial S.A.</x:v>
      </x:c>
      <x:c r="C24" s="32" t="str">
        <x:v>Rental + venta maquinaria vial/agro</x:v>
      </x:c>
      <x:c r="D24" s="32" t="str">
        <x:v>Vial / Rental</x:v>
      </x:c>
      <x:c r="E24" s="32" t="str">
        <x:v>Multimarca</x:v>
      </x:c>
      <x:c r="F24" s="32" t="str">
        <x:v>B+</x:v>
      </x:c>
      <x:c r="G24" s="32" t="str">
        <x:v>Rental</x:v>
      </x:c>
      <x:c r="H24" s="32" t="n">
        <x:v>203</x:v>
      </x:c>
      <x:c r="I24" s="32" t="str">
        <x:v>11:00</x:v>
      </x:c>
      <x:c r="J24" s="32" t="str">
        <x:v>RN36 km 606, Río Cuarto, Córdoba</x:v>
      </x:c>
      <x:c r="K24" s="32" t="str">
        <x:v>+54 358 509-4615</x:v>
      </x:c>
      <x:c r="L24" s="32" t="str">
        <x:v>Validar</x:v>
      </x:c>
      <x:c r="M24" s="32" t="str"/>
      <x:c r="N24" s="32" t="str">
        <x:v>https://casalemaquinarias.com.ar/</x:v>
      </x:c>
      <x:c r="O24" s="32" t="str">
        <x:v>Gerencia / Logística</x:v>
      </x:c>
      <x:c r="P24" s="32" t="str">
        <x:v>Backup y picos de demanda para maquinaria vial pesada.</x:v>
      </x:c>
      <x:c r="Q24" s="32" t="str">
        <x:v>Prospecto</x:v>
      </x:c>
      <x:c r="R24" s="32" t="str">
        <x:v>Visita exploratoria</x:v>
      </x:c>
      <x:c r="S24" s="32" t="str">
        <x:v>Alta</x:v>
      </x:c>
      <x:c r="T24" s="32" t="str">
        <x:v>https://www.google.com/maps/search/?api=1&amp;query=Casale+Maquinarias+%2F+Movimientos+Agro+Vial+S.A.+RN36+km+606%2C+R%C3%ADo+Cuarto%2C+C%C3%B3rdoba</x:v>
      </x:c>
      <x:c r="U24" s="32" t="str">
        <x:v>https://casalemaquinarias.com.ar/</x:v>
      </x:c>
    </x:row>
    <x:row r="25" ht="36" customHeight="1">
      <x:c r="A25" s="32" t="str">
        <x:v>alquilo-todo-rio-cuarto</x:v>
      </x:c>
      <x:c r="B25" s="32" t="str">
        <x:v>Alquilo Todo Río Cuarto</x:v>
      </x:c>
      <x:c r="C25" s="32" t="str">
        <x:v>Rental construcción</x:v>
      </x:c>
      <x:c r="D25" s="32" t="str">
        <x:v>Rental</x:v>
      </x:c>
      <x:c r="E25" s="32" t="str">
        <x:v>Multimarca</x:v>
      </x:c>
      <x:c r="F25" s="32" t="str">
        <x:v>B+</x:v>
      </x:c>
      <x:c r="G25" s="32" t="str">
        <x:v>Rental</x:v>
      </x:c>
      <x:c r="H25" s="32" t="n">
        <x:v>204</x:v>
      </x:c>
      <x:c r="I25" s="32" t="str">
        <x:v>11:30</x:v>
      </x:c>
      <x:c r="J25" s="32" t="str">
        <x:v>Reverendo Padre Geniale Silvi 273, colectora A005, Río Cuarto, Córdoba</x:v>
      </x:c>
      <x:c r="K25" s="32" t="str">
        <x:v>+54 3546 490-403</x:v>
      </x:c>
      <x:c r="L25" s="32" t="str">
        <x:v>Validar</x:v>
      </x:c>
      <x:c r="M25" s="32" t="str"/>
      <x:c r="N25" s="32" t="str"/>
      <x:c r="O25" s="32" t="str">
        <x:v>Operaciones / Logística</x:v>
      </x:c>
      <x:c r="P25" s="32" t="str">
        <x:v>Validar tamaño de equipos y si requiere transporte pesado.</x:v>
      </x:c>
      <x:c r="Q25" s="32" t="str">
        <x:v>Prospecto</x:v>
      </x:c>
      <x:c r="R25" s="32" t="str">
        <x:v>Visita exploratoria</x:v>
      </x:c>
      <x:c r="S25" s="32" t="str">
        <x:v>Media</x:v>
      </x:c>
      <x:c r="T25" s="32" t="str">
        <x:v>https://www.google.com/maps/search/?api=1&amp;query=Alquilo+Todo+R%C3%ADo+Cuarto+Reverendo+Padre+Geniale+Silvi+273%2C+colectora+A005%2C+R%C3%ADo+Cuarto%2C+C%C3%B3rdoba</x:v>
      </x:c>
      <x:c r="U25" s="32" t="str">
        <x:v>https://www.google.com/maps/search/?api=1&amp;query=Alquilo+Todo+R%C3%ADo+Cuarto+Reverendo+Padre+Geniale+Silvi+273%2C+R%C3%ADo+Cuarto%2C+C%C3%B3rdoba</x:v>
      </x:c>
    </x:row>
    <x:row r="26" ht="36" customHeight="1">
      <x:c r="A26" s="32" t="str">
        <x:v>sav-rio-cuarto</x:v>
      </x:c>
      <x:c r="B26" s="32" t="str">
        <x:v>SAV Autoelevadores y Máquinas Viales</x:v>
      </x:c>
      <x:c r="C26" s="32" t="str">
        <x:v>Servicio maquinaria vial</x:v>
      </x:c>
      <x:c r="D26" s="32" t="str">
        <x:v>Vial</x:v>
      </x:c>
      <x:c r="E26" s="32" t="str">
        <x:v>Autoelevadores / máquinas viales</x:v>
      </x:c>
      <x:c r="F26" s="32" t="str">
        <x:v>B+</x:v>
      </x:c>
      <x:c r="G26" s="32" t="str">
        <x:v>Rental</x:v>
      </x:c>
      <x:c r="H26" s="32" t="n">
        <x:v>205</x:v>
      </x:c>
      <x:c r="I26" s="32" t="str">
        <x:v>12:00</x:v>
      </x:c>
      <x:c r="J26" s="32" t="str">
        <x:v>Lope de Vega 946, Río Cuarto, Córdoba</x:v>
      </x:c>
      <x:c r="K26" s="32" t="str">
        <x:v>+54 358 509-2695</x:v>
      </x:c>
      <x:c r="L26" s="32" t="str">
        <x:v>Validar</x:v>
      </x:c>
      <x:c r="M26" s="32" t="str"/>
      <x:c r="N26" s="32" t="str"/>
      <x:c r="O26" s="32" t="str">
        <x:v>Gerencia / Taller / Logística</x:v>
      </x:c>
      <x:c r="P26" s="32" t="str">
        <x:v>Movimiento de autoelevadores y máquinas viales hacia clientes/taller.</x:v>
      </x:c>
      <x:c r="Q26" s="32" t="str">
        <x:v>Prospecto</x:v>
      </x:c>
      <x:c r="R26" s="32" t="str">
        <x:v>Llamar y validar venta/rental vs taller</x:v>
      </x:c>
      <x:c r="S26" s="32" t="str">
        <x:v>Media</x:v>
      </x:c>
      <x:c r="T26" s="32" t="str">
        <x:v>https://www.google.com/maps/search/?api=1&amp;query=SAV+Autoelevadores+y+M%C3%A1quinas+Viales+Lope+de+Vega+946%2C+R%C3%ADo+Cuarto%2C+C%C3%B3rdoba</x:v>
      </x:c>
      <x:c r="U26" s="32" t="str">
        <x:v>https://www.google.com/maps/search/?api=1&amp;query=SAV+Autoelevadores+y+Maquinas+Viales+Lope+de+Vega+946%2C+R%C3%ADo+Cuarto%2C+C%C3%B3rdoba</x:v>
      </x:c>
    </x:row>
    <x:row r="27" ht="36" customHeight="1">
      <x:c r="A27" s="32" t="str">
        <x:v>tecnac-rio-cuarto</x:v>
      </x:c>
      <x:c r="B27" s="32" t="str">
        <x:v>TECNAC S.R.L.</x:v>
      </x:c>
      <x:c r="C27" s="32" t="str">
        <x:v>Constructora con flota vial</x:v>
      </x:c>
      <x:c r="D27" s="32" t="str">
        <x:v>Vial / Obras</x:v>
      </x:c>
      <x:c r="E27" s="32" t="str">
        <x:v>Flota propia</x:v>
      </x:c>
      <x:c r="F27" s="32" t="str">
        <x:v>B</x:v>
      </x:c>
      <x:c r="G27" s="32" t="str">
        <x:v>Rental</x:v>
      </x:c>
      <x:c r="H27" s="32" t="n">
        <x:v>206</x:v>
      </x:c>
      <x:c r="I27" s="32" t="str">
        <x:v>12:30</x:v>
      </x:c>
      <x:c r="J27" s="32" t="str">
        <x:v>De las Postas 2435, Río Cuarto, Córdoba</x:v>
      </x:c>
      <x:c r="K27" s="32" t="str"/>
      <x:c r="L27" s="32" t="str">
        <x:v>Validar</x:v>
      </x:c>
      <x:c r="M27" s="32" t="str"/>
      <x:c r="N27" s="32" t="str">
        <x:v>https://www.tecnac.com.ar/</x:v>
      </x:c>
      <x:c r="O27" s="32" t="str">
        <x:v>Operaciones / Equipos / Compras</x:v>
      </x:c>
      <x:c r="P27" s="32" t="str">
        <x:v>Traslado de flota a obras; potencial backup de equipos.</x:v>
      </x:c>
      <x:c r="Q27" s="32" t="str">
        <x:v>Prospecto</x:v>
      </x:c>
      <x:c r="R27" s="32" t="str">
        <x:v>Llamada exploratoria</x:v>
      </x:c>
      <x:c r="S27" s="32" t="str">
        <x:v>Alta</x:v>
      </x:c>
      <x:c r="T27" s="32" t="str">
        <x:v>https://www.google.com/maps/search/?api=1&amp;query=TECNAC+S.R.L.+De+las+Postas+2435%2C+R%C3%ADo+Cuarto%2C+C%C3%B3rdoba</x:v>
      </x:c>
      <x:c r="U27" s="32" t="str">
        <x:v>https://www.tecnac.com.ar/nosotros</x:v>
      </x:c>
    </x:row>
    <x:row r="28" ht="36" customHeight="1">
      <x:c r="A28" s="32" t="str">
        <x:v>boxtainer-cordoba</x:v>
      </x:c>
      <x:c r="B28" s="32" t="str">
        <x:v>Boxtainer</x:v>
      </x:c>
      <x:c r="C28" s="32" t="str">
        <x:v>Contenedores marítimos</x:v>
      </x:c>
      <x:c r="D28" s="32" t="str">
        <x:v>ISO 20/40 pies</x:v>
      </x:c>
      <x:c r="E28" s="32" t="str">
        <x:v>Dry / Reefer / módulos</x:v>
      </x:c>
      <x:c r="F28" s="32" t="str">
        <x:v>A+</x:v>
      </x:c>
      <x:c r="G28" s="32" t="str">
        <x:v>Remoto</x:v>
      </x:c>
      <x:c r="H28" s="32" t="n">
        <x:v>301</x:v>
      </x:c>
      <x:c r="I28" s="32" t="str"/>
      <x:c r="J28" s="32" t="str">
        <x:v>Depósitos en Córdoba / Mendoza / Buenos Aires; publicaciones activas para Río Cuarto</x:v>
      </x:c>
      <x:c r="K28" s="32" t="str">
        <x:v>+54 351 254-0586</x:v>
      </x:c>
      <x:c r="L28" s="32" t="str">
        <x:v>Validar</x:v>
      </x:c>
      <x:c r="M28" s="32" t="str"/>
      <x:c r="N28" s="32" t="str"/>
      <x:c r="O28" s="32" t="str">
        <x:v>Logística / Despachos / Comercial</x:v>
      </x:c>
      <x:c r="P28" s="32" t="str">
        <x:v>Ofrecer flete final a Río Cuarto/zona para contenedores 20' y 40'; carretón PRESOL compatible por longitud/capacidad.</x:v>
      </x:c>
      <x:c r="Q28" s="32" t="str">
        <x:v>Prospecto</x:v>
      </x:c>
      <x:c r="R28" s="32" t="str">
        <x:v>Contactar y validar origen habitual de despachos a Río Cuarto</x:v>
      </x:c>
      <x:c r="S28" s="32" t="str">
        <x:v>Alta</x:v>
      </x:c>
      <x:c r="T28" s="32" t="str">
        <x:v>https://www.google.com/maps/search/?api=1&amp;query=Boxtainer+Dep%C3%B3sitos+en+C%C3%B3rdoba+%2F+Mendoza+%2F+Buenos+Aires%3B+publicaciones+activas+para+R%C3%ADo+Cuarto</x:v>
      </x:c>
      <x:c r="U28" s="32" t="str">
        <x:v>https://vehiculo.mercadolibre.com.ar/MLA-1626447959-contenedores-maritimos-entrega-inmediata-20-y-40-pies-stock-_JM</x:v>
      </x:c>
    </x:row>
    <x:row r="29" ht="36" customHeight="1">
      <x:c r="A29" s="32" t="str">
        <x:v>sudamerica-contenedores</x:v>
      </x:c>
      <x:c r="B29" s="32" t="str">
        <x:v>Sudamérica Contenedores</x:v>
      </x:c>
      <x:c r="C29" s="32" t="str">
        <x:v>Contenedores marítimos</x:v>
      </x:c>
      <x:c r="D29" s="32" t="str">
        <x:v>ISO 20/40 pies</x:v>
      </x:c>
      <x:c r="E29" s="32" t="str">
        <x:v>Dry / High Cube / Reefer</x:v>
      </x:c>
      <x:c r="F29" s="32" t="str">
        <x:v>A</x:v>
      </x:c>
      <x:c r="G29" s="32" t="str">
        <x:v>Remoto</x:v>
      </x:c>
      <x:c r="H29" s="32" t="n">
        <x:v>302</x:v>
      </x:c>
      <x:c r="I29" s="32" t="str"/>
      <x:c r="J29" s="32" t="str">
        <x:v>Depósitos en varias plazas; confirmar depósito que abastece Río Cuarto</x:v>
      </x:c>
      <x:c r="K29" s="32" t="str">
        <x:v>Validar en canal comercial</x:v>
      </x:c>
      <x:c r="L29" s="32" t="str">
        <x:v>Validar</x:v>
      </x:c>
      <x:c r="M29" s="32" t="str">
        <x:v>comercial@sudamericacontenedores.com.ar</x:v>
      </x:c>
      <x:c r="N29" s="32" t="str">
        <x:v>https://sudamericacontenedores.com.ar/</x:v>
      </x:c>
      <x:c r="O29" s="32" t="str">
        <x:v>Logística / Despachos / Comercial</x:v>
      </x:c>
      <x:c r="P29" s="32" t="str">
        <x:v>Transporte de 20'/40'/HC hacia Río Cuarto y sur de Córdoba.</x:v>
      </x:c>
      <x:c r="Q29" s="32" t="str">
        <x:v>Prospecto</x:v>
      </x:c>
      <x:c r="R29" s="32" t="str">
        <x:v>Contactar y validar depósito/origen de entrega a Río Cuarto</x:v>
      </x:c>
      <x:c r="S29" s="32" t="str">
        <x:v>Alta</x:v>
      </x:c>
      <x:c r="T29" s="32" t="str">
        <x:v>https://www.google.com/maps/search/?api=1&amp;query=Sudam%C3%A9rica+Contenedores+Dep%C3%B3sitos+en+varias+plazas%3B+confirmar+dep%C3%B3sito+que+abastece+R%C3%ADo+Cuarto</x:v>
      </x:c>
      <x:c r="U29" s="32" t="str">
        <x:v>https://sudamericacontenedores.com.ar/</x:v>
      </x:c>
    </x:row>
    <x:row r="30" ht="36" customHeight="1">
      <x:c r="A30" s="32" t="str">
        <x:v>alzaco-rio-cuarto</x:v>
      </x:c>
      <x:c r="B30" s="32" t="str">
        <x:v>Alzaco - División Contenedores</x:v>
      </x:c>
      <x:c r="C30" s="32" t="str">
        <x:v>Contenedores de obra / rental</x:v>
      </x:c>
      <x:c r="D30" s="32" t="str">
        <x:v>NO confirmado marítimo ISO</x:v>
      </x:c>
      <x:c r="E30" s="32" t="str">
        <x:v>Contenedores 3/5 m3 / obradores / rental</x:v>
      </x:c>
      <x:c r="F30" s="32" t="str">
        <x:v>B</x:v>
      </x:c>
      <x:c r="G30" s="32" t="str">
        <x:v>Contenedores local</x:v>
      </x:c>
      <x:c r="H30" s="32" t="n">
        <x:v>401</x:v>
      </x:c>
      <x:c r="I30" s="32" t="str"/>
      <x:c r="J30" s="32" t="str">
        <x:v>Hipólito Yrigoyen 2224, Río Cuarto, Córdoba</x:v>
      </x:c>
      <x:c r="K30" s="32" t="str">
        <x:v>+54 358 462-6742 / +54 358 464-9543</x:v>
      </x:c>
      <x:c r="L30" s="32" t="str">
        <x:v>Validar</x:v>
      </x:c>
      <x:c r="M30" s="32" t="str">
        <x:v>contenedores@alzaco.com.ar; alquilerescontenedores@alzaco.com.ar</x:v>
      </x:c>
      <x:c r="N30" s="32" t="str">
        <x:v>https://www.alzaco.com.ar/</x:v>
      </x:c>
      <x:c r="O30" s="32" t="str">
        <x:v>División Contenedores / Alquileres</x:v>
      </x:c>
      <x:c r="P30" s="32" t="str">
        <x:v>Explorar movimientos de obradores/equipos; no vender pitch de ISO 40' sin validar.</x:v>
      </x:c>
      <x:c r="Q30" s="32" t="str">
        <x:v>Prospecto</x:v>
      </x:c>
      <x:c r="R30" s="32" t="str">
        <x:v>Llamar y validar si manejan módulos/ISO de gran porte</x:v>
      </x:c>
      <x:c r="S30" s="32" t="str">
        <x:v>Alta</x:v>
      </x:c>
      <x:c r="T30" s="32" t="str">
        <x:v>https://www.google.com/maps/search/?api=1&amp;query=Alzaco+-+Divisi%C3%B3n+Contenedores+Hip%C3%B3lito+Yrigoyen+2224%2C+R%C3%ADo+Cuarto%2C+C%C3%B3rdoba</x:v>
      </x:c>
      <x:c r="U30" s="32" t="str">
        <x:v>https://www.alzaco.com.ar/contenedores/</x:v>
      </x:c>
    </x:row>
    <x:row r="31" ht="36" customHeight="1">
      <x:c r="A31" s="32" t="str">
        <x:v>ranquel-rio-cuarto</x:v>
      </x:c>
      <x:c r="B31" s="32" t="str">
        <x:v>Contenedores RANQUEL</x:v>
      </x:c>
      <x:c r="C31" s="32" t="str">
        <x:v>Contenedores / residuos</x:v>
      </x:c>
      <x:c r="D31" s="32" t="str">
        <x:v>NO confirmado marítimo ISO</x:v>
      </x:c>
      <x:c r="E31" s="32" t="str">
        <x:v>Volquetes / rental</x:v>
      </x:c>
      <x:c r="F31" s="32" t="str">
        <x:v>B-</x:v>
      </x:c>
      <x:c r="G31" s="32" t="str">
        <x:v>Contenedores local</x:v>
      </x:c>
      <x:c r="H31" s="32" t="n">
        <x:v>402</x:v>
      </x:c>
      <x:c r="I31" s="32" t="str"/>
      <x:c r="J31" s="32" t="str">
        <x:v>Sarmiento 3177, Río Cuarto, Córdoba</x:v>
      </x:c>
      <x:c r="K31" s="32" t="str">
        <x:v>+54 358 464-2148</x:v>
      </x:c>
      <x:c r="L31" s="32" t="str">
        <x:v>Validar</x:v>
      </x:c>
      <x:c r="M31" s="32" t="str"/>
      <x:c r="N31" s="32" t="str"/>
      <x:c r="O31" s="32" t="str">
        <x:v>Operaciones</x:v>
      </x:c>
      <x:c r="P31" s="32" t="str">
        <x:v>Explorar sólo si moviliza módulos/obradores pesados; no asumir contenedor marítimo.</x:v>
      </x:c>
      <x:c r="Q31" s="32" t="str">
        <x:v>Prospecto</x:v>
      </x:c>
      <x:c r="R31" s="32" t="str">
        <x:v>Validar tipo de contenedores</x:v>
      </x:c>
      <x:c r="S31" s="32" t="str">
        <x:v>Media</x:v>
      </x:c>
      <x:c r="T31" s="32" t="str">
        <x:v>https://www.google.com/maps/search/?api=1&amp;query=Contenedores+RANQUEL+Sarmiento+3177%2C+R%C3%ADo+Cuarto%2C+C%C3%B3rdoba</x:v>
      </x:c>
      <x:c r="U31" s="32" t="str">
        <x:v>https://www.google.com/maps/search/?api=1&amp;query=Contenedores+RANQUEL+Sarmiento+3177%2C+R%C3%ADo+Cuarto%2C+C%C3%B3rdoba</x:v>
      </x:c>
    </x:row>
    <x:row r="32" ht="36" customHeight="1">
      <x:c r="A32" s="32" t="str">
        <x:v>imperio-contenedores-rio-cuarto</x:v>
      </x:c>
      <x:c r="B32" s="32" t="str">
        <x:v>Contenedores Imperio Río Cuarto</x:v>
      </x:c>
      <x:c r="C32" s="32" t="str">
        <x:v>Contenedores / residuos</x:v>
      </x:c>
      <x:c r="D32" s="32" t="str">
        <x:v>NO confirmado marítimo ISO</x:v>
      </x:c>
      <x:c r="E32" s="32" t="str">
        <x:v>Contenedores locales</x:v>
      </x:c>
      <x:c r="F32" s="32" t="str">
        <x:v>B-</x:v>
      </x:c>
      <x:c r="G32" s="32" t="str">
        <x:v>Contenedores local</x:v>
      </x:c>
      <x:c r="H32" s="32" t="n">
        <x:v>403</x:v>
      </x:c>
      <x:c r="I32" s="32" t="str"/>
      <x:c r="J32" s="32" t="str">
        <x:v>Colombia 527, Río Cuarto, Córdoba</x:v>
      </x:c>
      <x:c r="K32" s="32" t="str">
        <x:v>+54 358 463-8604</x:v>
      </x:c>
      <x:c r="L32" s="32" t="str">
        <x:v>Validar</x:v>
      </x:c>
      <x:c r="M32" s="32" t="str"/>
      <x:c r="N32" s="32" t="str"/>
      <x:c r="O32" s="32" t="str">
        <x:v>Operaciones</x:v>
      </x:c>
      <x:c r="P32" s="32" t="str">
        <x:v>Validar si maneja módulos/containers pesados además de contenedores de residuos.</x:v>
      </x:c>
      <x:c r="Q32" s="32" t="str">
        <x:v>Prospecto</x:v>
      </x:c>
      <x:c r="R32" s="32" t="str">
        <x:v>Validar tipo de contenedores</x:v>
      </x:c>
      <x:c r="S32" s="32" t="str">
        <x:v>Media</x:v>
      </x:c>
      <x:c r="T32" s="32" t="str">
        <x:v>https://www.google.com/maps/search/?api=1&amp;query=Contenedores+Imperio+R%C3%ADo+Cuarto+Colombia+527%2C+R%C3%ADo+Cuarto%2C+C%C3%B3rdoba</x:v>
      </x:c>
      <x:c r="U32" s="32" t="str">
        <x:v>https://www.google.com/maps/search/?api=1&amp;query=Contenedores+Imperio+R%C3%ADo+Cuarto+Colombia+527%2C+R%C3%ADo+Cuarto%2C+C%C3%B3rdoba</x:v>
      </x:c>
    </x:row>
  </x:sheetData>
  <x:mergeCells>
    <x:mergeCell ref="A1:U1"/>
  </x:mergeCells>
  <x:conditionalFormatting sqref="F4:F32">
    <x:cfRule type="expression" dxfId="2" priority="1">
      <x:formula>F4="A++"</x:formula>
    </x:cfRule>
    <x:cfRule type="expression" dxfId="3" priority="2">
      <x:formula>F4="A+"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d0fcf9508f43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4" hidden="0" customWidth="1"/>
    <x:col min="4" max="4" width="30" hidden="0" customWidth="1"/>
    <x:col min="5" max="5" width="15" hidden="0" customWidth="1"/>
    <x:col min="6" max="6" width="14" hidden="0" customWidth="1"/>
    <x:col min="7" max="7" width="28" hidden="0" customWidth="1"/>
    <x:col min="8" max="8" width="24" hidden="0" customWidth="1"/>
    <x:col min="9" max="9" width="30" hidden="0" customWidth="1"/>
    <x:col min="10" max="10" width="10" hidden="0" customWidth="1"/>
    <x:col min="11" max="11" width="18" hidden="0" customWidth="1"/>
    <x:col min="12" max="12" width="8" hidden="0" customWidth="1"/>
    <x:col min="13" max="13" width="10" hidden="0" customWidth="1"/>
    <x:col min="14" max="14" width="16" hidden="0" customWidth="1"/>
    <x:col min="15" max="15" width="42" hidden="0" customWidth="1"/>
    <x:col min="16" max="16" width="25" hidden="0" customWidth="1"/>
    <x:col min="17" max="17" width="25" hidden="0" customWidth="1"/>
    <x:col min="18" max="18" width="30" hidden="0" customWidth="1"/>
    <x:col min="19" max="19" width="30" hidden="0" customWidth="1"/>
    <x:col min="20" max="20" width="42" hidden="0" customWidth="1"/>
    <x:col min="21" max="21" width="30" hidden="0" customWidth="1"/>
    <x:col min="22" max="22" width="42" hidden="0" customWidth="1"/>
    <x:col min="23" max="23" width="34" hidden="0" customWidth="1"/>
    <x:col min="24" max="24" width="54" hidden="0" customWidth="1"/>
    <x:col min="25" max="25" width="14" hidden="0" customWidth="1"/>
    <x:col min="26" max="26" width="42" hidden="0" customWidth="1"/>
  </x:cols>
  <x:sheetData>
    <x:row r="1" ht="36" customHeight="1">
      <x:c r="A1" s="18" t="str">
        <x:v>record_action</x:v>
      </x:c>
      <x:c r="B1" s="18" t="str">
        <x:v>canonical_key</x:v>
      </x:c>
      <x:c r="C1" s="18" t="str">
        <x:v>aliases</x:v>
      </x:c>
      <x:c r="D1" s="18" t="str">
        <x:v>company_name</x:v>
      </x:c>
      <x:c r="E1" s="18" t="str">
        <x:v>city</x:v>
      </x:c>
      <x:c r="F1" s="18" t="str">
        <x:v>province</x:v>
      </x:c>
      <x:c r="G1" s="18" t="str">
        <x:v>category</x:v>
      </x:c>
      <x:c r="H1" s="18" t="str">
        <x:v>subcategory</x:v>
      </x:c>
      <x:c r="I1" s="18" t="str">
        <x:v>brands</x:v>
      </x:c>
      <x:c r="J1" s="18" t="str">
        <x:v>priority</x:v>
      </x:c>
      <x:c r="K1" s="18" t="str">
        <x:v>route_group</x:v>
      </x:c>
      <x:c r="L1" s="18" t="str">
        <x:v>route_order</x:v>
      </x:c>
      <x:c r="M1" s="18" t="str">
        <x:v>planned_time</x:v>
      </x:c>
      <x:c r="N1" s="18" t="str">
        <x:v>commercial_status</x:v>
      </x:c>
      <x:c r="O1" s="18" t="str">
        <x:v>address</x:v>
      </x:c>
      <x:c r="P1" s="18" t="str">
        <x:v>phone</x:v>
      </x:c>
      <x:c r="Q1" s="18" t="str">
        <x:v>whatsapp</x:v>
      </x:c>
      <x:c r="R1" s="18" t="str">
        <x:v>email</x:v>
      </x:c>
      <x:c r="S1" s="18" t="str">
        <x:v>website</x:v>
      </x:c>
      <x:c r="T1" s="18" t="str">
        <x:v>maps_url</x:v>
      </x:c>
      <x:c r="U1" s="18" t="str">
        <x:v>target_role</x:v>
      </x:c>
      <x:c r="V1" s="18" t="str">
        <x:v>visit_reason</x:v>
      </x:c>
      <x:c r="W1" s="18" t="str">
        <x:v>next_action</x:v>
      </x:c>
      <x:c r="X1" s="18" t="str">
        <x:v>notes</x:v>
      </x:c>
      <x:c r="Y1" s="18" t="str">
        <x:v>source_confidence</x:v>
      </x:c>
      <x:c r="Z1" s="18" t="str">
        <x:v>source_url</x:v>
      </x:c>
    </x:row>
    <x:row r="2" ht="36" customHeight="1">
      <x:c r="A2" s="32" t="str">
        <x:v>UPSERT</x:v>
      </x:c>
      <x:c r="B2" s="32" t="str">
        <x:v>sala-rio-cuarto</x:v>
      </x:c>
      <x:c r="C2" s="32" t="str">
        <x:v>SALA; John Deere Río Cuarto</x:v>
      </x:c>
      <x:c r="D2" s="32" t="str">
        <x:v>SALA / Agrotecnología Sala S.A.</x:v>
      </x:c>
      <x:c r="E2" s="32" t="str">
        <x:v>Río Cuarto</x:v>
      </x:c>
      <x:c r="F2" s="32" t="str">
        <x:v>Córdoba</x:v>
      </x:c>
      <x:c r="G2" s="32" t="str">
        <x:v>Concesionario agrícola</x:v>
      </x:c>
      <x:c r="H2" s="32" t="str">
        <x:v>Agrícola</x:v>
      </x:c>
      <x:c r="I2" s="32" t="str">
        <x:v>John Deere / PLA</x:v>
      </x:c>
      <x:c r="J2" s="32" t="str">
        <x:v>A++</x:v>
      </x:c>
      <x:c r="K2" s="32" t="str">
        <x:v>Principal</x:v>
      </x:c>
      <x:c r="L2" s="32" t="n">
        <x:v>1</x:v>
      </x:c>
      <x:c r="M2" s="32" t="str">
        <x:v>10:00</x:v>
      </x:c>
      <x:c r="N2" s="32" t="str">
        <x:v>Prospecto</x:v>
      </x:c>
      <x:c r="O2" s="32" t="str">
        <x:v>RN36 km 609, Río Cuarto, Córdoba</x:v>
      </x:c>
      <x:c r="P2" s="32" t="str">
        <x:v>+54 9 358 240-9477</x:v>
      </x:c>
      <x:c r="Q2" s="32" t="str">
        <x:v>Validar comercial</x:v>
      </x:c>
      <x:c r="R2" s="32" t="str"/>
      <x:c r="S2" s="32" t="str">
        <x:v>https://www.deere.com.ar/</x:v>
      </x:c>
      <x:c r="T2" s="32" t="str">
        <x:v>https://www.google.com/maps/search/?api=1&amp;query=SALA+%2F+Agrotecnolog%C3%ADa+Sala+S.A.+RN36+km+609%2C+R%C3%ADo+Cuarto%2C+C%C3%B3rdoba</x:v>
      </x:c>
      <x:c r="U2" s="32" t="str">
        <x:v>Logística / Expedición / Posventa / Gerencia</x:v>
      </x:c>
      <x:c r="V2" s="32" t="str">
        <x:v>Presentación comercial PRESOL — traslado de maquinaria / equipos</x:v>
      </x:c>
      <x:c r="W2" s="32" t="str">
        <x:v>Visita comercial inicial</x:v>
      </x:c>
      <x:c r="X2" s="32" t="str">
        <x:v>Concesionario John Deere confirmado en Río Cuarto. Prioridad máxima. | Servicios PRESOL: camilla 15 TN; carretón 30 TN; hidrogrúa. Precios: sólo cotización por viaje.</x:v>
      </x:c>
      <x:c r="Y2" s="32" t="str">
        <x:v>Alta</x:v>
      </x:c>
      <x:c r="Z2" s="32" t="str">
        <x:v>https://www.deere.com.ar/assets/pdfs/region-3/our-company/news/032024-bases-y-condiciones-promo-bater%C3%ADas-jd.pdf</x:v>
      </x:c>
    </x:row>
    <x:row r="3" ht="36" customHeight="1">
      <x:c r="A3" s="32" t="str">
        <x:v>UPSERT</x:v>
      </x:c>
      <x:c r="B3" s="32" t="str">
        <x:v>pallotti-liugong-rio-cuarto</x:v>
      </x:c>
      <x:c r="C3" s="32" t="str">
        <x:v>Pallotti; LiuGong Río Cuarto; Ferniot-Pallotti</x:v>
      </x:c>
      <x:c r="D3" s="32" t="str">
        <x:v>Pallotti Maquinarias</x:v>
      </x:c>
      <x:c r="E3" s="32" t="str">
        <x:v>Río Cuarto</x:v>
      </x:c>
      <x:c r="F3" s="32" t="str">
        <x:v>Córdoba</x:v>
      </x:c>
      <x:c r="G3" s="32" t="str">
        <x:v>Concesionario vial</x:v>
      </x:c>
      <x:c r="H3" s="32" t="str">
        <x:v>Vial</x:v>
      </x:c>
      <x:c r="I3" s="32" t="str">
        <x:v>LiuGong</x:v>
      </x:c>
      <x:c r="J3" s="32" t="str">
        <x:v>A++</x:v>
      </x:c>
      <x:c r="K3" s="32" t="str">
        <x:v>Principal</x:v>
      </x:c>
      <x:c r="L3" s="32" t="n">
        <x:v>2</x:v>
      </x:c>
      <x:c r="M3" s="32" t="str">
        <x:v>10:25</x:v>
      </x:c>
      <x:c r="N3" s="32" t="str">
        <x:v>Prospecto</x:v>
      </x:c>
      <x:c r="O3" s="32" t="str">
        <x:v>RN A005 km 3,5, Río Cuarto, Córdoba</x:v>
      </x:c>
      <x:c r="P3" s="32" t="str">
        <x:v>+54 358 571-3137 / +54 358 509-1218</x:v>
      </x:c>
      <x:c r="Q3" s="32" t="str">
        <x:v>Validar comercial</x:v>
      </x:c>
      <x:c r="R3" s="32" t="str">
        <x:v>contacto@pallottimaquinarias.ar</x:v>
      </x:c>
      <x:c r="S3" s="32" t="str">
        <x:v>https://pallottimaquinarias.ar/</x:v>
      </x:c>
      <x:c r="T3" s="32" t="str">
        <x:v>https://www.google.com/maps/search/?api=1&amp;query=Pallotti+Maquinarias+RN+A005+km+3%2C5%2C+R%C3%ADo+Cuarto%2C+C%C3%B3rdoba</x:v>
      </x:c>
      <x:c r="U3" s="32" t="str">
        <x:v>Logística / Expedición / Posventa</x:v>
      </x:c>
      <x:c r="V3" s="32" t="str">
        <x:v>Presentación comercial PRESOL — traslado de maquinaria / equipos</x:v>
      </x:c>
      <x:c r="W3" s="32" t="str">
        <x:v>Visita comercial inicial</x:v>
      </x:c>
      <x:c r="X3" s="32" t="str">
        <x:v>LiuGong publica punto de ventas Pallotti en Río Cuarto. | Servicios PRESOL: camilla 15 TN; carretón 30 TN; hidrogrúa. Precios: sólo cotización por viaje.</x:v>
      </x:c>
      <x:c r="Y3" s="32" t="str">
        <x:v>Alta</x:v>
      </x:c>
      <x:c r="Z3" s="32" t="str">
        <x:v>https://pallottimaquinarias.ar/contacto</x:v>
      </x:c>
    </x:row>
    <x:row r="4" ht="36" customHeight="1">
      <x:c r="A4" s="32" t="str">
        <x:v>UPSERT+MERGE_ALIAS_LONKING</x:v>
      </x:c>
      <x:c r="B4" s="32" t="str">
        <x:v>bricchi-rio-cuarto</x:v>
      </x:c>
      <x:c r="C4" s="32" t="str">
        <x:v>Bricchi; Lonking Río Cuarto; Lonking en Bricchi</x:v>
      </x:c>
      <x:c r="D4" s="32" t="str">
        <x:v>Bricchi Hnos. S.A.</x:v>
      </x:c>
      <x:c r="E4" s="32" t="str">
        <x:v>Río Cuarto</x:v>
      </x:c>
      <x:c r="F4" s="32" t="str">
        <x:v>Córdoba</x:v>
      </x:c>
      <x:c r="G4" s="32" t="str">
        <x:v>Concesionario vial + agrícola</x:v>
      </x:c>
      <x:c r="H4" s="32" t="str">
        <x:v>Mixto vial + agrícola</x:v>
      </x:c>
      <x:c r="I4" s="32" t="str">
        <x:v>Lonking / Apache / Hanomag / otros</x:v>
      </x:c>
      <x:c r="J4" s="32" t="str">
        <x:v>A++</x:v>
      </x:c>
      <x:c r="K4" s="32" t="str">
        <x:v>Principal</x:v>
      </x:c>
      <x:c r="L4" s="32" t="n">
        <x:v>3</x:v>
      </x:c>
      <x:c r="M4" s="32" t="str">
        <x:v>10:50</x:v>
      </x:c>
      <x:c r="N4" s="32" t="str">
        <x:v>Prospecto</x:v>
      </x:c>
      <x:c r="O4" s="32" t="str">
        <x:v>Ruta A005 km 1,2, Río Cuarto, Córdoba</x:v>
      </x:c>
      <x:c r="P4" s="32" t="str">
        <x:v>+54 9 358 485-4418</x:v>
      </x:c>
      <x:c r="Q4" s="32" t="str">
        <x:v>+54 9 358 485-4418</x:v>
      </x:c>
      <x:c r="R4" s="32" t="str">
        <x:v>alejandropirchio@bricchihnos.com; juan@bricchihnos.com</x:v>
      </x:c>
      <x:c r="S4" s="32" t="str">
        <x:v>https://www.bricchihnos.com/</x:v>
      </x:c>
      <x:c r="T4" s="32" t="str">
        <x:v>https://www.google.com/maps/search/?api=1&amp;query=Bricchi+Hnos.+S.A.+Ruta+A005+km+1%2C2%2C+R%C3%ADo+Cuarto%2C+C%C3%B3rdoba</x:v>
      </x:c>
      <x:c r="U4" s="32" t="str">
        <x:v>Gerencia / Maquinaria / Logística</x:v>
      </x:c>
      <x:c r="V4" s="32" t="str">
        <x:v>Presentación comercial PRESOL — traslado de maquinaria / equipos</x:v>
      </x:c>
      <x:c r="W4" s="32" t="str">
        <x:v>Visita comercial inicial</x:v>
      </x:c>
      <x:c r="X4" s="32" t="str">
        <x:v>CANONICAL: Lonking Río Cuarto debe quedar como marca/alias de Bricchi, NO como empresa separada. | Servicios PRESOL: camilla 15 TN; carretón 30 TN; hidrogrúa. Precios: sólo cotización por viaje.</x:v>
      </x:c>
      <x:c r="Y4" s="32" t="str">
        <x:v>Alta</x:v>
      </x:c>
      <x:c r="Z4" s="32" t="str">
        <x:v>https://www.bricchihnos.com/contact</x:v>
      </x:c>
    </x:row>
    <x:row r="5" ht="36" customHeight="1">
      <x:c r="A5" s="32" t="str">
        <x:v>UPSERT</x:v>
      </x:c>
      <x:c r="B5" s="32" t="str">
        <x:v>metalfor-rio-cuarto</x:v>
      </x:c>
      <x:c r="C5" s="32" t="str">
        <x:v>Metalfor Río Cuarto; Servicap Metalfor</x:v>
      </x:c>
      <x:c r="D5" s="32" t="str">
        <x:v>Metalfor S.A. / Servicap Río Cuarto</x:v>
      </x:c>
      <x:c r="E5" s="32" t="str">
        <x:v>Río Cuarto</x:v>
      </x:c>
      <x:c r="F5" s="32" t="str">
        <x:v>Córdoba</x:v>
      </x:c>
      <x:c r="G5" s="32" t="str">
        <x:v>Fabricante / maquinaria agrícola</x:v>
      </x:c>
      <x:c r="H5" s="32" t="str">
        <x:v>Agrícola</x:v>
      </x:c>
      <x:c r="I5" s="32" t="str">
        <x:v>Metalfor</x:v>
      </x:c>
      <x:c r="J5" s="32" t="str">
        <x:v>A+</x:v>
      </x:c>
      <x:c r="K5" s="32" t="str">
        <x:v>Principal</x:v>
      </x:c>
      <x:c r="L5" s="32" t="n">
        <x:v>4</x:v>
      </x:c>
      <x:c r="M5" s="32" t="str">
        <x:v>11:15</x:v>
      </x:c>
      <x:c r="N5" s="32" t="str">
        <x:v>Prospecto</x:v>
      </x:c>
      <x:c r="O5" s="32" t="str">
        <x:v>Ruta A005 km 2,5-3, Río Cuarto, Córdoba</x:v>
      </x:c>
      <x:c r="P5" s="32" t="str">
        <x:v>+54 358 601-1697 / +54 358 465-5642</x:v>
      </x:c>
      <x:c r="Q5" s="32" t="str">
        <x:v>Validar</x:v>
      </x:c>
      <x:c r="R5" s="32" t="str"/>
      <x:c r="S5" s="32" t="str">
        <x:v>https://www.metalfor.com.ar/</x:v>
      </x:c>
      <x:c r="T5" s="32" t="str">
        <x:v>https://www.google.com/maps/search/?api=1&amp;query=Metalfor+S.A.+%2F+Servicap+R%C3%ADo+Cuarto+Ruta+A005+km+2%2C5-3%2C+R%C3%ADo+Cuarto%2C+C%C3%B3rdoba</x:v>
      </x:c>
      <x:c r="U5" s="32" t="str">
        <x:v>Expedición / Logística / Servicio</x:v>
      </x:c>
      <x:c r="V5" s="32" t="str">
        <x:v>Presentación comercial PRESOL — traslado de maquinaria / equipos</x:v>
      </x:c>
      <x:c r="W5" s="32" t="str">
        <x:v>Visita comercial inicial</x:v>
      </x:c>
      <x:c r="X5" s="32" t="str">
        <x:v>Dirección reportada entre km 2,5 y km 3 según fuentes; confirmar pin antes de visita. | Servicios PRESOL: camilla 15 TN; carretón 30 TN; hidrogrúa. Precios: sólo cotización por viaje.</x:v>
      </x:c>
      <x:c r="Y5" s="32" t="str">
        <x:v>Media</x:v>
      </x:c>
      <x:c r="Z5" s="32" t="str">
        <x:v>https://locatoradmin.cummins.com/locator-interface/rv-or-motorhome-locations?page=34</x:v>
      </x:c>
    </x:row>
    <x:row r="6" ht="36" customHeight="1">
      <x:c r="A6" s="32" t="str">
        <x:v>UPSERT</x:v>
      </x:c>
      <x:c r="B6" s="32" t="str">
        <x:v>agrorio-tanzi-rio-cuarto</x:v>
      </x:c>
      <x:c r="C6" s="32" t="str">
        <x:v>AgroRio; Tanzi Río Cuarto</x:v>
      </x:c>
      <x:c r="D6" s="32" t="str">
        <x:v>AgroRio Maquinaria Agrícola</x:v>
      </x:c>
      <x:c r="E6" s="32" t="str">
        <x:v>Río Cuarto</x:v>
      </x:c>
      <x:c r="F6" s="32" t="str">
        <x:v>Córdoba</x:v>
      </x:c>
      <x:c r="G6" s="32" t="str">
        <x:v>Concesionario agrícola</x:v>
      </x:c>
      <x:c r="H6" s="32" t="str">
        <x:v>Agrícola</x:v>
      </x:c>
      <x:c r="I6" s="32" t="str">
        <x:v>Tanzi</x:v>
      </x:c>
      <x:c r="J6" s="32" t="str">
        <x:v>A+</x:v>
      </x:c>
      <x:c r="K6" s="32" t="str">
        <x:v>Principal</x:v>
      </x:c>
      <x:c r="L6" s="32" t="n">
        <x:v>5</x:v>
      </x:c>
      <x:c r="M6" s="32" t="str">
        <x:v>11:35</x:v>
      </x:c>
      <x:c r="N6" s="32" t="str">
        <x:v>Prospecto</x:v>
      </x:c>
      <x:c r="O6" s="32" t="str">
        <x:v>Colectora Dr. Alfredo Palacios 2594, RN A005 km 3, Río Cuarto, Córdoba</x:v>
      </x:c>
      <x:c r="P6" s="32" t="str">
        <x:v>+54 358 609-3110</x:v>
      </x:c>
      <x:c r="Q6" s="32" t="str">
        <x:v>Validar</x:v>
      </x:c>
      <x:c r="R6" s="32" t="str">
        <x:v>agrorio.maquinarias@gmail.com</x:v>
      </x:c>
      <x:c r="S6" s="32" t="str"/>
      <x:c r="T6" s="32" t="str">
        <x:v>https://www.google.com/maps/search/?api=1&amp;query=AgroRio+Maquinaria+Agr%C3%ADcola+Colectora+Dr.+Alfredo+Palacios+2594%2C+RN+A005+km+3%2C+R%C3%ADo+Cuarto%2C+C%C3%B3rdoba</x:v>
      </x:c>
      <x:c r="U6" s="32" t="str">
        <x:v>Ventas / Expedición / Logística</x:v>
      </x:c>
      <x:c r="V6" s="32" t="str">
        <x:v>Presentación comercial PRESOL — traslado de maquinaria / equipos</x:v>
      </x:c>
      <x:c r="W6" s="32" t="str">
        <x:v>Visita comercial inicial</x:v>
      </x:c>
      <x:c r="X6" s="32" t="str">
        <x:v>Tanzi lo lista en su red comercial oficial. | Servicios PRESOL: camilla 15 TN; carretón 30 TN; hidrogrúa. Precios: sólo cotización por viaje.</x:v>
      </x:c>
      <x:c r="Y6" s="32" t="str">
        <x:v>Alta</x:v>
      </x:c>
      <x:c r="Z6" s="32" t="str">
        <x:v>https://www.tanzi.com.ar/concesionarios.php</x:v>
      </x:c>
    </x:row>
    <x:row r="7" ht="36" customHeight="1">
      <x:c r="A7" s="32" t="str">
        <x:v>UPSERT</x:v>
      </x:c>
      <x:c r="B7" s="32" t="str">
        <x:v>agrorancho-rio-cuarto</x:v>
      </x:c>
      <x:c r="C7" s="32" t="str">
        <x:v>AGRORANCHO MAQUINARIAS</x:v>
      </x:c>
      <x:c r="D7" s="32" t="str">
        <x:v>Agrorancho Maquinarias</x:v>
      </x:c>
      <x:c r="E7" s="32" t="str">
        <x:v>Río Cuarto</x:v>
      </x:c>
      <x:c r="F7" s="32" t="str">
        <x:v>Córdoba</x:v>
      </x:c>
      <x:c r="G7" s="32" t="str">
        <x:v>Concesionario agrícola</x:v>
      </x:c>
      <x:c r="H7" s="32" t="str">
        <x:v>Agrícola</x:v>
      </x:c>
      <x:c r="I7" s="32" t="str">
        <x:v>Multimarca</x:v>
      </x:c>
      <x:c r="J7" s="32" t="str">
        <x:v>A</x:v>
      </x:c>
      <x:c r="K7" s="32" t="str">
        <x:v>Principal</x:v>
      </x:c>
      <x:c r="L7" s="32" t="n">
        <x:v>6</x:v>
      </x:c>
      <x:c r="M7" s="32" t="str">
        <x:v>11:55</x:v>
      </x:c>
      <x:c r="N7" s="32" t="str">
        <x:v>Prospecto</x:v>
      </x:c>
      <x:c r="O7" s="32" t="str">
        <x:v>Ruta A005 km 3,5, Río Cuarto, Córdoba</x:v>
      </x:c>
      <x:c r="P7" s="32" t="str">
        <x:v>+54 358 465-2174</x:v>
      </x:c>
      <x:c r="Q7" s="32" t="str">
        <x:v>Validar</x:v>
      </x:c>
      <x:c r="R7" s="32" t="str"/>
      <x:c r="S7" s="32" t="str"/>
      <x:c r="T7" s="32" t="str">
        <x:v>https://www.google.com/maps/search/?api=1&amp;query=Agrorancho+Maquinarias+Ruta+A005+km+3%2C5%2C+R%C3%ADo+Cuarto%2C+C%C3%B3rdoba</x:v>
      </x:c>
      <x:c r="U7" s="32" t="str">
        <x:v>Ventas / Logística</x:v>
      </x:c>
      <x:c r="V7" s="32" t="str">
        <x:v>Presentación comercial PRESOL — traslado de maquinaria / equipos</x:v>
      </x:c>
      <x:c r="W7" s="32" t="str">
        <x:v>Visita exploratoria y validar marcas</x:v>
      </x:c>
      <x:c r="X7" s="32" t="str">
        <x:v>Empresa activa; actividad principal mayorista de maquinaria/equipos agropecuarios. | Servicios PRESOL: camilla 15 TN; carretón 30 TN; hidrogrúa. Precios: sólo cotización por viaje.</x:v>
      </x:c>
      <x:c r="Y7" s="32" t="str">
        <x:v>Media</x:v>
      </x:c>
      <x:c r="Z7" s="32" t="str">
        <x:v>https://indicadores.ar/empresa/33719441039-agrorancho-maquinarias-s-a-s</x:v>
      </x:c>
    </x:row>
    <x:row r="8" ht="36" customHeight="1">
      <x:c r="A8" s="32" t="str">
        <x:v>UPSERT</x:v>
      </x:c>
      <x:c r="B8" s="32" t="str">
        <x:v>grossvial-rio-cuarto</x:v>
      </x:c>
      <x:c r="C8" s="32" t="str">
        <x:v>Grossvial</x:v>
      </x:c>
      <x:c r="D8" s="32" t="str">
        <x:v>Grossvial Río Cuarto</x:v>
      </x:c>
      <x:c r="E8" s="32" t="str">
        <x:v>Río Cuarto</x:v>
      </x:c>
      <x:c r="F8" s="32" t="str">
        <x:v>Córdoba</x:v>
      </x:c>
      <x:c r="G8" s="32" t="str">
        <x:v>Concesionario vial</x:v>
      </x:c>
      <x:c r="H8" s="32" t="str">
        <x:v>Vial</x:v>
      </x:c>
      <x:c r="I8" s="32" t="str">
        <x:v>Maquinaria vial / construcción</x:v>
      </x:c>
      <x:c r="J8" s="32" t="str">
        <x:v>A++</x:v>
      </x:c>
      <x:c r="K8" s="32" t="str">
        <x:v>Principal</x:v>
      </x:c>
      <x:c r="L8" s="32" t="n">
        <x:v>7</x:v>
      </x:c>
      <x:c r="M8" s="32" t="str">
        <x:v>12:15</x:v>
      </x:c>
      <x:c r="N8" s="32" t="str">
        <x:v>Prospecto</x:v>
      </x:c>
      <x:c r="O8" s="32" t="str">
        <x:v>RN A005, Río Cuarto, Córdoba</x:v>
      </x:c>
      <x:c r="P8" s="32" t="str">
        <x:v>+54 358 439-9599</x:v>
      </x:c>
      <x:c r="Q8" s="32" t="str">
        <x:v>Validar</x:v>
      </x:c>
      <x:c r="R8" s="32" t="str"/>
      <x:c r="S8" s="32" t="str">
        <x:v>https://grossvial.com/</x:v>
      </x:c>
      <x:c r="T8" s="32" t="str">
        <x:v>https://www.google.com/maps/search/?api=1&amp;query=Grossvial+R%C3%ADo+Cuarto+RN+A005%2C+R%C3%ADo+Cuarto%2C+C%C3%B3rdoba</x:v>
      </x:c>
      <x:c r="U8" s="32" t="str">
        <x:v>Logística / Entregas / Posventa</x:v>
      </x:c>
      <x:c r="V8" s="32" t="str">
        <x:v>Presentación comercial PRESOL — traslado de maquinaria / equipos</x:v>
      </x:c>
      <x:c r="W8" s="32" t="str">
        <x:v>Visita comercial inicial</x:v>
      </x:c>
      <x:c r="X8" s="32" t="str">
        <x:v>Concesionaria vial; sucursal Río Cuarto verificada en mapas/actividad actual. | Servicios PRESOL: camilla 15 TN; carretón 30 TN; hidrogrúa. Precios: sólo cotización por viaje.</x:v>
      </x:c>
      <x:c r="Y8" s="32" t="str">
        <x:v>Alta</x:v>
      </x:c>
      <x:c r="Z8" s="32" t="str">
        <x:v>https://grossvial.com/</x:v>
      </x:c>
    </x:row>
    <x:row r="9" ht="36" customHeight="1">
      <x:c r="A9" s="32" t="str">
        <x:v>UPSERT</x:v>
      </x:c>
      <x:c r="B9" s="32" t="str">
        <x:v>semtraco-rio-cuarto</x:v>
      </x:c>
      <x:c r="C9" s="32" t="str">
        <x:v>Semtraco; CASE IH Río Cuarto; JCB Río Cuarto</x:v>
      </x:c>
      <x:c r="D9" s="32" t="str">
        <x:v>Semtraco S.A. - Río Cuarto</x:v>
      </x:c>
      <x:c r="E9" s="32" t="str">
        <x:v>Río Cuarto</x:v>
      </x:c>
      <x:c r="F9" s="32" t="str">
        <x:v>Córdoba</x:v>
      </x:c>
      <x:c r="G9" s="32" t="str">
        <x:v>Concesionario vial + agrícola</x:v>
      </x:c>
      <x:c r="H9" s="32" t="str">
        <x:v>Mixto vial + agrícola</x:v>
      </x:c>
      <x:c r="I9" s="32" t="str">
        <x:v>JCB / CASE IH</x:v>
      </x:c>
      <x:c r="J9" s="32" t="str">
        <x:v>A++</x:v>
      </x:c>
      <x:c r="K9" s="32" t="str">
        <x:v>Principal</x:v>
      </x:c>
      <x:c r="L9" s="32" t="n">
        <x:v>8</x:v>
      </x:c>
      <x:c r="M9" s="32" t="str">
        <x:v>12:40</x:v>
      </x:c>
      <x:c r="N9" s="32" t="str">
        <x:v>Prospecto</x:v>
      </x:c>
      <x:c r="O9" s="32" t="str">
        <x:v>Acceso 005 – Circunvalación, Río Cuarto, Córdoba</x:v>
      </x:c>
      <x:c r="P9" s="32" t="str">
        <x:v>+54 358 415-8451</x:v>
      </x:c>
      <x:c r="Q9" s="32" t="str">
        <x:v>Validar</x:v>
      </x:c>
      <x:c r="R9" s="32" t="str"/>
      <x:c r="S9" s="32" t="str">
        <x:v>https://www.semtraco.com.ar/</x:v>
      </x:c>
      <x:c r="T9" s="32" t="str">
        <x:v>https://www.google.com/maps/search/?api=1&amp;query=Semtraco+S.A.+-+R%C3%ADo+Cuarto+Acceso+005+%E2%80%93+Circunvalaci%C3%B3n%2C+R%C3%ADo+Cuarto%2C+C%C3%B3rdoba</x:v>
      </x:c>
      <x:c r="U9" s="32" t="str">
        <x:v>Gerencia / Logística / Posventa</x:v>
      </x:c>
      <x:c r="V9" s="32" t="str">
        <x:v>Presentación comercial PRESOL — traslado de maquinaria / equipos</x:v>
      </x:c>
      <x:c r="W9" s="32" t="str">
        <x:v>Visita comercial inicial</x:v>
      </x:c>
      <x:c r="X9" s="32" t="str">
        <x:v>Concesionario oficial CASE IH y distribuidor JCB Argentina. | Servicios PRESOL: camilla 15 TN; carretón 30 TN; hidrogrúa. Precios: sólo cotización por viaje.</x:v>
      </x:c>
      <x:c r="Y9" s="32" t="str">
        <x:v>Alta</x:v>
      </x:c>
      <x:c r="Z9" s="32" t="str">
        <x:v>https://www.semtraco.com.ar/productos/jcb-argentina.html</x:v>
      </x:c>
    </x:row>
    <x:row r="10" ht="36" customHeight="1">
      <x:c r="A10" s="32" t="str">
        <x:v>UPSERT</x:v>
      </x:c>
      <x:c r="B10" s="32" t="str">
        <x:v>agrogm-rio-cuarto</x:v>
      </x:c>
      <x:c r="C10" s="32" t="str">
        <x:v>Agro GM; Massey Ferguson Río Cuarto</x:v>
      </x:c>
      <x:c r="D10" s="32" t="str">
        <x:v>Agro GM S.A. - Río Cuarto</x:v>
      </x:c>
      <x:c r="E10" s="32" t="str">
        <x:v>Río Cuarto</x:v>
      </x:c>
      <x:c r="F10" s="32" t="str">
        <x:v>Córdoba</x:v>
      </x:c>
      <x:c r="G10" s="32" t="str">
        <x:v>Concesionario agrícola</x:v>
      </x:c>
      <x:c r="H10" s="32" t="str">
        <x:v>Agrícola</x:v>
      </x:c>
      <x:c r="I10" s="32" t="str">
        <x:v>Massey Ferguson</x:v>
      </x:c>
      <x:c r="J10" s="32" t="str">
        <x:v>A++</x:v>
      </x:c>
      <x:c r="K10" s="32" t="str">
        <x:v>Principal</x:v>
      </x:c>
      <x:c r="L10" s="32" t="n">
        <x:v>9</x:v>
      </x:c>
      <x:c r="M10" s="32" t="str">
        <x:v>14:00</x:v>
      </x:c>
      <x:c r="N10" s="32" t="str">
        <x:v>Prospecto</x:v>
      </x:c>
      <x:c r="O10" s="32" t="str">
        <x:v>Ruta 8 km 606,5, Río Cuarto, Córdoba</x:v>
      </x:c>
      <x:c r="P10" s="32" t="str">
        <x:v>+54 358 462-6444 / +54 3582 15449168</x:v>
      </x:c>
      <x:c r="Q10" s="32" t="str">
        <x:v>Comercial: +54 3582 15449168</x:v>
      </x:c>
      <x:c r="R10" s="32" t="str">
        <x:v>info@agrogmsa.com.ar</x:v>
      </x:c>
      <x:c r="S10" s="32" t="str">
        <x:v>https://www.agrogmsa.com.ar/</x:v>
      </x:c>
      <x:c r="T10" s="32" t="str">
        <x:v>https://www.google.com/maps/search/?api=1&amp;query=Agro+GM+S.A.+-+R%C3%ADo+Cuarto+Ruta+8+km+606%2C5%2C+R%C3%ADo+Cuarto%2C+C%C3%B3rdoba</x:v>
      </x:c>
      <x:c r="U10" s="32" t="str">
        <x:v>Comercial / Logística / Servicio</x:v>
      </x:c>
      <x:c r="V10" s="32" t="str">
        <x:v>Presentación comercial PRESOL — traslado de maquinaria / equipos</x:v>
      </x:c>
      <x:c r="W10" s="32" t="str">
        <x:v>Visita comercial inicial</x:v>
      </x:c>
      <x:c r="X10" s="32" t="str">
        <x:v>Casa Central Río Cuarto. | Servicios PRESOL: camilla 15 TN; carretón 30 TN; hidrogrúa. Precios: sólo cotización por viaje.</x:v>
      </x:c>
      <x:c r="Y10" s="32" t="str">
        <x:v>Alta</x:v>
      </x:c>
      <x:c r="Z10" s="32" t="str">
        <x:v>https://www.agrogmsa.com.ar/contacto/</x:v>
      </x:c>
    </x:row>
    <x:row r="11" ht="36" customHeight="1">
      <x:c r="A11" s="32" t="str">
        <x:v>UPSERT</x:v>
      </x:c>
      <x:c r="B11" s="32" t="str">
        <x:v>demarchi-rio-cuarto</x:v>
      </x:c>
      <x:c r="C11" s="32" t="str">
        <x:v>Demarchi; Valtra Río Cuarto</x:v>
      </x:c>
      <x:c r="D11" s="32" t="str">
        <x:v>Demarchi S.A.</x:v>
      </x:c>
      <x:c r="E11" s="32" t="str">
        <x:v>Río Cuarto</x:v>
      </x:c>
      <x:c r="F11" s="32" t="str">
        <x:v>Córdoba</x:v>
      </x:c>
      <x:c r="G11" s="32" t="str">
        <x:v>Concesionario agrícola</x:v>
      </x:c>
      <x:c r="H11" s="32" t="str">
        <x:v>Agrícola</x:v>
      </x:c>
      <x:c r="I11" s="32" t="str">
        <x:v>Valtra</x:v>
      </x:c>
      <x:c r="J11" s="32" t="str">
        <x:v>A++</x:v>
      </x:c>
      <x:c r="K11" s="32" t="str">
        <x:v>Principal</x:v>
      </x:c>
      <x:c r="L11" s="32" t="n">
        <x:v>10</x:v>
      </x:c>
      <x:c r="M11" s="32" t="str">
        <x:v>14:25</x:v>
      </x:c>
      <x:c r="N11" s="32" t="str">
        <x:v>Prospecto</x:v>
      </x:c>
      <x:c r="O11" s="32" t="str">
        <x:v>Av. Godoy Cruz 485, Río Cuarto, Córdoba</x:v>
      </x:c>
      <x:c r="P11" s="32" t="str">
        <x:v>+54 358 401-0714</x:v>
      </x:c>
      <x:c r="Q11" s="32" t="str">
        <x:v>Validar</x:v>
      </x:c>
      <x:c r="R11" s="32" t="str"/>
      <x:c r="S11" s="32" t="str">
        <x:v>https://www.demarchi.com.ar/</x:v>
      </x:c>
      <x:c r="T11" s="32" t="str">
        <x:v>https://www.google.com/maps/search/?api=1&amp;query=Demarchi+S.A.+Av.+Godoy+Cruz+485%2C+R%C3%ADo+Cuarto%2C+C%C3%B3rdoba</x:v>
      </x:c>
      <x:c r="U11" s="32" t="str">
        <x:v>Gerencia / Logística / Posventa</x:v>
      </x:c>
      <x:c r="V11" s="32" t="str">
        <x:v>Presentación comercial PRESOL — traslado de maquinaria / equipos</x:v>
      </x:c>
      <x:c r="W11" s="32" t="str">
        <x:v>Visita comercial inicial</x:v>
      </x:c>
      <x:c r="X11" s="32" t="str">
        <x:v>Referente Valtra en el sur de Córdoba. | Servicios PRESOL: camilla 15 TN; carretón 30 TN; hidrogrúa. Precios: sólo cotización por viaje.</x:v>
      </x:c>
      <x:c r="Y11" s="32" t="str">
        <x:v>Alta</x:v>
      </x:c>
      <x:c r="Z11" s="32" t="str">
        <x:v>https://www.demarchi.com.ar/es/quienes-somos/</x:v>
      </x:c>
    </x:row>
    <x:row r="12" ht="36" customHeight="1">
      <x:c r="A12" s="32" t="str">
        <x:v>UPSERT</x:v>
      </x:c>
      <x:c r="B12" s="32" t="str">
        <x:v>anibal-barbero-rio-cuarto</x:v>
      </x:c>
      <x:c r="C12" s="32" t="str">
        <x:v>Aníbal Barbero; Vassalli Río Cuarto; Don Roque Río Cuarto</x:v>
      </x:c>
      <x:c r="D12" s="32" t="str">
        <x:v>Aníbal Barbero - El Amigazo SRL</x:v>
      </x:c>
      <x:c r="E12" s="32" t="str">
        <x:v>Río Cuarto</x:v>
      </x:c>
      <x:c r="F12" s="32" t="str">
        <x:v>Córdoba</x:v>
      </x:c>
      <x:c r="G12" s="32" t="str">
        <x:v>Concesionario agrícola</x:v>
      </x:c>
      <x:c r="H12" s="32" t="str">
        <x:v>Agrícola</x:v>
      </x:c>
      <x:c r="I12" s="32" t="str">
        <x:v>Vassalli / Don Roque</x:v>
      </x:c>
      <x:c r="J12" s="32" t="str">
        <x:v>A+</x:v>
      </x:c>
      <x:c r="K12" s="32" t="str">
        <x:v>Principal</x:v>
      </x:c>
      <x:c r="L12" s="32" t="n">
        <x:v>11</x:v>
      </x:c>
      <x:c r="M12" s="32" t="str">
        <x:v>14:50</x:v>
      </x:c>
      <x:c r="N12" s="32" t="str">
        <x:v>Prospecto</x:v>
      </x:c>
      <x:c r="O12" s="32" t="str">
        <x:v>Av. Godoy Cruz 520, Río Cuarto, Córdoba</x:v>
      </x:c>
      <x:c r="P12" s="32" t="str">
        <x:v>+54 358 412-1247 / +54 358 412-1252</x:v>
      </x:c>
      <x:c r="Q12" s="32" t="str">
        <x:v>+54 358 412-1252</x:v>
      </x:c>
      <x:c r="R12" s="32" t="str">
        <x:v>anibalbarberoecommerce@gmail.com</x:v>
      </x:c>
      <x:c r="S12" s="32" t="str">
        <x:v>https://anibalbarbero.com/</x:v>
      </x:c>
      <x:c r="T12" s="32" t="str">
        <x:v>https://www.google.com/maps/search/?api=1&amp;query=An%C3%ADbal+Barbero+-+El+Amigazo+SRL+Av.+Godoy+Cruz+520%2C+R%C3%ADo+Cuarto%2C+C%C3%B3rdoba</x:v>
      </x:c>
      <x:c r="U12" s="32" t="str">
        <x:v>Ventas / Expedición / Posventa</x:v>
      </x:c>
      <x:c r="V12" s="32" t="str">
        <x:v>Presentación comercial PRESOL — traslado de maquinaria / equipos</x:v>
      </x:c>
      <x:c r="W12" s="32" t="str">
        <x:v>Visita comercial inicial</x:v>
      </x:c>
      <x:c r="X12" s="32" t="str">
        <x:v>Concesionario oficial Don Roque / Vassalli. | Servicios PRESOL: camilla 15 TN; carretón 30 TN; hidrogrúa. Precios: sólo cotización por viaje.</x:v>
      </x:c>
      <x:c r="Y12" s="32" t="str">
        <x:v>Alta</x:v>
      </x:c>
      <x:c r="Z12" s="32" t="str">
        <x:v>https://anibalbarbero.com/nosotros/</x:v>
      </x:c>
    </x:row>
    <x:row r="13" ht="36" customHeight="1">
      <x:c r="A13" s="32" t="str">
        <x:v>UPSERT</x:v>
      </x:c>
      <x:c r="B13" s="32" t="str">
        <x:v>simonassi-lovol-rio-cuarto</x:v>
      </x:c>
      <x:c r="C13" s="32" t="str">
        <x:v>Simonassi; Lovol Río Cuarto</x:v>
      </x:c>
      <x:c r="D13" s="32" t="str">
        <x:v>Simonassi Maquinarias Agrícolas</x:v>
      </x:c>
      <x:c r="E13" s="32" t="str">
        <x:v>Río Cuarto</x:v>
      </x:c>
      <x:c r="F13" s="32" t="str">
        <x:v>Córdoba</x:v>
      </x:c>
      <x:c r="G13" s="32" t="str">
        <x:v>Concesionario agrícola</x:v>
      </x:c>
      <x:c r="H13" s="32" t="str">
        <x:v>Agrícola</x:v>
      </x:c>
      <x:c r="I13" s="32" t="str">
        <x:v>Lovol</x:v>
      </x:c>
      <x:c r="J13" s="32" t="str">
        <x:v>A+</x:v>
      </x:c>
      <x:c r="K13" s="32" t="str">
        <x:v>Principal</x:v>
      </x:c>
      <x:c r="L13" s="32" t="n">
        <x:v>12</x:v>
      </x:c>
      <x:c r="M13" s="32" t="str">
        <x:v>15:15</x:v>
      </x:c>
      <x:c r="N13" s="32" t="str">
        <x:v>Prospecto</x:v>
      </x:c>
      <x:c r="O13" s="32" t="str">
        <x:v>Av. Amadeo Sabattini 2950, Río Cuarto, Córdoba</x:v>
      </x:c>
      <x:c r="P13" s="32" t="str">
        <x:v>+54 358 506-2964</x:v>
      </x:c>
      <x:c r="Q13" s="32" t="str">
        <x:v>Validar</x:v>
      </x:c>
      <x:c r="R13" s="32" t="str"/>
      <x:c r="S13" s="32" t="str"/>
      <x:c r="T13" s="32" t="str">
        <x:v>https://www.google.com/maps/search/?api=1&amp;query=Simonassi+Maquinarias+Agr%C3%ADcolas+Av.+Amadeo+Sabattini+2950%2C+R%C3%ADo+Cuarto%2C+C%C3%B3rdoba</x:v>
      </x:c>
      <x:c r="U13" s="32" t="str">
        <x:v>Ventas / Logística / Posventa</x:v>
      </x:c>
      <x:c r="V13" s="32" t="str">
        <x:v>Presentación comercial PRESOL — traslado de maquinaria / equipos</x:v>
      </x:c>
      <x:c r="W13" s="32" t="str">
        <x:v>Visita comercial inicial</x:v>
      </x:c>
      <x:c r="X13" s="32" t="str">
        <x:v>Negocio activo; validar responsable de logística. | Servicios PRESOL: camilla 15 TN; carretón 30 TN; hidrogrúa. Precios: sólo cotización por viaje.</x:v>
      </x:c>
      <x:c r="Y13" s="32" t="str">
        <x:v>Media</x:v>
      </x:c>
      <x:c r="Z13" s="32" t="str">
        <x:v>https://www.google.com/maps/search/?api=1&amp;query=Simonassi+Maquinarias+Agr%C3%ADcolas+Lovol+Av.+Amadeo+Sabattini+2950%2C+R%C3%ADo+Cuarto%2C+C%C3%B3rdoba</x:v>
      </x:c>
    </x:row>
    <x:row r="14" ht="36" customHeight="1">
      <x:c r="A14" s="32" t="str">
        <x:v>UPSERT</x:v>
      </x:c>
      <x:c r="B14" s="32" t="str">
        <x:v>rino-pauny-rio-cuarto</x:v>
      </x:c>
      <x:c r="C14" s="32" t="str">
        <x:v>RINO; Pauny Río Cuarto</x:v>
      </x:c>
      <x:c r="D14" s="32" t="str">
        <x:v>RINO Pauny</x:v>
      </x:c>
      <x:c r="E14" s="32" t="str">
        <x:v>Río Cuarto</x:v>
      </x:c>
      <x:c r="F14" s="32" t="str">
        <x:v>Córdoba</x:v>
      </x:c>
      <x:c r="G14" s="32" t="str">
        <x:v>Concesionario agrícola</x:v>
      </x:c>
      <x:c r="H14" s="32" t="str">
        <x:v>Agrícola</x:v>
      </x:c>
      <x:c r="I14" s="32" t="str">
        <x:v>Pauny</x:v>
      </x:c>
      <x:c r="J14" s="32" t="str">
        <x:v>A+</x:v>
      </x:c>
      <x:c r="K14" s="32" t="str">
        <x:v>Principal</x:v>
      </x:c>
      <x:c r="L14" s="32" t="n">
        <x:v>13</x:v>
      </x:c>
      <x:c r="M14" s="32" t="str">
        <x:v>15:45</x:v>
      </x:c>
      <x:c r="N14" s="32" t="str">
        <x:v>Prospecto</x:v>
      </x:c>
      <x:c r="O14" s="32" t="str">
        <x:v>RN A005 km 10,5, Río Cuarto, Córdoba</x:v>
      </x:c>
      <x:c r="P14" s="32" t="str">
        <x:v>+54 358 509-1232</x:v>
      </x:c>
      <x:c r="Q14" s="32" t="str">
        <x:v>Validar</x:v>
      </x:c>
      <x:c r="R14" s="32" t="str"/>
      <x:c r="S14" s="32" t="str"/>
      <x:c r="T14" s="32" t="str">
        <x:v>https://www.google.com/maps/search/?api=1&amp;query=RINO+Pauny+RN+A005+km+10%2C5%2C+R%C3%ADo+Cuarto%2C+C%C3%B3rdoba</x:v>
      </x:c>
      <x:c r="U14" s="32" t="str">
        <x:v>Ventas / Logística / Posventa</x:v>
      </x:c>
      <x:c r="V14" s="32" t="str">
        <x:v>Presentación comercial PRESOL — traslado de maquinaria / equipos</x:v>
      </x:c>
      <x:c r="W14" s="32" t="str">
        <x:v>Visita comercial inicial</x:v>
      </x:c>
      <x:c r="X14" s="32" t="str">
        <x:v>Horario comercial con corte al mediodía; visita programada por la tarde. | Servicios PRESOL: camilla 15 TN; carretón 30 TN; hidrogrúa. Precios: sólo cotización por viaje.</x:v>
      </x:c>
      <x:c r="Y14" s="32" t="str">
        <x:v>Media</x:v>
      </x:c>
      <x:c r="Z14" s="32" t="str">
        <x:v>https://www.google.com/maps/search/?api=1&amp;query=RINO+Pauny+RN+A005+km+10%2C5%2C+R%C3%ADo+Cuarto%2C+C%C3%B3rdoba</x:v>
      </x:c>
    </x:row>
    <x:row r="15" ht="36" customHeight="1">
      <x:c r="A15" s="32" t="str">
        <x:v>UPSERT</x:v>
      </x:c>
      <x:c r="B15" s="32" t="str">
        <x:v>catpro-rio-cuarto</x:v>
      </x:c>
      <x:c r="C15" s="32" t="str">
        <x:v>CATPRO; New Holland Río Cuarto</x:v>
      </x:c>
      <x:c r="D15" s="32" t="str">
        <x:v>CATPRO Maquinarias</x:v>
      </x:c>
      <x:c r="E15" s="32" t="str">
        <x:v>Río Cuarto</x:v>
      </x:c>
      <x:c r="F15" s="32" t="str">
        <x:v>Córdoba</x:v>
      </x:c>
      <x:c r="G15" s="32" t="str">
        <x:v>Concesionario agrícola</x:v>
      </x:c>
      <x:c r="H15" s="32" t="str">
        <x:v>Agrícola</x:v>
      </x:c>
      <x:c r="I15" s="32" t="str">
        <x:v>New Holland Agriculture</x:v>
      </x:c>
      <x:c r="J15" s="32" t="str">
        <x:v>A++</x:v>
      </x:c>
      <x:c r="K15" s="32" t="str">
        <x:v>Principal</x:v>
      </x:c>
      <x:c r="L15" s="32" t="n">
        <x:v>14</x:v>
      </x:c>
      <x:c r="M15" s="32" t="str">
        <x:v>16:15</x:v>
      </x:c>
      <x:c r="N15" s="32" t="str">
        <x:v>Prospecto</x:v>
      </x:c>
      <x:c r="O15" s="32" t="str">
        <x:v>Av. Godoy Cruz 564, Río Cuarto, Córdoba</x:v>
      </x:c>
      <x:c r="P15" s="32" t="str">
        <x:v>+54 358 465-0092 / +54 358 463-2206</x:v>
      </x:c>
      <x:c r="Q15" s="32" t="str">
        <x:v>Validar</x:v>
      </x:c>
      <x:c r="R15" s="32" t="str">
        <x:v>recepción@catprosa.com.ar</x:v>
      </x:c>
      <x:c r="S15" s="32" t="str">
        <x:v>https://www.catprosa.com.ar/</x:v>
      </x:c>
      <x:c r="T15" s="32" t="str">
        <x:v>https://www.google.com/maps/search/?api=1&amp;query=CATPRO+Maquinarias+Av.+Godoy+Cruz+564%2C+R%C3%ADo+Cuarto%2C+C%C3%B3rdoba</x:v>
      </x:c>
      <x:c r="U15" s="32" t="str">
        <x:v>Logística / Ventas / Posventa</x:v>
      </x:c>
      <x:c r="V15" s="32" t="str">
        <x:v>Presentación comercial PRESOL — traslado de maquinaria / equipos</x:v>
      </x:c>
      <x:c r="W15" s="32" t="str">
        <x:v>Visita comercial inicial</x:v>
      </x:c>
      <x:c r="X15" s="32" t="str">
        <x:v>Sitio oficial publica atención 08:00-12:30 y 16:00-20:00; se agenda 16:15. | Servicios PRESOL: camilla 15 TN; carretón 30 TN; hidrogrúa. Precios: sólo cotización por viaje.</x:v>
      </x:c>
      <x:c r="Y15" s="32" t="str">
        <x:v>Alta</x:v>
      </x:c>
      <x:c r="Z15" s="32" t="str">
        <x:v>https://www.catprosa.com.ar/index.php/contacto</x:v>
      </x:c>
    </x:row>
    <x:row r="16" ht="36" customHeight="1">
      <x:c r="A16" s="32" t="str">
        <x:v>UPSERT</x:v>
      </x:c>
      <x:c r="B16" s="32" t="str">
        <x:v>agrokeegan-rio-cuarto</x:v>
      </x:c>
      <x:c r="C16" s="32" t="str">
        <x:v>AGROKEEGAN</x:v>
      </x:c>
      <x:c r="D16" s="32" t="str">
        <x:v>Agrokeegan Maquinarias</x:v>
      </x:c>
      <x:c r="E16" s="32" t="str">
        <x:v>Río Cuarto</x:v>
      </x:c>
      <x:c r="F16" s="32" t="str">
        <x:v>Córdoba</x:v>
      </x:c>
      <x:c r="G16" s="32" t="str">
        <x:v>Concesionario agrícola + vial liviano</x:v>
      </x:c>
      <x:c r="H16" s="32" t="str">
        <x:v>Mixto vial + agrícola</x:v>
      </x:c>
      <x:c r="I16" s="32" t="str">
        <x:v>Fercam / Montecor / Richiger / Grosspal / otros</x:v>
      </x:c>
      <x:c r="J16" s="32" t="str">
        <x:v>A+</x:v>
      </x:c>
      <x:c r="K16" s="32" t="str">
        <x:v>Backup</x:v>
      </x:c>
      <x:c r="L16" s="32" t="n">
        <x:v>101</x:v>
      </x:c>
      <x:c r="M16" s="32" t="str"/>
      <x:c r="N16" s="32" t="str">
        <x:v>Prospecto</x:v>
      </x:c>
      <x:c r="O16" s="32" t="str">
        <x:v>Ruta A005 km 0,5, Río Cuarto, Córdoba</x:v>
      </x:c>
      <x:c r="P16" s="32" t="str">
        <x:v>+54 358 601-4848</x:v>
      </x:c>
      <x:c r="Q16" s="32" t="str">
        <x:v>+54 358 601-4848</x:v>
      </x:c>
      <x:c r="R16" s="32" t="str">
        <x:v>agrokeegan@gmail.com</x:v>
      </x:c>
      <x:c r="S16" s="32" t="str">
        <x:v>https://www.agrokeegan.com.ar/</x:v>
      </x:c>
      <x:c r="T16" s="32" t="str">
        <x:v>https://www.google.com/maps/search/?api=1&amp;query=Agrokeegan+Maquinarias+Ruta+A005+km+0%2C5%2C+R%C3%ADo+Cuarto%2C+C%C3%B3rdoba</x:v>
      </x:c>
      <x:c r="U16" s="32" t="str">
        <x:v>Gerencia / Ventas / Logística</x:v>
      </x:c>
      <x:c r="V16" s="32" t="str">
        <x:v>Presentación comercial PRESOL — traslado de maquinaria / equipos</x:v>
      </x:c>
      <x:c r="W16" s="32" t="str">
        <x:v>Visita backup / agendar llamada</x:v>
      </x:c>
      <x:c r="X16" s="32" t="str">
        <x:v>Más relevante de lo estimado: incluye equipos agrícolas, infraestructura rural y división vial. | Servicios PRESOL: camilla 15 TN; carretón 30 TN; hidrogrúa. Precios: sólo cotización por viaje.</x:v>
      </x:c>
      <x:c r="Y16" s="32" t="str">
        <x:v>Alta</x:v>
      </x:c>
      <x:c r="Z16" s="32" t="str">
        <x:v>https://www.agrokeegan.com.ar/</x:v>
      </x:c>
    </x:row>
    <x:row r="17" ht="36" customHeight="1">
      <x:c r="A17" s="32" t="str">
        <x:v>UPSERT</x:v>
      </x:c>
      <x:c r="B17" s="32" t="str">
        <x:v>caon-rio-cuarto</x:v>
      </x:c>
      <x:c r="C17" s="32" t="str">
        <x:v>Caon</x:v>
      </x:c>
      <x:c r="D17" s="32" t="str">
        <x:v>Caon Maquinarias</x:v>
      </x:c>
      <x:c r="E17" s="32" t="str">
        <x:v>Río Cuarto</x:v>
      </x:c>
      <x:c r="F17" s="32" t="str">
        <x:v>Córdoba</x:v>
      </x:c>
      <x:c r="G17" s="32" t="str">
        <x:v>Maquinaria agrícola</x:v>
      </x:c>
      <x:c r="H17" s="32" t="str">
        <x:v>Agrícola</x:v>
      </x:c>
      <x:c r="I17" s="32" t="str">
        <x:v>Multimarca</x:v>
      </x:c>
      <x:c r="J17" s="32" t="str">
        <x:v>A</x:v>
      </x:c>
      <x:c r="K17" s="32" t="str">
        <x:v>Backup</x:v>
      </x:c>
      <x:c r="L17" s="32" t="n">
        <x:v>102</x:v>
      </x:c>
      <x:c r="M17" s="32" t="str"/>
      <x:c r="N17" s="32" t="str">
        <x:v>Prospecto</x:v>
      </x:c>
      <x:c r="O17" s="32" t="str">
        <x:v>RN8 km 608, Río Cuarto, Córdoba</x:v>
      </x:c>
      <x:c r="P17" s="32" t="str">
        <x:v>+54 358 411-7162</x:v>
      </x:c>
      <x:c r="Q17" s="32" t="str">
        <x:v>Validar</x:v>
      </x:c>
      <x:c r="R17" s="32" t="str"/>
      <x:c r="S17" s="32" t="str"/>
      <x:c r="T17" s="32" t="str">
        <x:v>https://www.google.com/maps/search/?api=1&amp;query=Caon+Maquinarias+RN8+km+608%2C+R%C3%ADo+Cuarto%2C+C%C3%B3rdoba</x:v>
      </x:c>
      <x:c r="U17" s="32" t="str">
        <x:v>Ventas / Logística</x:v>
      </x:c>
      <x:c r="V17" s="32" t="str">
        <x:v>Presentación comercial PRESOL — traslado de maquinaria / equipos</x:v>
      </x:c>
      <x:c r="W17" s="32" t="str">
        <x:v>Visita backup</x:v>
      </x:c>
      <x:c r="X17" s="32" t="str">
        <x:v>Horario con corte al mediodía. | Servicios PRESOL: camilla 15 TN; carretón 30 TN; hidrogrúa. Precios: sólo cotización por viaje.</x:v>
      </x:c>
      <x:c r="Y17" s="32" t="str">
        <x:v>Media</x:v>
      </x:c>
      <x:c r="Z17" s="32" t="str">
        <x:v>https://www.google.com/maps/search/?api=1&amp;query=Caon+Maquinarias+RN8+km+608%2C+R%C3%ADo+Cuarto%2C+C%C3%B3rdoba</x:v>
      </x:c>
    </x:row>
    <x:row r="18" ht="36" customHeight="1">
      <x:c r="A18" s="32" t="str">
        <x:v>UPSERT</x:v>
      </x:c>
      <x:c r="B18" s="32" t="str">
        <x:v>ruben-marconi-rio-cuarto</x:v>
      </x:c>
      <x:c r="C18" s="32" t="str">
        <x:v>Ruben Marconi</x:v>
      </x:c>
      <x:c r="D18" s="32" t="str">
        <x:v>Concesionario Ruben Marconi</x:v>
      </x:c>
      <x:c r="E18" s="32" t="str">
        <x:v>Río Cuarto</x:v>
      </x:c>
      <x:c r="F18" s="32" t="str">
        <x:v>Córdoba</x:v>
      </x:c>
      <x:c r="G18" s="32" t="str">
        <x:v>Concesionario agrícola</x:v>
      </x:c>
      <x:c r="H18" s="32" t="str">
        <x:v>Agrícola</x:v>
      </x:c>
      <x:c r="I18" s="32" t="str">
        <x:v>Validar actuales</x:v>
      </x:c>
      <x:c r="J18" s="32" t="str">
        <x:v>A</x:v>
      </x:c>
      <x:c r="K18" s="32" t="str">
        <x:v>Backup</x:v>
      </x:c>
      <x:c r="L18" s="32" t="n">
        <x:v>103</x:v>
      </x:c>
      <x:c r="M18" s="32" t="str"/>
      <x:c r="N18" s="32" t="str">
        <x:v>Prospecto</x:v>
      </x:c>
      <x:c r="O18" s="32" t="str">
        <x:v>RN A005 2708, Río Cuarto, Córdoba</x:v>
      </x:c>
      <x:c r="P18" s="32" t="str">
        <x:v>+54 358 470-0452</x:v>
      </x:c>
      <x:c r="Q18" s="32" t="str">
        <x:v>Validar</x:v>
      </x:c>
      <x:c r="R18" s="32" t="str"/>
      <x:c r="S18" s="32" t="str"/>
      <x:c r="T18" s="32" t="str">
        <x:v>https://www.google.com/maps/search/?api=1&amp;query=Concesionario+Ruben+Marconi+RN+A005+2708%2C+R%C3%ADo+Cuarto%2C+C%C3%B3rdoba</x:v>
      </x:c>
      <x:c r="U18" s="32" t="str">
        <x:v>Ventas / Logística</x:v>
      </x:c>
      <x:c r="V18" s="32" t="str">
        <x:v>Presentación comercial PRESOL — traslado de maquinaria / equipos</x:v>
      </x:c>
      <x:c r="W18" s="32" t="str">
        <x:v>Visita exploratoria / validar marcas</x:v>
      </x:c>
      <x:c r="X18" s="32" t="str">
        <x:v>Negocio activo; marca/representación actual a validar antes de pitch específico. | Servicios PRESOL: camilla 15 TN; carretón 30 TN; hidrogrúa. Precios: sólo cotización por viaje.</x:v>
      </x:c>
      <x:c r="Y18" s="32" t="str">
        <x:v>Media</x:v>
      </x:c>
      <x:c r="Z18" s="32" t="str">
        <x:v>https://www.google.com/maps/search/?api=1&amp;query=Concesionario+Ruben+Marconi+RN+A005+2708%2C+R%C3%ADo+Cuarto%2C+C%C3%B3rdoba</x:v>
      </x:c>
    </x:row>
    <x:row r="19" ht="36" customHeight="1">
      <x:c r="A19" s="32" t="str">
        <x:v>UPSERT</x:v>
      </x:c>
      <x:c r="B19" s="32" t="str">
        <x:v>agro-vial-fernandez-rio-cuarto</x:v>
      </x:c>
      <x:c r="C19" s="32" t="str">
        <x:v>AGRO VIAL FERNANDEZ</x:v>
      </x:c>
      <x:c r="D19" s="32" t="str">
        <x:v>Agro Vial Fernández</x:v>
      </x:c>
      <x:c r="E19" s="32" t="str">
        <x:v>Río Cuarto</x:v>
      </x:c>
      <x:c r="F19" s="32" t="str">
        <x:v>Córdoba</x:v>
      </x:c>
      <x:c r="G19" s="32" t="str">
        <x:v>Fabricante maquinaria agrícola</x:v>
      </x:c>
      <x:c r="H19" s="32" t="str">
        <x:v>Agrícola</x:v>
      </x:c>
      <x:c r="I19" s="32" t="str">
        <x:v>Propia</x:v>
      </x:c>
      <x:c r="J19" s="32" t="str">
        <x:v>A</x:v>
      </x:c>
      <x:c r="K19" s="32" t="str">
        <x:v>Backup</x:v>
      </x:c>
      <x:c r="L19" s="32" t="n">
        <x:v>104</x:v>
      </x:c>
      <x:c r="M19" s="32" t="str"/>
      <x:c r="N19" s="32" t="str">
        <x:v>Prospecto</x:v>
      </x:c>
      <x:c r="O19" s="32" t="str">
        <x:v>Ruta A005 y Arturo M. Bas, Río Cuarto, Córdoba</x:v>
      </x:c>
      <x:c r="P19" s="32" t="str">
        <x:v>+54 9 351 607-7077</x:v>
      </x:c>
      <x:c r="Q19" s="32" t="str">
        <x:v>+54 9 351 607-7077</x:v>
      </x:c>
      <x:c r="R19" s="32" t="str"/>
      <x:c r="S19" s="32" t="str"/>
      <x:c r="T19" s="32" t="str">
        <x:v>https://www.google.com/maps/search/?api=1&amp;query=Agro+Vial+Fern%C3%A1ndez+Ruta+A005+y+Arturo+M.+Bas%2C+R%C3%ADo+Cuarto%2C+C%C3%B3rdoba</x:v>
      </x:c>
      <x:c r="U19" s="32" t="str">
        <x:v>Expedición / Logística</x:v>
      </x:c>
      <x:c r="V19" s="32" t="str">
        <x:v>Presentación comercial PRESOL — traslado de maquinaria / equipos</x:v>
      </x:c>
      <x:c r="W19" s="32" t="str">
        <x:v>Visita backup</x:v>
      </x:c>
      <x:c r="X19" s="32" t="str">
        <x:v>Fabricante local; buen fit para entregas de maquinaria. | Servicios PRESOL: camilla 15 TN; carretón 30 TN; hidrogrúa. Precios: sólo cotización por viaje.</x:v>
      </x:c>
      <x:c r="Y19" s="32" t="str">
        <x:v>Media</x:v>
      </x:c>
      <x:c r="Z19" s="32" t="str">
        <x:v>https://www.google.com/maps/search/?api=1&amp;query=Agro+Vial+Fernandez+Ruta+A005+y+Arturo+M.+Bas%2C+R%C3%ADo+Cuarto%2C+C%C3%B3rdoba</x:v>
      </x:c>
    </x:row>
    <x:row r="20" ht="36" customHeight="1">
      <x:c r="A20" s="32" t="str">
        <x:v>UPSERT</x:v>
      </x:c>
      <x:c r="B20" s="32" t="str">
        <x:v>terramobil-rio-cuarto</x:v>
      </x:c>
      <x:c r="C20" s="32" t="str">
        <x:v>Terramobil</x:v>
      </x:c>
      <x:c r="D20" s="32" t="str">
        <x:v>Terramobil - Alquiler de Maquinaria Vial</x:v>
      </x:c>
      <x:c r="E20" s="32" t="str">
        <x:v>Río Cuarto</x:v>
      </x:c>
      <x:c r="F20" s="32" t="str">
        <x:v>Córdoba</x:v>
      </x:c>
      <x:c r="G20" s="32" t="str">
        <x:v>Rental maquinaria vial</x:v>
      </x:c>
      <x:c r="H20" s="32" t="str">
        <x:v>Vial / Rental</x:v>
      </x:c>
      <x:c r="I20" s="32" t="str">
        <x:v>Flota rental</x:v>
      </x:c>
      <x:c r="J20" s="32" t="str">
        <x:v>A+</x:v>
      </x:c>
      <x:c r="K20" s="32" t="str">
        <x:v>Rental</x:v>
      </x:c>
      <x:c r="L20" s="32" t="n">
        <x:v>201</x:v>
      </x:c>
      <x:c r="M20" s="32" t="str">
        <x:v>10:00</x:v>
      </x:c>
      <x:c r="N20" s="32" t="str">
        <x:v>Prospecto</x:v>
      </x:c>
      <x:c r="O20" s="32" t="str">
        <x:v>Pirovano 613, Río Cuarto, Córdoba</x:v>
      </x:c>
      <x:c r="P20" s="32" t="str">
        <x:v>+54 358 518-0190</x:v>
      </x:c>
      <x:c r="Q20" s="32" t="str">
        <x:v>Validar</x:v>
      </x:c>
      <x:c r="R20" s="32" t="str"/>
      <x:c r="S20" s="32" t="str"/>
      <x:c r="T20" s="32" t="str">
        <x:v>https://www.google.com/maps/search/?api=1&amp;query=Terramobil+-+Alquiler+de+Maquinaria+Vial+Pirovano+613%2C+R%C3%ADo+Cuarto%2C+C%C3%B3rdoba</x:v>
      </x:c>
      <x:c r="U20" s="32" t="str">
        <x:v>Operaciones / Logística / Gerencia</x:v>
      </x:c>
      <x:c r="V20" s="32" t="str">
        <x:v>Presentación comercial PRESOL — traslado de maquinaria / equipos</x:v>
      </x:c>
      <x:c r="W20" s="32" t="str">
        <x:v>Visita / llamada para detectar flota y tercerización</x:v>
      </x:c>
      <x:c r="X20" s="32" t="str">
        <x:v>Prospecto rental puro. | Servicios PRESOL: camilla 15 TN; carretón 30 TN; hidrogrúa. Precios: sólo cotización por viaje.</x:v>
      </x:c>
      <x:c r="Y20" s="32" t="str">
        <x:v>Media</x:v>
      </x:c>
      <x:c r="Z20" s="32" t="str">
        <x:v>https://www.google.com/maps/search/?api=1&amp;query=Terramobil+alquiler+maquinaria+vial+Pirovano+613%2C+R%C3%ADo+Cuarto%2C+C%C3%B3rdoba</x:v>
      </x:c>
    </x:row>
    <x:row r="21" ht="36" customHeight="1">
      <x:c r="A21" s="32" t="str">
        <x:v>UPSERT</x:v>
      </x:c>
      <x:c r="B21" s="32" t="str">
        <x:v>la-helena-rio-cuarto</x:v>
      </x:c>
      <x:c r="C21" s="32" t="str">
        <x:v>La Helena</x:v>
      </x:c>
      <x:c r="D21" s="32" t="str">
        <x:v>Cantera La Helena</x:v>
      </x:c>
      <x:c r="E21" s="32" t="str">
        <x:v>Río Cuarto</x:v>
      </x:c>
      <x:c r="F21" s="32" t="str">
        <x:v>Córdoba</x:v>
      </x:c>
      <x:c r="G21" s="32" t="str">
        <x:v>Rental maquinaria vial + cantera</x:v>
      </x:c>
      <x:c r="H21" s="32" t="str">
        <x:v>Vial / Rental</x:v>
      </x:c>
      <x:c r="I21" s="32" t="str">
        <x:v>Flota propia</x:v>
      </x:c>
      <x:c r="J21" s="32" t="str">
        <x:v>A+</x:v>
      </x:c>
      <x:c r="K21" s="32" t="str">
        <x:v>Rental</x:v>
      </x:c>
      <x:c r="L21" s="32" t="n">
        <x:v>202</x:v>
      </x:c>
      <x:c r="M21" s="32" t="str">
        <x:v>10:30</x:v>
      </x:c>
      <x:c r="N21" s="32" t="str">
        <x:v>Prospecto</x:v>
      </x:c>
      <x:c r="O21" s="32" t="str">
        <x:v>Ex Ruta 36 km 610, Río Cuarto, Córdoba</x:v>
      </x:c>
      <x:c r="P21" s="32" t="str">
        <x:v>+54 358 430-9507</x:v>
      </x:c>
      <x:c r="Q21" s="32" t="str">
        <x:v>Validar</x:v>
      </x:c>
      <x:c r="R21" s="32" t="str">
        <x:v>lahelena@lahelena.com.ar; administración@lahelena.com.ar</x:v>
      </x:c>
      <x:c r="S21" s="32" t="str">
        <x:v>https://lahelena.com.ar/</x:v>
      </x:c>
      <x:c r="T21" s="32" t="str">
        <x:v>https://www.google.com/maps/search/?api=1&amp;query=Cantera+La+Helena+Ex+Ruta+36+km+610%2C+R%C3%ADo+Cuarto%2C+C%C3%B3rdoba</x:v>
      </x:c>
      <x:c r="U21" s="32" t="str">
        <x:v>Operaciones / Logística / Compras</x:v>
      </x:c>
      <x:c r="V21" s="32" t="str">
        <x:v>Presentación comercial PRESOL — traslado de maquinaria / equipos</x:v>
      </x:c>
      <x:c r="W21" s="32" t="str">
        <x:v>Visita rental</x:v>
      </x:c>
      <x:c r="X21" s="32" t="str">
        <x:v>Alquiler vial con operador confirmado. | Servicios PRESOL: camilla 15 TN; carretón 30 TN; hidrogrúa. Precios: sólo cotización por viaje.</x:v>
      </x:c>
      <x:c r="Y21" s="32" t="str">
        <x:v>Alta</x:v>
      </x:c>
      <x:c r="Z21" s="32" t="str">
        <x:v>https://lahelena.com.ar/services/</x:v>
      </x:c>
    </x:row>
    <x:row r="22" ht="36" customHeight="1">
      <x:c r="A22" s="32" t="str">
        <x:v>UPSERT</x:v>
      </x:c>
      <x:c r="B22" s="32" t="str">
        <x:v>casale-rio-cuarto</x:v>
      </x:c>
      <x:c r="C22" s="32" t="str">
        <x:v>Casale Maquinarias</x:v>
      </x:c>
      <x:c r="D22" s="32" t="str">
        <x:v>Casale Maquinarias / Movimientos Agro Vial S.A.</x:v>
      </x:c>
      <x:c r="E22" s="32" t="str">
        <x:v>Río Cuarto</x:v>
      </x:c>
      <x:c r="F22" s="32" t="str">
        <x:v>Córdoba</x:v>
      </x:c>
      <x:c r="G22" s="32" t="str">
        <x:v>Rental + venta maquinaria vial/agro</x:v>
      </x:c>
      <x:c r="H22" s="32" t="str">
        <x:v>Vial / Rental</x:v>
      </x:c>
      <x:c r="I22" s="32" t="str">
        <x:v>Multimarca</x:v>
      </x:c>
      <x:c r="J22" s="32" t="str">
        <x:v>B+</x:v>
      </x:c>
      <x:c r="K22" s="32" t="str">
        <x:v>Rental</x:v>
      </x:c>
      <x:c r="L22" s="32" t="n">
        <x:v>203</x:v>
      </x:c>
      <x:c r="M22" s="32" t="str">
        <x:v>11:00</x:v>
      </x:c>
      <x:c r="N22" s="32" t="str">
        <x:v>Prospecto</x:v>
      </x:c>
      <x:c r="O22" s="32" t="str">
        <x:v>RN36 km 606, Río Cuarto, Córdoba</x:v>
      </x:c>
      <x:c r="P22" s="32" t="str">
        <x:v>+54 358 509-4615</x:v>
      </x:c>
      <x:c r="Q22" s="32" t="str">
        <x:v>Validar</x:v>
      </x:c>
      <x:c r="R22" s="32" t="str"/>
      <x:c r="S22" s="32" t="str">
        <x:v>https://casalemaquinarias.com.ar/</x:v>
      </x:c>
      <x:c r="T22" s="32" t="str">
        <x:v>https://www.google.com/maps/search/?api=1&amp;query=Casale+Maquinarias+%2F+Movimientos+Agro+Vial+S.A.+RN36+km+606%2C+R%C3%ADo+Cuarto%2C+C%C3%B3rdoba</x:v>
      </x:c>
      <x:c r="U22" s="32" t="str">
        <x:v>Gerencia / Logística</x:v>
      </x:c>
      <x:c r="V22" s="32" t="str">
        <x:v>Presentación comercial PRESOL — traslado de maquinaria / equipos</x:v>
      </x:c>
      <x:c r="W22" s="32" t="str">
        <x:v>Visita exploratoria</x:v>
      </x:c>
      <x:c r="X22" s="32" t="str">
        <x:v>Tiene carretones/camilla/flete propios; vender PRESOL como respaldo por picos o simultaneidad. | Servicios PRESOL: camilla 15 TN; carretón 30 TN; hidrogrúa. Precios: sólo cotización por viaje.</x:v>
      </x:c>
      <x:c r="Y22" s="32" t="str">
        <x:v>Alta</x:v>
      </x:c>
      <x:c r="Z22" s="32" t="str">
        <x:v>https://casalemaquinarias.com.ar/</x:v>
      </x:c>
    </x:row>
    <x:row r="23" ht="36" customHeight="1">
      <x:c r="A23" s="32" t="str">
        <x:v>UPSERT</x:v>
      </x:c>
      <x:c r="B23" s="32" t="str">
        <x:v>alquilo-todo-rio-cuarto</x:v>
      </x:c>
      <x:c r="C23" s="32" t="str">
        <x:v>Alquilo Todo</x:v>
      </x:c>
      <x:c r="D23" s="32" t="str">
        <x:v>Alquilo Todo Río Cuarto</x:v>
      </x:c>
      <x:c r="E23" s="32" t="str">
        <x:v>Río Cuarto</x:v>
      </x:c>
      <x:c r="F23" s="32" t="str">
        <x:v>Córdoba</x:v>
      </x:c>
      <x:c r="G23" s="32" t="str">
        <x:v>Rental construcción</x:v>
      </x:c>
      <x:c r="H23" s="32" t="str">
        <x:v>Rental</x:v>
      </x:c>
      <x:c r="I23" s="32" t="str">
        <x:v>Multimarca</x:v>
      </x:c>
      <x:c r="J23" s="32" t="str">
        <x:v>B+</x:v>
      </x:c>
      <x:c r="K23" s="32" t="str">
        <x:v>Rental</x:v>
      </x:c>
      <x:c r="L23" s="32" t="n">
        <x:v>204</x:v>
      </x:c>
      <x:c r="M23" s="32" t="str">
        <x:v>11:30</x:v>
      </x:c>
      <x:c r="N23" s="32" t="str">
        <x:v>Prospecto</x:v>
      </x:c>
      <x:c r="O23" s="32" t="str">
        <x:v>Reverendo Padre Geniale Silvi 273, colectora A005, Río Cuarto, Córdoba</x:v>
      </x:c>
      <x:c r="P23" s="32" t="str">
        <x:v>+54 3546 490-403</x:v>
      </x:c>
      <x:c r="Q23" s="32" t="str">
        <x:v>Validar</x:v>
      </x:c>
      <x:c r="R23" s="32" t="str"/>
      <x:c r="S23" s="32" t="str"/>
      <x:c r="T23" s="32" t="str">
        <x:v>https://www.google.com/maps/search/?api=1&amp;query=Alquilo+Todo+R%C3%ADo+Cuarto+Reverendo+Padre+Geniale+Silvi+273%2C+colectora+A005%2C+R%C3%ADo+Cuarto%2C+C%C3%B3rdoba</x:v>
      </x:c>
      <x:c r="U23" s="32" t="str">
        <x:v>Operaciones / Logística</x:v>
      </x:c>
      <x:c r="V23" s="32" t="str">
        <x:v>Presentación comercial PRESOL — traslado de maquinaria / equipos</x:v>
      </x:c>
      <x:c r="W23" s="32" t="str">
        <x:v>Visita exploratoria</x:v>
      </x:c>
      <x:c r="X23" s="32" t="str">
        <x:v>Prioridad menor hasta confirmar equipos de porte compatible. | Servicios PRESOL: camilla 15 TN; carretón 30 TN; hidrogrúa. Precios: sólo cotización por viaje.</x:v>
      </x:c>
      <x:c r="Y23" s="32" t="str">
        <x:v>Media</x:v>
      </x:c>
      <x:c r="Z23" s="32" t="str">
        <x:v>https://www.google.com/maps/search/?api=1&amp;query=Alquilo+Todo+R%C3%ADo+Cuarto+Reverendo+Padre+Geniale+Silvi+273%2C+R%C3%ADo+Cuarto%2C+C%C3%B3rdoba</x:v>
      </x:c>
    </x:row>
    <x:row r="24" ht="36" customHeight="1">
      <x:c r="A24" s="32" t="str">
        <x:v>UPSERT</x:v>
      </x:c>
      <x:c r="B24" s="32" t="str">
        <x:v>sav-rio-cuarto</x:v>
      </x:c>
      <x:c r="C24" s="32" t="str">
        <x:v>SAV Río Cuarto</x:v>
      </x:c>
      <x:c r="D24" s="32" t="str">
        <x:v>SAV Autoelevadores y Máquinas Viales</x:v>
      </x:c>
      <x:c r="E24" s="32" t="str">
        <x:v>Río Cuarto</x:v>
      </x:c>
      <x:c r="F24" s="32" t="str">
        <x:v>Córdoba</x:v>
      </x:c>
      <x:c r="G24" s="32" t="str">
        <x:v>Servicio maquinaria vial</x:v>
      </x:c>
      <x:c r="H24" s="32" t="str">
        <x:v>Vial</x:v>
      </x:c>
      <x:c r="I24" s="32" t="str">
        <x:v>Autoelevadores / máquinas viales</x:v>
      </x:c>
      <x:c r="J24" s="32" t="str">
        <x:v>B+</x:v>
      </x:c>
      <x:c r="K24" s="32" t="str">
        <x:v>Rental</x:v>
      </x:c>
      <x:c r="L24" s="32" t="n">
        <x:v>205</x:v>
      </x:c>
      <x:c r="M24" s="32" t="str">
        <x:v>12:00</x:v>
      </x:c>
      <x:c r="N24" s="32" t="str">
        <x:v>Prospecto</x:v>
      </x:c>
      <x:c r="O24" s="32" t="str">
        <x:v>Lope de Vega 946, Río Cuarto, Córdoba</x:v>
      </x:c>
      <x:c r="P24" s="32" t="str">
        <x:v>+54 358 509-2695</x:v>
      </x:c>
      <x:c r="Q24" s="32" t="str">
        <x:v>Validar</x:v>
      </x:c>
      <x:c r="R24" s="32" t="str"/>
      <x:c r="S24" s="32" t="str"/>
      <x:c r="T24" s="32" t="str">
        <x:v>https://www.google.com/maps/search/?api=1&amp;query=SAV+Autoelevadores+y+M%C3%A1quinas+Viales+Lope+de+Vega+946%2C+R%C3%ADo+Cuarto%2C+C%C3%B3rdoba</x:v>
      </x:c>
      <x:c r="U24" s="32" t="str">
        <x:v>Gerencia / Taller / Logística</x:v>
      </x:c>
      <x:c r="V24" s="32" t="str">
        <x:v>Presentación comercial PRESOL — traslado de maquinaria / equipos</x:v>
      </x:c>
      <x:c r="W24" s="32" t="str">
        <x:v>Llamar y validar venta/rental vs taller</x:v>
      </x:c>
      <x:c r="X24" s="32" t="str">
        <x:v>Exploratorio. | Servicios PRESOL: camilla 15 TN; carretón 30 TN; hidrogrúa. Precios: sólo cotización por viaje.</x:v>
      </x:c>
      <x:c r="Y24" s="32" t="str">
        <x:v>Media</x:v>
      </x:c>
      <x:c r="Z24" s="32" t="str">
        <x:v>https://www.google.com/maps/search/?api=1&amp;query=SAV+Autoelevadores+y+Maquinas+Viales+Lope+de+Vega+946%2C+R%C3%ADo+Cuarto%2C+C%C3%B3rdoba</x:v>
      </x:c>
    </x:row>
    <x:row r="25" ht="36" customHeight="1">
      <x:c r="A25" s="32" t="str">
        <x:v>UPSERT</x:v>
      </x:c>
      <x:c r="B25" s="32" t="str">
        <x:v>tecnac-rio-cuarto</x:v>
      </x:c>
      <x:c r="C25" s="32" t="str">
        <x:v>TECNAC</x:v>
      </x:c>
      <x:c r="D25" s="32" t="str">
        <x:v>TECNAC S.R.L.</x:v>
      </x:c>
      <x:c r="E25" s="32" t="str">
        <x:v>Río Cuarto</x:v>
      </x:c>
      <x:c r="F25" s="32" t="str">
        <x:v>Córdoba</x:v>
      </x:c>
      <x:c r="G25" s="32" t="str">
        <x:v>Constructora con flota vial</x:v>
      </x:c>
      <x:c r="H25" s="32" t="str">
        <x:v>Vial / Obras</x:v>
      </x:c>
      <x:c r="I25" s="32" t="str">
        <x:v>Flota propia</x:v>
      </x:c>
      <x:c r="J25" s="32" t="str">
        <x:v>B</x:v>
      </x:c>
      <x:c r="K25" s="32" t="str">
        <x:v>Rental</x:v>
      </x:c>
      <x:c r="L25" s="32" t="n">
        <x:v>206</x:v>
      </x:c>
      <x:c r="M25" s="32" t="str">
        <x:v>12:30</x:v>
      </x:c>
      <x:c r="N25" s="32" t="str">
        <x:v>Prospecto</x:v>
      </x:c>
      <x:c r="O25" s="32" t="str">
        <x:v>De las Postas 2435, Río Cuarto, Córdoba</x:v>
      </x:c>
      <x:c r="P25" s="32" t="str"/>
      <x:c r="Q25" s="32" t="str">
        <x:v>Validar</x:v>
      </x:c>
      <x:c r="R25" s="32" t="str"/>
      <x:c r="S25" s="32" t="str">
        <x:v>https://www.tecnac.com.ar/</x:v>
      </x:c>
      <x:c r="T25" s="32" t="str">
        <x:v>https://www.google.com/maps/search/?api=1&amp;query=TECNAC+S.R.L.+De+las+Postas+2435%2C+R%C3%ADo+Cuarto%2C+C%C3%B3rdoba</x:v>
      </x:c>
      <x:c r="U25" s="32" t="str">
        <x:v>Operaciones / Equipos / Compras</x:v>
      </x:c>
      <x:c r="V25" s="32" t="str">
        <x:v>Presentación comercial PRESOL — traslado de maquinaria / equipos</x:v>
      </x:c>
      <x:c r="W25" s="32" t="str">
        <x:v>Llamada exploratoria</x:v>
      </x:c>
      <x:c r="X25" s="32" t="str">
        <x:v>Nació con alquiler vial y mantiene flota, pero foco actual construcción/ingeniería. | Servicios PRESOL: camilla 15 TN; carretón 30 TN; hidrogrúa. Precios: sólo cotización por viaje.</x:v>
      </x:c>
      <x:c r="Y25" s="32" t="str">
        <x:v>Alta</x:v>
      </x:c>
      <x:c r="Z25" s="32" t="str">
        <x:v>https://www.tecnac.com.ar/nosotros</x:v>
      </x:c>
    </x:row>
    <x:row r="26" ht="36" customHeight="1">
      <x:c r="A26" s="32" t="str">
        <x:v>UPSERT</x:v>
      </x:c>
      <x:c r="B26" s="32" t="str">
        <x:v>boxtainer-cordoba</x:v>
      </x:c>
      <x:c r="C26" s="32" t="str">
        <x:v>BoxTainer</x:v>
      </x:c>
      <x:c r="D26" s="32" t="str">
        <x:v>Boxtainer</x:v>
      </x:c>
      <x:c r="E26" s="32" t="str">
        <x:v>Río Cuarto</x:v>
      </x:c>
      <x:c r="F26" s="32" t="str">
        <x:v>Córdoba</x:v>
      </x:c>
      <x:c r="G26" s="32" t="str">
        <x:v>Contenedores marítimos</x:v>
      </x:c>
      <x:c r="H26" s="32" t="str">
        <x:v>ISO 20/40 pies</x:v>
      </x:c>
      <x:c r="I26" s="32" t="str">
        <x:v>Dry / Reefer / módulos</x:v>
      </x:c>
      <x:c r="J26" s="32" t="str">
        <x:v>A+</x:v>
      </x:c>
      <x:c r="K26" s="32" t="str">
        <x:v>Remoto</x:v>
      </x:c>
      <x:c r="L26" s="32" t="n">
        <x:v>301</x:v>
      </x:c>
      <x:c r="M26" s="32" t="str"/>
      <x:c r="N26" s="32" t="str">
        <x:v>Prospecto</x:v>
      </x:c>
      <x:c r="O26" s="32" t="str">
        <x:v>Depósitos en Córdoba / Mendoza / Buenos Aires; publicaciones activas para Río Cuarto</x:v>
      </x:c>
      <x:c r="P26" s="32" t="str">
        <x:v>+54 351 254-0586</x:v>
      </x:c>
      <x:c r="Q26" s="32" t="str">
        <x:v>Validar</x:v>
      </x:c>
      <x:c r="R26" s="32" t="str"/>
      <x:c r="S26" s="32" t="str"/>
      <x:c r="T26" s="32" t="str">
        <x:v>https://www.google.com/maps/search/?api=1&amp;query=Boxtainer+Dep%C3%B3sitos+en+C%C3%B3rdoba+%2F+Mendoza+%2F+Buenos+Aires%3B+publicaciones+activas+para+R%C3%ADo+Cuarto</x:v>
      </x:c>
      <x:c r="U26" s="32" t="str">
        <x:v>Logística / Despachos / Comercial</x:v>
      </x:c>
      <x:c r="V26" s="32" t="str">
        <x:v>Presentación comercial PRESOL — traslado de maquinaria / equipos</x:v>
      </x:c>
      <x:c r="W26" s="32" t="str">
        <x:v>Contactar y validar origen habitual de despachos a Río Cuarto</x:v>
      </x:c>
      <x:c r="X26" s="32" t="str">
        <x:v>NO cargar como sucursal física Río Cuarto. Prospecto remoto de logística. | Servicios PRESOL: camilla 15 TN; carretón 30 TN; hidrogrúa. Precios: sólo cotización por viaje.</x:v>
      </x:c>
      <x:c r="Y26" s="32" t="str">
        <x:v>Alta</x:v>
      </x:c>
      <x:c r="Z26" s="32" t="str">
        <x:v>https://vehiculo.mercadolibre.com.ar/MLA-1626447959-contenedores-maritimos-entrega-inmediata-20-y-40-pies-stock-_JM</x:v>
      </x:c>
    </x:row>
    <x:row r="27" ht="36" customHeight="1">
      <x:c r="A27" s="32" t="str">
        <x:v>UPSERT</x:v>
      </x:c>
      <x:c r="B27" s="32" t="str">
        <x:v>sudamerica-contenedores</x:v>
      </x:c>
      <x:c r="C27" s="32" t="str">
        <x:v>Sudamerica Contenedores</x:v>
      </x:c>
      <x:c r="D27" s="32" t="str">
        <x:v>Sudamérica Contenedores</x:v>
      </x:c>
      <x:c r="E27" s="32" t="str">
        <x:v>Río Cuarto</x:v>
      </x:c>
      <x:c r="F27" s="32" t="str">
        <x:v>Córdoba</x:v>
      </x:c>
      <x:c r="G27" s="32" t="str">
        <x:v>Contenedores marítimos</x:v>
      </x:c>
      <x:c r="H27" s="32" t="str">
        <x:v>ISO 20/40 pies</x:v>
      </x:c>
      <x:c r="I27" s="32" t="str">
        <x:v>Dry / High Cube / Reefer</x:v>
      </x:c>
      <x:c r="J27" s="32" t="str">
        <x:v>A</x:v>
      </x:c>
      <x:c r="K27" s="32" t="str">
        <x:v>Remoto</x:v>
      </x:c>
      <x:c r="L27" s="32" t="n">
        <x:v>302</x:v>
      </x:c>
      <x:c r="M27" s="32" t="str"/>
      <x:c r="N27" s="32" t="str">
        <x:v>Prospecto</x:v>
      </x:c>
      <x:c r="O27" s="32" t="str">
        <x:v>Depósitos en varias plazas; confirmar depósito que abastece Río Cuarto</x:v>
      </x:c>
      <x:c r="P27" s="32" t="str">
        <x:v>Validar en canal comercial</x:v>
      </x:c>
      <x:c r="Q27" s="32" t="str">
        <x:v>Validar</x:v>
      </x:c>
      <x:c r="R27" s="32" t="str">
        <x:v>comercial@sudamericacontenedores.com.ar</x:v>
      </x:c>
      <x:c r="S27" s="32" t="str">
        <x:v>https://sudamericacontenedores.com.ar/</x:v>
      </x:c>
      <x:c r="T27" s="32" t="str">
        <x:v>https://www.google.com/maps/search/?api=1&amp;query=Sudam%C3%A9rica+Contenedores+Dep%C3%B3sitos+en+varias+plazas%3B+confirmar+dep%C3%B3sito+que+abastece+R%C3%ADo+Cuarto</x:v>
      </x:c>
      <x:c r="U27" s="32" t="str">
        <x:v>Logística / Despachos / Comercial</x:v>
      </x:c>
      <x:c r="V27" s="32" t="str">
        <x:v>Presentación comercial PRESOL — traslado de maquinaria / equipos</x:v>
      </x:c>
      <x:c r="W27" s="32" t="str">
        <x:v>Contactar y validar depósito/origen de entrega a Río Cuarto</x:v>
      </x:c>
      <x:c r="X27" s="32" t="str">
        <x:v>No asumir depósito físico en Río Cuarto hasta confirmar. | Servicios PRESOL: camilla 15 TN; carretón 30 TN; hidrogrúa. Precios: sólo cotización por viaje.</x:v>
      </x:c>
      <x:c r="Y27" s="32" t="str">
        <x:v>Alta</x:v>
      </x:c>
      <x:c r="Z27" s="32" t="str">
        <x:v>https://sudamericacontenedores.com.ar/</x:v>
      </x:c>
    </x:row>
    <x:row r="28" ht="36" customHeight="1">
      <x:c r="A28" s="32" t="str">
        <x:v>UPSERT</x:v>
      </x:c>
      <x:c r="B28" s="32" t="str">
        <x:v>alzaco-rio-cuarto</x:v>
      </x:c>
      <x:c r="C28" s="32" t="str">
        <x:v>Corralón Alzaco; Contenedores Alzaco</x:v>
      </x:c>
      <x:c r="D28" s="32" t="str">
        <x:v>Alzaco - División Contenedores</x:v>
      </x:c>
      <x:c r="E28" s="32" t="str">
        <x:v>Río Cuarto</x:v>
      </x:c>
      <x:c r="F28" s="32" t="str">
        <x:v>Córdoba</x:v>
      </x:c>
      <x:c r="G28" s="32" t="str">
        <x:v>Contenedores de obra / rental</x:v>
      </x:c>
      <x:c r="H28" s="32" t="str">
        <x:v>NO confirmado marítimo ISO</x:v>
      </x:c>
      <x:c r="I28" s="32" t="str">
        <x:v>Contenedores 3/5 m3 / obradores / rental</x:v>
      </x:c>
      <x:c r="J28" s="32" t="str">
        <x:v>B</x:v>
      </x:c>
      <x:c r="K28" s="32" t="str">
        <x:v>Contenedores local</x:v>
      </x:c>
      <x:c r="L28" s="32" t="n">
        <x:v>401</x:v>
      </x:c>
      <x:c r="M28" s="32" t="str"/>
      <x:c r="N28" s="32" t="str">
        <x:v>Prospecto</x:v>
      </x:c>
      <x:c r="O28" s="32" t="str">
        <x:v>Hipólito Yrigoyen 2224, Río Cuarto, Córdoba</x:v>
      </x:c>
      <x:c r="P28" s="32" t="str">
        <x:v>+54 358 462-6742 / +54 358 464-9543</x:v>
      </x:c>
      <x:c r="Q28" s="32" t="str">
        <x:v>Validar</x:v>
      </x:c>
      <x:c r="R28" s="32" t="str">
        <x:v>contenedores@alzaco.com.ar; alquilerescontenedores@alzaco.com.ar</x:v>
      </x:c>
      <x:c r="S28" s="32" t="str">
        <x:v>https://www.alzaco.com.ar/</x:v>
      </x:c>
      <x:c r="T28" s="32" t="str">
        <x:v>https://www.google.com/maps/search/?api=1&amp;query=Alzaco+-+Divisi%C3%B3n+Contenedores+Hip%C3%B3lito+Yrigoyen+2224%2C+R%C3%ADo+Cuarto%2C+C%C3%B3rdoba</x:v>
      </x:c>
      <x:c r="U28" s="32" t="str">
        <x:v>División Contenedores / Alquileres</x:v>
      </x:c>
      <x:c r="V28" s="32" t="str">
        <x:v>Presentación comercial PRESOL — traslado de maquinaria / equipos</x:v>
      </x:c>
      <x:c r="W28" s="32" t="str">
        <x:v>Llamar y validar si manejan módulos/ISO de gran porte</x:v>
      </x:c>
      <x:c r="X28" s="32" t="str">
        <x:v>Sitio publica contenedores de obra 3/5m3, obradores y rental; NO marítimo ISO confirmado. | Servicios PRESOL: camilla 15 TN; carretón 30 TN; hidrogrúa. Precios: sólo cotización por viaje.</x:v>
      </x:c>
      <x:c r="Y28" s="32" t="str">
        <x:v>Alta</x:v>
      </x:c>
      <x:c r="Z28" s="32" t="str">
        <x:v>https://www.alzaco.com.ar/contenedores/</x:v>
      </x:c>
    </x:row>
    <x:row r="29" ht="36" customHeight="1">
      <x:c r="A29" s="32" t="str">
        <x:v>UPSERT</x:v>
      </x:c>
      <x:c r="B29" s="32" t="str">
        <x:v>ranquel-rio-cuarto</x:v>
      </x:c>
      <x:c r="C29" s="32" t="str">
        <x:v>Conte Ranquel; RANQUEL</x:v>
      </x:c>
      <x:c r="D29" s="32" t="str">
        <x:v>Contenedores RANQUEL</x:v>
      </x:c>
      <x:c r="E29" s="32" t="str">
        <x:v>Río Cuarto</x:v>
      </x:c>
      <x:c r="F29" s="32" t="str">
        <x:v>Córdoba</x:v>
      </x:c>
      <x:c r="G29" s="32" t="str">
        <x:v>Contenedores / residuos</x:v>
      </x:c>
      <x:c r="H29" s="32" t="str">
        <x:v>NO confirmado marítimo ISO</x:v>
      </x:c>
      <x:c r="I29" s="32" t="str">
        <x:v>Volquetes / rental</x:v>
      </x:c>
      <x:c r="J29" s="32" t="str">
        <x:v>B-</x:v>
      </x:c>
      <x:c r="K29" s="32" t="str">
        <x:v>Contenedores local</x:v>
      </x:c>
      <x:c r="L29" s="32" t="n">
        <x:v>402</x:v>
      </x:c>
      <x:c r="M29" s="32" t="str"/>
      <x:c r="N29" s="32" t="str">
        <x:v>Prospecto</x:v>
      </x:c>
      <x:c r="O29" s="32" t="str">
        <x:v>Sarmiento 3177, Río Cuarto, Córdoba</x:v>
      </x:c>
      <x:c r="P29" s="32" t="str">
        <x:v>+54 358 464-2148</x:v>
      </x:c>
      <x:c r="Q29" s="32" t="str">
        <x:v>Validar</x:v>
      </x:c>
      <x:c r="R29" s="32" t="str"/>
      <x:c r="S29" s="32" t="str"/>
      <x:c r="T29" s="32" t="str">
        <x:v>https://www.google.com/maps/search/?api=1&amp;query=Contenedores+RANQUEL+Sarmiento+3177%2C+R%C3%ADo+Cuarto%2C+C%C3%B3rdoba</x:v>
      </x:c>
      <x:c r="U29" s="32" t="str">
        <x:v>Operaciones</x:v>
      </x:c>
      <x:c r="V29" s="32" t="str">
        <x:v>Presentación comercial PRESOL — traslado de maquinaria / equipos</x:v>
      </x:c>
      <x:c r="W29" s="32" t="str">
        <x:v>Validar tipo de contenedores</x:v>
      </x:c>
      <x:c r="X29" s="32" t="str">
        <x:v>Servicio local de contenedores; tipo ISO no confirmado. | Servicios PRESOL: camilla 15 TN; carretón 30 TN; hidrogrúa. Precios: sólo cotización por viaje.</x:v>
      </x:c>
      <x:c r="Y29" s="32" t="str">
        <x:v>Media</x:v>
      </x:c>
      <x:c r="Z29" s="32" t="str">
        <x:v>https://www.google.com/maps/search/?api=1&amp;query=Contenedores+RANQUEL+Sarmiento+3177%2C+R%C3%ADo+Cuarto%2C+C%C3%B3rdoba</x:v>
      </x:c>
    </x:row>
    <x:row r="30" ht="36" customHeight="1">
      <x:c r="A30" s="32" t="str">
        <x:v>UPSERT</x:v>
      </x:c>
      <x:c r="B30" s="32" t="str">
        <x:v>imperio-contenedores-rio-cuarto</x:v>
      </x:c>
      <x:c r="C30" s="32" t="str">
        <x:v>Contenedores Imperio</x:v>
      </x:c>
      <x:c r="D30" s="32" t="str">
        <x:v>Contenedores Imperio Río Cuarto</x:v>
      </x:c>
      <x:c r="E30" s="32" t="str">
        <x:v>Río Cuarto</x:v>
      </x:c>
      <x:c r="F30" s="32" t="str">
        <x:v>Córdoba</x:v>
      </x:c>
      <x:c r="G30" s="32" t="str">
        <x:v>Contenedores / residuos</x:v>
      </x:c>
      <x:c r="H30" s="32" t="str">
        <x:v>NO confirmado marítimo ISO</x:v>
      </x:c>
      <x:c r="I30" s="32" t="str">
        <x:v>Contenedores locales</x:v>
      </x:c>
      <x:c r="J30" s="32" t="str">
        <x:v>B-</x:v>
      </x:c>
      <x:c r="K30" s="32" t="str">
        <x:v>Contenedores local</x:v>
      </x:c>
      <x:c r="L30" s="32" t="n">
        <x:v>403</x:v>
      </x:c>
      <x:c r="M30" s="32" t="str"/>
      <x:c r="N30" s="32" t="str">
        <x:v>Prospecto</x:v>
      </x:c>
      <x:c r="O30" s="32" t="str">
        <x:v>Colombia 527, Río Cuarto, Córdoba</x:v>
      </x:c>
      <x:c r="P30" s="32" t="str">
        <x:v>+54 358 463-8604</x:v>
      </x:c>
      <x:c r="Q30" s="32" t="str">
        <x:v>Validar</x:v>
      </x:c>
      <x:c r="R30" s="32" t="str"/>
      <x:c r="S30" s="32" t="str"/>
      <x:c r="T30" s="32" t="str">
        <x:v>https://www.google.com/maps/search/?api=1&amp;query=Contenedores+Imperio+R%C3%ADo+Cuarto+Colombia+527%2C+R%C3%ADo+Cuarto%2C+C%C3%B3rdoba</x:v>
      </x:c>
      <x:c r="U30" s="32" t="str">
        <x:v>Operaciones</x:v>
      </x:c>
      <x:c r="V30" s="32" t="str">
        <x:v>Presentación comercial PRESOL — traslado de maquinaria / equipos</x:v>
      </x:c>
      <x:c r="W30" s="32" t="str">
        <x:v>Validar tipo de contenedores</x:v>
      </x:c>
      <x:c r="X30" s="32" t="str">
        <x:v>No etiquetar como marítimo ISO sin confirmación. | Servicios PRESOL: camilla 15 TN; carretón 30 TN; hidrogrúa. Precios: sólo cotización por viaje.</x:v>
      </x:c>
      <x:c r="Y30" s="32" t="str">
        <x:v>Media</x:v>
      </x:c>
      <x:c r="Z30" s="32" t="str">
        <x:v>https://www.google.com/maps/search/?api=1&amp;query=Contenedores+Imperio+R%C3%ADo+Cuarto+Colombia+527%2C+R%C3%ADo+Cuarto%2C+C%C3%B3rdoba</x:v>
      </x:c>
    </x:row>
  </x:sheetData>
  <x:conditionalFormatting sqref="J2:J30">
    <x:cfRule type="expression" dxfId="6" priority="1">
      <x:formula>J2="A++"</x:formula>
    </x:cfRule>
    <x:cfRule type="expression" dxfId="7" priority="2">
      <x:formula>J2="A+"</x:formula>
    </x:cfRule>
  </x:conditionalFormatting>
  <x:dataValidations count="1">
    <x:dataValidation type="list" sqref="N2:N30">
      <x:formula1>"Prospecto,Contactado,Visitado,Interesado,Descartado"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1dd23106da40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0" hidden="0" customWidth="1"/>
    <x:col min="4" max="4" width="24" hidden="0" customWidth="1"/>
    <x:col min="5" max="5" width="48" hidden="0" customWidth="1"/>
    <x:col min="6" max="6" width="48" hidden="0" customWidth="1"/>
  </x:cols>
  <x:sheetData>
    <x:row r="1">
      <x:c r="A1" s="4" t="str">
        <x:v>Delta de actualización para Antigravity</x:v>
      </x:c>
      <x:c r="B1" s="4"/>
      <x:c r="C1" s="4"/>
      <x:c r="D1" s="4"/>
      <x:c r="E1" s="4"/>
      <x:c r="F1" s="4"/>
    </x:row>
    <x:row r="3" ht="36" customHeight="1">
      <x:c r="A3" s="18" t="str">
        <x:v>Tipo</x:v>
      </x:c>
      <x:c r="B3" s="18" t="str">
        <x:v>Canonical key</x:v>
      </x:c>
      <x:c r="C3" s="18" t="str">
        <x:v>Entidad</x:v>
      </x:c>
      <x:c r="D3" s="18" t="str">
        <x:v>Acción</x:v>
      </x:c>
      <x:c r="E3" s="18" t="str">
        <x:v>Regla</x:v>
      </x:c>
      <x:c r="F3" s="18" t="str">
        <x:v>Motivo</x:v>
      </x:c>
    </x:row>
    <x:row r="4" ht="36" customHeight="1">
      <x:c r="A4" s="32" t="str">
        <x:v>MERGE</x:v>
      </x:c>
      <x:c r="B4" s="32" t="str">
        <x:v>bricchi-rio-cuarto</x:v>
      </x:c>
      <x:c r="C4" s="32" t="str">
        <x:v>Bricchi Hnos. / Lonking</x:v>
      </x:c>
      <x:c r="D4" s="32" t="str">
        <x:v>Consolidar</x:v>
      </x:c>
      <x:c r="E4" s="32" t="str">
        <x:v>Si existe Lonking separado, transferir/relacionar sin borrar datos; Bricchi queda canónico.</x:v>
      </x:c>
      <x:c r="F4" s="32" t="str">
        <x:v>Lonking oficial publica su punto Río Cuarto en Bricchi A005 km 1,2.</x:v>
      </x:c>
    </x:row>
    <x:row r="5" ht="36" customHeight="1">
      <x:c r="A5" s="32" t="str">
        <x:v>ADD</x:v>
      </x:c>
      <x:c r="B5" s="32" t="str">
        <x:v>sala-rio-cuarto</x:v>
      </x:c>
      <x:c r="C5" s="32" t="str">
        <x:v>SALA / John Deere</x:v>
      </x:c>
      <x:c r="D5" s="32" t="str">
        <x:v>Crear si falta</x:v>
      </x:c>
      <x:c r="E5" s="32" t="str">
        <x:v>A++ / Gira Principal</x:v>
      </x:c>
      <x:c r="F5" s="32" t="str">
        <x:v>Concesionario agrícola de primera línea.</x:v>
      </x:c>
    </x:row>
    <x:row r="6" ht="36" customHeight="1">
      <x:c r="A6" s="32" t="str">
        <x:v>ADD</x:v>
      </x:c>
      <x:c r="B6" s="32" t="str">
        <x:v>agrogm-rio-cuarto</x:v>
      </x:c>
      <x:c r="C6" s="32" t="str">
        <x:v>Agro GM / Massey Ferguson</x:v>
      </x:c>
      <x:c r="D6" s="32" t="str">
        <x:v>Crear si falta</x:v>
      </x:c>
      <x:c r="E6" s="32" t="str">
        <x:v>A++ / Gira Principal</x:v>
      </x:c>
      <x:c r="F6" s="32" t="str">
        <x:v>Casa Central en Río Cuarto.</x:v>
      </x:c>
    </x:row>
    <x:row r="7" ht="36" customHeight="1">
      <x:c r="A7" s="32" t="str">
        <x:v>ADD</x:v>
      </x:c>
      <x:c r="B7" s="32" t="str">
        <x:v>metalfor-rio-cuarto</x:v>
      </x:c>
      <x:c r="C7" s="32" t="str">
        <x:v>Metalfor</x:v>
      </x:c>
      <x:c r="D7" s="32" t="str">
        <x:v>Crear si falta</x:v>
      </x:c>
      <x:c r="E7" s="32" t="str">
        <x:v>A+ / Gira Principal</x:v>
      </x:c>
      <x:c r="F7" s="32" t="str">
        <x:v>Fabricante/equipos de gran porte.</x:v>
      </x:c>
    </x:row>
    <x:row r="8" ht="36" customHeight="1">
      <x:c r="A8" s="32" t="str">
        <x:v>ADD</x:v>
      </x:c>
      <x:c r="B8" s="32" t="str">
        <x:v>agrorio-tanzi-rio-cuarto</x:v>
      </x:c>
      <x:c r="C8" s="32" t="str">
        <x:v>AgroRio / Tanzi</x:v>
      </x:c>
      <x:c r="D8" s="32" t="str">
        <x:v>Crear si falta</x:v>
      </x:c>
      <x:c r="E8" s="32" t="str">
        <x:v>A+ / Gira Principal</x:v>
      </x:c>
      <x:c r="F8" s="32" t="str">
        <x:v>Concesionario Tanzi oficial.</x:v>
      </x:c>
    </x:row>
    <x:row r="9" ht="36" customHeight="1">
      <x:c r="A9" s="32" t="str">
        <x:v>ADD</x:v>
      </x:c>
      <x:c r="B9" s="32" t="str">
        <x:v>agrorancho-rio-cuarto</x:v>
      </x:c>
      <x:c r="C9" s="32" t="str">
        <x:v>Agrorancho</x:v>
      </x:c>
      <x:c r="D9" s="32" t="str">
        <x:v>Crear si falta</x:v>
      </x:c>
      <x:c r="E9" s="32" t="str">
        <x:v>A / Gira Principal</x:v>
      </x:c>
      <x:c r="F9" s="32" t="str">
        <x:v>Mayorista activo de maquinaria agrícola.</x:v>
      </x:c>
    </x:row>
    <x:row r="10" ht="36" customHeight="1">
      <x:c r="A10" s="32" t="str">
        <x:v>UPGRADE</x:v>
      </x:c>
      <x:c r="B10" s="32" t="str">
        <x:v>agrokeegan-rio-cuarto</x:v>
      </x:c>
      <x:c r="C10" s="32" t="str">
        <x:v>Agrokeegan</x:v>
      </x:c>
      <x:c r="D10" s="32" t="str">
        <x:v>Actualizar prioridad/marcas</x:v>
      </x:c>
      <x:c r="E10" s="32" t="str">
        <x:v>A+ / Backup</x:v>
      </x:c>
      <x:c r="F10" s="32" t="str">
        <x:v>Amplio portfolio y división vial Grosspal.</x:v>
      </x:c>
    </x:row>
    <x:row r="11" ht="36" customHeight="1">
      <x:c r="A11" s="32" t="str">
        <x:v>ADD</x:v>
      </x:c>
      <x:c r="B11" s="32" t="str">
        <x:v>terramobil-rio-cuarto</x:v>
      </x:c>
      <x:c r="C11" s="32" t="str">
        <x:v>Terramobil</x:v>
      </x:c>
      <x:c r="D11" s="32" t="str">
        <x:v>Crear si falta</x:v>
      </x:c>
      <x:c r="E11" s="32" t="str">
        <x:v>A+ / Rental</x:v>
      </x:c>
      <x:c r="F11" s="32" t="str">
        <x:v>Alquiler de maquinaria vial.</x:v>
      </x:c>
    </x:row>
    <x:row r="12" ht="36" customHeight="1">
      <x:c r="A12" s="32" t="str">
        <x:v>ADD</x:v>
      </x:c>
      <x:c r="B12" s="32" t="str">
        <x:v>la-helena-rio-cuarto</x:v>
      </x:c>
      <x:c r="C12" s="32" t="str">
        <x:v>Cantera La Helena</x:v>
      </x:c>
      <x:c r="D12" s="32" t="str">
        <x:v>Crear si falta</x:v>
      </x:c>
      <x:c r="E12" s="32" t="str">
        <x:v>A+ / Rental</x:v>
      </x:c>
      <x:c r="F12" s="32" t="str">
        <x:v>Rental de cargadoras/excavadoras con operador.</x:v>
      </x:c>
    </x:row>
    <x:row r="13" ht="36" customHeight="1">
      <x:c r="A13" s="32" t="str">
        <x:v>ADD_REMOTE</x:v>
      </x:c>
      <x:c r="B13" s="32" t="str">
        <x:v>boxtainer-cordoba</x:v>
      </x:c>
      <x:c r="C13" s="32" t="str">
        <x:v>Boxtainer</x:v>
      </x:c>
      <x:c r="D13" s="32" t="str">
        <x:v>Crear lead remoto</x:v>
      </x:c>
      <x:c r="E13" s="32" t="str">
        <x:v>A+ / Contenedores marítimos</x:v>
      </x:c>
      <x:c r="F13" s="32" t="str">
        <x:v>20'/40'/reefer; validar origen de entregas a Río Cuarto.</x:v>
      </x:c>
    </x:row>
    <x:row r="14" ht="36" customHeight="1">
      <x:c r="A14" s="32" t="str">
        <x:v>ADD_REMOTE</x:v>
      </x:c>
      <x:c r="B14" s="32" t="str">
        <x:v>sudamerica-contenedores</x:v>
      </x:c>
      <x:c r="C14" s="32" t="str">
        <x:v>Sudamérica Contenedores</x:v>
      </x:c>
      <x:c r="D14" s="32" t="str">
        <x:v>Crear lead remoto</x:v>
      </x:c>
      <x:c r="E14" s="32" t="str">
        <x:v>A / Contenedores marítimos</x:v>
      </x:c>
      <x:c r="F14" s="32" t="str">
        <x:v>20'/40'/HC/reefer; no asumir depósito local.</x:v>
      </x:c>
    </x:row>
    <x:row r="15" ht="36" customHeight="1">
      <x:c r="A15" s="32" t="str">
        <x:v>CLASSIFY</x:v>
      </x:c>
      <x:c r="B15" s="32" t="str">
        <x:v>alzaco-rio-cuarto</x:v>
      </x:c>
      <x:c r="C15" s="32" t="str">
        <x:v>Alzaco</x:v>
      </x:c>
      <x:c r="D15" s="32" t="str">
        <x:v>No marcar marítimo ISO</x:v>
      </x:c>
      <x:c r="E15" s="32" t="str">
        <x:v>B / Local containers</x:v>
      </x:c>
      <x:c r="F15" s="32" t="str">
        <x:v>Publica contenedores de obra, obradores y rental.</x:v>
      </x:c>
    </x:row>
    <x:row r="16" ht="36" customHeight="1">
      <x:c r="A16" s="32" t="str">
        <x:v>CLASSIFY</x:v>
      </x:c>
      <x:c r="B16" s="32" t="str">
        <x:v>ranquel-rio-cuarto</x:v>
      </x:c>
      <x:c r="C16" s="32" t="str">
        <x:v>RANQUEL</x:v>
      </x:c>
      <x:c r="D16" s="32" t="str">
        <x:v>No marcar marítimo ISO</x:v>
      </x:c>
      <x:c r="E16" s="32" t="str">
        <x:v>B- / Local containers</x:v>
      </x:c>
      <x:c r="F16" s="32" t="str">
        <x:v>Tipo ISO no confirmado.</x:v>
      </x:c>
    </x:row>
    <x:row r="17" ht="36" customHeight="1">
      <x:c r="A17" s="32" t="str">
        <x:v>CLASSIFY</x:v>
      </x:c>
      <x:c r="B17" s="32" t="str">
        <x:v>imperio-contenedores-rio-cuarto</x:v>
      </x:c>
      <x:c r="C17" s="32" t="str">
        <x:v>Contenedores Imperio</x:v>
      </x:c>
      <x:c r="D17" s="32" t="str">
        <x:v>No marcar marítimo ISO</x:v>
      </x:c>
      <x:c r="E17" s="32" t="str">
        <x:v>B- / Local containers</x:v>
      </x:c>
      <x:c r="F17" s="32" t="str">
        <x:v>Tipo ISO no confirmado.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a62a421b1b745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  <x:col min="3" max="3" width="48" hidden="0" customWidth="1"/>
    <x:col min="4" max="4" width="12" hidden="0" customWidth="1"/>
    <x:col min="5" max="5" width="14" hidden="0" customWidth="1"/>
  </x:cols>
  <x:sheetData>
    <x:row r="1" ht="36" customHeight="1">
      <x:c r="A1" s="18" t="str">
        <x:v>Entidad</x:v>
      </x:c>
      <x:c r="B1" s="18" t="str">
        <x:v>Qué valida</x:v>
      </x:c>
      <x:c r="C1" s="18" t="str">
        <x:v>Fuente</x:v>
      </x:c>
      <x:c r="D1" s="18" t="str">
        <x:v>Confianza</x:v>
      </x:c>
      <x:c r="E1" s="18" t="str">
        <x:v>Fecha revisión</x:v>
      </x:c>
    </x:row>
    <x:row r="2" ht="36" customHeight="1">
      <x:c r="A2" s="32" t="str">
        <x:v>SALA / Agrotecnología Sala S.A.</x:v>
      </x:c>
      <x:c r="B2" s="32" t="str">
        <x:v>Concesionario agrícola · RN36 km 609, Río Cuarto, Córdoba · +54 9 358 240-9477</x:v>
      </x:c>
      <x:c r="C2" s="32" t="str">
        <x:v>https://www.deere.com.ar/assets/pdfs/region-3/our-company/news/032024-bases-y-condiciones-promo-bater%C3%ADas-jd.pdf</x:v>
      </x:c>
      <x:c r="D2" s="32" t="str">
        <x:v>Alta</x:v>
      </x:c>
      <x:c r="E2" s="32" t="str">
        <x:v>2026-10-01</x:v>
      </x:c>
    </x:row>
    <x:row r="3" ht="36" customHeight="1">
      <x:c r="A3" s="32" t="str">
        <x:v>Pallotti Maquinarias</x:v>
      </x:c>
      <x:c r="B3" s="32" t="str">
        <x:v>Concesionario vial · RN A005 km 3,5, Río Cuarto, Córdoba · +54 358 571-3137 / +54 358 509-1218</x:v>
      </x:c>
      <x:c r="C3" s="32" t="str">
        <x:v>https://pallottimaquinarias.ar/contacto</x:v>
      </x:c>
      <x:c r="D3" s="32" t="str">
        <x:v>Alta</x:v>
      </x:c>
      <x:c r="E3" s="32" t="str">
        <x:v>2026-10-01</x:v>
      </x:c>
    </x:row>
    <x:row r="4" ht="36" customHeight="1">
      <x:c r="A4" s="32" t="str">
        <x:v>Bricchi Hnos. S.A.</x:v>
      </x:c>
      <x:c r="B4" s="32" t="str">
        <x:v>Concesionario vial + agrícola · Ruta A005 km 1,2, Río Cuarto, Córdoba · +54 9 358 485-4418</x:v>
      </x:c>
      <x:c r="C4" s="32" t="str">
        <x:v>https://www.bricchihnos.com/contact</x:v>
      </x:c>
      <x:c r="D4" s="32" t="str">
        <x:v>Alta</x:v>
      </x:c>
      <x:c r="E4" s="32" t="str">
        <x:v>2026-10-01</x:v>
      </x:c>
    </x:row>
    <x:row r="5" ht="36" customHeight="1">
      <x:c r="A5" s="32" t="str">
        <x:v>Metalfor S.A. / Servicap Río Cuarto</x:v>
      </x:c>
      <x:c r="B5" s="32" t="str">
        <x:v>Fabricante / maquinaria agrícola · Ruta A005 km 2,5-3, Río Cuarto, Córdoba · +54 358 601-1697 / +54 358 465-5642</x:v>
      </x:c>
      <x:c r="C5" s="32" t="str">
        <x:v>https://locatoradmin.cummins.com/locator-interface/rv-or-motorhome-locations?page=34</x:v>
      </x:c>
      <x:c r="D5" s="32" t="str">
        <x:v>Media</x:v>
      </x:c>
      <x:c r="E5" s="32" t="str">
        <x:v>2026-10-01</x:v>
      </x:c>
    </x:row>
    <x:row r="6" ht="36" customHeight="1">
      <x:c r="A6" s="32" t="str">
        <x:v>AgroRio Maquinaria Agrícola</x:v>
      </x:c>
      <x:c r="B6" s="32" t="str">
        <x:v>Concesionario agrícola · Colectora Dr. Alfredo Palacios 2594, RN A005 km 3, Río Cuarto, Córdoba · +54 358 609-3110</x:v>
      </x:c>
      <x:c r="C6" s="32" t="str">
        <x:v>https://www.tanzi.com.ar/concesionarios.php</x:v>
      </x:c>
      <x:c r="D6" s="32" t="str">
        <x:v>Alta</x:v>
      </x:c>
      <x:c r="E6" s="32" t="str">
        <x:v>2026-10-01</x:v>
      </x:c>
    </x:row>
    <x:row r="7" ht="36" customHeight="1">
      <x:c r="A7" s="32" t="str">
        <x:v>Agrorancho Maquinarias</x:v>
      </x:c>
      <x:c r="B7" s="32" t="str">
        <x:v>Concesionario agrícola · Ruta A005 km 3,5, Río Cuarto, Córdoba · +54 358 465-2174</x:v>
      </x:c>
      <x:c r="C7" s="32" t="str">
        <x:v>https://indicadores.ar/empresa/33719441039-agrorancho-maquinarias-s-a-s</x:v>
      </x:c>
      <x:c r="D7" s="32" t="str">
        <x:v>Media</x:v>
      </x:c>
      <x:c r="E7" s="32" t="str">
        <x:v>2026-10-01</x:v>
      </x:c>
    </x:row>
    <x:row r="8" ht="36" customHeight="1">
      <x:c r="A8" s="32" t="str">
        <x:v>Grossvial Río Cuarto</x:v>
      </x:c>
      <x:c r="B8" s="32" t="str">
        <x:v>Concesionario vial · RN A005, Río Cuarto, Córdoba · +54 358 439-9599</x:v>
      </x:c>
      <x:c r="C8" s="32" t="str">
        <x:v>https://grossvial.com/</x:v>
      </x:c>
      <x:c r="D8" s="32" t="str">
        <x:v>Alta</x:v>
      </x:c>
      <x:c r="E8" s="32" t="str">
        <x:v>2026-10-01</x:v>
      </x:c>
    </x:row>
    <x:row r="9" ht="36" customHeight="1">
      <x:c r="A9" s="32" t="str">
        <x:v>Semtraco S.A. - Río Cuarto</x:v>
      </x:c>
      <x:c r="B9" s="32" t="str">
        <x:v>Concesionario vial + agrícola · Acceso 005 – Circunvalación, Río Cuarto, Córdoba · +54 358 415-8451</x:v>
      </x:c>
      <x:c r="C9" s="32" t="str">
        <x:v>https://www.semtraco.com.ar/productos/jcb-argentina.html</x:v>
      </x:c>
      <x:c r="D9" s="32" t="str">
        <x:v>Alta</x:v>
      </x:c>
      <x:c r="E9" s="32" t="str">
        <x:v>2026-10-01</x:v>
      </x:c>
    </x:row>
    <x:row r="10" ht="36" customHeight="1">
      <x:c r="A10" s="32" t="str">
        <x:v>Agro GM S.A. - Río Cuarto</x:v>
      </x:c>
      <x:c r="B10" s="32" t="str">
        <x:v>Concesionario agrícola · Ruta 8 km 606,5, Río Cuarto, Córdoba · +54 358 462-6444 / +54 3582 15449168</x:v>
      </x:c>
      <x:c r="C10" s="32" t="str">
        <x:v>https://www.agrogmsa.com.ar/contacto/</x:v>
      </x:c>
      <x:c r="D10" s="32" t="str">
        <x:v>Alta</x:v>
      </x:c>
      <x:c r="E10" s="32" t="str">
        <x:v>2026-10-01</x:v>
      </x:c>
    </x:row>
    <x:row r="11" ht="36" customHeight="1">
      <x:c r="A11" s="32" t="str">
        <x:v>Demarchi S.A.</x:v>
      </x:c>
      <x:c r="B11" s="32" t="str">
        <x:v>Concesionario agrícola · Av. Godoy Cruz 485, Río Cuarto, Córdoba · +54 358 401-0714</x:v>
      </x:c>
      <x:c r="C11" s="32" t="str">
        <x:v>https://www.demarchi.com.ar/es/quienes-somos/</x:v>
      </x:c>
      <x:c r="D11" s="32" t="str">
        <x:v>Alta</x:v>
      </x:c>
      <x:c r="E11" s="32" t="str">
        <x:v>2026-10-01</x:v>
      </x:c>
    </x:row>
    <x:row r="12" ht="36" customHeight="1">
      <x:c r="A12" s="32" t="str">
        <x:v>Aníbal Barbero - El Amigazo SRL</x:v>
      </x:c>
      <x:c r="B12" s="32" t="str">
        <x:v>Concesionario agrícola · Av. Godoy Cruz 520, Río Cuarto, Córdoba · +54 358 412-1247 / +54 358 412-1252</x:v>
      </x:c>
      <x:c r="C12" s="32" t="str">
        <x:v>https://anibalbarbero.com/nosotros/</x:v>
      </x:c>
      <x:c r="D12" s="32" t="str">
        <x:v>Alta</x:v>
      </x:c>
      <x:c r="E12" s="32" t="str">
        <x:v>2026-10-01</x:v>
      </x:c>
    </x:row>
    <x:row r="13" ht="36" customHeight="1">
      <x:c r="A13" s="32" t="str">
        <x:v>Simonassi Maquinarias Agrícolas</x:v>
      </x:c>
      <x:c r="B13" s="32" t="str">
        <x:v>Concesionario agrícola · Av. Amadeo Sabattini 2950, Río Cuarto, Córdoba · +54 358 506-2964</x:v>
      </x:c>
      <x:c r="C13" s="32" t="str">
        <x:v>https://www.google.com/maps/search/?api=1&amp;query=Simonassi+Maquinarias+Agr%C3%ADcolas+Lovol+Av.+Amadeo+Sabattini+2950%2C+R%C3%ADo+Cuarto%2C+C%C3%B3rdoba</x:v>
      </x:c>
      <x:c r="D13" s="32" t="str">
        <x:v>Media</x:v>
      </x:c>
      <x:c r="E13" s="32" t="str">
        <x:v>2026-10-01</x:v>
      </x:c>
    </x:row>
    <x:row r="14" ht="36" customHeight="1">
      <x:c r="A14" s="32" t="str">
        <x:v>RINO Pauny</x:v>
      </x:c>
      <x:c r="B14" s="32" t="str">
        <x:v>Concesionario agrícola · RN A005 km 10,5, Río Cuarto, Córdoba · +54 358 509-1232</x:v>
      </x:c>
      <x:c r="C14" s="32" t="str">
        <x:v>https://www.google.com/maps/search/?api=1&amp;query=RINO+Pauny+RN+A005+km+10%2C5%2C+R%C3%ADo+Cuarto%2C+C%C3%B3rdoba</x:v>
      </x:c>
      <x:c r="D14" s="32" t="str">
        <x:v>Media</x:v>
      </x:c>
      <x:c r="E14" s="32" t="str">
        <x:v>2026-10-01</x:v>
      </x:c>
    </x:row>
    <x:row r="15" ht="36" customHeight="1">
      <x:c r="A15" s="32" t="str">
        <x:v>CATPRO Maquinarias</x:v>
      </x:c>
      <x:c r="B15" s="32" t="str">
        <x:v>Concesionario agrícola · Av. Godoy Cruz 564, Río Cuarto, Córdoba · +54 358 465-0092 / +54 358 463-2206</x:v>
      </x:c>
      <x:c r="C15" s="32" t="str">
        <x:v>https://www.catprosa.com.ar/index.php/contacto</x:v>
      </x:c>
      <x:c r="D15" s="32" t="str">
        <x:v>Alta</x:v>
      </x:c>
      <x:c r="E15" s="32" t="str">
        <x:v>2026-10-01</x:v>
      </x:c>
    </x:row>
    <x:row r="16" ht="36" customHeight="1">
      <x:c r="A16" s="32" t="str">
        <x:v>Agrokeegan Maquinarias</x:v>
      </x:c>
      <x:c r="B16" s="32" t="str">
        <x:v>Concesionario agrícola + vial liviano · Ruta A005 km 0,5, Río Cuarto, Córdoba · +54 358 601-4848</x:v>
      </x:c>
      <x:c r="C16" s="32" t="str">
        <x:v>https://www.agrokeegan.com.ar/</x:v>
      </x:c>
      <x:c r="D16" s="32" t="str">
        <x:v>Alta</x:v>
      </x:c>
      <x:c r="E16" s="32" t="str">
        <x:v>2026-10-01</x:v>
      </x:c>
    </x:row>
    <x:row r="17" ht="36" customHeight="1">
      <x:c r="A17" s="32" t="str">
        <x:v>Caon Maquinarias</x:v>
      </x:c>
      <x:c r="B17" s="32" t="str">
        <x:v>Maquinaria agrícola · RN8 km 608, Río Cuarto, Córdoba · +54 358 411-7162</x:v>
      </x:c>
      <x:c r="C17" s="32" t="str">
        <x:v>https://www.google.com/maps/search/?api=1&amp;query=Caon+Maquinarias+RN8+km+608%2C+R%C3%ADo+Cuarto%2C+C%C3%B3rdoba</x:v>
      </x:c>
      <x:c r="D17" s="32" t="str">
        <x:v>Media</x:v>
      </x:c>
      <x:c r="E17" s="32" t="str">
        <x:v>2026-10-01</x:v>
      </x:c>
    </x:row>
    <x:row r="18" ht="36" customHeight="1">
      <x:c r="A18" s="32" t="str">
        <x:v>Concesionario Ruben Marconi</x:v>
      </x:c>
      <x:c r="B18" s="32" t="str">
        <x:v>Concesionario agrícola · RN A005 2708, Río Cuarto, Córdoba · +54 358 470-0452</x:v>
      </x:c>
      <x:c r="C18" s="32" t="str">
        <x:v>https://www.google.com/maps/search/?api=1&amp;query=Concesionario+Ruben+Marconi+RN+A005+2708%2C+R%C3%ADo+Cuarto%2C+C%C3%B3rdoba</x:v>
      </x:c>
      <x:c r="D18" s="32" t="str">
        <x:v>Media</x:v>
      </x:c>
      <x:c r="E18" s="32" t="str">
        <x:v>2026-10-01</x:v>
      </x:c>
    </x:row>
    <x:row r="19" ht="36" customHeight="1">
      <x:c r="A19" s="32" t="str">
        <x:v>Agro Vial Fernández</x:v>
      </x:c>
      <x:c r="B19" s="32" t="str">
        <x:v>Fabricante maquinaria agrícola · Ruta A005 y Arturo M. Bas, Río Cuarto, Córdoba · +54 9 351 607-7077</x:v>
      </x:c>
      <x:c r="C19" s="32" t="str">
        <x:v>https://www.google.com/maps/search/?api=1&amp;query=Agro+Vial+Fernandez+Ruta+A005+y+Arturo+M.+Bas%2C+R%C3%ADo+Cuarto%2C+C%C3%B3rdoba</x:v>
      </x:c>
      <x:c r="D19" s="32" t="str">
        <x:v>Media</x:v>
      </x:c>
      <x:c r="E19" s="32" t="str">
        <x:v>2026-10-01</x:v>
      </x:c>
    </x:row>
    <x:row r="20" ht="36" customHeight="1">
      <x:c r="A20" s="32" t="str">
        <x:v>Terramobil - Alquiler de Maquinaria Vial</x:v>
      </x:c>
      <x:c r="B20" s="32" t="str">
        <x:v>Rental maquinaria vial · Pirovano 613, Río Cuarto, Córdoba · +54 358 518-0190</x:v>
      </x:c>
      <x:c r="C20" s="32" t="str">
        <x:v>https://www.google.com/maps/search/?api=1&amp;query=Terramobil+alquiler+maquinaria+vial+Pirovano+613%2C+R%C3%ADo+Cuarto%2C+C%C3%B3rdoba</x:v>
      </x:c>
      <x:c r="D20" s="32" t="str">
        <x:v>Media</x:v>
      </x:c>
      <x:c r="E20" s="32" t="str">
        <x:v>2026-10-01</x:v>
      </x:c>
    </x:row>
    <x:row r="21" ht="36" customHeight="1">
      <x:c r="A21" s="32" t="str">
        <x:v>Cantera La Helena</x:v>
      </x:c>
      <x:c r="B21" s="32" t="str">
        <x:v>Rental maquinaria vial + cantera · Ex Ruta 36 km 610, Río Cuarto, Córdoba · +54 358 430-9507</x:v>
      </x:c>
      <x:c r="C21" s="32" t="str">
        <x:v>https://lahelena.com.ar/services/</x:v>
      </x:c>
      <x:c r="D21" s="32" t="str">
        <x:v>Alta</x:v>
      </x:c>
      <x:c r="E21" s="32" t="str">
        <x:v>2026-10-01</x:v>
      </x:c>
    </x:row>
    <x:row r="22" ht="36" customHeight="1">
      <x:c r="A22" s="32" t="str">
        <x:v>Casale Maquinarias / Movimientos Agro Vial S.A.</x:v>
      </x:c>
      <x:c r="B22" s="32" t="str">
        <x:v>Rental + venta maquinaria vial/agro · RN36 km 606, Río Cuarto, Córdoba · +54 358 509-4615</x:v>
      </x:c>
      <x:c r="C22" s="32" t="str">
        <x:v>https://casalemaquinarias.com.ar/</x:v>
      </x:c>
      <x:c r="D22" s="32" t="str">
        <x:v>Alta</x:v>
      </x:c>
      <x:c r="E22" s="32" t="str">
        <x:v>2026-10-01</x:v>
      </x:c>
    </x:row>
    <x:row r="23" ht="36" customHeight="1">
      <x:c r="A23" s="32" t="str">
        <x:v>Alquilo Todo Río Cuarto</x:v>
      </x:c>
      <x:c r="B23" s="32" t="str">
        <x:v>Rental construcción · Reverendo Padre Geniale Silvi 273, colectora A005, Río Cuarto, Córdoba · +54 3546 490-403</x:v>
      </x:c>
      <x:c r="C23" s="32" t="str">
        <x:v>https://www.google.com/maps/search/?api=1&amp;query=Alquilo+Todo+R%C3%ADo+Cuarto+Reverendo+Padre+Geniale+Silvi+273%2C+R%C3%ADo+Cuarto%2C+C%C3%B3rdoba</x:v>
      </x:c>
      <x:c r="D23" s="32" t="str">
        <x:v>Media</x:v>
      </x:c>
      <x:c r="E23" s="32" t="str">
        <x:v>2026-10-01</x:v>
      </x:c>
    </x:row>
    <x:row r="24" ht="36" customHeight="1">
      <x:c r="A24" s="32" t="str">
        <x:v>SAV Autoelevadores y Máquinas Viales</x:v>
      </x:c>
      <x:c r="B24" s="32" t="str">
        <x:v>Servicio maquinaria vial · Lope de Vega 946, Río Cuarto, Córdoba · +54 358 509-2695</x:v>
      </x:c>
      <x:c r="C24" s="32" t="str">
        <x:v>https://www.google.com/maps/search/?api=1&amp;query=SAV+Autoelevadores+y+Maquinas+Viales+Lope+de+Vega+946%2C+R%C3%ADo+Cuarto%2C+C%C3%B3rdoba</x:v>
      </x:c>
      <x:c r="D24" s="32" t="str">
        <x:v>Media</x:v>
      </x:c>
      <x:c r="E24" s="32" t="str">
        <x:v>2026-10-01</x:v>
      </x:c>
    </x:row>
    <x:row r="25" ht="36" customHeight="1">
      <x:c r="A25" s="32" t="str">
        <x:v>TECNAC S.R.L.</x:v>
      </x:c>
      <x:c r="B25" s="32" t="str">
        <x:v>Constructora con flota vial · De las Postas 2435, Río Cuarto, Córdoba · </x:v>
      </x:c>
      <x:c r="C25" s="32" t="str">
        <x:v>https://www.tecnac.com.ar/nosotros</x:v>
      </x:c>
      <x:c r="D25" s="32" t="str">
        <x:v>Alta</x:v>
      </x:c>
      <x:c r="E25" s="32" t="str">
        <x:v>2026-10-01</x:v>
      </x:c>
    </x:row>
    <x:row r="26" ht="36" customHeight="1">
      <x:c r="A26" s="32" t="str">
        <x:v>Boxtainer</x:v>
      </x:c>
      <x:c r="B26" s="32" t="str">
        <x:v>Contenedores marítimos · Depósitos en Córdoba / Mendoza / Buenos Aires; publicaciones activas para Río Cuarto · +54 351 254-0586</x:v>
      </x:c>
      <x:c r="C26" s="32" t="str">
        <x:v>https://vehiculo.mercadolibre.com.ar/MLA-1626447959-contenedores-maritimos-entrega-inmediata-20-y-40-pies-stock-_JM</x:v>
      </x:c>
      <x:c r="D26" s="32" t="str">
        <x:v>Alta</x:v>
      </x:c>
      <x:c r="E26" s="32" t="str">
        <x:v>2026-10-01</x:v>
      </x:c>
    </x:row>
    <x:row r="27" ht="36" customHeight="1">
      <x:c r="A27" s="32" t="str">
        <x:v>Sudamérica Contenedores</x:v>
      </x:c>
      <x:c r="B27" s="32" t="str">
        <x:v>Contenedores marítimos · Depósitos en varias plazas; confirmar depósito que abastece Río Cuarto · Validar en canal comercial</x:v>
      </x:c>
      <x:c r="C27" s="32" t="str">
        <x:v>https://sudamericacontenedores.com.ar/</x:v>
      </x:c>
      <x:c r="D27" s="32" t="str">
        <x:v>Alta</x:v>
      </x:c>
      <x:c r="E27" s="32" t="str">
        <x:v>2026-10-01</x:v>
      </x:c>
    </x:row>
    <x:row r="28" ht="36" customHeight="1">
      <x:c r="A28" s="32" t="str">
        <x:v>Alzaco - División Contenedores</x:v>
      </x:c>
      <x:c r="B28" s="32" t="str">
        <x:v>Contenedores de obra / rental · Hipólito Yrigoyen 2224, Río Cuarto, Córdoba · +54 358 462-6742 / +54 358 464-9543</x:v>
      </x:c>
      <x:c r="C28" s="32" t="str">
        <x:v>https://www.alzaco.com.ar/contenedores/</x:v>
      </x:c>
      <x:c r="D28" s="32" t="str">
        <x:v>Alta</x:v>
      </x:c>
      <x:c r="E28" s="32" t="str">
        <x:v>2026-10-01</x:v>
      </x:c>
    </x:row>
    <x:row r="29" ht="36" customHeight="1">
      <x:c r="A29" s="32" t="str">
        <x:v>Contenedores RANQUEL</x:v>
      </x:c>
      <x:c r="B29" s="32" t="str">
        <x:v>Contenedores / residuos · Sarmiento 3177, Río Cuarto, Córdoba · +54 358 464-2148</x:v>
      </x:c>
      <x:c r="C29" s="32" t="str">
        <x:v>https://www.google.com/maps/search/?api=1&amp;query=Contenedores+RANQUEL+Sarmiento+3177%2C+R%C3%ADo+Cuarto%2C+C%C3%B3rdoba</x:v>
      </x:c>
      <x:c r="D29" s="32" t="str">
        <x:v>Media</x:v>
      </x:c>
      <x:c r="E29" s="32" t="str">
        <x:v>2026-10-01</x:v>
      </x:c>
    </x:row>
    <x:row r="30" ht="36" customHeight="1">
      <x:c r="A30" s="32" t="str">
        <x:v>Contenedores Imperio Río Cuarto</x:v>
      </x:c>
      <x:c r="B30" s="32" t="str">
        <x:v>Contenedores / residuos · Colombia 527, Río Cuarto, Córdoba · +54 358 463-8604</x:v>
      </x:c>
      <x:c r="C30" s="32" t="str">
        <x:v>https://www.google.com/maps/search/?api=1&amp;query=Contenedores+Imperio+R%C3%ADo+Cuarto+Colombia+527%2C+R%C3%ADo+Cuarto%2C+C%C3%B3rdoba</x:v>
      </x:c>
      <x:c r="D30" s="32" t="str">
        <x:v>Media</x:v>
      </x:c>
      <x:c r="E30" s="32" t="str">
        <x:v>2026-10-01</x:v>
      </x:c>
    </x:row>
  </x:sheetData>
  <x:pageMargins left="0.7" right="0.7" top="0.75" bottom="0.75" header="0.3" footer="0.3"/>
  <x:tableParts count="1">
    <x:tablePart xmlns:r="http://schemas.openxmlformats.org/officeDocument/2006/relationships" r:id="R16454457d9b04c7f"/>
  </x:tableParts>
</x:worksheet>
</file>