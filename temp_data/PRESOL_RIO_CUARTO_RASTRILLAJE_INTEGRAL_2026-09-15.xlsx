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ca8fbe932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5b8aa49fbf654346"/>
    <x:sheet xmlns:r="http://schemas.openxmlformats.org/officeDocument/2006/relationships" name="Prospectos" sheetId="2" r:id="R2e7e3c5e349d4bd7"/>
    <x:sheet xmlns:r="http://schemas.openxmlformats.org/officeDocument/2006/relationships" name="Indicadores" sheetId="3" r:id="Rc49b9a681cb1477f"/>
    <x:sheet xmlns:r="http://schemas.openxmlformats.org/officeDocument/2006/relationships" name="Ruta A+" sheetId="4" r:id="R65bad2fd452040dd"/>
    <x:sheet xmlns:r="http://schemas.openxmlformats.org/officeDocument/2006/relationships" name="Contactos a verificar" sheetId="5" r:id="Re6785e0b56234437"/>
    <x:sheet xmlns:r="http://schemas.openxmlformats.org/officeDocument/2006/relationships" name="Servicios PRESOL" sheetId="6" r:id="R64969ab231944df2"/>
    <x:sheet xmlns:r="http://schemas.openxmlformats.org/officeDocument/2006/relationships" name="Rastrillaje sectores" sheetId="7" r:id="R21c7b0f67b524bf8"/>
    <x:sheet xmlns:r="http://schemas.openxmlformats.org/officeDocument/2006/relationships" name="Guía de uso" sheetId="8" r:id="R2a619f5d8dc4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7C5B00"/>
      </x:font>
      <x:fill>
        <x:patternFill patternType="solid">
          <x:bgColor rgb="FFFFF2CC"/>
        </x:patternFill>
      </x:fill>
    </x:dxf>
    <x:dxf>
      <x:font>
        <x:b/>
        <x:color rgb="FF475569"/>
      </x:font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2368144814f76" /><Relationship Type="http://schemas.openxmlformats.org/officeDocument/2006/relationships/theme" Target="/xl/theme/theme1.xml" Id="R0221d75472564644" /><Relationship Type="http://schemas.openxmlformats.org/officeDocument/2006/relationships/sharedStrings" Target="/xl/sharedStrings.xml" Id="R1d9eec7c5c8944f1" /><Relationship Type="http://schemas.openxmlformats.org/officeDocument/2006/relationships/worksheet" Target="/xl/worksheets/sheet1.xml" Id="R5b8aa49fbf654346" /><Relationship Type="http://schemas.openxmlformats.org/officeDocument/2006/relationships/worksheet" Target="/xl/worksheets/sheet2.xml" Id="R2e7e3c5e349d4bd7" /><Relationship Type="http://schemas.openxmlformats.org/officeDocument/2006/relationships/worksheet" Target="/xl/worksheets/sheet3.xml" Id="Rc49b9a681cb1477f" /><Relationship Type="http://schemas.openxmlformats.org/officeDocument/2006/relationships/worksheet" Target="/xl/worksheets/sheet4.xml" Id="R65bad2fd452040dd" /><Relationship Type="http://schemas.openxmlformats.org/officeDocument/2006/relationships/worksheet" Target="/xl/worksheets/sheet5.xml" Id="Re6785e0b56234437" /><Relationship Type="http://schemas.openxmlformats.org/officeDocument/2006/relationships/worksheet" Target="/xl/worksheets/sheet6.xml" Id="R64969ab231944df2" /><Relationship Type="http://schemas.openxmlformats.org/officeDocument/2006/relationships/worksheet" Target="/xl/worksheets/sheet7.xml" Id="R21c7b0f67b524bf8" /><Relationship Type="http://schemas.openxmlformats.org/officeDocument/2006/relationships/worksheet" Target="/xl/worksheets/sheet8.xml" Id="R2a619f5d8dc444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3ed828d81340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ed828d81340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RioCuarto" displayName="ResumenRioCuarto" ref="A11:K98" headerRowCount="1" totalsRowCount="0" totalsRowShown="0">
  <x:tableColumns count="11">
    <x:tableColumn id="1" name="ID"/>
    <x:tableColumn id="2" name="Clase"/>
    <x:tableColumn id="3" name="Score"/>
    <x:tableColumn id="4" name="Empresa"/>
    <x:tableColumn id="5" name="Categoría"/>
    <x:tableColumn id="6" name="Teléfonos"/>
    <x:tableColumn id="7" name="Microzona"/>
    <x:tableColumn id="8" name="Necesidad probable"/>
    <x:tableColumn id="9" name="Oferta PRESOL"/>
    <x:tableColumn id="10" name="Acción sugerida"/>
    <x:tableColumn id="11" name="Google 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RioCuarto" displayName="ProspectosRioCuarto" ref="A1:AM88" headerRowCount="1" totalsRowCount="0" totalsRowShown="0">
  <x:tableColumns count="39">
    <x:tableColumn id="1" name="ID"/>
    <x:tableColumn id="2" name="Estado de contacto"/>
    <x:tableColumn id="3" name="Corredor"/>
    <x:tableColumn id="4" name="Microzona"/>
    <x:tableColumn id="5" name="Ciudad"/>
    <x:tableColumn id="6" name="Clase"/>
    <x:tableColumn id="7" name="Puntaje operativo"/>
    <x:tableColumn id="8" name="Empresa"/>
    <x:tableColumn id="9" name="Sector"/>
    <x:tableColumn id="10" name="Categoría comercial"/>
    <x:tableColumn id="11" name="Teléfonos"/>
    <x:tableColumn id="12" name="Calidad del teléfono"/>
    <x:tableColumn id="13" name="Preguntar por"/>
    <x:tableColumn id="14" name="Necesidad probable"/>
    <x:tableColumn id="15" name="Oferta PRESOL"/>
    <x:tableColumn id="16" name="Gancho comercial"/>
    <x:tableColumn id="17" name="Acción sugerida"/>
    <x:tableColumn id="18" name="Responsable"/>
    <x:tableColumn id="19" name="Nota Dirección"/>
    <x:tableColumn id="20" name="Resultado"/>
    <x:tableColumn id="21" name="Fecha de visita"/>
    <x:tableColumn id="22" name="Próximo paso"/>
    <x:tableColumn id="23" name="Notas de campo"/>
    <x:tableColumn id="24" name="Teléfono principal (tel:)"/>
    <x:tableColumn id="25" name="Links telefónicos"/>
    <x:tableColumn id="26" name="Dato pendiente"/>
    <x:tableColumn id="27" name="Google Maps"/>
    <x:tableColumn id="28" name="Fuente"/>
    <x:tableColumn id="29" name="URL fuente"/>
    <x:tableColumn id="30" name="Evidencia"/>
    <x:tableColumn id="31" name="Calidad del dato"/>
    <x:tableColumn id="32" name="Origen del registro"/>
    <x:tableColumn id="33" name="Servicios PRESOL a ofrecer"/>
    <x:tableColumn id="34" name="Rubro foco enriquecimiento"/>
    <x:tableColumn id="35" name="Ciudad foco solicitada"/>
    <x:tableColumn id="36" name="Prioridad visita sugerida"/>
    <x:tableColumn id="37" name="Observación servicio nuevo"/>
    <x:tableColumn id="38" name="Fuente unificación"/>
    <x:tableColumn id="39" name="Notas de unif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taAPlusRioCuarto" displayName="RutaAPlusRioCuarto" ref="A4:L27" headerRowCount="1" totalsRowCount="0" totalsRowShown="0">
  <x:tableColumns count="12">
    <x:tableColumn id="1" name="Orden"/>
    <x:tableColumn id="2" name="Zona"/>
    <x:tableColumn id="3" name="Empresa"/>
    <x:tableColumn id="4" name="Score"/>
    <x:tableColumn id="5" name="Teléfono"/>
    <x:tableColumn id="6" name="Dirección"/>
    <x:tableColumn id="7" name="Preguntar por"/>
    <x:tableColumn id="8" name="Necesidad"/>
    <x:tableColumn id="9" name="Oferta PRESOL"/>
    <x:tableColumn id="10" name="Acción"/>
    <x:tableColumn id="11" name="Google Maps"/>
    <x:tableColumn id="12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actosVerificarRioCuarto" displayName="ContactosVerificarRioCuarto" ref="A1:I77" headerRowCount="1" totalsRowCount="0" totalsRowShown="0">
  <x:tableColumns count="9">
    <x:tableColumn id="1" name="ID"/>
    <x:tableColumn id="2" name="Clase"/>
    <x:tableColumn id="3" name="Empresa"/>
    <x:tableColumn id="4" name="Teléfonos"/>
    <x:tableColumn id="5" name="Calidad"/>
    <x:tableColumn id="6" name="Preguntar por"/>
    <x:tableColumn id="7" name="Dato pendiente"/>
    <x:tableColumn id="8" name="Fuente"/>
    <x:tableColumn id="9" name="URL 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strillajeSectoresRioCuarto" displayName="RastrillajeSectoresRioCuarto" ref="A1:M88" headerRowCount="1" totalsRowCount="0" totalsRowShown="0">
  <x:tableColumns count="13">
    <x:tableColumn id="1" name="ID"/>
    <x:tableColumn id="2" name="Clase"/>
    <x:tableColumn id="3" name="Score"/>
    <x:tableColumn id="4" name="Empresa"/>
    <x:tableColumn id="5" name="Sector"/>
    <x:tableColumn id="6" name="Categoría"/>
    <x:tableColumn id="7" name="Teléfonos"/>
    <x:tableColumn id="8" name="Dirección"/>
    <x:tableColumn id="9" name="Zona"/>
    <x:tableColumn id="10" name="Necesidad probable"/>
    <x:tableColumn id="11" name="Acción sugerida"/>
    <x:tableColumn id="12" name="Fuente"/>
    <x:tableColumn id="1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a550e3d5c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171f79175e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b1043f92e2d4c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71699c702e44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c59f907cf9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d18e6d098147a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0" hidden="0" customWidth="1"/>
    <x:col min="5" max="5" width="26" hidden="0" customWidth="1"/>
    <x:col min="6" max="6" width="20" hidden="0" customWidth="1"/>
    <x:col min="7" max="7" width="24" hidden="0" customWidth="1"/>
    <x:col min="8" max="8" width="40" hidden="0" customWidth="1"/>
    <x:col min="9" max="9" width="37" hidden="0" customWidth="1"/>
    <x:col min="10" max="10" width="38" hidden="0" customWidth="1"/>
    <x:col min="11" max="11" width="36" hidden="0" customWidth="1"/>
  </x:cols>
  <x:sheetData>
    <x:row r="1">
      <x:c r="A1" s="70" t="str">
        <x:v>PRESOL · PROSPECTOS RÍO CUARTO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46" t="str">
        <x:v>Barrido integral · maquinaria pesada, agro, obra vial, industria, elevación, hormigón y cargas especiales · 15/09/2026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47" t="str">
        <x:v>TOTAL</x:v>
      </x:c>
      <x:c r="B4" s="48" t="n">
        <x:f>COUNTA(Prospectos!H2:H88)</x:f>
        <x:v>87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47" t="str">
        <x:v>A+</x:v>
      </x:c>
      <x:c r="B5" s="48" t="n">
        <x:f>COUNTIF(Prospectos!F2:F88,"A+")</x:f>
        <x:v>23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47" t="str">
        <x:v>A</x:v>
      </x:c>
      <x:c r="B6" s="48" t="n">
        <x:f>COUNTIF(Prospectos!F2:F88,"A")</x:f>
        <x:v>52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47" t="str">
        <x:v>B</x:v>
      </x:c>
      <x:c r="B7" s="48" t="n">
        <x:f>COUNTIF(Prospectos!F2:F88,"B")</x:f>
        <x:v>12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47" t="str">
        <x:v>TELÉFONOS OK</x:v>
      </x:c>
      <x:c r="B8" s="48" t="n">
        <x:f>COUNTIF(Prospectos!L2:L88,"OK")</x:f>
        <x:v>84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68" t="str">
        <x:v>ID</x:v>
      </x:c>
      <x:c r="B11" s="68" t="str">
        <x:v>Clase</x:v>
      </x:c>
      <x:c r="C11" s="68" t="str">
        <x:v>Score</x:v>
      </x:c>
      <x:c r="D11" s="68" t="str">
        <x:v>Empresa</x:v>
      </x:c>
      <x:c r="E11" s="68" t="str">
        <x:v>Categoría</x:v>
      </x:c>
      <x:c r="F11" s="68" t="str">
        <x:v>Teléfonos</x:v>
      </x:c>
      <x:c r="G11" s="68" t="str">
        <x:v>Microzona</x:v>
      </x:c>
      <x:c r="H11" s="68" t="str">
        <x:v>Necesidad probable</x:v>
      </x:c>
      <x:c r="I11" s="68" t="str">
        <x:v>Oferta PRESOL</x:v>
      </x:c>
      <x:c r="J11" s="68" t="str">
        <x:v>Acción sugerida</x:v>
      </x:c>
      <x:c r="K11" s="68" t="str">
        <x:v>Google Maps</x:v>
      </x:c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50" t="str">
        <x:v>RC-001</x:v>
      </x:c>
      <x:c r="B12" s="50" t="str">
        <x:v>A+</x:v>
      </x:c>
      <x:c r="C12" s="50" t="n">
        <x:v>100</x:v>
      </x:c>
      <x:c r="D12" s="50" t="str">
        <x:v>Casale Maquinarias - Movimientos Agro Vial S.A.</x:v>
      </x:c>
      <x:c r="E12" s="50" t="str">
        <x:v>Construcción vial / movimiento de suelo</x:v>
      </x:c>
      <x:c r="F12" s="50" t="str">
        <x:v>+54 358 5094615</x:v>
      </x:c>
      <x:c r="G12" s="50" t="str">
        <x:v>Corredor RN36</x:v>
      </x:c>
      <x:c r="H12" s="50" t="str">
        <x:v>Traslados interobra de excavadoras, retroexcavadoras, minicargadoras, rodillos y equipos viales.</x:v>
      </x:c>
      <x:c r="I12" s="50" t="str">
        <x:v>Plataforma 20 tn + malacate + seguro/GPS + coordinación interobra.</x:v>
      </x:c>
      <x:c r="J12" s="50" t="str">
        <x:v>Pedir jefe de equipos/obras; relevar flota, pesos y frecuencia de movimientos.</x:v>
      </x:c>
      <x:c r="K12" s="50" t="str">
        <x:v>https://www.google.com/maps/search/?api=1&amp;query=Casale+Maquinarias+-+Movimientos+Agro+Vial+S.A.%2C+RN36+606%2C+X5800+R%C3%ADo+Cuarto%2C+C%C3%B3rdoba</x:v>
      </x:c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50" t="str">
        <x:v>RC-002</x:v>
      </x:c>
      <x:c r="B13" s="50" t="str">
        <x:v>A+</x:v>
      </x:c>
      <x:c r="C13" s="50" t="n">
        <x:v>100</x:v>
      </x:c>
      <x:c r="D13" s="50" t="str">
        <x:v>Geoqom</x:v>
      </x:c>
      <x:c r="E13" s="50" t="str">
        <x:v>Construcción vial / movimiento de suelo</x:v>
      </x:c>
      <x:c r="F13" s="50" t="str">
        <x:v>0358 154850006</x:v>
      </x:c>
      <x:c r="G13" s="50" t="str">
        <x:v>Corredor A005 / Circunvalación</x:v>
      </x:c>
      <x:c r="H13" s="50" t="str">
        <x:v>Traslados interobra de excavadoras, retroexcavadoras, minicargadoras, rodillos y equipos viales.</x:v>
      </x:c>
      <x:c r="I13" s="50" t="str">
        <x:v>Plataforma 20 tn + malacate + seguro/GPS + coordinación interobra.</x:v>
      </x:c>
      <x:c r="J13" s="50" t="str">
        <x:v>Pedir jefe de equipos/obras; relevar flota, pesos y frecuencia de movimientos.</x:v>
      </x:c>
      <x:c r="K13" s="50" t="str">
        <x:v>https://www.google.com/maps/search/?api=1&amp;query=Geoqom%2C+Ruta+A005+km+1%2C5%2C+R%C3%ADo+Cuarto%2C+C%C3%B3rdoba</x:v>
      </x:c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50" t="str">
        <x:v>RC-003</x:v>
      </x:c>
      <x:c r="B14" s="50" t="str">
        <x:v>A+</x:v>
      </x:c>
      <x:c r="C14" s="50" t="n">
        <x:v>100</x:v>
      </x:c>
      <x:c r="D14" s="50" t="str">
        <x:v>INCISA S.A.</x:v>
      </x:c>
      <x:c r="E14" s="50" t="str">
        <x:v>Construcción vial / movimiento de suelo</x:v>
      </x:c>
      <x:c r="F14" s="50" t="str">
        <x:v>0358 4182680 / 3584 389870</x:v>
      </x:c>
      <x:c r="G14" s="50" t="str">
        <x:v>Área urbana Río Cuarto</x:v>
      </x:c>
      <x:c r="H14" s="50" t="str">
        <x:v>Traslados interobra de excavadoras, retroexcavadoras, minicargadoras, rodillos y equipos viales.</x:v>
      </x:c>
      <x:c r="I14" s="50" t="str">
        <x:v>Plataforma 20 tn + malacate + seguro/GPS + coordinación interobra.</x:v>
      </x:c>
      <x:c r="J14" s="50" t="str">
        <x:v>Pedir jefe de equipos/obras; relevar flota, pesos y frecuencia de movimientos.</x:v>
      </x:c>
      <x:c r="K14" s="50" t="str">
        <x:v>https://www.google.com/maps/search/?api=1&amp;query=INCISA+S.A.%2C+Estado+de+Palestina+2720%2C+X5800+R%C3%ADo+Cuarto%2C+C%C3%B3rdoba</x:v>
      </x:c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50" t="str">
        <x:v>RC-004</x:v>
      </x:c>
      <x:c r="B15" s="50" t="str">
        <x:v>A+</x:v>
      </x:c>
      <x:c r="C15" s="50" t="n">
        <x:v>100</x:v>
      </x:c>
      <x:c r="D15" s="50" t="str">
        <x:v>Metalfor S.A. - Río Cuarto</x:v>
      </x:c>
      <x:c r="E15" s="50" t="str">
        <x:v>Maquinaria agrícola</x:v>
      </x:c>
      <x:c r="F15" s="50" t="str">
        <x:v>0358 4655642 / 358 6011697</x:v>
      </x:c>
      <x:c r="G15" s="50" t="str">
        <x:v>Corredor A005 / Circunvalación</x:v>
      </x:c>
      <x:c r="H15" s="50" t="str">
        <x:v>Entrega/retiro de tractores, cosechadoras, pulverizadoras e implementos; usados y service.</x:v>
      </x:c>
      <x:c r="I15" s="50" t="str">
        <x:v>Plataforma 20 tn + malacate + seguro/GPS; hidrogrúa según implemento.</x:v>
      </x:c>
      <x:c r="J15" s="50" t="str">
        <x:v>Pedir logística/expedición/posventa; relevar campañas, usados y picos de entregas.</x:v>
      </x:c>
      <x:c r="K15" s="50" t="str">
        <x:v>https://www.google.com/maps/search/?api=1&amp;query=Metalfor+S.A.+-+R%C3%ADo+Cuarto%2C+Ruta+Prov.+A005+km+3%2C+X5800+R%C3%ADo+Cuarto%2C+C%C3%B3rdoba</x:v>
      </x:c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50" t="str">
        <x:v>RC-005</x:v>
      </x:c>
      <x:c r="B16" s="50" t="str">
        <x:v>A+</x:v>
      </x:c>
      <x:c r="C16" s="50" t="n">
        <x:v>100</x:v>
      </x:c>
      <x:c r="D16" s="50" t="str">
        <x:v>Pallotti Maquinarias</x:v>
      </x:c>
      <x:c r="E16" s="50" t="str">
        <x:v>Alquiler / dealer maquinaria pesada</x:v>
      </x:c>
      <x:c r="F16" s="50" t="str">
        <x:v>+54 358 5713137 / 5091218</x:v>
      </x:c>
      <x:c r="G16" s="50" t="str">
        <x:v>Corredor A005 / Circunvalación</x:v>
      </x:c>
      <x:c r="H16" s="50" t="str">
        <x:v>Entrega, retiro y traslado de maquinaria pesada entre sucursal, clientes, taller y obras.</x:v>
      </x:c>
      <x:c r="I16" s="50" t="str">
        <x:v>Plataforma 20 tn + malacate + hidrogrúa de apoyo + seguro/GPS.</x:v>
      </x:c>
      <x:c r="J16" s="50" t="str">
        <x:v>Llamar y visitar; pedir logística/alquileres/posventa y relevar movimientos mensuales.</x:v>
      </x:c>
      <x:c r="K16" s="50" t="str">
        <x:v>https://www.google.com/maps/search/?api=1&amp;query=Pallotti+Maquinarias%2C+RN+A005+km+3%2C5%2C+X5800+R%C3%ADo+Cuarto%2C+C%C3%B3rdoba</x:v>
      </x:c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50" t="str">
        <x:v>RC-006</x:v>
      </x:c>
      <x:c r="B17" s="50" t="str">
        <x:v>A+</x:v>
      </x:c>
      <x:c r="C17" s="50" t="n">
        <x:v>100</x:v>
      </x:c>
      <x:c r="D17" s="50" t="str">
        <x:v>Semtraco S.A. - CASE IH / JCB</x:v>
      </x:c>
      <x:c r="E17" s="50" t="str">
        <x:v>Alquiler / dealer maquinaria pesada</x:v>
      </x:c>
      <x:c r="F17" s="50" t="str">
        <x:v>0358 4158451</x:v>
      </x:c>
      <x:c r="G17" s="50" t="str">
        <x:v>Corredor A005 / Circunvalación</x:v>
      </x:c>
      <x:c r="H17" s="50" t="str">
        <x:v>Entrega, retiro y traslado de maquinaria pesada entre sucursal, clientes, taller y obras.</x:v>
      </x:c>
      <x:c r="I17" s="50" t="str">
        <x:v>Plataforma 20 tn + malacate + hidrogrúa de apoyo + seguro/GPS.</x:v>
      </x:c>
      <x:c r="J17" s="50" t="str">
        <x:v>Llamar y visitar; pedir logística/alquileres/posventa y relevar movimientos mensuales.</x:v>
      </x:c>
      <x:c r="K17" s="50" t="str">
        <x:v>https://www.google.com/maps/search/?api=1&amp;query=Semtraco+S.A.+-+CASE+IH+%2F+JCB%2C+Acceso+005+%E2%80%93+Circunvalaci%C3%B3n%2C+X5800+R%C3%ADo+Cuarto%2C+C%C3%B3rdoba</x:v>
      </x:c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50" t="str">
        <x:v>RC-007</x:v>
      </x:c>
      <x:c r="B18" s="50" t="str">
        <x:v>A+</x:v>
      </x:c>
      <x:c r="C18" s="50" t="n">
        <x:v>98</x:v>
      </x:c>
      <x:c r="D18" s="50" t="str">
        <x:v>Bio4 - Bioetanol Río Cuarto S.A.</x:v>
      </x:c>
      <x:c r="E18" s="50" t="str">
        <x:v>Agroindustria / planta industrial</x:v>
      </x:c>
      <x:c r="F18" s="50" t="str">
        <x:v>+54 358 4768500</x:v>
      </x:c>
      <x:c r="G18" s="50" t="str">
        <x:v>Corredor RN8</x:v>
      </x:c>
      <x:c r="H18" s="50" t="str">
        <x:v>Movimientos de mantenimiento, motores, bombas, equipos, subconjuntos y cargas especiales.</x:v>
      </x:c>
      <x:c r="I18" s="50" t="str">
        <x:v>Plataforma + hidrogrúa + percha para pallets + seguro/GPS.</x:v>
      </x:c>
      <x:c r="J18" s="50" t="str">
        <x:v>Pedir mantenimiento/compras/planta; relevar equipos críticos y proveedores actuales.</x:v>
      </x:c>
      <x:c r="K18" s="50" t="str">
        <x:v>https://www.google.com/maps/search/?api=1&amp;query=Bio4+-+Bioetanol+R%C3%ADo+Cuarto+S.A.%2C+Ruta+Provincial+19+km+1%2C2+%28altura+RN8+km+609%29%2C+R%C3%ADo+Cuarto%2C+C%C3%B3rdoba</x:v>
      </x:c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50" t="str">
        <x:v>RC-008</x:v>
      </x:c>
      <x:c r="B19" s="50" t="str">
        <x:v>A+</x:v>
      </x:c>
      <x:c r="C19" s="50" t="n">
        <x:v>98</x:v>
      </x:c>
      <x:c r="D19" s="50" t="str">
        <x:v>CATPRO Maquinarias</x:v>
      </x:c>
      <x:c r="E19" s="50" t="str">
        <x:v>Maquinaria agrícola</x:v>
      </x:c>
      <x:c r="F19" s="50" t="str">
        <x:v>0358 4650092 / 4632206</x:v>
      </x:c>
      <x:c r="G19" s="50" t="str">
        <x:v>Área urbana Río Cuarto</x:v>
      </x:c>
      <x:c r="H19" s="50" t="str">
        <x:v>Entrega/retiro de tractores, cosechadoras, pulverizadoras e implementos; usados y service.</x:v>
      </x:c>
      <x:c r="I19" s="50" t="str">
        <x:v>Plataforma 20 tn + malacate + seguro/GPS; hidrogrúa según implemento.</x:v>
      </x:c>
      <x:c r="J19" s="50" t="str">
        <x:v>Pedir logística/expedición/posventa; relevar campañas, usados y picos de entregas.</x:v>
      </x:c>
      <x:c r="K19" s="50" t="str">
        <x:v>https://www.google.com/maps/search/?api=1&amp;query=CATPRO+Maquinarias%2C+Av.+Godoy+Cruz+564%2C+X5800+R%C3%ADo+Cuarto%2C+C%C3%B3rdoba</x:v>
      </x:c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50" t="str">
        <x:v>RC-009</x:v>
      </x:c>
      <x:c r="B20" s="50" t="str">
        <x:v>A+</x:v>
      </x:c>
      <x:c r="C20" s="50" t="n">
        <x:v>98</x:v>
      </x:c>
      <x:c r="D20" s="50" t="str">
        <x:v>Inelsa Ingeniería Eléctrica S.A.</x:v>
      </x:c>
      <x:c r="E20" s="50" t="str">
        <x:v>Autoelevadores y elevación</x:v>
      </x:c>
      <x:c r="F20" s="50" t="str">
        <x:v>+54 358 4750064 / +54 9 358 4183399</x:v>
      </x:c>
      <x:c r="G20" s="50" t="str">
        <x:v>Área urbana Río Cuarto</x:v>
      </x:c>
      <x:c r="H20" s="50" t="str">
        <x:v>Entrega/retiro de autoelevadores, plataformas y equipos de elevación entre base y clientes.</x:v>
      </x:c>
      <x:c r="I20" s="50" t="str">
        <x:v>Plataforma 20 tn + malacate + hidrogrúa de apoyo.</x:v>
      </x:c>
      <x:c r="J20" s="50" t="str">
        <x:v>Pedir alquileres/logística/service y cotizar tarifa por viaje y acuerdo recurrente.</x:v>
      </x:c>
      <x:c r="K20" s="50" t="str">
        <x:v>https://www.google.com/maps/search/?api=1&amp;query=Inelsa+Ingenier%C3%ADa+El%C3%A9ctrica+S.A.%2C+C%C3%B3rdoba+780%2C+X5800+R%C3%ADo+Cuarto%2C+C%C3%B3rdoba</x:v>
      </x:c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50" t="str">
        <x:v>RC-010</x:v>
      </x:c>
      <x:c r="B21" s="50" t="str">
        <x:v>A+</x:v>
      </x:c>
      <x:c r="C21" s="50" t="n">
        <x:v>98</x:v>
      </x:c>
      <x:c r="D21" s="50" t="str">
        <x:v>Marinelli S.A.</x:v>
      </x:c>
      <x:c r="E21" s="50" t="str">
        <x:v>Hormigón, áridos y materiales</x:v>
      </x:c>
      <x:c r="F21" s="50" t="str">
        <x:v>0358 4647058</x:v>
      </x:c>
      <x:c r="G21" s="50" t="str">
        <x:v>Corredor A005 / Circunvalación</x:v>
      </x:c>
      <x:c r="H21" s="50" t="str">
        <x:v>Movimiento de equipos de planta, bombas, moldes, premoldeados, maquinaria y cargas pesadas.</x:v>
      </x:c>
      <x:c r="I21" s="50" t="str">
        <x:v>Plataforma + hidrogrúa + percha para pallets/cargas.</x:v>
      </x:c>
      <x:c r="J21" s="50" t="str">
        <x:v>Pedir planta/mantenimiento/logística; relevar equipos y movimientos no cubiertos por mixer/camión.</x:v>
      </x:c>
      <x:c r="K21" s="50" t="str">
        <x:v>https://www.google.com/maps/search/?api=1&amp;query=Marinelli+S.A.%2C+C%C3%B3rdoba+961%2C+Banda+Norte+%2F+Planta+en+Ruta+A005%2C+R%C3%ADo+Cuarto</x:v>
      </x:c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50" t="str">
        <x:v>RC-011</x:v>
      </x:c>
      <x:c r="B22" s="50" t="str">
        <x:v>A+</x:v>
      </x:c>
      <x:c r="C22" s="50" t="n">
        <x:v>98</x:v>
      </x:c>
      <x:c r="D22" s="50" t="str">
        <x:v>SALA</x:v>
      </x:c>
      <x:c r="E22" s="50" t="str">
        <x:v>Maquinaria agrícola</x:v>
      </x:c>
      <x:c r="F22" s="50" t="str">
        <x:v>+54 9 358 2409477</x:v>
      </x:c>
      <x:c r="G22" s="50" t="str">
        <x:v>Corredor RN36</x:v>
      </x:c>
      <x:c r="H22" s="50" t="str">
        <x:v>Entrega/retiro de tractores, cosechadoras, pulverizadoras e implementos; usados y service.</x:v>
      </x:c>
      <x:c r="I22" s="50" t="str">
        <x:v>Plataforma 20 tn + malacate + seguro/GPS; hidrogrúa según implemento.</x:v>
      </x:c>
      <x:c r="J22" s="50" t="str">
        <x:v>Pedir logística/expedición/posventa; relevar campañas, usados y picos de entregas.</x:v>
      </x:c>
      <x:c r="K22" s="50" t="str">
        <x:v>https://www.google.com/maps/search/?api=1&amp;query=SALA%2C+RN36+km+609%2C+X5800+R%C3%ADo+Cuarto%2C+C%C3%B3rdoba</x:v>
      </x:c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50" t="str">
        <x:v>RC-012</x:v>
      </x:c>
      <x:c r="B23" s="50" t="str">
        <x:v>A+</x:v>
      </x:c>
      <x:c r="C23" s="50" t="n">
        <x:v>98</x:v>
      </x:c>
      <x:c r="D23" s="50" t="str">
        <x:v>Simonassi Maquinarias Agrícolas</x:v>
      </x:c>
      <x:c r="E23" s="50" t="str">
        <x:v>Maquinaria agrícola</x:v>
      </x:c>
      <x:c r="F23" s="50" t="str">
        <x:v>+54 358 5062964</x:v>
      </x:c>
      <x:c r="G23" s="50" t="str">
        <x:v>Av. Sabattini / Este</x:v>
      </x:c>
      <x:c r="H23" s="50" t="str">
        <x:v>Entrega/retiro de tractores, cosechadoras, pulverizadoras e implementos; usados y service.</x:v>
      </x:c>
      <x:c r="I23" s="50" t="str">
        <x:v>Plataforma 20 tn + malacate + seguro/GPS; hidrogrúa según implemento.</x:v>
      </x:c>
      <x:c r="J23" s="50" t="str">
        <x:v>Pedir logística/expedición/posventa; relevar campañas, usados y picos de entregas.</x:v>
      </x:c>
      <x:c r="K23" s="50" t="str">
        <x:v>https://www.google.com/maps/search/?api=1&amp;query=Simonassi+Maquinarias+Agr%C3%ADcolas%2C+Av.+Amadeo+Sabattini+2950%2C+X5800+R%C3%ADo+Cuarto%2C+C%C3%B3rdoba</x:v>
      </x:c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50" t="str">
        <x:v>RC-013</x:v>
      </x:c>
      <x:c r="B24" s="50" t="str">
        <x:v>A+</x:v>
      </x:c>
      <x:c r="C24" s="50" t="n">
        <x:v>98</x:v>
      </x:c>
      <x:c r="D24" s="50" t="str">
        <x:v>TECNAC S.R.L.</x:v>
      </x:c>
      <x:c r="E24" s="50" t="str">
        <x:v>Construcción vial / movimiento de suelo</x:v>
      </x:c>
      <x:c r="F24" s="50" t="str">
        <x:v>0358 4642965</x:v>
      </x:c>
      <x:c r="G24" s="50" t="str">
        <x:v>Área urbana Río Cuarto</x:v>
      </x:c>
      <x:c r="H24" s="50" t="str">
        <x:v>Traslados interobra de excavadoras, retroexcavadoras, minicargadoras, rodillos y equipos viales.</x:v>
      </x:c>
      <x:c r="I24" s="50" t="str">
        <x:v>Plataforma 20 tn + malacate + seguro/GPS + coordinación interobra.</x:v>
      </x:c>
      <x:c r="J24" s="50" t="str">
        <x:v>Pedir jefe de equipos/obras; relevar flota, pesos y frecuencia de movimientos.</x:v>
      </x:c>
      <x:c r="K24" s="50" t="str">
        <x:v>https://www.google.com/maps/search/?api=1&amp;query=TECNAC+S.R.L.%2C+De+las+Postas+2435%2C+R%C3%ADo+Cuarto%2C+C%C3%B3rdoba</x:v>
      </x:c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50" t="str">
        <x:v>RC-014</x:v>
      </x:c>
      <x:c r="B25" s="50" t="str">
        <x:v>A+</x:v>
      </x:c>
      <x:c r="C25" s="50" t="n">
        <x:v>98</x:v>
      </x:c>
      <x:c r="D25" s="50" t="str">
        <x:v>Terramobil - Alquiler de maquinaria vial</x:v>
      </x:c>
      <x:c r="E25" s="50" t="str">
        <x:v>Alquiler / dealer maquinaria pesada</x:v>
      </x:c>
      <x:c r="F25" s="50" t="str">
        <x:v>+54 358 5180190</x:v>
      </x:c>
      <x:c r="G25" s="50" t="str">
        <x:v>Área urbana Río Cuarto</x:v>
      </x:c>
      <x:c r="H25" s="50" t="str">
        <x:v>Entrega, retiro y traslado de maquinaria pesada entre sucursal, clientes, taller y obras.</x:v>
      </x:c>
      <x:c r="I25" s="50" t="str">
        <x:v>Plataforma 20 tn + malacate + hidrogrúa de apoyo + seguro/GPS.</x:v>
      </x:c>
      <x:c r="J25" s="50" t="str">
        <x:v>Llamar y visitar; pedir logística/alquileres/posventa y relevar movimientos mensuales.</x:v>
      </x:c>
      <x:c r="K25" s="50" t="str">
        <x:v>https://www.google.com/maps/search/?api=1&amp;query=Terramobil+-+Alquiler+de+maquinaria+vial%2C+Pirovano+613%2C+X5808+R%C3%ADo+Cuarto%2C+C%C3%B3rdoba</x:v>
      </x:c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50" t="str">
        <x:v>RC-015</x:v>
      </x:c>
      <x:c r="B26" s="50" t="str">
        <x:v>A+</x:v>
      </x:c>
      <x:c r="C26" s="50" t="n">
        <x:v>96</x:v>
      </x:c>
      <x:c r="D26" s="50" t="str">
        <x:v>Autoelevadores Río Cuarto Alquiler</x:v>
      </x:c>
      <x:c r="E26" s="50" t="str">
        <x:v>Autoelevadores y elevación</x:v>
      </x:c>
      <x:c r="F26" s="50" t="str">
        <x:v>+54 358 5703111</x:v>
      </x:c>
      <x:c r="G26" s="50" t="str">
        <x:v>Área urbana Río Cuarto</x:v>
      </x:c>
      <x:c r="H26" s="50" t="str">
        <x:v>Entrega/retiro de autoelevadores, plataformas y equipos de elevación entre base y clientes.</x:v>
      </x:c>
      <x:c r="I26" s="50" t="str">
        <x:v>Plataforma 20 tn + malacate + hidrogrúa de apoyo.</x:v>
      </x:c>
      <x:c r="J26" s="50" t="str">
        <x:v>Pedir alquileres/logística/service y cotizar tarifa por viaje y acuerdo recurrente.</x:v>
      </x:c>
      <x:c r="K26" s="50" t="str">
        <x:v>https://www.google.com/maps/search/?api=1&amp;query=Autoelevadores+R%C3%ADo+Cuarto+Alquiler%2C+Pje.+Magallanes+2415%2C+R%C3%ADo+Cuarto%2C+C%C3%B3rdoba</x:v>
      </x:c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50" t="str">
        <x:v>RC-016</x:v>
      </x:c>
      <x:c r="B27" s="50" t="str">
        <x:v>A+</x:v>
      </x:c>
      <x:c r="C27" s="50" t="n">
        <x:v>96</x:v>
      </x:c>
      <x:c r="D27" s="50" t="str">
        <x:v>PONCE Movimientos de Suelo</x:v>
      </x:c>
      <x:c r="E27" s="50" t="str">
        <x:v>Construcción vial / movimiento de suelo</x:v>
      </x:c>
      <x:c r="F27" s="50" t="str">
        <x:v>+54 358 5180198</x:v>
      </x:c>
      <x:c r="G27" s="50" t="str">
        <x:v>Área urbana Río Cuarto</x:v>
      </x:c>
      <x:c r="H27" s="50" t="str">
        <x:v>Traslados interobra de excavadoras, retroexcavadoras, minicargadoras, rodillos y equipos viales.</x:v>
      </x:c>
      <x:c r="I27" s="50" t="str">
        <x:v>Plataforma 20 tn + malacate + seguro/GPS + coordinación interobra.</x:v>
      </x:c>
      <x:c r="J27" s="50" t="str">
        <x:v>Pedir jefe de equipos/obras; relevar flota, pesos y frecuencia de movimientos.</x:v>
      </x:c>
      <x:c r="K27" s="50" t="str">
        <x:v>https://www.google.com/maps/search/?api=1&amp;query=PONCE+Movimientos+de+Suelo%2C+Alvear+455%2C+X5800+R%C3%ADo+Cuarto%2C+C%C3%B3rdoba</x:v>
      </x:c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50" t="str">
        <x:v>RC-017</x:v>
      </x:c>
      <x:c r="B28" s="50" t="str">
        <x:v>A+</x:v>
      </x:c>
      <x:c r="C28" s="50" t="n">
        <x:v>96</x:v>
      </x:c>
      <x:c r="D28" s="50" t="str">
        <x:v>RINO Pauny</x:v>
      </x:c>
      <x:c r="E28" s="50" t="str">
        <x:v>Maquinaria agrícola</x:v>
      </x:c>
      <x:c r="F28" s="50" t="str">
        <x:v>+54 358 5091232</x:v>
      </x:c>
      <x:c r="G28" s="50" t="str">
        <x:v>Corredor A005 / Circunvalación</x:v>
      </x:c>
      <x:c r="H28" s="50" t="str">
        <x:v>Entrega/retiro de tractores, cosechadoras, pulverizadoras e implementos; usados y service.</x:v>
      </x:c>
      <x:c r="I28" s="50" t="str">
        <x:v>Plataforma 20 tn + malacate + seguro/GPS; hidrogrúa según implemento.</x:v>
      </x:c>
      <x:c r="J28" s="50" t="str">
        <x:v>Pedir logística/expedición/posventa; relevar campañas, usados y picos de entregas.</x:v>
      </x:c>
      <x:c r="K28" s="50" t="str">
        <x:v>https://www.google.com/maps/search/?api=1&amp;query=RINO+Pauny%2C+RN+A005+km+10%2C5%2C+X5804+R%C3%ADo+Cuarto%2C+C%C3%B3rdoba</x:v>
      </x:c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50" t="str">
        <x:v>RC-018</x:v>
      </x:c>
      <x:c r="B29" s="50" t="str">
        <x:v>A+</x:v>
      </x:c>
      <x:c r="C29" s="50" t="n">
        <x:v>96</x:v>
      </x:c>
      <x:c r="D29" s="50" t="str">
        <x:v>SAV Autoelevadores y Máquinas Viales</x:v>
      </x:c>
      <x:c r="E29" s="50" t="str">
        <x:v>Autoelevadores y elevación</x:v>
      </x:c>
      <x:c r="F29" s="50" t="str">
        <x:v>+54 358 5092695</x:v>
      </x:c>
      <x:c r="G29" s="50" t="str">
        <x:v>Área urbana Río Cuarto</x:v>
      </x:c>
      <x:c r="H29" s="50" t="str">
        <x:v>Entrega/retiro de autoelevadores, plataformas y equipos de elevación entre base y clientes.</x:v>
      </x:c>
      <x:c r="I29" s="50" t="str">
        <x:v>Plataforma 20 tn + malacate + hidrogrúa de apoyo.</x:v>
      </x:c>
      <x:c r="J29" s="50" t="str">
        <x:v>Pedir alquileres/logística/service y cotizar tarifa por viaje y acuerdo recurrente.</x:v>
      </x:c>
      <x:c r="K29" s="50" t="str">
        <x:v>https://www.google.com/maps/search/?api=1&amp;query=SAV+Autoelevadores+y+M%C3%A1quinas+Viales%2C+Lope+de+Vega+946%2C+X5804+R%C3%ADo+Cuarto%2C+C%C3%B3rdoba</x:v>
      </x:c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50" t="str">
        <x:v>RC-019</x:v>
      </x:c>
      <x:c r="B30" s="50" t="str">
        <x:v>A+</x:v>
      </x:c>
      <x:c r="C30" s="50" t="n">
        <x:v>95</x:v>
      </x:c>
      <x:c r="D30" s="50" t="str">
        <x:v>Agecer - Volvo Trucks &amp; Buses Río Cuarto</x:v>
      </x:c>
      <x:c r="E30" s="50" t="str">
        <x:v>Transporte / camiones / izajes</x:v>
      </x:c>
      <x:c r="F30" s="50" t="str">
        <x:v>+54 9 358 4013892</x:v>
      </x:c>
      <x:c r="G30" s="50" t="str">
        <x:v>Corredor A005 / Circunvalación</x:v>
      </x:c>
      <x:c r="H30" s="50" t="str">
        <x:v>Traslado de camiones, semirremolques, equipos averiados o apoyo de flota en contingencias.</x:v>
      </x:c>
      <x:c r="I30" s="50" t="str">
        <x:v>Plataforma 20 tn + malacate + hidrogrúa/izaje según maniobra.</x:v>
      </x:c>
      <x:c r="J30" s="50" t="str">
        <x:v>Pedir taller/flota/logística; ofrecer soporte de contingencia y tarifa por movilización.</x:v>
      </x:c>
      <x:c r="K30" s="50" t="str">
        <x:v>https://www.google.com/maps/search/?api=1&amp;query=Agecer+-+Volvo+Trucks+%26+Buses+R%C3%ADo+Cuarto%2C+Ruta+A005+km+9%2C5%2C+X5800+R%C3%ADo+Cuarto%2C+C%C3%B3rdoba</x:v>
      </x:c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50" t="str">
        <x:v>RC-020</x:v>
      </x:c>
      <x:c r="B31" s="50" t="str">
        <x:v>A+</x:v>
      </x:c>
      <x:c r="C31" s="50" t="n">
        <x:v>95</x:v>
      </x:c>
      <x:c r="D31" s="50" t="str">
        <x:v>AGRO VIAL FERNANDEZ</x:v>
      </x:c>
      <x:c r="E31" s="50" t="str">
        <x:v>Alquiler / dealer maquinaria pesada</x:v>
      </x:c>
      <x:c r="F31" s="50" t="str">
        <x:v>+54 9 351 6077077</x:v>
      </x:c>
      <x:c r="G31" s="50" t="str">
        <x:v>Corredor A005 / Circunvalación</x:v>
      </x:c>
      <x:c r="H31" s="50" t="str">
        <x:v>Entrega, retiro y traslado de maquinaria pesada entre sucursal, clientes, taller y obras.</x:v>
      </x:c>
      <x:c r="I31" s="50" t="str">
        <x:v>Plataforma 20 tn + malacate + hidrogrúa de apoyo + seguro/GPS.</x:v>
      </x:c>
      <x:c r="J31" s="50" t="str">
        <x:v>Llamar y visitar; pedir logística/alquileres/posventa y relevar movimientos mensuales.</x:v>
      </x:c>
      <x:c r="K31" s="50" t="str">
        <x:v>https://www.google.com/maps/search/?api=1&amp;query=AGRO+VIAL+FERNANDEZ%2C+Ruta+A005+y+Arturo+M.+Bas%2C+X5800+R%C3%ADo+Cuarto%2C+C%C3%B3rdoba</x:v>
      </x:c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50" t="str">
        <x:v>RC-021</x:v>
      </x:c>
      <x:c r="B32" s="50" t="str">
        <x:v>A+</x:v>
      </x:c>
      <x:c r="C32" s="50" t="n">
        <x:v>95</x:v>
      </x:c>
      <x:c r="D32" s="50" t="str">
        <x:v>Agrokeegan Maquinarias</x:v>
      </x:c>
      <x:c r="E32" s="50" t="str">
        <x:v>Maquinaria agrícola</x:v>
      </x:c>
      <x:c r="F32" s="50" t="str">
        <x:v>+54 358 6014848</x:v>
      </x:c>
      <x:c r="G32" s="50" t="str">
        <x:v>Corredor A005 / Circunvalación</x:v>
      </x:c>
      <x:c r="H32" s="50" t="str">
        <x:v>Entrega/retiro de tractores, cosechadoras, pulverizadoras e implementos; usados y service.</x:v>
      </x:c>
      <x:c r="I32" s="50" t="str">
        <x:v>Plataforma 20 tn + malacate + seguro/GPS; hidrogrúa según implemento.</x:v>
      </x:c>
      <x:c r="J32" s="50" t="str">
        <x:v>Pedir logística/expedición/posventa; relevar campañas, usados y picos de entregas.</x:v>
      </x:c>
      <x:c r="K32" s="50" t="str">
        <x:v>https://www.google.com/maps/search/?api=1&amp;query=Agrokeegan+Maquinarias%2C+RN+A005+km+0%2C5%2C+X5800+R%C3%ADo+Cuarto%2C+C%C3%B3rdoba</x:v>
      </x:c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50" t="str">
        <x:v>RC-022</x:v>
      </x:c>
      <x:c r="B33" s="50" t="str">
        <x:v>A+</x:v>
      </x:c>
      <x:c r="C33" s="50" t="n">
        <x:v>95</x:v>
      </x:c>
      <x:c r="D33" s="50" t="str">
        <x:v>Bricchi Hnos. S.A.</x:v>
      </x:c>
      <x:c r="E33" s="50" t="str">
        <x:v>Maquinaria agrícola</x:v>
      </x:c>
      <x:c r="F33" s="50" t="str">
        <x:v>+54 9 358 4854418</x:v>
      </x:c>
      <x:c r="G33" s="50" t="str">
        <x:v>Corredor A005 / Circunvalación</x:v>
      </x:c>
      <x:c r="H33" s="50" t="str">
        <x:v>Entrega/retiro de tractores, cosechadoras, pulverizadoras e implementos; usados y service.</x:v>
      </x:c>
      <x:c r="I33" s="50" t="str">
        <x:v>Plataforma 20 tn + malacate + seguro/GPS; hidrogrúa según implemento.</x:v>
      </x:c>
      <x:c r="J33" s="50" t="str">
        <x:v>Pedir logística/expedición/posventa; relevar campañas, usados y picos de entregas.</x:v>
      </x:c>
      <x:c r="K33" s="50" t="str">
        <x:v>https://www.google.com/maps/search/?api=1&amp;query=Bricchi+Hnos.+S.A.%2C+Ruta+A005+km+1%2C2%2C+R%C3%ADo+Cuarto%2C+C%C3%B3rdoba</x:v>
      </x:c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50" t="str">
        <x:v>RC-023</x:v>
      </x:c>
      <x:c r="B34" s="50" t="str">
        <x:v>A+</x:v>
      </x:c>
      <x:c r="C34" s="50" t="n">
        <x:v>95</x:v>
      </x:c>
      <x:c r="D34" s="50" t="str">
        <x:v>Caon Maquinarias</x:v>
      </x:c>
      <x:c r="E34" s="50" t="str">
        <x:v>Maquinaria agrícola</x:v>
      </x:c>
      <x:c r="F34" s="50" t="str">
        <x:v>+54 358 4117162</x:v>
      </x:c>
      <x:c r="G34" s="50" t="str">
        <x:v>Corredor RN8</x:v>
      </x:c>
      <x:c r="H34" s="50" t="str">
        <x:v>Entrega/retiro de tractores, cosechadoras, pulverizadoras e implementos; usados y service.</x:v>
      </x:c>
      <x:c r="I34" s="50" t="str">
        <x:v>Plataforma 20 tn + malacate + seguro/GPS; hidrogrúa según implemento.</x:v>
      </x:c>
      <x:c r="J34" s="50" t="str">
        <x:v>Pedir logística/expedición/posventa; relevar campañas, usados y picos de entregas.</x:v>
      </x:c>
      <x:c r="K34" s="50" t="str">
        <x:v>https://www.google.com/maps/search/?api=1&amp;query=Caon+Maquinarias%2C+RN8+km+608%2C+X5800+R%C3%ADo+Cuarto%2C+C%C3%B3rdoba</x:v>
      </x:c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50" t="str">
        <x:v>RC-024</x:v>
      </x:c>
      <x:c r="B35" s="50" t="str">
        <x:v>A</x:v>
      </x:c>
      <x:c r="C35" s="50" t="n">
        <x:v>94</x:v>
      </x:c>
      <x:c r="D35" s="50" t="str">
        <x:v>Attus</x:v>
      </x:c>
      <x:c r="E35" s="50" t="str">
        <x:v>Construcción y obra industrial</x:v>
      </x:c>
      <x:c r="F35" s="50" t="str">
        <x:v>+54 9 358 4629741</x:v>
      </x:c>
      <x:c r="G35" s="50" t="str">
        <x:v>Av. Perón / Oeste</x:v>
      </x:c>
      <x:c r="H35" s="50" t="str">
        <x:v>Movimientos de equipos, cargas especiales o apoyo logístico asociados a su operación.</x:v>
      </x:c>
      <x:c r="I35" s="50" t="str">
        <x:v>Plataforma 20 tn + hidrogrúa + malacate según necesidad.</x:v>
      </x:c>
      <x:c r="J35" s="50" t="str">
        <x:v>Contactar operaciones/logística y relevar movimientos actuales.</x:v>
      </x:c>
      <x:c r="K35" s="50" t="str">
        <x:v>https://www.google.com/maps/search/?api=1&amp;query=Attus%2C+Av.+Presidente+Per%C3%B3n+Centro+448%2C+R%C3%ADo+Cuarto%2C+C%C3%B3rdoba</x:v>
      </x:c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50" t="str">
        <x:v>RC-025</x:v>
      </x:c>
      <x:c r="B36" s="50" t="str">
        <x:v>A</x:v>
      </x:c>
      <x:c r="C36" s="50" t="n">
        <x:v>94</x:v>
      </x:c>
      <x:c r="D36" s="50" t="str">
        <x:v>Cantera La Helena</x:v>
      </x:c>
      <x:c r="E36" s="50" t="str">
        <x:v>Hormigón, áridos y materiales</x:v>
      </x:c>
      <x:c r="F36" s="50" t="str">
        <x:v>+54 358 4309507</x:v>
      </x:c>
      <x:c r="G36" s="50" t="str">
        <x:v>Corredor RN36</x:v>
      </x:c>
      <x:c r="H36" s="50" t="str">
        <x:v>Movimiento de equipos de planta, bombas, moldes, premoldeados, maquinaria y cargas pesadas.</x:v>
      </x:c>
      <x:c r="I36" s="50" t="str">
        <x:v>Plataforma + hidrogrúa + percha para pallets/cargas.</x:v>
      </x:c>
      <x:c r="J36" s="50" t="str">
        <x:v>Pedir planta/mantenimiento/logística; relevar equipos y movimientos no cubiertos por mixer/camión.</x:v>
      </x:c>
      <x:c r="K36" s="50" t="str">
        <x:v>https://www.google.com/maps/search/?api=1&amp;query=Cantera+La+Helena%2C+Ex+Ruta+36+km+610%2C+X5800+R%C3%ADo+Cuarto%2C+C%C3%B3rdoba</x:v>
      </x:c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50" t="str">
        <x:v>RC-026</x:v>
      </x:c>
      <x:c r="B37" s="50" t="str">
        <x:v>A</x:v>
      </x:c>
      <x:c r="C37" s="50" t="n">
        <x:v>94</x:v>
      </x:c>
      <x:c r="D37" s="50" t="str">
        <x:v>Carrocerías El Tero S.A.</x:v>
      </x:c>
      <x:c r="E37" s="50" t="str">
        <x:v>Metalúrgica y fabricación</x:v>
      </x:c>
      <x:c r="F37" s="50" t="str">
        <x:v>0358 4155555 / +54 9 358 5077725</x:v>
      </x:c>
      <x:c r="G37" s="50" t="str">
        <x:v>Corredor A005 / Circunvalación</x:v>
      </x:c>
      <x:c r="H37" s="50" t="str">
        <x:v>Despacho/traslado de estructuras, piezas, implementos, acoplados o conjuntos metálicos.</x:v>
      </x:c>
      <x:c r="I37" s="50" t="str">
        <x:v>Plataforma + hidrogrúa + malacate; percha para pallets según carga.</x:v>
      </x:c>
      <x:c r="J37" s="50" t="str">
        <x:v>Pedir expedición/logística/producción; relevar piezas máximas y destinos habituales.</x:v>
      </x:c>
      <x:c r="K37" s="50" t="str">
        <x:v>https://www.google.com/maps/search/?api=1&amp;query=Carrocer%C3%ADas+El+Tero+S.A.%2C+Ruta+A005+km+2%2C5%2C+X5800+R%C3%ADo+Cuarto%2C+C%C3%B3rdoba</x:v>
      </x:c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50" t="str">
        <x:v>RC-027</x:v>
      </x:c>
      <x:c r="B38" s="50" t="str">
        <x:v>A</x:v>
      </x:c>
      <x:c r="C38" s="50" t="n">
        <x:v>94</x:v>
      </x:c>
      <x:c r="D38" s="50" t="str">
        <x:v>Cisar Piscinas y Cúpulas</x:v>
      </x:c>
      <x:c r="E38" s="50" t="str">
        <x:v>Piscinas / fibra de vidrio</x:v>
      </x:c>
      <x:c r="F38" s="50" t="str">
        <x:v>0358 4640586 / +54 9 358 4818472</x:v>
      </x:c>
      <x:c r="G38" s="50" t="str">
        <x:v>Corredor RN8</x:v>
      </x:c>
      <x:c r="H38" s="50" t="str">
        <x:v>Traslado de piscinas/cúpulas desde fábrica o depósito hasta obra y apoyo de descarga.</x:v>
      </x:c>
      <x:c r="I38" s="50" t="str">
        <x:v>Plataforma + hidrogrúa para entrega y posicionamiento.</x:v>
      </x:c>
      <x:c r="J38" s="50" t="str">
        <x:v>Pedir logística/colocación; relevar medidas máximas y volumen mensual en temporada.</x:v>
      </x:c>
      <x:c r="K38" s="50" t="str">
        <x:v>https://www.google.com/maps/search/?api=1&amp;query=Cisar+Piscinas+y+C%C3%BApulas%2C+Ruta+8+km+605%2C5%2C+R%C3%ADo+Cuarto%2C+C%C3%B3rdoba</x:v>
      </x:c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50" t="str">
        <x:v>RC-028</x:v>
      </x:c>
      <x:c r="B39" s="50" t="str">
        <x:v>A</x:v>
      </x:c>
      <x:c r="C39" s="50" t="n">
        <x:v>94</x:v>
      </x:c>
      <x:c r="D39" s="50" t="str">
        <x:v>Löchel Industria Metalúrgica</x:v>
      </x:c>
      <x:c r="E39" s="50" t="str">
        <x:v>Metalúrgica y fabricación</x:v>
      </x:c>
      <x:c r="F39" s="50" t="str">
        <x:v>+54 358 5605339 / 4018967</x:v>
      </x:c>
      <x:c r="G39" s="50" t="str">
        <x:v>Área urbana Río Cuarto</x:v>
      </x:c>
      <x:c r="H39" s="50" t="str">
        <x:v>Despacho/traslado de estructuras, piezas, implementos, acoplados o conjuntos metálicos.</x:v>
      </x:c>
      <x:c r="I39" s="50" t="str">
        <x:v>Plataforma + hidrogrúa + malacate; percha para pallets según carga.</x:v>
      </x:c>
      <x:c r="J39" s="50" t="str">
        <x:v>Pedir expedición/logística/producción; relevar piezas máximas y destinos habituales.</x:v>
      </x:c>
      <x:c r="K39" s="50" t="str">
        <x:v>https://www.google.com/maps/search/?api=1&amp;query=L%C3%B6chel+Industria+Metal%C3%BArgica%2C+Int.+Daguerre+1550%2C+X5800+R%C3%ADo+Cuarto%2C+C%C3%B3rdoba</x:v>
      </x:c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50" t="str">
        <x:v>RC-029</x:v>
      </x:c>
      <x:c r="B40" s="50" t="str">
        <x:v>A</x:v>
      </x:c>
      <x:c r="C40" s="50" t="n">
        <x:v>94</x:v>
      </x:c>
      <x:c r="D40" s="50" t="str">
        <x:v>MG Autoelevadores</x:v>
      </x:c>
      <x:c r="E40" s="50" t="str">
        <x:v>Autoelevadores y elevación</x:v>
      </x:c>
      <x:c r="F40" s="50" t="str">
        <x:v>+54 358 4017219</x:v>
      </x:c>
      <x:c r="G40" s="50" t="str">
        <x:v>Área urbana Río Cuarto</x:v>
      </x:c>
      <x:c r="H40" s="50" t="str">
        <x:v>Entrega/retiro de autoelevadores, plataformas y equipos de elevación entre base y clientes.</x:v>
      </x:c>
      <x:c r="I40" s="50" t="str">
        <x:v>Plataforma 20 tn + malacate + hidrogrúa de apoyo.</x:v>
      </x:c>
      <x:c r="J40" s="50" t="str">
        <x:v>Pedir alquileres/logística/service y cotizar tarifa por viaje y acuerdo recurrente.</x:v>
      </x:c>
      <x:c r="K40" s="50" t="str">
        <x:v>https://www.google.com/maps/search/?api=1&amp;query=MG+Autoelevadores%2C+Av.+Marcelo+T.+de+Alvear+1334%2C+X5800+R%C3%ADo+Cuarto%2C+C%C3%B3rdoba</x:v>
      </x:c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50" t="str">
        <x:v>RC-030</x:v>
      </x:c>
      <x:c r="B41" s="50" t="str">
        <x:v>A</x:v>
      </x:c>
      <x:c r="C41" s="50" t="n">
        <x:v>94</x:v>
      </x:c>
      <x:c r="D41" s="50" t="str">
        <x:v>R.C Movimiento de Suelos</x:v>
      </x:c>
      <x:c r="E41" s="50" t="str">
        <x:v>Construcción vial / movimiento de suelo</x:v>
      </x:c>
      <x:c r="F41" s="50" t="str">
        <x:v>+54 358 4289293</x:v>
      </x:c>
      <x:c r="G41" s="50" t="str">
        <x:v>Área urbana Río Cuarto</x:v>
      </x:c>
      <x:c r="H41" s="50" t="str">
        <x:v>Traslados interobra de excavadoras, retroexcavadoras, minicargadoras, rodillos y equipos viales.</x:v>
      </x:c>
      <x:c r="I41" s="50" t="str">
        <x:v>Plataforma 20 tn + malacate + seguro/GPS + coordinación interobra.</x:v>
      </x:c>
      <x:c r="J41" s="50" t="str">
        <x:v>Pedir jefe de equipos/obras; relevar flota, pesos y frecuencia de movimientos.</x:v>
      </x:c>
      <x:c r="K41" s="50" t="str">
        <x:v>https://www.google.com/maps/search/?api=1&amp;query=R.C+Movimiento+de+Suelos%2C+R%C3%ADo+Cuarto%2C+C%C3%B3rdoba</x:v>
      </x:c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50" t="str">
        <x:v>RC-031</x:v>
      </x:c>
      <x:c r="B42" s="50" t="str">
        <x:v>A</x:v>
      </x:c>
      <x:c r="C42" s="50" t="n">
        <x:v>92</x:v>
      </x:c>
      <x:c r="D42" s="50" t="str">
        <x:v>Alquilo Todo Río Cuarto</x:v>
      </x:c>
      <x:c r="E42" s="50" t="str">
        <x:v>Alquiler / dealer maquinaria pesada</x:v>
      </x:c>
      <x:c r="F42" s="50" t="str">
        <x:v>+54 3546 490403</x:v>
      </x:c>
      <x:c r="G42" s="50" t="str">
        <x:v>Corredor A005 / Circunvalación</x:v>
      </x:c>
      <x:c r="H42" s="50" t="str">
        <x:v>Entrega, retiro y traslado de maquinaria pesada entre sucursal, clientes, taller y obras.</x:v>
      </x:c>
      <x:c r="I42" s="50" t="str">
        <x:v>Plataforma 20 tn + malacate + hidrogrúa de apoyo + seguro/GPS.</x:v>
      </x:c>
      <x:c r="J42" s="50" t="str">
        <x:v>Llamar y visitar; pedir logística/alquileres/posventa y relevar movimientos mensuales.</x:v>
      </x:c>
      <x:c r="K42" s="50" t="str">
        <x:v>https://www.google.com/maps/search/?api=1&amp;query=Alquilo+Todo+R%C3%ADo+Cuarto%2C+Reverendo+Padre+Geniale+Silvi+273%2C+colectora+A005%2C+X5806+R%C3%ADo+Cuarto</x:v>
      </x:c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50" t="str">
        <x:v>RC-032</x:v>
      </x:c>
      <x:c r="B43" s="50" t="str">
        <x:v>A</x:v>
      </x:c>
      <x:c r="C43" s="50" t="n">
        <x:v>92</x:v>
      </x:c>
      <x:c r="D43" s="50" t="str">
        <x:v>Concesionario Rubén Marconi</x:v>
      </x:c>
      <x:c r="E43" s="50" t="str">
        <x:v>Maquinaria agrícola</x:v>
      </x:c>
      <x:c r="F43" s="50" t="str">
        <x:v>+54 358 4700452</x:v>
      </x:c>
      <x:c r="G43" s="50" t="str">
        <x:v>Corredor A005 / Circunvalación</x:v>
      </x:c>
      <x:c r="H43" s="50" t="str">
        <x:v>Entrega/retiro de tractores, cosechadoras, pulverizadoras e implementos; usados y service.</x:v>
      </x:c>
      <x:c r="I43" s="50" t="str">
        <x:v>Plataforma 20 tn + malacate + seguro/GPS; hidrogrúa según implemento.</x:v>
      </x:c>
      <x:c r="J43" s="50" t="str">
        <x:v>Pedir logística/expedición/posventa; relevar campañas, usados y picos de entregas.</x:v>
      </x:c>
      <x:c r="K43" s="50" t="str">
        <x:v>https://www.google.com/maps/search/?api=1&amp;query=Concesionario+Rub%C3%A9n+Marconi%2C+RN+A005+2708%2C+X5800+R%C3%ADo+Cuarto%2C+C%C3%B3rdoba</x:v>
      </x:c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50" t="str">
        <x:v>RC-033</x:v>
      </x:c>
      <x:c r="B44" s="50" t="str">
        <x:v>A</x:v>
      </x:c>
      <x:c r="C44" s="50" t="n">
        <x:v>92</x:v>
      </x:c>
      <x:c r="D44" s="50" t="str">
        <x:v>DEXCO Constructora</x:v>
      </x:c>
      <x:c r="E44" s="50" t="str">
        <x:v>Construcción y obra industrial</x:v>
      </x:c>
      <x:c r="F44" s="50" t="str">
        <x:v>A verificar</x:v>
      </x:c>
      <x:c r="G44" s="50" t="str">
        <x:v>Área urbana Río Cuarto</x:v>
      </x:c>
      <x:c r="H44" s="50" t="str">
        <x:v>Movimientos de equipos, cargas especiales o apoyo logístico asociados a su operación.</x:v>
      </x:c>
      <x:c r="I44" s="50" t="str">
        <x:v>Plataforma 20 tn + hidrogrúa + malacate según necesidad.</x:v>
      </x:c>
      <x:c r="J44" s="50" t="str">
        <x:v>Contactar operaciones/logística y relevar movimientos actuales.</x:v>
      </x:c>
      <x:c r="K44" s="50" t="str">
        <x:v>https://www.google.com/maps/search/?api=1&amp;query=DEXCO+Constructora%2C+R%C3%ADo+Cuarto%2C+C%C3%B3rdoba</x:v>
      </x:c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50" t="str">
        <x:v>RC-034</x:v>
      </x:c>
      <x:c r="B45" s="50" t="str">
        <x:v>A</x:v>
      </x:c>
      <x:c r="C45" s="50" t="n">
        <x:v>92</x:v>
      </x:c>
      <x:c r="D45" s="50" t="str">
        <x:v>FymSA Vial</x:v>
      </x:c>
      <x:c r="E45" s="50" t="str">
        <x:v>Construcción vial / movimiento de suelo</x:v>
      </x:c>
      <x:c r="F45" s="50" t="str">
        <x:v>+54 351 6669860</x:v>
      </x:c>
      <x:c r="G45" s="50" t="str">
        <x:v>Área urbana Río Cuarto</x:v>
      </x:c>
      <x:c r="H45" s="50" t="str">
        <x:v>Traslados interobra de excavadoras, retroexcavadoras, minicargadoras, rodillos y equipos viales.</x:v>
      </x:c>
      <x:c r="I45" s="50" t="str">
        <x:v>Plataforma 20 tn + malacate + seguro/GPS + coordinación interobra.</x:v>
      </x:c>
      <x:c r="J45" s="50" t="str">
        <x:v>Pedir jefe de equipos/obras; relevar flota, pesos y frecuencia de movimientos.</x:v>
      </x:c>
      <x:c r="K45" s="50" t="str">
        <x:v>https://www.google.com/maps/search/?api=1&amp;query=FymSA+Vial%2C+Paran%C3%A1+226%2C+X5800+R%C3%ADo+Cuarto%2C+C%C3%B3rdoba</x:v>
      </x:c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50" t="str">
        <x:v>RC-035</x:v>
      </x:c>
      <x:c r="B46" s="50" t="str">
        <x:v>A</x:v>
      </x:c>
      <x:c r="C46" s="50" t="n">
        <x:v>92</x:v>
      </x:c>
      <x:c r="D46" s="50" t="str">
        <x:v>Metalúrgica Praga</x:v>
      </x:c>
      <x:c r="E46" s="50" t="str">
        <x:v>Metalúrgica y fabricación</x:v>
      </x:c>
      <x:c r="F46" s="50" t="str">
        <x:v>+54 358 4644658</x:v>
      </x:c>
      <x:c r="G46" s="50" t="str">
        <x:v>Corredor A005 / Circunvalación</x:v>
      </x:c>
      <x:c r="H46" s="50" t="str">
        <x:v>Despacho/traslado de estructuras, piezas, implementos, acoplados o conjuntos metálicos.</x:v>
      </x:c>
      <x:c r="I46" s="50" t="str">
        <x:v>Plataforma + hidrogrúa + malacate; percha para pallets según carga.</x:v>
      </x:c>
      <x:c r="J46" s="50" t="str">
        <x:v>Pedir expedición/logística/producción; relevar piezas máximas y destinos habituales.</x:v>
      </x:c>
      <x:c r="K46" s="50" t="str">
        <x:v>https://www.google.com/maps/search/?api=1&amp;query=Metal%C3%BArgica+Praga%2C+RN+A005+km+2%2C+X5800+R%C3%ADo+Cuarto%2C+C%C3%B3rdoba</x:v>
      </x:c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50" t="str">
        <x:v>RC-036</x:v>
      </x:c>
      <x:c r="B47" s="50" t="str">
        <x:v>A</x:v>
      </x:c>
      <x:c r="C47" s="50" t="n">
        <x:v>92</x:v>
      </x:c>
      <x:c r="D47" s="50" t="str">
        <x:v>Oleohidráulica L&amp;M</x:v>
      </x:c>
      <x:c r="E47" s="50" t="str">
        <x:v>Autoelevadores y elevación</x:v>
      </x:c>
      <x:c r="F47" s="50" t="str">
        <x:v>+54 9 358 5709985 / 6015300</x:v>
      </x:c>
      <x:c r="G47" s="50" t="str">
        <x:v>Área urbana Río Cuarto</x:v>
      </x:c>
      <x:c r="H47" s="50" t="str">
        <x:v>Entrega/retiro de autoelevadores, plataformas y equipos de elevación entre base y clientes.</x:v>
      </x:c>
      <x:c r="I47" s="50" t="str">
        <x:v>Plataforma 20 tn + malacate + hidrogrúa de apoyo.</x:v>
      </x:c>
      <x:c r="J47" s="50" t="str">
        <x:v>Pedir alquileres/logística/service y cotizar tarifa por viaje y acuerdo recurrente.</x:v>
      </x:c>
      <x:c r="K47" s="50" t="str">
        <x:v>https://www.google.com/maps/search/?api=1&amp;query=Oleohidr%C3%A1ulica+L%26M%2C+Av.+Godoy+Cruz+251%2C+R%C3%ADo+Cuarto%2C+C%C3%B3rdoba</x:v>
      </x:c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50" t="str">
        <x:v>RC-037</x:v>
      </x:c>
      <x:c r="B48" s="50" t="str">
        <x:v>A</x:v>
      </x:c>
      <x:c r="C48" s="50" t="n">
        <x:v>92</x:v>
      </x:c>
      <x:c r="D48" s="50" t="str">
        <x:v>Perforaciones Fundarc Pilotes</x:v>
      </x:c>
      <x:c r="E48" s="50" t="str">
        <x:v>Perforaciones / fundaciones</x:v>
      </x:c>
      <x:c r="F48" s="50" t="str">
        <x:v>0358 4636866</x:v>
      </x:c>
      <x:c r="G48" s="50" t="str">
        <x:v>Corredor A005 / Circunvalación</x:v>
      </x:c>
      <x:c r="H48" s="50" t="str">
        <x:v>Movilización de perforadoras, herramientas y equipos entre obras y base.</x:v>
      </x:c>
      <x:c r="I48" s="50" t="str">
        <x:v>Plataforma 20 tn + malacate + hidrogrúa.</x:v>
      </x:c>
      <x:c r="J48" s="50" t="str">
        <x:v>Pedir obras/equipos; consultar pesos, dimensiones y cronograma de movilizaciones.</x:v>
      </x:c>
      <x:c r="K48" s="50" t="str">
        <x:v>https://www.google.com/maps/search/?api=1&amp;query=Perforaciones+Fundarc+Pilotes%2C+Lateral+A005%2C+X5800+R%C3%ADo+Cuarto%2C+C%C3%B3rdoba</x:v>
      </x:c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50" t="str">
        <x:v>RC-038</x:v>
      </x:c>
      <x:c r="B49" s="50" t="str">
        <x:v>A</x:v>
      </x:c>
      <x:c r="C49" s="50" t="n">
        <x:v>90</x:v>
      </x:c>
      <x:c r="D49" s="50" t="str">
        <x:v>AGRORANCHO Maquinarias</x:v>
      </x:c>
      <x:c r="E49" s="50" t="str">
        <x:v>Maquinaria agrícola</x:v>
      </x:c>
      <x:c r="F49" s="50" t="str">
        <x:v>+54 358 4652174</x:v>
      </x:c>
      <x:c r="G49" s="50" t="str">
        <x:v>Corredor A005 / Circunvalación</x:v>
      </x:c>
      <x:c r="H49" s="50" t="str">
        <x:v>Entrega/retiro de tractores, cosechadoras, pulverizadoras e implementos; usados y service.</x:v>
      </x:c>
      <x:c r="I49" s="50" t="str">
        <x:v>Plataforma 20 tn + malacate + seguro/GPS; hidrogrúa según implemento.</x:v>
      </x:c>
      <x:c r="J49" s="50" t="str">
        <x:v>Pedir logística/expedición/posventa; relevar campañas, usados y picos de entregas.</x:v>
      </x:c>
      <x:c r="K49" s="50" t="str">
        <x:v>https://www.google.com/maps/search/?api=1&amp;query=AGRORANCHO+Maquinarias%2C+Ruta+A005+km+3%2C5%2C+R%C3%ADo+Cuarto%2C+C%C3%B3rdoba</x:v>
      </x:c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50" t="str">
        <x:v>RC-039</x:v>
      </x:c>
      <x:c r="B50" s="50" t="str">
        <x:v>A</x:v>
      </x:c>
      <x:c r="C50" s="50" t="n">
        <x:v>90</x:v>
      </x:c>
      <x:c r="D50" s="50" t="str">
        <x:v>Bombassei Argentina S.A.</x:v>
      </x:c>
      <x:c r="E50" s="50" t="str">
        <x:v>Metalúrgica y fabricación</x:v>
      </x:c>
      <x:c r="F50" s="50" t="str">
        <x:v>+54 358 4194375</x:v>
      </x:c>
      <x:c r="G50" s="50" t="str">
        <x:v>Área urbana Río Cuarto</x:v>
      </x:c>
      <x:c r="H50" s="50" t="str">
        <x:v>Despacho/traslado de estructuras, piezas, implementos, acoplados o conjuntos metálicos.</x:v>
      </x:c>
      <x:c r="I50" s="50" t="str">
        <x:v>Plataforma + hidrogrúa + malacate; percha para pallets según carga.</x:v>
      </x:c>
      <x:c r="J50" s="50" t="str">
        <x:v>Pedir expedición/logística/producción; relevar piezas máximas y destinos habituales.</x:v>
      </x:c>
      <x:c r="K50" s="50" t="str">
        <x:v>https://www.google.com/maps/search/?api=1&amp;query=Bombassei+Argentina+S.A.%2C+X5806+R%C3%ADo+Cuarto%2C+C%C3%B3rdoba</x:v>
      </x:c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50" t="str">
        <x:v>RC-040</x:v>
      </x:c>
      <x:c r="B51" s="50" t="str">
        <x:v>A</x:v>
      </x:c>
      <x:c r="C51" s="50" t="n">
        <x:v>90</x:v>
      </x:c>
      <x:c r="D51" s="50" t="str">
        <x:v>Construcciones Eléctricas Zorzán S.A. (CEZSA)</x:v>
      </x:c>
      <x:c r="E51" s="50" t="str">
        <x:v>Equipos industriales / energía</x:v>
      </x:c>
      <x:c r="F51" s="50" t="str">
        <x:v>0358 156001564 / 154317980</x:v>
      </x:c>
      <x:c r="G51" s="50" t="str">
        <x:v>Área urbana Río Cuarto</x:v>
      </x:c>
      <x:c r="H51" s="50" t="str">
        <x:v>Movimiento de grupos, tableros, motores, módulos y equipos industriales para obra o mantenimiento.</x:v>
      </x:c>
      <x:c r="I51" s="50" t="str">
        <x:v>Plataforma + hidrogrúa + percha para pallets + seguro/GPS.</x:v>
      </x:c>
      <x:c r="J51" s="50" t="str">
        <x:v>Pedir proyectos/mantenimiento/logística; consultar pesos, obras activas y montajes.</x:v>
      </x:c>
      <x:c r="K51" s="50" t="str">
        <x:v>https://www.google.com/maps/search/?api=1&amp;query=Construcciones+El%C3%A9ctricas+Zorz%C3%A1n+S.A.+%28CEZSA%29%2C+Vicente+L%C3%B3pez+y+Planes+857%2C+R%C3%ADo+Cuarto%2C+C%C3%B3rdoba</x:v>
      </x:c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50" t="str">
        <x:v>RC-041</x:v>
      </x:c>
      <x:c r="B52" s="50" t="str">
        <x:v>A</x:v>
      </x:c>
      <x:c r="C52" s="50" t="n">
        <x:v>90</x:v>
      </x:c>
      <x:c r="D52" s="50" t="str">
        <x:v>Da Ros Premoldeados</x:v>
      </x:c>
      <x:c r="E52" s="50" t="str">
        <x:v>Hormigón, áridos y materiales</x:v>
      </x:c>
      <x:c r="F52" s="50" t="str">
        <x:v>+54 358 6009812 / 5089009</x:v>
      </x:c>
      <x:c r="G52" s="50" t="str">
        <x:v>Área urbana Río Cuarto</x:v>
      </x:c>
      <x:c r="H52" s="50" t="str">
        <x:v>Movimiento de equipos de planta, bombas, moldes, premoldeados, maquinaria y cargas pesadas.</x:v>
      </x:c>
      <x:c r="I52" s="50" t="str">
        <x:v>Plataforma + hidrogrúa + percha para pallets/cargas.</x:v>
      </x:c>
      <x:c r="J52" s="50" t="str">
        <x:v>Pedir planta/mantenimiento/logística; relevar equipos y movimientos no cubiertos por mixer/camión.</x:v>
      </x:c>
      <x:c r="K52" s="50" t="str">
        <x:v>https://www.google.com/maps/search/?api=1&amp;query=Da+Ros+Premoldeados%2C+Sobremonte+2960+%2F+R%C3%ADo+Deseado+306%2C+R%C3%ADo+Cuarto%2C+C%C3%B3rdoba</x:v>
      </x:c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50" t="str">
        <x:v>RC-042</x:v>
      </x:c>
      <x:c r="B53" s="50" t="str">
        <x:v>A</x:v>
      </x:c>
      <x:c r="C53" s="50" t="n">
        <x:v>90</x:v>
      </x:c>
      <x:c r="D53" s="50" t="str">
        <x:v>Demarchi S.A.</x:v>
      </x:c>
      <x:c r="E53" s="50" t="str">
        <x:v>Maquinaria agrícola</x:v>
      </x:c>
      <x:c r="F53" s="50" t="str">
        <x:v>+54 358 4010714</x:v>
      </x:c>
      <x:c r="G53" s="50" t="str">
        <x:v>Área urbana Río Cuarto</x:v>
      </x:c>
      <x:c r="H53" s="50" t="str">
        <x:v>Entrega/retiro de tractores, cosechadoras, pulverizadoras e implementos; usados y service.</x:v>
      </x:c>
      <x:c r="I53" s="50" t="str">
        <x:v>Plataforma 20 tn + malacate + seguro/GPS; hidrogrúa según implemento.</x:v>
      </x:c>
      <x:c r="J53" s="50" t="str">
        <x:v>Pedir logística/expedición/posventa; relevar campañas, usados y picos de entregas.</x:v>
      </x:c>
      <x:c r="K53" s="50" t="str">
        <x:v>https://www.google.com/maps/search/?api=1&amp;query=Demarchi+S.A.%2C+Av.+Godoy+Cruz+485%2C+X5800+R%C3%ADo+Cuarto%2C+C%C3%B3rdoba</x:v>
      </x:c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50" t="str">
        <x:v>RC-043</x:v>
      </x:c>
      <x:c r="B54" s="50" t="str">
        <x:v>A</x:v>
      </x:c>
      <x:c r="C54" s="50" t="n">
        <x:v>90</x:v>
      </x:c>
      <x:c r="D54" s="50" t="str">
        <x:v>El Colono S.A.</x:v>
      </x:c>
      <x:c r="E54" s="50" t="str">
        <x:v>Metalúrgica y fabricación</x:v>
      </x:c>
      <x:c r="F54" s="50" t="str">
        <x:v>+54 358 4628525</x:v>
      </x:c>
      <x:c r="G54" s="50" t="str">
        <x:v>Área urbana Río Cuarto</x:v>
      </x:c>
      <x:c r="H54" s="50" t="str">
        <x:v>Despacho/traslado de estructuras, piezas, implementos, acoplados o conjuntos metálicos.</x:v>
      </x:c>
      <x:c r="I54" s="50" t="str">
        <x:v>Plataforma + hidrogrúa + malacate; percha para pallets según carga.</x:v>
      </x:c>
      <x:c r="J54" s="50" t="str">
        <x:v>Pedir expedición/logística/producción; relevar piezas máximas y destinos habituales.</x:v>
      </x:c>
      <x:c r="K54" s="50" t="str">
        <x:v>https://www.google.com/maps/search/?api=1&amp;query=El+Colono+S.A.%2C+Julio+Borda+86%2C+X5800+R%C3%ADo+Cuarto%2C+C%C3%B3rdoba</x:v>
      </x:c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50" t="str">
        <x:v>RC-044</x:v>
      </x:c>
      <x:c r="B55" s="50" t="str">
        <x:v>A</x:v>
      </x:c>
      <x:c r="C55" s="50" t="n">
        <x:v>90</x:v>
      </x:c>
      <x:c r="D55" s="50" t="str">
        <x:v>Establecimiento Industrial Rattini S.A.</x:v>
      </x:c>
      <x:c r="E55" s="50" t="str">
        <x:v>Metalúrgica y fabricación</x:v>
      </x:c>
      <x:c r="F55" s="50" t="str">
        <x:v>+54 358 4621480</x:v>
      </x:c>
      <x:c r="G55" s="50" t="str">
        <x:v>Av. Perón / Oeste</x:v>
      </x:c>
      <x:c r="H55" s="50" t="str">
        <x:v>Despacho/traslado de estructuras, piezas, implementos, acoplados o conjuntos metálicos.</x:v>
      </x:c>
      <x:c r="I55" s="50" t="str">
        <x:v>Plataforma + hidrogrúa + malacate; percha para pallets según carga.</x:v>
      </x:c>
      <x:c r="J55" s="50" t="str">
        <x:v>Pedir expedición/logística/producción; relevar piezas máximas y destinos habituales.</x:v>
      </x:c>
      <x:c r="K55" s="50" t="str">
        <x:v>https://www.google.com/maps/search/?api=1&amp;query=Establecimiento+Industrial+Rattini+S.A.%2C+Av.+Presidente+Per%C3%B3n+Oeste+2231%2C+X5800+R%C3%ADo+Cuarto%2C+C%C3%B3rdoba</x:v>
      </x:c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50" t="str">
        <x:v>RC-045</x:v>
      </x:c>
      <x:c r="B56" s="50" t="str">
        <x:v>A</x:v>
      </x:c>
      <x:c r="C56" s="50" t="n">
        <x:v>90</x:v>
      </x:c>
      <x:c r="D56" s="50" t="str">
        <x:v>Minimetal</x:v>
      </x:c>
      <x:c r="E56" s="50" t="str">
        <x:v>Metalúrgica y fabricación</x:v>
      </x:c>
      <x:c r="F56" s="50" t="str">
        <x:v>+54 9 358 4323321</x:v>
      </x:c>
      <x:c r="G56" s="50" t="str">
        <x:v>Av. Sabattini / Este</x:v>
      </x:c>
      <x:c r="H56" s="50" t="str">
        <x:v>Despacho/traslado de estructuras, piezas, implementos, acoplados o conjuntos metálicos.</x:v>
      </x:c>
      <x:c r="I56" s="50" t="str">
        <x:v>Plataforma + hidrogrúa + malacate; percha para pallets según carga.</x:v>
      </x:c>
      <x:c r="J56" s="50" t="str">
        <x:v>Pedir expedición/logística/producción; relevar piezas máximas y destinos habituales.</x:v>
      </x:c>
      <x:c r="K56" s="50" t="str">
        <x:v>https://www.google.com/maps/search/?api=1&amp;query=Minimetal%2C+Av.+Amadeo+Sabattini+3120%2C+X5800+R%C3%ADo+Cuarto%2C+C%C3%B3rdoba</x:v>
      </x:c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50" t="str">
        <x:v>RC-046</x:v>
      </x:c>
      <x:c r="B57" s="50" t="str">
        <x:v>A</x:v>
      </x:c>
      <x:c r="C57" s="50" t="n">
        <x:v>90</x:v>
      </x:c>
      <x:c r="D57" s="50" t="str">
        <x:v>MIXON - Planta de Hormigón Elaborado</x:v>
      </x:c>
      <x:c r="E57" s="50" t="str">
        <x:v>Hormigón, áridos y materiales</x:v>
      </x:c>
      <x:c r="F57" s="50" t="str">
        <x:v>+54 358 5729680</x:v>
      </x:c>
      <x:c r="G57" s="50" t="str">
        <x:v>Área urbana Río Cuarto</x:v>
      </x:c>
      <x:c r="H57" s="50" t="str">
        <x:v>Movimiento de equipos de planta, bombas, moldes, premoldeados, maquinaria y cargas pesadas.</x:v>
      </x:c>
      <x:c r="I57" s="50" t="str">
        <x:v>Plataforma + hidrogrúa + percha para pallets/cargas.</x:v>
      </x:c>
      <x:c r="J57" s="50" t="str">
        <x:v>Pedir planta/mantenimiento/logística; relevar equipos y movimientos no cubiertos por mixer/camión.</x:v>
      </x:c>
      <x:c r="K57" s="50" t="str">
        <x:v>https://www.google.com/maps/search/?api=1&amp;query=MIXON+-+Planta+de+Hormig%C3%B3n+Elaborado%2C+Dr.+Juli%C3%A1n+Maidana+2351%2C+X5800+R%C3%ADo+Cuarto%2C+C%C3%B3rdoba</x:v>
      </x:c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50" t="str">
        <x:v>RC-047</x:v>
      </x:c>
      <x:c r="B58" s="50" t="str">
        <x:v>A</x:v>
      </x:c>
      <x:c r="C58" s="50" t="n">
        <x:v>90</x:v>
      </x:c>
      <x:c r="D58" s="50" t="str">
        <x:v>Scania Región Centro - Río IV</x:v>
      </x:c>
      <x:c r="E58" s="50" t="str">
        <x:v>Transporte / camiones / izajes</x:v>
      </x:c>
      <x:c r="F58" s="50" t="str">
        <x:v>+54 358 4755600</x:v>
      </x:c>
      <x:c r="G58" s="50" t="str">
        <x:v>Corredor RN8</x:v>
      </x:c>
      <x:c r="H58" s="50" t="str">
        <x:v>Traslado de camiones, semirremolques, equipos averiados o apoyo de flota en contingencias.</x:v>
      </x:c>
      <x:c r="I58" s="50" t="str">
        <x:v>Plataforma 20 tn + malacate + hidrogrúa/izaje según maniobra.</x:v>
      </x:c>
      <x:c r="J58" s="50" t="str">
        <x:v>Pedir taller/flota/logística; ofrecer soporte de contingencia y tarifa por movilización.</x:v>
      </x:c>
      <x:c r="K58" s="50" t="str">
        <x:v>https://www.google.com/maps/search/?api=1&amp;query=Scania+Regi%C3%B3n+Centro+-+R%C3%ADo+IV%2C+RN8%2C+X5800+R%C3%ADo+Cuarto%2C+C%C3%B3rdoba</x:v>
      </x:c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50" t="str">
        <x:v>RC-048</x:v>
      </x:c>
      <x:c r="B59" s="50" t="str">
        <x:v>A</x:v>
      </x:c>
      <x:c r="C59" s="50" t="n">
        <x:v>90</x:v>
      </x:c>
      <x:c r="D59" s="50" t="str">
        <x:v>SEIERO Metalúrgica</x:v>
      </x:c>
      <x:c r="E59" s="50" t="str">
        <x:v>Metalúrgica y fabricación</x:v>
      </x:c>
      <x:c r="F59" s="50" t="str">
        <x:v>+54 358 4328815</x:v>
      </x:c>
      <x:c r="G59" s="50" t="str">
        <x:v>Área urbana Río Cuarto</x:v>
      </x:c>
      <x:c r="H59" s="50" t="str">
        <x:v>Despacho/traslado de estructuras, piezas, implementos, acoplados o conjuntos metálicos.</x:v>
      </x:c>
      <x:c r="I59" s="50" t="str">
        <x:v>Plataforma + hidrogrúa + malacate; percha para pallets según carga.</x:v>
      </x:c>
      <x:c r="J59" s="50" t="str">
        <x:v>Pedir expedición/logística/producción; relevar piezas máximas y destinos habituales.</x:v>
      </x:c>
      <x:c r="K59" s="50" t="str">
        <x:v>https://www.google.com/maps/search/?api=1&amp;query=SEIERO+Metal%C3%BArgica%2C+Juan+de+Garay+1250%2C+X5800+R%C3%ADo+Cuarto%2C+C%C3%B3rdoba</x:v>
      </x:c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50" t="str">
        <x:v>RC-049</x:v>
      </x:c>
      <x:c r="B60" s="50" t="str">
        <x:v>A</x:v>
      </x:c>
      <x:c r="C60" s="50" t="n">
        <x:v>90</x:v>
      </x:c>
      <x:c r="D60" s="50" t="str">
        <x:v>TARDITI S.R.L.</x:v>
      </x:c>
      <x:c r="E60" s="50" t="str">
        <x:v>Metalúrgica y fabricación</x:v>
      </x:c>
      <x:c r="F60" s="50" t="str">
        <x:v>+54 358 4848482 / 4653399</x:v>
      </x:c>
      <x:c r="G60" s="50" t="str">
        <x:v>Área urbana Río Cuarto</x:v>
      </x:c>
      <x:c r="H60" s="50" t="str">
        <x:v>Despacho/traslado de estructuras, piezas, implementos, acoplados o conjuntos metálicos.</x:v>
      </x:c>
      <x:c r="I60" s="50" t="str">
        <x:v>Plataforma + hidrogrúa + malacate; percha para pallets según carga.</x:v>
      </x:c>
      <x:c r="J60" s="50" t="str">
        <x:v>Pedir expedición/logística/producción; relevar piezas máximas y destinos habituales.</x:v>
      </x:c>
      <x:c r="K60" s="50" t="str">
        <x:v>https://www.google.com/maps/search/?api=1&amp;query=TARDITI+S.R.L.%2C+R%C3%ADo+Deseado+150%2C+X5800+R%C3%ADo+Cuarto%2C+C%C3%B3rdoba</x:v>
      </x:c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50" t="str">
        <x:v>RC-050</x:v>
      </x:c>
      <x:c r="B61" s="50" t="str">
        <x:v>A</x:v>
      </x:c>
      <x:c r="C61" s="50" t="n">
        <x:v>90</x:v>
      </x:c>
      <x:c r="D61" s="50" t="str">
        <x:v>Vasquetto Nutrición Animal</x:v>
      </x:c>
      <x:c r="E61" s="50" t="str">
        <x:v>Agroindustria / planta industrial</x:v>
      </x:c>
      <x:c r="F61" s="50" t="str">
        <x:v>+54 9 358 4831420</x:v>
      </x:c>
      <x:c r="G61" s="50" t="str">
        <x:v>Corredor A005 / Circunvalación</x:v>
      </x:c>
      <x:c r="H61" s="50" t="str">
        <x:v>Movimientos de mantenimiento, motores, bombas, equipos, subconjuntos y cargas especiales.</x:v>
      </x:c>
      <x:c r="I61" s="50" t="str">
        <x:v>Plataforma + hidrogrúa + percha para pallets + seguro/GPS.</x:v>
      </x:c>
      <x:c r="J61" s="50" t="str">
        <x:v>Pedir mantenimiento/compras/planta; relevar equipos críticos y proveedores actuales.</x:v>
      </x:c>
      <x:c r="K61" s="50" t="str">
        <x:v>https://www.google.com/maps/search/?api=1&amp;query=Vasquetto+Nutrici%C3%B3n+Animal%2C+Ruta+A005+km+10%2C5%2C+X5800+R%C3%ADo+Cuarto%2C+C%C3%B3rdoba</x:v>
      </x:c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50" t="str">
        <x:v>RC-051</x:v>
      </x:c>
      <x:c r="B62" s="50" t="str">
        <x:v>A</x:v>
      </x:c>
      <x:c r="C62" s="50" t="n">
        <x:v>88</x:v>
      </x:c>
      <x:c r="D62" s="50" t="str">
        <x:v>Diesel Lange - Río Cuarto</x:v>
      </x:c>
      <x:c r="E62" s="50" t="str">
        <x:v>Maquinaria agrícola</x:v>
      </x:c>
      <x:c r="F62" s="50" t="str">
        <x:v>+54 358 4334218</x:v>
      </x:c>
      <x:c r="G62" s="50" t="str">
        <x:v>Área urbana Río Cuarto</x:v>
      </x:c>
      <x:c r="H62" s="50" t="str">
        <x:v>Entrega/retiro de tractores, cosechadoras, pulverizadoras e implementos; usados y service.</x:v>
      </x:c>
      <x:c r="I62" s="50" t="str">
        <x:v>Plataforma 20 tn + malacate + seguro/GPS; hidrogrúa según implemento.</x:v>
      </x:c>
      <x:c r="J62" s="50" t="str">
        <x:v>Pedir logística/expedición/posventa; relevar campañas, usados y picos de entregas.</x:v>
      </x:c>
      <x:c r="K62" s="50" t="str">
        <x:v>https://www.google.com/maps/search/?api=1&amp;query=Diesel+Lange+-+R%C3%ADo+Cuarto%2C+R%C3%ADo+Cuarto%2C+C%C3%B3rdoba</x:v>
      </x:c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50" t="str">
        <x:v>RC-052</x:v>
      </x:c>
      <x:c r="B63" s="50" t="str">
        <x:v>A</x:v>
      </x:c>
      <x:c r="C63" s="50" t="n">
        <x:v>88</x:v>
      </x:c>
      <x:c r="D63" s="50" t="str">
        <x:v>Metalúrgica R. Haller</x:v>
      </x:c>
      <x:c r="E63" s="50" t="str">
        <x:v>Metalúrgica y fabricación</x:v>
      </x:c>
      <x:c r="F63" s="50" t="str">
        <x:v>+54 358 4643209</x:v>
      </x:c>
      <x:c r="G63" s="50" t="str">
        <x:v>Corredor RN8</x:v>
      </x:c>
      <x:c r="H63" s="50" t="str">
        <x:v>Despacho/traslado de estructuras, piezas, implementos, acoplados o conjuntos metálicos.</x:v>
      </x:c>
      <x:c r="I63" s="50" t="str">
        <x:v>Plataforma + hidrogrúa + malacate; percha para pallets según carga.</x:v>
      </x:c>
      <x:c r="J63" s="50" t="str">
        <x:v>Pedir expedición/logística/producción; relevar piezas máximas y destinos habituales.</x:v>
      </x:c>
      <x:c r="K63" s="50" t="str">
        <x:v>https://www.google.com/maps/search/?api=1&amp;query=Metal%C3%BArgica+R.+Haller%2C+RN8+km+607%2C5%2C+X5800+R%C3%ADo+Cuarto%2C+C%C3%B3rdoba</x:v>
      </x:c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50" t="str">
        <x:v>RC-053</x:v>
      </x:c>
      <x:c r="B64" s="50" t="str">
        <x:v>A</x:v>
      </x:c>
      <x:c r="C64" s="50" t="n">
        <x:v>86</x:v>
      </x:c>
      <x:c r="D64" s="50" t="str">
        <x:v>Indusplast Piscinas Río Cuarto</x:v>
      </x:c>
      <x:c r="E64" s="50" t="str">
        <x:v>Piscinas / fibra de vidrio</x:v>
      </x:c>
      <x:c r="F64" s="50" t="str">
        <x:v>+54 358 6028628</x:v>
      </x:c>
      <x:c r="G64" s="50" t="str">
        <x:v>Corredor A005 / Circunvalación</x:v>
      </x:c>
      <x:c r="H64" s="50" t="str">
        <x:v>Traslado de piscinas/cúpulas desde fábrica o depósito hasta obra y apoyo de descarga.</x:v>
      </x:c>
      <x:c r="I64" s="50" t="str">
        <x:v>Plataforma + hidrogrúa para entrega y posicionamiento.</x:v>
      </x:c>
      <x:c r="J64" s="50" t="str">
        <x:v>Pedir logística/colocación; relevar medidas máximas y volumen mensual en temporada.</x:v>
      </x:c>
      <x:c r="K64" s="50" t="str">
        <x:v>https://www.google.com/maps/search/?api=1&amp;query=Indusplast+Piscinas+R%C3%ADo+Cuarto%2C+Colectora+A005+y+Jos%C3%A9+M%C3%A1rmol%2C+X5800+R%C3%ADo+Cuarto%2C+C%C3%B3rdoba</x:v>
      </x:c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50" t="str">
        <x:v>RC-054</x:v>
      </x:c>
      <x:c r="B65" s="50" t="str">
        <x:v>A</x:v>
      </x:c>
      <x:c r="C65" s="50" t="n">
        <x:v>86</x:v>
      </x:c>
      <x:c r="D65" s="50" t="str">
        <x:v>Metalúrgica NF Ingeniería y Fabricación</x:v>
      </x:c>
      <x:c r="E65" s="50" t="str">
        <x:v>Metalúrgica y fabricación</x:v>
      </x:c>
      <x:c r="F65" s="50" t="str">
        <x:v>+54 358 6020520</x:v>
      </x:c>
      <x:c r="G65" s="50" t="str">
        <x:v>Área urbana Río Cuarto</x:v>
      </x:c>
      <x:c r="H65" s="50" t="str">
        <x:v>Despacho/traslado de estructuras, piezas, implementos, acoplados o conjuntos metálicos.</x:v>
      </x:c>
      <x:c r="I65" s="50" t="str">
        <x:v>Plataforma + hidrogrúa + malacate; percha para pallets según carga.</x:v>
      </x:c>
      <x:c r="J65" s="50" t="str">
        <x:v>Pedir expedición/logística/producción; relevar piezas máximas y destinos habituales.</x:v>
      </x:c>
      <x:c r="K65" s="50" t="str">
        <x:v>https://www.google.com/maps/search/?api=1&amp;query=Metal%C3%BArgica+NF+Ingenier%C3%ADa+y+Fabricaci%C3%B3n%2C+Av.+Godoy+Cruz+563%2C+R%C3%ADo+Cuarto%2C+C%C3%B3rdoba</x:v>
      </x:c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50" t="str">
        <x:v>RC-055</x:v>
      </x:c>
      <x:c r="B66" s="50" t="str">
        <x:v>A</x:v>
      </x:c>
      <x:c r="C66" s="50" t="n">
        <x:v>84</x:v>
      </x:c>
      <x:c r="D66" s="50" t="str">
        <x:v>Canteras Bringas</x:v>
      </x:c>
      <x:c r="E66" s="50" t="str">
        <x:v>Hormigón, áridos y materiales</x:v>
      </x:c>
      <x:c r="F66" s="50" t="str">
        <x:v>+54 358 4906010</x:v>
      </x:c>
      <x:c r="G66" s="50" t="str">
        <x:v>Corredor A005 / Circunvalación</x:v>
      </x:c>
      <x:c r="H66" s="50" t="str">
        <x:v>Movimiento de equipos de planta, bombas, moldes, premoldeados, maquinaria y cargas pesadas.</x:v>
      </x:c>
      <x:c r="I66" s="50" t="str">
        <x:v>Plataforma + hidrogrúa + percha para pallets/cargas.</x:v>
      </x:c>
      <x:c r="J66" s="50" t="str">
        <x:v>Pedir planta/mantenimiento/logística; relevar equipos y movimientos no cubiertos por mixer/camión.</x:v>
      </x:c>
      <x:c r="K66" s="50" t="str">
        <x:v>https://www.google.com/maps/search/?api=1&amp;query=Canteras+Bringas%2C+RN+A005+km+5%2C2%2C+X5800+R%C3%ADo+Cuarto%2C+C%C3%B3rdoba</x:v>
      </x:c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50" t="str">
        <x:v>RC-056</x:v>
      </x:c>
      <x:c r="B67" s="50" t="str">
        <x:v>A</x:v>
      </x:c>
      <x:c r="C67" s="50" t="n">
        <x:v>84</x:v>
      </x:c>
      <x:c r="D67" s="50" t="str">
        <x:v>La Elenense - Showroom Río Cuarto</x:v>
      </x:c>
      <x:c r="E67" s="50" t="str">
        <x:v>Hormigón, áridos y materiales</x:v>
      </x:c>
      <x:c r="F67" s="50" t="str">
        <x:v>0358 4647090</x:v>
      </x:c>
      <x:c r="G67" s="50" t="str">
        <x:v>Av. Sabattini / Este</x:v>
      </x:c>
      <x:c r="H67" s="50" t="str">
        <x:v>Movimiento de equipos de planta, bombas, moldes, premoldeados, maquinaria y cargas pesadas.</x:v>
      </x:c>
      <x:c r="I67" s="50" t="str">
        <x:v>Plataforma + hidrogrúa + percha para pallets/cargas.</x:v>
      </x:c>
      <x:c r="J67" s="50" t="str">
        <x:v>Pedir planta/mantenimiento/logística; relevar equipos y movimientos no cubiertos por mixer/camión.</x:v>
      </x:c>
      <x:c r="K67" s="50" t="str">
        <x:v>https://www.google.com/maps/search/?api=1&amp;query=La+Elenense+-+Showroom+R%C3%ADo+Cuarto%2C+Av.+Sabattini+2794%2C+R%C3%ADo+Cuarto%2C+C%C3%B3rdoba</x:v>
      </x:c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50" t="str">
        <x:v>RC-057</x:v>
      </x:c>
      <x:c r="B68" s="50" t="str">
        <x:v>A</x:v>
      </x:c>
      <x:c r="C68" s="50" t="n">
        <x:v>84</x:v>
      </x:c>
      <x:c r="D68" s="50" t="str">
        <x:v>Lencinas Constructora</x:v>
      </x:c>
      <x:c r="E68" s="50" t="str">
        <x:v>Construcción y obra industrial</x:v>
      </x:c>
      <x:c r="F68" s="50" t="str">
        <x:v>+54 358 4640597</x:v>
      </x:c>
      <x:c r="G68" s="50" t="str">
        <x:v>Banda Norte</x:v>
      </x:c>
      <x:c r="H68" s="50" t="str">
        <x:v>Movimientos de equipos, cargas especiales o apoyo logístico asociados a su operación.</x:v>
      </x:c>
      <x:c r="I68" s="50" t="str">
        <x:v>Plataforma 20 tn + hidrogrúa + malacate según necesidad.</x:v>
      </x:c>
      <x:c r="J68" s="50" t="str">
        <x:v>Contactar operaciones/logística y relevar movimientos actuales.</x:v>
      </x:c>
      <x:c r="K68" s="50" t="str">
        <x:v>https://www.google.com/maps/search/?api=1&amp;query=Lencinas+Constructora%2C+Av.+Ad%C3%A1n+Quiroga+698%2C+Banda+Norte%2C+X5804+R%C3%ADo+Cuarto</x:v>
      </x:c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50" t="str">
        <x:v>RC-058</x:v>
      </x:c>
      <x:c r="B69" s="50" t="str">
        <x:v>A</x:v>
      </x:c>
      <x:c r="C69" s="50" t="n">
        <x:v>84</x:v>
      </x:c>
      <x:c r="D69" s="50" t="str">
        <x:v>Pedrueza S.A.</x:v>
      </x:c>
      <x:c r="E69" s="50" t="str">
        <x:v>Construcción y obra industrial</x:v>
      </x:c>
      <x:c r="F69" s="50" t="str">
        <x:v>0358 154110370 / 154114368</x:v>
      </x:c>
      <x:c r="G69" s="50" t="str">
        <x:v>Área urbana Río Cuarto</x:v>
      </x:c>
      <x:c r="H69" s="50" t="str">
        <x:v>Movimientos de equipos, cargas especiales o apoyo logístico asociados a su operación.</x:v>
      </x:c>
      <x:c r="I69" s="50" t="str">
        <x:v>Plataforma 20 tn + hidrogrúa + malacate según necesidad.</x:v>
      </x:c>
      <x:c r="J69" s="50" t="str">
        <x:v>Contactar operaciones/logística y relevar movimientos actuales.</x:v>
      </x:c>
      <x:c r="K69" s="50" t="str">
        <x:v>https://www.google.com/maps/search/?api=1&amp;query=Pedrueza+S.A.%2C+Arroyo+Piedras+Blancas+760%2C+R%C3%ADo+Cuarto%2C+C%C3%B3rdoba</x:v>
      </x:c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50" t="str">
        <x:v>RC-059</x:v>
      </x:c>
      <x:c r="B70" s="50" t="str">
        <x:v>A</x:v>
      </x:c>
      <x:c r="C70" s="50" t="n">
        <x:v>84</x:v>
      </x:c>
      <x:c r="D70" s="50" t="str">
        <x:v>Perforaciones Kraemer</x:v>
      </x:c>
      <x:c r="E70" s="50" t="str">
        <x:v>Perforaciones / fundaciones</x:v>
      </x:c>
      <x:c r="F70" s="50" t="str">
        <x:v>+54 358 5621022</x:v>
      </x:c>
      <x:c r="G70" s="50" t="str">
        <x:v>Área urbana Río Cuarto</x:v>
      </x:c>
      <x:c r="H70" s="50" t="str">
        <x:v>Movilización de perforadoras, herramientas y equipos entre obras y base.</x:v>
      </x:c>
      <x:c r="I70" s="50" t="str">
        <x:v>Plataforma 20 tn + malacate + hidrogrúa.</x:v>
      </x:c>
      <x:c r="J70" s="50" t="str">
        <x:v>Pedir obras/equipos; consultar pesos, dimensiones y cronograma de movilizaciones.</x:v>
      </x:c>
      <x:c r="K70" s="50" t="str">
        <x:v>https://www.google.com/maps/search/?api=1&amp;query=Perforaciones+Kraemer%2C+R%C3%ADo+Cuarto%2C+C%C3%B3rdoba</x:v>
      </x:c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50" t="str">
        <x:v>RC-060</x:v>
      </x:c>
      <x:c r="B71" s="50" t="str">
        <x:v>A</x:v>
      </x:c>
      <x:c r="C71" s="50" t="n">
        <x:v>82</x:v>
      </x:c>
      <x:c r="D71" s="50" t="str">
        <x:v>ACO-PLAR</x:v>
      </x:c>
      <x:c r="E71" s="50" t="str">
        <x:v>Transporte / camiones / izajes</x:v>
      </x:c>
      <x:c r="F71" s="50" t="str">
        <x:v>+54 358 4205681</x:v>
      </x:c>
      <x:c r="G71" s="50" t="str">
        <x:v>Área urbana Río Cuarto</x:v>
      </x:c>
      <x:c r="H71" s="50" t="str">
        <x:v>Traslado de camiones, semirremolques, equipos averiados o apoyo de flota en contingencias.</x:v>
      </x:c>
      <x:c r="I71" s="50" t="str">
        <x:v>Plataforma 20 tn + malacate + hidrogrúa/izaje según maniobra.</x:v>
      </x:c>
      <x:c r="J71" s="50" t="str">
        <x:v>Pedir taller/flota/logística; ofrecer soporte de contingencia y tarifa por movilización.</x:v>
      </x:c>
      <x:c r="K71" s="50" t="str">
        <x:v>https://www.google.com/maps/search/?api=1&amp;query=ACO-PLAR%2C+Pcia.+de+La+Rioja+2600%2C+X5800+R%C3%ADo+Cuarto%2C+C%C3%B3rdoba</x:v>
      </x:c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50" t="str">
        <x:v>RC-061</x:v>
      </x:c>
      <x:c r="B72" s="50" t="str">
        <x:v>A</x:v>
      </x:c>
      <x:c r="C72" s="50" t="n">
        <x:v>82</x:v>
      </x:c>
      <x:c r="D72" s="50" t="str">
        <x:v>Arbro S.A. - Steel Tiger</x:v>
      </x:c>
      <x:c r="E72" s="50" t="str">
        <x:v>Metalúrgica y fabricación</x:v>
      </x:c>
      <x:c r="F72" s="50" t="str">
        <x:v>0800 7777833</x:v>
      </x:c>
      <x:c r="G72" s="50" t="str">
        <x:v>Corredor RN8</x:v>
      </x:c>
      <x:c r="H72" s="50" t="str">
        <x:v>Despacho/traslado de estructuras, piezas, implementos, acoplados o conjuntos metálicos.</x:v>
      </x:c>
      <x:c r="I72" s="50" t="str">
        <x:v>Plataforma + hidrogrúa + malacate; percha para pallets según carga.</x:v>
      </x:c>
      <x:c r="J72" s="50" t="str">
        <x:v>Pedir expedición/logística/producción; relevar piezas máximas y destinos habituales.</x:v>
      </x:c>
      <x:c r="K72" s="50" t="str">
        <x:v>https://www.google.com/maps/search/?api=1&amp;query=Arbro+S.A.+-+Steel+Tiger%2C+Patricias+Mendocinas+1070+%E2%80%93+Ruta+8+km+604%2C+X5808+R%C3%ADo+Cuarto</x:v>
      </x:c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50" t="str">
        <x:v>RC-062</x:v>
      </x:c>
      <x:c r="B73" s="50" t="str">
        <x:v>A</x:v>
      </x:c>
      <x:c r="C73" s="50" t="n">
        <x:v>82</x:v>
      </x:c>
      <x:c r="D73" s="50" t="str">
        <x:v>Carranza Perforaciones</x:v>
      </x:c>
      <x:c r="E73" s="50" t="str">
        <x:v>Perforaciones / fundaciones</x:v>
      </x:c>
      <x:c r="F73" s="50" t="str">
        <x:v>+54 9 358 5604320</x:v>
      </x:c>
      <x:c r="G73" s="50" t="str">
        <x:v>Área urbana Río Cuarto</x:v>
      </x:c>
      <x:c r="H73" s="50" t="str">
        <x:v>Movilización de perforadoras, herramientas y equipos entre obras y base.</x:v>
      </x:c>
      <x:c r="I73" s="50" t="str">
        <x:v>Plataforma 20 tn + malacate + hidrogrúa.</x:v>
      </x:c>
      <x:c r="J73" s="50" t="str">
        <x:v>Pedir obras/equipos; consultar pesos, dimensiones y cronograma de movilizaciones.</x:v>
      </x:c>
      <x:c r="K73" s="50" t="str">
        <x:v>https://www.google.com/maps/search/?api=1&amp;query=Carranza+Perforaciones%2C+Laguna+Leuvuco+4399%2C+X5800+R%C3%ADo+Cuarto%2C+C%C3%B3rdoba</x:v>
      </x:c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50" t="str">
        <x:v>RC-063</x:v>
      </x:c>
      <x:c r="B74" s="50" t="str">
        <x:v>A</x:v>
      </x:c>
      <x:c r="C74" s="50" t="n">
        <x:v>82</x:v>
      </x:c>
      <x:c r="D74" s="50" t="str">
        <x:v>Columbia Elevadores - Río Cuarto</x:v>
      </x:c>
      <x:c r="E74" s="50" t="str">
        <x:v>Autoelevadores y elevación</x:v>
      </x:c>
      <x:c r="F74" s="50" t="str">
        <x:v>+54 9 358 5093820</x:v>
      </x:c>
      <x:c r="G74" s="50" t="str">
        <x:v>Área urbana Río Cuarto</x:v>
      </x:c>
      <x:c r="H74" s="50" t="str">
        <x:v>Entrega/retiro de autoelevadores, plataformas y equipos de elevación entre base y clientes.</x:v>
      </x:c>
      <x:c r="I74" s="50" t="str">
        <x:v>Plataforma 20 tn + malacate + hidrogrúa de apoyo.</x:v>
      </x:c>
      <x:c r="J74" s="50" t="str">
        <x:v>Pedir alquileres/logística/service y cotizar tarifa por viaje y acuerdo recurrente.</x:v>
      </x:c>
      <x:c r="K74" s="50" t="str">
        <x:v>https://www.google.com/maps/search/?api=1&amp;query=Columbia+Elevadores+-+R%C3%ADo+Cuarto%2C+R%C3%ADo+Cuarto%2C+C%C3%B3rdoba</x:v>
      </x:c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50" t="str">
        <x:v>RC-064</x:v>
      </x:c>
      <x:c r="B75" s="50" t="str">
        <x:v>A</x:v>
      </x:c>
      <x:c r="C75" s="50" t="n">
        <x:v>82</x:v>
      </x:c>
      <x:c r="D75" s="50" t="str">
        <x:v>Da Natureza Piscinas y Riegos</x:v>
      </x:c>
      <x:c r="E75" s="50" t="str">
        <x:v>Piscinas / fibra de vidrio</x:v>
      </x:c>
      <x:c r="F75" s="50" t="str">
        <x:v>+54 9 358 4287330</x:v>
      </x:c>
      <x:c r="G75" s="50" t="str">
        <x:v>Área urbana Río Cuarto</x:v>
      </x:c>
      <x:c r="H75" s="50" t="str">
        <x:v>Traslado de piscinas/cúpulas desde fábrica o depósito hasta obra y apoyo de descarga.</x:v>
      </x:c>
      <x:c r="I75" s="50" t="str">
        <x:v>Plataforma + hidrogrúa para entrega y posicionamiento.</x:v>
      </x:c>
      <x:c r="J75" s="50" t="str">
        <x:v>Pedir logística/colocación; relevar medidas máximas y volumen mensual en temporada.</x:v>
      </x:c>
      <x:c r="K75" s="50" t="str">
        <x:v>https://www.google.com/maps/search/?api=1&amp;query=Da+Natureza+Piscinas+y+Riegos%2C+Reverendo+Padre+Silvi+551%2C+X5806+R%C3%ADo+Cuarto%2C+C%C3%B3rdoba</x:v>
      </x:c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50" t="str">
        <x:v>RC-065</x:v>
      </x:c>
      <x:c r="B76" s="50" t="str">
        <x:v>A</x:v>
      </x:c>
      <x:c r="C76" s="50" t="n">
        <x:v>82</x:v>
      </x:c>
      <x:c r="D76" s="50" t="str">
        <x:v>GUIAR Constructora</x:v>
      </x:c>
      <x:c r="E76" s="50" t="str">
        <x:v>Construcción y obra industrial</x:v>
      </x:c>
      <x:c r="F76" s="50" t="str">
        <x:v>+54 358 3434555</x:v>
      </x:c>
      <x:c r="G76" s="50" t="str">
        <x:v>Área urbana Río Cuarto</x:v>
      </x:c>
      <x:c r="H76" s="50" t="str">
        <x:v>Movimientos de equipos, cargas especiales o apoyo logístico asociados a su operación.</x:v>
      </x:c>
      <x:c r="I76" s="50" t="str">
        <x:v>Plataforma 20 tn + hidrogrúa + malacate según necesidad.</x:v>
      </x:c>
      <x:c r="J76" s="50" t="str">
        <x:v>Contactar operaciones/logística y relevar movimientos actuales.</x:v>
      </x:c>
      <x:c r="K76" s="50" t="str">
        <x:v>https://www.google.com/maps/search/?api=1&amp;query=GUIAR+Constructora%2C+9+de+Julio+170%2C+X5800+R%C3%ADo+Cuarto%2C+C%C3%B3rdoba</x:v>
      </x:c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50" t="str">
        <x:v>RC-066</x:v>
      </x:c>
      <x:c r="B77" s="50" t="str">
        <x:v>A</x:v>
      </x:c>
      <x:c r="C77" s="50" t="n">
        <x:v>82</x:v>
      </x:c>
      <x:c r="D77" s="50" t="str">
        <x:v>Metalúrgica Tsuji</x:v>
      </x:c>
      <x:c r="E77" s="50" t="str">
        <x:v>Metalúrgica y fabricación</x:v>
      </x:c>
      <x:c r="F77" s="50" t="str">
        <x:v>+54 358 4663867</x:v>
      </x:c>
      <x:c r="G77" s="50" t="str">
        <x:v>Área urbana Río Cuarto</x:v>
      </x:c>
      <x:c r="H77" s="50" t="str">
        <x:v>Despacho/traslado de estructuras, piezas, implementos, acoplados o conjuntos metálicos.</x:v>
      </x:c>
      <x:c r="I77" s="50" t="str">
        <x:v>Plataforma + hidrogrúa + malacate; percha para pallets según carga.</x:v>
      </x:c>
      <x:c r="J77" s="50" t="str">
        <x:v>Pedir expedición/logística/producción; relevar piezas máximas y destinos habituales.</x:v>
      </x:c>
      <x:c r="K77" s="50" t="str">
        <x:v>https://www.google.com/maps/search/?api=1&amp;query=Metal%C3%BArgica+Tsuji%2C+Joaqu%C3%ADn+Crisol+878%2C+X5800+R%C3%ADo+Cuarto%2C+C%C3%B3rdoba</x:v>
      </x:c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50" t="str">
        <x:v>RC-067</x:v>
      </x:c>
      <x:c r="B78" s="50" t="str">
        <x:v>A</x:v>
      </x:c>
      <x:c r="C78" s="50" t="n">
        <x:v>80</x:v>
      </x:c>
      <x:c r="D78" s="50" t="str">
        <x:v>Cantera La Negrita</x:v>
      </x:c>
      <x:c r="E78" s="50" t="str">
        <x:v>Hormigón, áridos y materiales</x:v>
      </x:c>
      <x:c r="F78" s="50" t="str">
        <x:v>+54 358 4116778</x:v>
      </x:c>
      <x:c r="G78" s="50" t="str">
        <x:v>Área urbana Río Cuarto</x:v>
      </x:c>
      <x:c r="H78" s="50" t="str">
        <x:v>Movimiento de equipos de planta, bombas, moldes, premoldeados, maquinaria y cargas pesadas.</x:v>
      </x:c>
      <x:c r="I78" s="50" t="str">
        <x:v>Plataforma + hidrogrúa + percha para pallets/cargas.</x:v>
      </x:c>
      <x:c r="J78" s="50" t="str">
        <x:v>Pedir planta/mantenimiento/logística; relevar equipos y movimientos no cubiertos por mixer/camión.</x:v>
      </x:c>
      <x:c r="K78" s="50" t="str">
        <x:v>https://www.google.com/maps/search/?api=1&amp;query=Cantera+La+Negrita%2C+R%C3%ADo+Cuarto%2C+C%C3%B3rdoba</x:v>
      </x:c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50" t="str">
        <x:v>RC-068</x:v>
      </x:c>
      <x:c r="B79" s="50" t="str">
        <x:v>A</x:v>
      </x:c>
      <x:c r="C79" s="50" t="n">
        <x:v>80</x:v>
      </x:c>
      <x:c r="D79" s="50" t="str">
        <x:v>Carmix Hormigón Elaborado</x:v>
      </x:c>
      <x:c r="E79" s="50" t="str">
        <x:v>Hormigón, áridos y materiales</x:v>
      </x:c>
      <x:c r="F79" s="50" t="str">
        <x:v>A verificar</x:v>
      </x:c>
      <x:c r="G79" s="50" t="str">
        <x:v>Área urbana Río Cuarto</x:v>
      </x:c>
      <x:c r="H79" s="50" t="str">
        <x:v>Movimiento de equipos de planta, bombas, moldes, premoldeados, maquinaria y cargas pesadas.</x:v>
      </x:c>
      <x:c r="I79" s="50" t="str">
        <x:v>Plataforma + hidrogrúa + percha para pallets/cargas.</x:v>
      </x:c>
      <x:c r="J79" s="50" t="str">
        <x:v>Pedir planta/mantenimiento/logística; relevar equipos y movimientos no cubiertos por mixer/camión.</x:v>
      </x:c>
      <x:c r="K79" s="50" t="str">
        <x:v>https://www.google.com/maps/search/?api=1&amp;query=Carmix+Hormig%C3%B3n+Elaborado%2C+V%C3%A9lez+Sarsfield+260%2C+X5800+R%C3%ADo+Cuarto%2C+C%C3%B3rdoba</x:v>
      </x:c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50" t="str">
        <x:v>RC-069</x:v>
      </x:c>
      <x:c r="B80" s="50" t="str">
        <x:v>A</x:v>
      </x:c>
      <x:c r="C80" s="50" t="n">
        <x:v>80</x:v>
      </x:c>
      <x:c r="D80" s="50" t="str">
        <x:v>Cassel Argentina</x:v>
      </x:c>
      <x:c r="E80" s="50" t="str">
        <x:v>Equipos industriales / energía</x:v>
      </x:c>
      <x:c r="F80" s="50" t="str">
        <x:v>+54 358 4646141 / 4326611</x:v>
      </x:c>
      <x:c r="G80" s="50" t="str">
        <x:v>Área urbana Río Cuarto</x:v>
      </x:c>
      <x:c r="H80" s="50" t="str">
        <x:v>Movimiento de grupos, tableros, motores, módulos y equipos industriales para obra o mantenimiento.</x:v>
      </x:c>
      <x:c r="I80" s="50" t="str">
        <x:v>Plataforma + hidrogrúa + percha para pallets + seguro/GPS.</x:v>
      </x:c>
      <x:c r="J80" s="50" t="str">
        <x:v>Pedir proyectos/mantenimiento/logística; consultar pesos, obras activas y montajes.</x:v>
      </x:c>
      <x:c r="K80" s="50" t="str">
        <x:v>https://www.google.com/maps/search/?api=1&amp;query=Cassel+Argentina%2C+Av.+Marcelo+T.+de+Alvear+1889%2C+X5800+R%C3%ADo+Cuarto%2C+C%C3%B3rdoba</x:v>
      </x:c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50" t="str">
        <x:v>RC-070</x:v>
      </x:c>
      <x:c r="B81" s="50" t="str">
        <x:v>A</x:v>
      </x:c>
      <x:c r="C81" s="50" t="n">
        <x:v>80</x:v>
      </x:c>
      <x:c r="D81" s="50" t="str">
        <x:v>Fábrica de Cabinas I.M.S.A.</x:v>
      </x:c>
      <x:c r="E81" s="50" t="str">
        <x:v>Metalúrgica y fabricación</x:v>
      </x:c>
      <x:c r="F81" s="50" t="str">
        <x:v>+54 358 4375447</x:v>
      </x:c>
      <x:c r="G81" s="50" t="str">
        <x:v>Área urbana Río Cuarto</x:v>
      </x:c>
      <x:c r="H81" s="50" t="str">
        <x:v>Despacho/traslado de estructuras, piezas, implementos, acoplados o conjuntos metálicos.</x:v>
      </x:c>
      <x:c r="I81" s="50" t="str">
        <x:v>Plataforma + hidrogrúa + malacate; percha para pallets según carga.</x:v>
      </x:c>
      <x:c r="J81" s="50" t="str">
        <x:v>Pedir expedición/logística/producción; relevar piezas máximas y destinos habituales.</x:v>
      </x:c>
      <x:c r="K81" s="50" t="str">
        <x:v>https://www.google.com/maps/search/?api=1&amp;query=F%C3%A1brica+de+Cabinas+I.M.S.A.%2C+R%C3%ADo+Deseado+634%2C+X5800+R%C3%ADo+Cuarto%2C+C%C3%B3rdoba</x:v>
      </x:c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50" t="str">
        <x:v>RC-071</x:v>
      </x:c>
      <x:c r="B82" s="50" t="str">
        <x:v>A</x:v>
      </x:c>
      <x:c r="C82" s="50" t="n">
        <x:v>80</x:v>
      </x:c>
      <x:c r="D82" s="50" t="str">
        <x:v>Grandes Carteles</x:v>
      </x:c>
      <x:c r="E82" s="50" t="str">
        <x:v>Metalúrgica y fabricación</x:v>
      </x:c>
      <x:c r="F82" s="50" t="str">
        <x:v>+54 358 4220799 / 4220795</x:v>
      </x:c>
      <x:c r="G82" s="50" t="str">
        <x:v>Área urbana Río Cuarto</x:v>
      </x:c>
      <x:c r="H82" s="50" t="str">
        <x:v>Despacho/traslado de estructuras, piezas, implementos, acoplados o conjuntos metálicos.</x:v>
      </x:c>
      <x:c r="I82" s="50" t="str">
        <x:v>Plataforma + hidrogrúa + malacate; percha para pallets según carga.</x:v>
      </x:c>
      <x:c r="J82" s="50" t="str">
        <x:v>Pedir expedición/logística/producción; relevar piezas máximas y destinos habituales.</x:v>
      </x:c>
      <x:c r="K82" s="50" t="str">
        <x:v>https://www.google.com/maps/search/?api=1&amp;query=Grandes+Carteles%2C+San+Mart%C3%ADn+1533%2C+R%C3%ADo+Cuarto%2C+C%C3%B3rdoba</x:v>
      </x:c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50" t="str">
        <x:v>RC-072</x:v>
      </x:c>
      <x:c r="B83" s="50" t="str">
        <x:v>A</x:v>
      </x:c>
      <x:c r="C83" s="50" t="n">
        <x:v>80</x:v>
      </x:c>
      <x:c r="D83" s="50" t="str">
        <x:v>Lunardi Desarrollista</x:v>
      </x:c>
      <x:c r="E83" s="50" t="str">
        <x:v>Construcción y obra industrial</x:v>
      </x:c>
      <x:c r="F83" s="50" t="str">
        <x:v>+54 358 4629741</x:v>
      </x:c>
      <x:c r="G83" s="50" t="str">
        <x:v>Av. Perón / Oeste</x:v>
      </x:c>
      <x:c r="H83" s="50" t="str">
        <x:v>Movimientos de equipos, cargas especiales o apoyo logístico asociados a su operación.</x:v>
      </x:c>
      <x:c r="I83" s="50" t="str">
        <x:v>Plataforma 20 tn + hidrogrúa + malacate según necesidad.</x:v>
      </x:c>
      <x:c r="J83" s="50" t="str">
        <x:v>Contactar operaciones/logística y relevar movimientos actuales.</x:v>
      </x:c>
      <x:c r="K83" s="50" t="str">
        <x:v>https://www.google.com/maps/search/?api=1&amp;query=Lunardi+Desarrollista%2C+Av.+Presidente+Per%C3%B3n+Centro+448%2C+X5800+R%C3%ADo+Cuarto%2C+C%C3%B3rdoba</x:v>
      </x:c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50" t="str">
        <x:v>RC-073</x:v>
      </x:c>
      <x:c r="B84" s="50" t="str">
        <x:v>A</x:v>
      </x:c>
      <x:c r="C84" s="50" t="n">
        <x:v>80</x:v>
      </x:c>
      <x:c r="D84" s="50" t="str">
        <x:v>Luvi Piscinas</x:v>
      </x:c>
      <x:c r="E84" s="50" t="str">
        <x:v>Piscinas / fibra de vidrio</x:v>
      </x:c>
      <x:c r="F84" s="50" t="str">
        <x:v>+54 358 4826734</x:v>
      </x:c>
      <x:c r="G84" s="50" t="str">
        <x:v>Corredor A005 / Circunvalación</x:v>
      </x:c>
      <x:c r="H84" s="50" t="str">
        <x:v>Traslado de piscinas/cúpulas desde fábrica o depósito hasta obra y apoyo de descarga.</x:v>
      </x:c>
      <x:c r="I84" s="50" t="str">
        <x:v>Plataforma + hidrogrúa para entrega y posicionamiento.</x:v>
      </x:c>
      <x:c r="J84" s="50" t="str">
        <x:v>Pedir logística/colocación; relevar medidas máximas y volumen mensual en temporada.</x:v>
      </x:c>
      <x:c r="K84" s="50" t="str">
        <x:v>https://www.google.com/maps/search/?api=1&amp;query=Luvi+Piscinas%2C+Ruta+A005+y+Av.+Presidente+Per%C3%B3n+Oeste%2C+R%C3%ADo+Cuarto%2C+C%C3%B3rdoba</x:v>
      </x:c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50" t="str">
        <x:v>RC-074</x:v>
      </x:c>
      <x:c r="B85" s="50" t="str">
        <x:v>A</x:v>
      </x:c>
      <x:c r="C85" s="50" t="n">
        <x:v>80</x:v>
      </x:c>
      <x:c r="D85" s="50" t="str">
        <x:v>Osvaldo González - Sucursal Río Cuarto</x:v>
      </x:c>
      <x:c r="E85" s="50" t="str">
        <x:v>Hormigón, áridos y materiales</x:v>
      </x:c>
      <x:c r="F85" s="50" t="str">
        <x:v>+54 358 4237037</x:v>
      </x:c>
      <x:c r="G85" s="50" t="str">
        <x:v>Av. Sabattini / Este</x:v>
      </x:c>
      <x:c r="H85" s="50" t="str">
        <x:v>Movimiento de equipos de planta, bombas, moldes, premoldeados, maquinaria y cargas pesadas.</x:v>
      </x:c>
      <x:c r="I85" s="50" t="str">
        <x:v>Plataforma + hidrogrúa + percha para pallets/cargas.</x:v>
      </x:c>
      <x:c r="J85" s="50" t="str">
        <x:v>Pedir planta/mantenimiento/logística; relevar equipos y movimientos no cubiertos por mixer/camión.</x:v>
      </x:c>
      <x:c r="K85" s="50" t="str">
        <x:v>https://www.google.com/maps/search/?api=1&amp;query=Osvaldo+Gonz%C3%A1lez+-+Sucursal+R%C3%ADo+Cuarto%2C+Av.+Amadeo+Sabattini+2700%2C+R%C3%ADo+Cuarto%2C+C%C3%B3rdoba</x:v>
      </x:c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50" t="str">
        <x:v>RC-075</x:v>
      </x:c>
      <x:c r="B86" s="50" t="str">
        <x:v>A</x:v>
      </x:c>
      <x:c r="C86" s="50" t="n">
        <x:v>80</x:v>
      </x:c>
      <x:c r="D86" s="50" t="str">
        <x:v>Piscinas iGUi Río Cuarto</x:v>
      </x:c>
      <x:c r="E86" s="50" t="str">
        <x:v>Piscinas / fibra de vidrio</x:v>
      </x:c>
      <x:c r="F86" s="50" t="str">
        <x:v>0800 2224484</x:v>
      </x:c>
      <x:c r="G86" s="50" t="str">
        <x:v>Corredor A005 / Circunvalación</x:v>
      </x:c>
      <x:c r="H86" s="50" t="str">
        <x:v>Traslado de piscinas/cúpulas desde fábrica o depósito hasta obra y apoyo de descarga.</x:v>
      </x:c>
      <x:c r="I86" s="50" t="str">
        <x:v>Plataforma + hidrogrúa para entrega y posicionamiento.</x:v>
      </x:c>
      <x:c r="J86" s="50" t="str">
        <x:v>Pedir logística/colocación; relevar medidas máximas y volumen mensual en temporada.</x:v>
      </x:c>
      <x:c r="K86" s="50" t="str">
        <x:v>https://www.google.com/maps/search/?api=1&amp;query=Piscinas+iGUi+R%C3%ADo+Cuarto%2C+RN+A005+y+Tejerina%2C+R%C3%ADo+Cuarto%2C+C%C3%B3rdoba</x:v>
      </x:c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50" t="str">
        <x:v>RC-076</x:v>
      </x:c>
      <x:c r="B87" s="50" t="str">
        <x:v>B</x:v>
      </x:c>
      <x:c r="C87" s="50" t="n">
        <x:v>78</x:v>
      </x:c>
      <x:c r="D87" s="50" t="str">
        <x:v>Auxilios Río Cuarto</x:v>
      </x:c>
      <x:c r="E87" s="50" t="str">
        <x:v>Transporte / camiones / izajes</x:v>
      </x:c>
      <x:c r="F87" s="50" t="str">
        <x:v>+54 358 5092541</x:v>
      </x:c>
      <x:c r="G87" s="50" t="str">
        <x:v>Área urbana Río Cuarto</x:v>
      </x:c>
      <x:c r="H87" s="50" t="str">
        <x:v>Traslado de camiones, semirremolques, equipos averiados o apoyo de flota en contingencias.</x:v>
      </x:c>
      <x:c r="I87" s="50" t="str">
        <x:v>Plataforma 20 tn + malacate + hidrogrúa/izaje según maniobra.</x:v>
      </x:c>
      <x:c r="J87" s="50" t="str">
        <x:v>Pedir taller/flota/logística; ofrecer soporte de contingencia y tarifa por movilización.</x:v>
      </x:c>
      <x:c r="K87" s="50" t="str">
        <x:v>https://www.google.com/maps/search/?api=1&amp;query=Auxilios+R%C3%ADo+Cuarto%2C+Luis+Reinaudi+1114%2C+X5800+R%C3%ADo+Cuarto%2C+C%C3%B3rdoba</x:v>
      </x:c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50" t="str">
        <x:v>RC-077</x:v>
      </x:c>
      <x:c r="B88" s="50" t="str">
        <x:v>B</x:v>
      </x:c>
      <x:c r="C88" s="50" t="n">
        <x:v>78</x:v>
      </x:c>
      <x:c r="D88" s="50" t="str">
        <x:v>Grúa y Auxilio J&amp;L Río Cuarto</x:v>
      </x:c>
      <x:c r="E88" s="50" t="str">
        <x:v>Transporte / camiones / izajes</x:v>
      </x:c>
      <x:c r="F88" s="50" t="str">
        <x:v>+54 358 4118092</x:v>
      </x:c>
      <x:c r="G88" s="50" t="str">
        <x:v>Área urbana Río Cuarto</x:v>
      </x:c>
      <x:c r="H88" s="50" t="str">
        <x:v>Traslado de camiones, semirremolques, equipos averiados o apoyo de flota en contingencias.</x:v>
      </x:c>
      <x:c r="I88" s="50" t="str">
        <x:v>Plataforma 20 tn + malacate + hidrogrúa/izaje según maniobra.</x:v>
      </x:c>
      <x:c r="J88" s="50" t="str">
        <x:v>Pedir taller/flota/logística; ofrecer soporte de contingencia y tarifa por movilización.</x:v>
      </x:c>
      <x:c r="K88" s="50" t="str">
        <x:v>https://www.google.com/maps/search/?api=1&amp;query=Gr%C3%BAa+y+Auxilio+J%26L+R%C3%ADo+Cuarto%2C+Dr.+V%C3%ADctor+Guillet+731%2C+X5800+R%C3%ADo+Cuarto%2C+C%C3%B3rdoba</x:v>
      </x:c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50" t="str">
        <x:v>RC-078</x:v>
      </x:c>
      <x:c r="B89" s="50" t="str">
        <x:v>B</x:v>
      </x:c>
      <x:c r="C89" s="50" t="n">
        <x:v>78</x:v>
      </x:c>
      <x:c r="D89" s="50" t="str">
        <x:v>ONC Infraestructura</x:v>
      </x:c>
      <x:c r="E89" s="50" t="str">
        <x:v>Equipos industriales / energía</x:v>
      </x:c>
      <x:c r="F89" s="50" t="str">
        <x:v>+54 358 4310383</x:v>
      </x:c>
      <x:c r="G89" s="50" t="str">
        <x:v>Área urbana Río Cuarto</x:v>
      </x:c>
      <x:c r="H89" s="50" t="str">
        <x:v>Movimiento de grupos, tableros, motores, módulos y equipos industriales para obra o mantenimiento.</x:v>
      </x:c>
      <x:c r="I89" s="50" t="str">
        <x:v>Plataforma + hidrogrúa + percha para pallets + seguro/GPS.</x:v>
      </x:c>
      <x:c r="J89" s="50" t="str">
        <x:v>Pedir proyectos/mantenimiento/logística; consultar pesos, obras activas y montajes.</x:v>
      </x:c>
      <x:c r="K89" s="50" t="str">
        <x:v>https://www.google.com/maps/search/?api=1&amp;query=ONC+Infraestructura%2C+Rioja+754%2C+R%C3%ADo+Cuarto%2C+C%C3%B3rdoba</x:v>
      </x:c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50" t="str">
        <x:v>RC-079</x:v>
      </x:c>
      <x:c r="B90" s="50" t="str">
        <x:v>B</x:v>
      </x:c>
      <x:c r="C90" s="50" t="n">
        <x:v>76</x:v>
      </x:c>
      <x:c r="D90" s="50" t="str">
        <x:v>Corralón Rolotti - Moldear Piscinas</x:v>
      </x:c>
      <x:c r="E90" s="50" t="str">
        <x:v>Piscinas / fibra de vidrio</x:v>
      </x:c>
      <x:c r="F90" s="50" t="str">
        <x:v>+54 9 358 5091698</x:v>
      </x:c>
      <x:c r="G90" s="50" t="str">
        <x:v>Área urbana Río Cuarto</x:v>
      </x:c>
      <x:c r="H90" s="50" t="str">
        <x:v>Traslado de piscinas/cúpulas desde fábrica o depósito hasta obra y apoyo de descarga.</x:v>
      </x:c>
      <x:c r="I90" s="50" t="str">
        <x:v>Plataforma + hidrogrúa para entrega y posicionamiento.</x:v>
      </x:c>
      <x:c r="J90" s="50" t="str">
        <x:v>Pedir logística/colocación; relevar medidas máximas y volumen mensual en temporada.</x:v>
      </x:c>
      <x:c r="K90" s="50" t="str">
        <x:v>https://www.google.com/maps/search/?api=1&amp;query=Corral%C3%B3n+Rolotti+-+Moldear+Piscinas%2C+Sarmiento+2849%2C+X5800+R%C3%ADo+Cuarto%2C+C%C3%B3rdoba</x:v>
      </x:c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50" t="str">
        <x:v>RC-080</x:v>
      </x:c>
      <x:c r="B91" s="50" t="str">
        <x:v>B</x:v>
      </x:c>
      <x:c r="C91" s="50" t="n">
        <x:v>72</x:v>
      </x:c>
      <x:c r="D91" s="50" t="str">
        <x:v>Auxilio Isidoro 24 hs</x:v>
      </x:c>
      <x:c r="E91" s="50" t="str">
        <x:v>Transporte / camiones / izajes</x:v>
      </x:c>
      <x:c r="F91" s="50" t="str">
        <x:v>+54 3385 449902</x:v>
      </x:c>
      <x:c r="G91" s="50" t="str">
        <x:v>Área urbana Río Cuarto</x:v>
      </x:c>
      <x:c r="H91" s="50" t="str">
        <x:v>Traslado de camiones, semirremolques, equipos averiados o apoyo de flota en contingencias.</x:v>
      </x:c>
      <x:c r="I91" s="50" t="str">
        <x:v>Plataforma 20 tn + malacate + hidrogrúa/izaje según maniobra.</x:v>
      </x:c>
      <x:c r="J91" s="50" t="str">
        <x:v>Pedir taller/flota/logística; ofrecer soporte de contingencia y tarifa por movilización.</x:v>
      </x:c>
      <x:c r="K91" s="50" t="str">
        <x:v>https://www.google.com/maps/search/?api=1&amp;query=Auxilio+Isidoro+24+hs%2C+Hip%C3%B3lito+Yrigoyen+563%2C+X5800+R%C3%ADo+Cuarto%2C+C%C3%B3rdoba</x:v>
      </x:c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50" t="str">
        <x:v>RC-081</x:v>
      </x:c>
      <x:c r="B92" s="50" t="str">
        <x:v>B</x:v>
      </x:c>
      <x:c r="C92" s="50" t="n">
        <x:v>72</x:v>
      </x:c>
      <x:c r="D92" s="50" t="str">
        <x:v>IMEGA Ingeniería y Montajes Eléctricos</x:v>
      </x:c>
      <x:c r="E92" s="50" t="str">
        <x:v>Equipos industriales / energía</x:v>
      </x:c>
      <x:c r="F92" s="50" t="str">
        <x:v>A verificar</x:v>
      </x:c>
      <x:c r="G92" s="50" t="str">
        <x:v>Área urbana Río Cuarto</x:v>
      </x:c>
      <x:c r="H92" s="50" t="str">
        <x:v>Movimiento de grupos, tableros, motores, módulos y equipos industriales para obra o mantenimiento.</x:v>
      </x:c>
      <x:c r="I92" s="50" t="str">
        <x:v>Plataforma + hidrogrúa + percha para pallets + seguro/GPS.</x:v>
      </x:c>
      <x:c r="J92" s="50" t="str">
        <x:v>Pedir proyectos/mantenimiento/logística; consultar pesos, obras activas y montajes.</x:v>
      </x:c>
      <x:c r="K92" s="50" t="str">
        <x:v>https://www.google.com/maps/search/?api=1&amp;query=IMEGA+Ingenier%C3%ADa+y+Montajes+El%C3%A9ctricos%2C+R%C3%ADo+Cuarto%2C+C%C3%B3rdoba</x:v>
      </x:c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50" t="str">
        <x:v>RC-082</x:v>
      </x:c>
      <x:c r="B93" s="50" t="str">
        <x:v>B</x:v>
      </x:c>
      <x:c r="C93" s="50" t="n">
        <x:v>72</x:v>
      </x:c>
      <x:c r="D93" s="50" t="str">
        <x:v>Murray Transportes y Servicios</x:v>
      </x:c>
      <x:c r="E93" s="50" t="str">
        <x:v>Transporte / logística / alianza</x:v>
      </x:c>
      <x:c r="F93" s="50" t="str">
        <x:v>+54 358 6540752</x:v>
      </x:c>
      <x:c r="G93" s="50" t="str">
        <x:v>Corredor RN8</x:v>
      </x:c>
      <x:c r="H93" s="50" t="str">
        <x:v>Overflow, subcontratación o derivación de cargas/equipos que requieran plataforma, malacate o hidrogrúa.</x:v>
      </x:c>
      <x:c r="I93" s="50" t="str">
        <x:v>Plataforma 20 tn + hidrogrúa + malacate como capacidad complementaria.</x:v>
      </x:c>
      <x:c r="J93" s="50" t="str">
        <x:v>Pedir tráfico/operaciones; presentar capacidad y acuerdo de derivaciones.</x:v>
      </x:c>
      <x:c r="K93" s="50" t="str">
        <x:v>https://www.google.com/maps/search/?api=1&amp;query=Murray+Transportes+y+Servicios%2C+RN8+km+608%2C+R%C3%ADo+Cuarto%2C+C%C3%B3rdoba</x:v>
      </x:c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50" t="str">
        <x:v>RC-083</x:v>
      </x:c>
      <x:c r="B94" s="50" t="str">
        <x:v>B</x:v>
      </x:c>
      <x:c r="C94" s="50" t="n">
        <x:v>72</x:v>
      </x:c>
      <x:c r="D94" s="50" t="str">
        <x:v>Skimmer Piscinas</x:v>
      </x:c>
      <x:c r="E94" s="50" t="str">
        <x:v>Piscinas / fibra de vidrio</x:v>
      </x:c>
      <x:c r="F94" s="50" t="str">
        <x:v>+54 358 4182518</x:v>
      </x:c>
      <x:c r="G94" s="50" t="str">
        <x:v>Área urbana Río Cuarto</x:v>
      </x:c>
      <x:c r="H94" s="50" t="str">
        <x:v>Traslado de piscinas/cúpulas desde fábrica o depósito hasta obra y apoyo de descarga.</x:v>
      </x:c>
      <x:c r="I94" s="50" t="str">
        <x:v>Plataforma + hidrogrúa para entrega y posicionamiento.</x:v>
      </x:c>
      <x:c r="J94" s="50" t="str">
        <x:v>Pedir logística/colocación; relevar medidas máximas y volumen mensual en temporada.</x:v>
      </x:c>
      <x:c r="K94" s="50" t="str">
        <x:v>https://www.google.com/maps/search/?api=1&amp;query=Skimmer+Piscinas%2C+Brasil+1006%2C+X5800+R%C3%ADo+Cuarto%2C+C%C3%B3rdoba</x:v>
      </x:c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50" t="str">
        <x:v>RC-084</x:v>
      </x:c>
      <x:c r="B95" s="50" t="str">
        <x:v>B</x:v>
      </x:c>
      <x:c r="C95" s="50" t="n">
        <x:v>72</x:v>
      </x:c>
      <x:c r="D95" s="50" t="str">
        <x:v>Transporte MD</x:v>
      </x:c>
      <x:c r="E95" s="50" t="str">
        <x:v>Transporte / logística / alianza</x:v>
      </x:c>
      <x:c r="F95" s="50" t="str">
        <x:v>+54 358 4182687</x:v>
      </x:c>
      <x:c r="G95" s="50" t="str">
        <x:v>Corredor A005 / Circunvalación</x:v>
      </x:c>
      <x:c r="H95" s="50" t="str">
        <x:v>Overflow, subcontratación o derivación de cargas/equipos que requieran plataforma, malacate o hidrogrúa.</x:v>
      </x:c>
      <x:c r="I95" s="50" t="str">
        <x:v>Plataforma 20 tn + hidrogrúa + malacate como capacidad complementaria.</x:v>
      </x:c>
      <x:c r="J95" s="50" t="str">
        <x:v>Pedir tráfico/operaciones; presentar capacidad y acuerdo de derivaciones.</x:v>
      </x:c>
      <x:c r="K95" s="50" t="str">
        <x:v>https://www.google.com/maps/search/?api=1&amp;query=Transporte+MD%2C+Bv.+Circunvalaci%C3%B3n+Oeste+2701-2799%2C+R%C3%ADo+Cuarto%2C+C%C3%B3rdoba</x:v>
      </x:c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50" t="str">
        <x:v>RC-085</x:v>
      </x:c>
      <x:c r="B96" s="50" t="str">
        <x:v>B</x:v>
      </x:c>
      <x:c r="C96" s="50" t="n">
        <x:v>68</x:v>
      </x:c>
      <x:c r="D96" s="50" t="str">
        <x:v>Logística Río Cuarto S.A.</x:v>
      </x:c>
      <x:c r="E96" s="50" t="str">
        <x:v>Transporte / logística / alianza</x:v>
      </x:c>
      <x:c r="F96" s="50" t="str">
        <x:v>+54 9 358 4293916</x:v>
      </x:c>
      <x:c r="G96" s="50" t="str">
        <x:v>Área urbana Río Cuarto</x:v>
      </x:c>
      <x:c r="H96" s="50" t="str">
        <x:v>Overflow, subcontratación o derivación de cargas/equipos que requieran plataforma, malacate o hidrogrúa.</x:v>
      </x:c>
      <x:c r="I96" s="50" t="str">
        <x:v>Plataforma 20 tn + hidrogrúa + malacate como capacidad complementaria.</x:v>
      </x:c>
      <x:c r="J96" s="50" t="str">
        <x:v>Pedir tráfico/operaciones; presentar capacidad y acuerdo de derivaciones.</x:v>
      </x:c>
      <x:c r="K96" s="50" t="str">
        <x:v>https://www.google.com/maps/search/?api=1&amp;query=Log%C3%ADstica+R%C3%ADo+Cuarto+S.A.%2C+Roberto+Payr%C3%B3+558%2C+X5804+R%C3%ADo+Cuarto%2C+C%C3%B3rdoba</x:v>
      </x:c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50" t="str">
        <x:v>RC-086</x:v>
      </x:c>
      <x:c r="B97" s="50" t="str">
        <x:v>B</x:v>
      </x:c>
      <x:c r="C97" s="50" t="n">
        <x:v>68</x:v>
      </x:c>
      <x:c r="D97" s="50" t="str">
        <x:v>SendBox / Transporte Jorge Godoy</x:v>
      </x:c>
      <x:c r="E97" s="50" t="str">
        <x:v>Transporte / logística / alianza</x:v>
      </x:c>
      <x:c r="F97" s="50" t="str">
        <x:v>+54 358 4701790</x:v>
      </x:c>
      <x:c r="G97" s="50" t="str">
        <x:v>Área urbana Río Cuarto</x:v>
      </x:c>
      <x:c r="H97" s="50" t="str">
        <x:v>Overflow, subcontratación o derivación de cargas/equipos que requieran plataforma, malacate o hidrogrúa.</x:v>
      </x:c>
      <x:c r="I97" s="50" t="str">
        <x:v>Plataforma 20 tn + hidrogrúa + malacate como capacidad complementaria.</x:v>
      </x:c>
      <x:c r="J97" s="50" t="str">
        <x:v>Pedir tráfico/operaciones; presentar capacidad y acuerdo de derivaciones.</x:v>
      </x:c>
      <x:c r="K97" s="50" t="str">
        <x:v>https://www.google.com/maps/search/?api=1&amp;query=SendBox+%2F+Transporte+Jorge+Godoy%2C+Alberdi+2925%2C+X5802+R%C3%ADo+Cuarto%2C+C%C3%B3rdoba</x:v>
      </x:c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50" t="str">
        <x:v>RC-087</x:v>
      </x:c>
      <x:c r="B98" s="50" t="str">
        <x:v>B</x:v>
      </x:c>
      <x:c r="C98" s="50" t="n">
        <x:v>64</x:v>
      </x:c>
      <x:c r="D98" s="50" t="str">
        <x:v>Transporte Imperio</x:v>
      </x:c>
      <x:c r="E98" s="50" t="str">
        <x:v>Transporte / logística / alianza</x:v>
      </x:c>
      <x:c r="F98" s="50" t="str">
        <x:v>+54 358 4820975</x:v>
      </x:c>
      <x:c r="G98" s="50" t="str">
        <x:v>Av. Perón / Oeste</x:v>
      </x:c>
      <x:c r="H98" s="50" t="str">
        <x:v>Overflow, subcontratación o derivación de cargas/equipos que requieran plataforma, malacate o hidrogrúa.</x:v>
      </x:c>
      <x:c r="I98" s="50" t="str">
        <x:v>Plataforma 20 tn + hidrogrúa + malacate como capacidad complementaria.</x:v>
      </x:c>
      <x:c r="J98" s="50" t="str">
        <x:v>Pedir tráfico/operaciones; presentar capacidad y acuerdo de derivaciones.</x:v>
      </x:c>
      <x:c r="K98" s="50" t="str">
        <x:v>https://www.google.com/maps/search/?api=1&amp;query=Transporte+Imperio%2C+Av.+Presidente+Per%C3%B3n+Centro+145%2C+X5802+R%C3%ADo+Cuarto</x:v>
      </x:c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mergeCells>
    <x:mergeCell ref="A1:K1"/>
    <x:mergeCell ref="A2:K2"/>
  </x:mergeCells>
  <x:conditionalFormatting sqref="B12:B98">
    <x:cfRule type="expression" dxfId="4" priority="1">
      <x:formula>B12="A+"</x:formula>
    </x:cfRule>
    <x:cfRule type="expression" dxfId="5" priority="2">
      <x:formula>B12="A"</x:formula>
    </x:cfRule>
    <x:cfRule type="expression" dxfId="6" priority="3">
      <x:formula>B12="B"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3a550e3d5c47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3" hidden="0" customWidth="1"/>
    <x:col min="4" max="4" width="22" hidden="0" customWidth="1"/>
    <x:col min="5" max="5" width="13" hidden="0" customWidth="1"/>
    <x:col min="6" max="6" width="8" hidden="0" customWidth="1"/>
    <x:col min="7" max="7" width="10" hidden="0" customWidth="1"/>
    <x:col min="8" max="8" width="30" hidden="0" customWidth="1"/>
    <x:col min="9" max="9" width="34" hidden="0" customWidth="1"/>
    <x:col min="10" max="10" width="27" hidden="0" customWidth="1"/>
    <x:col min="11" max="11" width="22" hidden="0" customWidth="1"/>
    <x:col min="12" max="12" width="13" hidden="0" customWidth="1"/>
    <x:col min="13" max="13" width="24" hidden="0" customWidth="1"/>
    <x:col min="14" max="14" width="40" hidden="0" customWidth="1"/>
    <x:col min="15" max="15" width="38" hidden="0" customWidth="1"/>
    <x:col min="16" max="16" width="40" hidden="0" customWidth="1"/>
    <x:col min="17" max="17" width="38" hidden="0" customWidth="1"/>
    <x:col min="18" max="18" width="16" hidden="0" customWidth="1"/>
    <x:col min="19" max="19" width="34" hidden="0" customWidth="1"/>
    <x:col min="20" max="20" width="18" hidden="0" customWidth="1"/>
    <x:col min="21" max="21" width="13" hidden="0" customWidth="1"/>
    <x:col min="22" max="22" width="24" hidden="0" customWidth="1"/>
    <x:col min="23" max="23" width="34" hidden="0" customWidth="1"/>
    <x:col min="24" max="24" width="20" hidden="0" customWidth="1"/>
    <x:col min="25" max="25" width="30" hidden="0" customWidth="1"/>
    <x:col min="26" max="26" width="36" hidden="0" customWidth="1"/>
    <x:col min="27" max="27" width="36" hidden="0" customWidth="1"/>
    <x:col min="28" max="28" width="22" hidden="0" customWidth="1"/>
    <x:col min="29" max="29" width="42" hidden="0" customWidth="1"/>
    <x:col min="30" max="30" width="45" hidden="0" customWidth="1"/>
    <x:col min="31" max="31" width="12" hidden="0" customWidth="1"/>
    <x:col min="32" max="32" width="26" hidden="0" customWidth="1"/>
    <x:col min="33" max="33" width="42" hidden="0" customWidth="1"/>
    <x:col min="34" max="34" width="27" hidden="0" customWidth="1"/>
    <x:col min="35" max="35" width="13" hidden="0" customWidth="1"/>
    <x:col min="36" max="36" width="18" hidden="0" customWidth="1"/>
    <x:col min="37" max="37" width="42" hidden="0" customWidth="1"/>
    <x:col min="38" max="38" width="24" hidden="0" customWidth="1"/>
    <x:col min="39" max="39" width="48" hidden="0" customWidth="1"/>
  </x:cols>
  <x:sheetData>
    <x:row r="1" ht="42" customHeight="1">
      <x:c r="A1" s="68" t="str">
        <x:v>ID</x:v>
      </x:c>
      <x:c r="B1" s="68" t="str">
        <x:v>Estado de contacto</x:v>
      </x:c>
      <x:c r="C1" s="68" t="str">
        <x:v>Corredor</x:v>
      </x:c>
      <x:c r="D1" s="68" t="str">
        <x:v>Microzona</x:v>
      </x:c>
      <x:c r="E1" s="68" t="str">
        <x:v>Ciudad</x:v>
      </x:c>
      <x:c r="F1" s="68" t="str">
        <x:v>Clase</x:v>
      </x:c>
      <x:c r="G1" s="68" t="str">
        <x:v>Puntaje operativo</x:v>
      </x:c>
      <x:c r="H1" s="68" t="str">
        <x:v>Empresa</x:v>
      </x:c>
      <x:c r="I1" s="68" t="str">
        <x:v>Sector</x:v>
      </x:c>
      <x:c r="J1" s="68" t="str">
        <x:v>Categoría comercial</x:v>
      </x:c>
      <x:c r="K1" s="68" t="str">
        <x:v>Teléfonos</x:v>
      </x:c>
      <x:c r="L1" s="68" t="str">
        <x:v>Calidad del teléfono</x:v>
      </x:c>
      <x:c r="M1" s="68" t="str">
        <x:v>Preguntar por</x:v>
      </x:c>
      <x:c r="N1" s="68" t="str">
        <x:v>Necesidad probable</x:v>
      </x:c>
      <x:c r="O1" s="68" t="str">
        <x:v>Oferta PRESOL</x:v>
      </x:c>
      <x:c r="P1" s="68" t="str">
        <x:v>Gancho comercial</x:v>
      </x:c>
      <x:c r="Q1" s="68" t="str">
        <x:v>Acción sugerida</x:v>
      </x:c>
      <x:c r="R1" s="68" t="str">
        <x:v>Responsable</x:v>
      </x:c>
      <x:c r="S1" s="68" t="str">
        <x:v>Nota Dirección</x:v>
      </x:c>
      <x:c r="T1" s="68" t="str">
        <x:v>Resultado</x:v>
      </x:c>
      <x:c r="U1" s="68" t="str">
        <x:v>Fecha de visita</x:v>
      </x:c>
      <x:c r="V1" s="68" t="str">
        <x:v>Próximo paso</x:v>
      </x:c>
      <x:c r="W1" s="68" t="str">
        <x:v>Notas de campo</x:v>
      </x:c>
      <x:c r="X1" s="68" t="str">
        <x:v>Teléfono principal (tel:)</x:v>
      </x:c>
      <x:c r="Y1" s="68" t="str">
        <x:v>Links telefónicos</x:v>
      </x:c>
      <x:c r="Z1" s="68" t="str">
        <x:v>Dato pendiente</x:v>
      </x:c>
      <x:c r="AA1" s="68" t="str">
        <x:v>Google Maps</x:v>
      </x:c>
      <x:c r="AB1" s="68" t="str">
        <x:v>Fuente</x:v>
      </x:c>
      <x:c r="AC1" s="68" t="str">
        <x:v>URL fuente</x:v>
      </x:c>
      <x:c r="AD1" s="68" t="str">
        <x:v>Evidencia</x:v>
      </x:c>
      <x:c r="AE1" s="68" t="str">
        <x:v>Calidad del dato</x:v>
      </x:c>
      <x:c r="AF1" s="68" t="str">
        <x:v>Origen del registro</x:v>
      </x:c>
      <x:c r="AG1" s="68" t="str">
        <x:v>Servicios PRESOL a ofrecer</x:v>
      </x:c>
      <x:c r="AH1" s="68" t="str">
        <x:v>Rubro foco enriquecimiento</x:v>
      </x:c>
      <x:c r="AI1" s="68" t="str">
        <x:v>Ciudad foco solicitada</x:v>
      </x:c>
      <x:c r="AJ1" s="68" t="str">
        <x:v>Prioridad visita sugerida</x:v>
      </x:c>
      <x:c r="AK1" s="68" t="str">
        <x:v>Observación servicio nuevo</x:v>
      </x:c>
      <x:c r="AL1" s="68" t="str">
        <x:v>Fuente unificación</x:v>
      </x:c>
      <x:c r="AM1" s="68" t="str">
        <x:v>Notas de unificación</x:v>
      </x:c>
    </x:row>
    <x:row r="2" ht="48" customHeight="1">
      <x:c r="A2" s="50" t="str">
        <x:v>RC-001</x:v>
      </x:c>
      <x:c r="B2" s="50" t="str">
        <x:v>Pendiente</x:v>
      </x:c>
      <x:c r="C2" s="50" t="str">
        <x:v>Río Cuarto</x:v>
      </x:c>
      <x:c r="D2" s="50" t="str">
        <x:v>Corredor RN36</x:v>
      </x:c>
      <x:c r="E2" s="50" t="str">
        <x:v>Río Cuarto</x:v>
      </x:c>
      <x:c r="F2" s="50" t="str">
        <x:v>A+</x:v>
      </x:c>
      <x:c r="G2" s="50" t="n">
        <x:v>100</x:v>
      </x:c>
      <x:c r="H2" s="50" t="str">
        <x:v>Casale Maquinarias - Movimientos Agro Vial S.A.</x:v>
      </x:c>
      <x:c r="I2" s="50" t="str">
        <x:v>Movimiento de suelos, excavaciones y alquiler de maquinaria vial/agro</x:v>
      </x:c>
      <x:c r="J2" s="50" t="str">
        <x:v>Construcción vial / movimiento de suelo</x:v>
      </x:c>
      <x:c r="K2" s="50" t="str">
        <x:v>+54 358 5094615</x:v>
      </x:c>
      <x:c r="L2" s="50" t="str">
        <x:v>OK</x:v>
      </x:c>
      <x:c r="M2" s="50" t="str">
        <x:v>operaciones / logística / alquileres</x:v>
      </x:c>
      <x:c r="N2" s="50" t="str">
        <x:v>Traslados interobra de excavadoras, retroexcavadoras, minicargadoras, rodillos y equipos viales.</x:v>
      </x:c>
      <x:c r="O2" s="50" t="str">
        <x:v>Plataforma 20 tn + malacate + seguro/GPS + coordinación interobra.</x:v>
      </x:c>
      <x:c r="P2" s="50" t="str">
        <x:v>Mover equipos entre frentes sin sacar recursos propios de la obra.</x:v>
      </x:c>
      <x:c r="Q2" s="50" t="str">
        <x:v>Pedir jefe de equipos/obras; relevar flota, pesos y frecuencia de movimientos.</x:v>
      </x:c>
      <x:c r="R2" s="50" t="str"/>
      <x:c r="S2" s="50" t="str">
        <x:v>RN36 606, X5800 Río Cuarto, Córdoba</x:v>
      </x:c>
      <x:c r="T2" s="50" t="str"/>
      <x:c r="U2" s="50" t="str"/>
      <x:c r="V2" s="50" t="str"/>
      <x:c r="W2" s="50" t="str"/>
      <x:c r="X2" s="50" t="str">
        <x:v>+543585094615</x:v>
      </x:c>
      <x:c r="Y2" s="50" t="str">
        <x:v>tel:+543585094615</x:v>
      </x:c>
      <x:c r="Z2" s="50" t="str">
        <x:v>Confirmar decisor, frecuencia mensual, pesos/dimensiones y cómo resuelven hoy los traslados.</x:v>
      </x:c>
      <x:c r="AA2" s="50" t="str">
        <x:v>https://www.google.com/maps/search/?api=1&amp;query=Casale+Maquinarias+-+Movimientos+Agro+Vial+S.A.%2C+RN36+606%2C+X5800+R%C3%ADo+Cuarto%2C+C%C3%B3rdoba</x:v>
      </x:c>
      <x:c r="AB2" s="50" t="str">
        <x:v>Agrositio + Google Business</x:v>
      </x:c>
      <x:c r="AC2" s="50" t="str">
        <x:v>https://www.agrositio.com.ar/clasificados/tiendas_detalle.php?id=91599</x:v>
      </x:c>
      <x:c r="AD2" s="50" t="str">
        <x:v>Cuenta con parque de maquinaria pesada propia y presta alquiler/servicios de movimiento de suelos.</x:v>
      </x:c>
      <x:c r="AE2" s="50" t="str">
        <x:v>Alta</x:v>
      </x:c>
      <x:c r="AF2" s="50" t="str">
        <x:v>Rastrillaje Río Cuarto 2026-09-15</x:v>
      </x:c>
      <x:c r="AG2" s="50" t="str">
        <x:v>Plataforma 20 tn | Malacate | Hidrogrúa | Traslados interobra | Seguro/GPS</x:v>
      </x:c>
      <x:c r="AH2" s="50" t="str">
        <x:v>Construcción vial / movimiento de suelo</x:v>
      </x:c>
      <x:c r="AI2" s="50" t="str">
        <x:v>Sí</x:v>
      </x:c>
      <x:c r="AJ2" s="50" t="str">
        <x:v>VISITA INMEDIATA</x:v>
      </x:c>
      <x:c r="AK2" s="50" t="str">
        <x:v>Cliente natural para carretones y traslados interobra.</x:v>
      </x:c>
      <x:c r="AL2" s="50" t="str">
        <x:v>Google Business / directorio / web sectorial</x:v>
      </x:c>
      <x:c r="AM2" s="50" t="str">
        <x:v>Alta Río Cuarto; barrido integral por marcas, alquiler, maquinaria, industria y corredores A005/RN8/RN36.</x:v>
      </x:c>
    </x:row>
    <x:row r="3" ht="48" customHeight="1">
      <x:c r="A3" s="50" t="str">
        <x:v>RC-002</x:v>
      </x:c>
      <x:c r="B3" s="50" t="str">
        <x:v>Pendiente</x:v>
      </x:c>
      <x:c r="C3" s="50" t="str">
        <x:v>Río Cuarto</x:v>
      </x:c>
      <x:c r="D3" s="50" t="str">
        <x:v>Corredor A005 / Circunvalación</x:v>
      </x:c>
      <x:c r="E3" s="50" t="str">
        <x:v>Río Cuarto</x:v>
      </x:c>
      <x:c r="F3" s="50" t="str">
        <x:v>A+</x:v>
      </x:c>
      <x:c r="G3" s="50" t="n">
        <x:v>100</x:v>
      </x:c>
      <x:c r="H3" s="50" t="str">
        <x:v>Geoqom</x:v>
      </x:c>
      <x:c r="I3" s="50" t="str">
        <x:v>Ingeniería civil, movimiento de suelos y alquiler de equipos viales</x:v>
      </x:c>
      <x:c r="J3" s="50" t="str">
        <x:v>Construcción vial / movimiento de suelo</x:v>
      </x:c>
      <x:c r="K3" s="50" t="str">
        <x:v>0358 154850006</x:v>
      </x:c>
      <x:c r="L3" s="50" t="str">
        <x:v>OK</x:v>
      </x:c>
      <x:c r="M3" s="50" t="str">
        <x:v>operaciones / equipos / obras</x:v>
      </x:c>
      <x:c r="N3" s="50" t="str">
        <x:v>Traslados interobra de excavadoras, retroexcavadoras, minicargadoras, rodillos y equipos viales.</x:v>
      </x:c>
      <x:c r="O3" s="50" t="str">
        <x:v>Plataforma 20 tn + malacate + seguro/GPS + coordinación interobra.</x:v>
      </x:c>
      <x:c r="P3" s="50" t="str">
        <x:v>Mover equipos entre frentes sin sacar recursos propios de la obra.</x:v>
      </x:c>
      <x:c r="Q3" s="50" t="str">
        <x:v>Pedir jefe de equipos/obras; relevar flota, pesos y frecuencia de movimientos.</x:v>
      </x:c>
      <x:c r="R3" s="50" t="str"/>
      <x:c r="S3" s="50" t="str">
        <x:v>Ruta A005 km 1,5, Río Cuarto, Córdoba</x:v>
      </x:c>
      <x:c r="T3" s="50" t="str"/>
      <x:c r="U3" s="50" t="str"/>
      <x:c r="V3" s="50" t="str"/>
      <x:c r="W3" s="50" t="str"/>
      <x:c r="X3" s="50" t="str">
        <x:v>0358154850006</x:v>
      </x:c>
      <x:c r="Y3" s="50" t="str">
        <x:v>tel:0358154850006</x:v>
      </x:c>
      <x:c r="Z3" s="50" t="str">
        <x:v>Confirmar decisor, frecuencia mensual, pesos/dimensiones y cómo resuelven hoy los traslados.</x:v>
      </x:c>
      <x:c r="AA3" s="50" t="str">
        <x:v>https://www.google.com/maps/search/?api=1&amp;query=Geoqom%2C+Ruta+A005+km+1%2C5%2C+R%C3%ADo+Cuarto%2C+C%C3%B3rdoba</x:v>
      </x:c>
      <x:c r="AB3" s="50" t="str">
        <x:v>Web oficial Geoqom</x:v>
      </x:c>
      <x:c r="AC3" s="50" t="str">
        <x:v>https://www.geoqom.com/</x:v>
      </x:c>
      <x:c r="AD3" s="50" t="str">
        <x:v>Empresa local especializada en movimiento de suelo; ofrece alquiler de equipos viales.</x:v>
      </x:c>
      <x:c r="AE3" s="50" t="str">
        <x:v>Alta</x:v>
      </x:c>
      <x:c r="AF3" s="50" t="str">
        <x:v>Rastrillaje Río Cuarto 2026-09-15</x:v>
      </x:c>
      <x:c r="AG3" s="50" t="str">
        <x:v>Plataforma 20 tn | Malacate | Hidrogrúa | Traslados interobra | Seguro/GPS</x:v>
      </x:c>
      <x:c r="AH3" s="50" t="str">
        <x:v>Construcción vial / movimiento de suelo</x:v>
      </x:c>
      <x:c r="AI3" s="50" t="str">
        <x:v>Sí</x:v>
      </x:c>
      <x:c r="AJ3" s="50" t="str">
        <x:v>VISITA INMEDIATA</x:v>
      </x:c>
      <x:c r="AK3" s="50" t="str">
        <x:v>Cliente natural para carretones y traslados interobra.</x:v>
      </x:c>
      <x:c r="AL3" s="50" t="str">
        <x:v>Web oficial / fuente comercial</x:v>
      </x:c>
      <x:c r="AM3" s="50" t="str">
        <x:v>Alta Río Cuarto; barrido integral por marcas, alquiler, maquinaria, industria y corredores A005/RN8/RN36.</x:v>
      </x:c>
    </x:row>
    <x:row r="4" ht="48" customHeight="1">
      <x:c r="A4" s="50" t="str">
        <x:v>RC-003</x:v>
      </x:c>
      <x:c r="B4" s="50" t="str">
        <x:v>Pendiente</x:v>
      </x:c>
      <x:c r="C4" s="50" t="str">
        <x:v>Río Cuarto</x:v>
      </x:c>
      <x:c r="D4" s="50" t="str">
        <x:v>Área urbana Río Cuarto</x:v>
      </x:c>
      <x:c r="E4" s="50" t="str">
        <x:v>Río Cuarto</x:v>
      </x:c>
      <x:c r="F4" s="50" t="str">
        <x:v>A+</x:v>
      </x:c>
      <x:c r="G4" s="50" t="n">
        <x:v>100</x:v>
      </x:c>
      <x:c r="H4" s="50" t="str">
        <x:v>INCISA S.A.</x:v>
      </x:c>
      <x:c r="I4" s="50" t="str">
        <x:v>Constructora vial; hormigón, asfalto, áridos y movimiento de suelo</x:v>
      </x:c>
      <x:c r="J4" s="50" t="str">
        <x:v>Construcción vial / movimiento de suelo</x:v>
      </x:c>
      <x:c r="K4" s="50" t="str">
        <x:v>0358 4182680 / 3584 389870</x:v>
      </x:c>
      <x:c r="L4" s="50" t="str">
        <x:v>OK</x:v>
      </x:c>
      <x:c r="M4" s="50" t="str">
        <x:v>equipos / logística / obras / planta</x:v>
      </x:c>
      <x:c r="N4" s="50" t="str">
        <x:v>Traslados interobra de excavadoras, retroexcavadoras, minicargadoras, rodillos y equipos viales.</x:v>
      </x:c>
      <x:c r="O4" s="50" t="str">
        <x:v>Plataforma 20 tn + malacate + seguro/GPS + coordinación interobra.</x:v>
      </x:c>
      <x:c r="P4" s="50" t="str">
        <x:v>Mover equipos entre frentes sin sacar recursos propios de la obra.</x:v>
      </x:c>
      <x:c r="Q4" s="50" t="str">
        <x:v>Pedir jefe de equipos/obras; relevar flota, pesos y frecuencia de movimientos.</x:v>
      </x:c>
      <x:c r="R4" s="50" t="str"/>
      <x:c r="S4" s="50" t="str">
        <x:v>Estado de Palestina 2720, X5800 Río Cuarto, Córdoba</x:v>
      </x:c>
      <x:c r="T4" s="50" t="str"/>
      <x:c r="U4" s="50" t="str"/>
      <x:c r="V4" s="50" t="str"/>
      <x:c r="W4" s="50" t="str"/>
      <x:c r="X4" s="50" t="str">
        <x:v>03584182680</x:v>
      </x:c>
      <x:c r="Y4" s="50" t="str">
        <x:v>tel:03584182680 | tel:3584389870</x:v>
      </x:c>
      <x:c r="Z4" s="50" t="str">
        <x:v>Confirmar decisor, frecuencia mensual, pesos/dimensiones y cómo resuelven hoy los traslados.</x:v>
      </x:c>
      <x:c r="AA4" s="50" t="str">
        <x:v>https://www.google.com/maps/search/?api=1&amp;query=INCISA+S.A.%2C+Estado+de+Palestina+2720%2C+X5800+R%C3%ADo+Cuarto%2C+C%C3%B3rdoba</x:v>
      </x:c>
      <x:c r="AB4" s="50" t="str">
        <x:v>Web oficial INCISA</x:v>
      </x:c>
      <x:c r="AC4" s="50" t="str">
        <x:v>https://incisa-sa.com/</x:v>
      </x:c>
      <x:c r="AD4" s="50" t="str">
        <x:v>Ejecuta infraestructura vial y movimiento de suelo; produce hormigón, mezclas asfálticas y áridos.</x:v>
      </x:c>
      <x:c r="AE4" s="50" t="str">
        <x:v>Alta</x:v>
      </x:c>
      <x:c r="AF4" s="50" t="str">
        <x:v>Rastrillaje Río Cuarto 2026-09-15</x:v>
      </x:c>
      <x:c r="AG4" s="50" t="str">
        <x:v>Plataforma 20 tn | Malacate | Hidrogrúa | Traslados interobra | Seguro/GPS</x:v>
      </x:c>
      <x:c r="AH4" s="50" t="str">
        <x:v>Construcción vial / movimiento de suelo</x:v>
      </x:c>
      <x:c r="AI4" s="50" t="str">
        <x:v>Sí</x:v>
      </x:c>
      <x:c r="AJ4" s="50" t="str">
        <x:v>VISITA INMEDIATA</x:v>
      </x:c>
      <x:c r="AK4" s="50" t="str">
        <x:v>Cliente natural para carretones y traslados interobra.</x:v>
      </x:c>
      <x:c r="AL4" s="50" t="str">
        <x:v>Web oficial / fuente comercial</x:v>
      </x:c>
      <x:c r="AM4" s="50" t="str">
        <x:v>Alta Río Cuarto; barrido integral por marcas, alquiler, maquinaria, industria y corredores A005/RN8/RN36.</x:v>
      </x:c>
    </x:row>
    <x:row r="5" ht="48" customHeight="1">
      <x:c r="A5" s="50" t="str">
        <x:v>RC-004</x:v>
      </x:c>
      <x:c r="B5" s="50" t="str">
        <x:v>Pendiente</x:v>
      </x:c>
      <x:c r="C5" s="50" t="str">
        <x:v>Río Cuarto</x:v>
      </x:c>
      <x:c r="D5" s="50" t="str">
        <x:v>Corredor A005 / Circunvalación</x:v>
      </x:c>
      <x:c r="E5" s="50" t="str">
        <x:v>Río Cuarto</x:v>
      </x:c>
      <x:c r="F5" s="50" t="str">
        <x:v>A+</x:v>
      </x:c>
      <x:c r="G5" s="50" t="n">
        <x:v>100</x:v>
      </x:c>
      <x:c r="H5" s="50" t="str">
        <x:v>Metalfor S.A. - Río Cuarto</x:v>
      </x:c>
      <x:c r="I5" s="50" t="str">
        <x:v>Fabricación y servicio de maquinaria agrícola; equipos de gran porte</x:v>
      </x:c>
      <x:c r="J5" s="50" t="str">
        <x:v>Maquinaria agrícola</x:v>
      </x:c>
      <x:c r="K5" s="50" t="str">
        <x:v>0358 4655642 / 358 6011697</x:v>
      </x:c>
      <x:c r="L5" s="50" t="str">
        <x:v>OK</x:v>
      </x:c>
      <x:c r="M5" s="50" t="str">
        <x:v>logística / expedición / servicap / usados</x:v>
      </x:c>
      <x:c r="N5" s="50" t="str">
        <x:v>Entrega/retiro de tractores, cosechadoras, pulverizadoras e implementos; usados y service.</x:v>
      </x:c>
      <x:c r="O5" s="50" t="str">
        <x:v>Plataforma 20 tn + malacate + seguro/GPS; hidrogrúa según implemento.</x:v>
      </x:c>
      <x:c r="P5" s="50" t="str">
        <x:v>Tercerizar entregas, usados y rescates de service con disponibilidad programada.</x:v>
      </x:c>
      <x:c r="Q5" s="50" t="str">
        <x:v>Pedir logística/expedición/posventa; relevar campañas, usados y picos de entregas.</x:v>
      </x:c>
      <x:c r="R5" s="50" t="str"/>
      <x:c r="S5" s="50" t="str">
        <x:v>Ruta Prov. A005 km 3, X5800 Río Cuarto, Córdoba</x:v>
      </x:c>
      <x:c r="T5" s="50" t="str"/>
      <x:c r="U5" s="50" t="str"/>
      <x:c r="V5" s="50" t="str"/>
      <x:c r="W5" s="50" t="str"/>
      <x:c r="X5" s="50" t="str">
        <x:v>03584655642</x:v>
      </x:c>
      <x:c r="Y5" s="50" t="str">
        <x:v>tel:03584655642 | tel:3586011697</x:v>
      </x:c>
      <x:c r="Z5" s="50" t="str">
        <x:v>Confirmar decisor, frecuencia mensual, pesos/dimensiones y cómo resuelven hoy los traslados.</x:v>
      </x:c>
      <x:c r="AA5" s="50" t="str">
        <x:v>https://www.google.com/maps/search/?api=1&amp;query=Metalfor+S.A.+-+R%C3%ADo+Cuarto%2C+Ruta+Prov.+A005+km+3%2C+X5800+R%C3%ADo+Cuarto%2C+C%C3%B3rdoba</x:v>
      </x:c>
      <x:c r="AB5" s="50" t="str">
        <x:v>Waze + Cummins Service Locator</x:v>
      </x:c>
      <x:c r="AC5" s="50" t="str">
        <x:v>https://www.cummins.com/en-na/locations/argentina/cordoba/rio-cuarto/servicap-metalfor-rio-cuarto</x:v>
      </x:c>
      <x:c r="AD5" s="50" t="str">
        <x:v>Planta/servicio en A005; fabricante de maquinaria agrícola y punto de servicio Cummins.</x:v>
      </x:c>
      <x:c r="AE5" s="50" t="str">
        <x:v>Alta</x:v>
      </x:c>
      <x:c r="AF5" s="50" t="str">
        <x:v>Rastrillaje Río Cuarto 2026-09-15</x:v>
      </x:c>
      <x:c r="AG5" s="50" t="str">
        <x:v>Plataforma 20 tn | Malacate | Hidrogrúa | Entrega/retiro equipos | Seguro/GPS</x:v>
      </x:c>
      <x:c r="AH5" s="50" t="str">
        <x:v>Maquinaria agrícola</x:v>
      </x:c>
      <x:c r="AI5" s="50" t="str">
        <x:v>Sí</x:v>
      </x:c>
      <x:c r="AJ5" s="50" t="str">
        <x:v>VISITA INMEDIATA</x:v>
      </x:c>
      <x:c r="AK5" s="50" t="str">
        <x:v>Fuerte estacionalidad y equipos de alto valor.</x:v>
      </x:c>
      <x:c r="AL5" s="50" t="str">
        <x:v>Google Business / directorio / web sectorial</x:v>
      </x:c>
      <x:c r="AM5" s="50" t="str">
        <x:v>Alta Río Cuarto; barrido integral por marcas, alquiler, maquinaria, industria y corredores A005/RN8/RN36.</x:v>
      </x:c>
    </x:row>
    <x:row r="6" ht="48" customHeight="1">
      <x:c r="A6" s="50" t="str">
        <x:v>RC-005</x:v>
      </x:c>
      <x:c r="B6" s="50" t="str">
        <x:v>Pendiente</x:v>
      </x:c>
      <x:c r="C6" s="50" t="str">
        <x:v>Río Cuarto</x:v>
      </x:c>
      <x:c r="D6" s="50" t="str">
        <x:v>Corredor A005 / Circunvalación</x:v>
      </x:c>
      <x:c r="E6" s="50" t="str">
        <x:v>Río Cuarto</x:v>
      </x:c>
      <x:c r="F6" s="50" t="str">
        <x:v>A+</x:v>
      </x:c>
      <x:c r="G6" s="50" t="n">
        <x:v>100</x:v>
      </x:c>
      <x:c r="H6" s="50" t="str">
        <x:v>Pallotti Maquinarias</x:v>
      </x:c>
      <x:c r="I6" s="50" t="str">
        <x:v>Concesionario LiuGong, Crucianelli, TBeH, De Grande y otras marcas</x:v>
      </x:c>
      <x:c r="J6" s="50" t="str">
        <x:v>Alquiler / dealer maquinaria pesada</x:v>
      </x:c>
      <x:c r="K6" s="50" t="str">
        <x:v>+54 358 5713137 / 5091218</x:v>
      </x:c>
      <x:c r="L6" s="50" t="str">
        <x:v>OK</x:v>
      </x:c>
      <x:c r="M6" s="50" t="str">
        <x:v>ventas / logística / servicio técnico</x:v>
      </x:c>
      <x:c r="N6" s="50" t="str">
        <x:v>Entrega, retiro y traslado de maquinaria pesada entre sucursal, clientes, taller y obras.</x:v>
      </x:c>
      <x:c r="O6" s="50" t="str">
        <x:v>Plataforma 20 tn + malacate + hidrogrúa de apoyo + seguro/GPS.</x:v>
      </x:c>
      <x:c r="P6" s="50" t="str">
        <x:v>Absorber picos de entregas/retiros y movimientos interobra sin inmovilizar flota propia.</x:v>
      </x:c>
      <x:c r="Q6" s="50" t="str">
        <x:v>Llamar y visitar; pedir logística/alquileres/posventa y relevar movimientos mensuales.</x:v>
      </x:c>
      <x:c r="R6" s="50" t="str"/>
      <x:c r="S6" s="50" t="str">
        <x:v>RN A005 km 3,5, X5800 Río Cuarto, Córdoba</x:v>
      </x:c>
      <x:c r="T6" s="50" t="str"/>
      <x:c r="U6" s="50" t="str"/>
      <x:c r="V6" s="50" t="str"/>
      <x:c r="W6" s="50" t="str"/>
      <x:c r="X6" s="50" t="str">
        <x:v>+543585713137</x:v>
      </x:c>
      <x:c r="Y6" s="50" t="str">
        <x:v>tel:+543585713137 | tel:5091218</x:v>
      </x:c>
      <x:c r="Z6" s="50" t="str">
        <x:v>Confirmar decisor, frecuencia mensual, pesos/dimensiones y cómo resuelven hoy los traslados.</x:v>
      </x:c>
      <x:c r="AA6" s="50" t="str">
        <x:v>https://www.google.com/maps/search/?api=1&amp;query=Pallotti+Maquinarias%2C+RN+A005+km+3%2C5%2C+X5800+R%C3%ADo+Cuarto%2C+C%C3%B3rdoba</x:v>
      </x:c>
      <x:c r="AB6" s="50" t="str">
        <x:v>Web oficial Pallotti</x:v>
      </x:c>
      <x:c r="AC6" s="50" t="str">
        <x:v>https://pallottimaquinarias.ar/contacto</x:v>
      </x:c>
      <x:c r="AD6" s="50" t="str">
        <x:v>Venta de maquinaria nueva/usada y posventa; concesionario de marcas de maquinaria agrícola y pesada.</x:v>
      </x:c>
      <x:c r="AE6" s="50" t="str">
        <x:v>Alta</x:v>
      </x:c>
      <x:c r="AF6" s="50" t="str">
        <x:v>Rastrillaje Río Cuarto 2026-09-15</x:v>
      </x:c>
      <x:c r="AG6" s="50" t="str">
        <x:v>Plataforma 20 tn | Malacate | Hidrogrúa | Entrega/retiro equipos | Seguro/GPS</x:v>
      </x:c>
      <x:c r="AH6" s="50" t="str">
        <x:v>Alquiler / dealer maquinaria pesada</x:v>
      </x:c>
      <x:c r="AI6" s="50" t="str">
        <x:v>Sí</x:v>
      </x:c>
      <x:c r="AJ6" s="50" t="str">
        <x:v>VISITA INMEDIATA</x:v>
      </x:c>
      <x:c r="AK6" s="50" t="str">
        <x:v>Alta afinidad: equipos de gran porte y movimientos frecuentes.</x:v>
      </x:c>
      <x:c r="AL6" s="50" t="str">
        <x:v>Web oficial / fuente comercial</x:v>
      </x:c>
      <x:c r="AM6" s="50" t="str">
        <x:v>Alta Río Cuarto; barrido integral por marcas, alquiler, maquinaria, industria y corredores A005/RN8/RN36.</x:v>
      </x:c>
    </x:row>
    <x:row r="7" ht="48" customHeight="1">
      <x:c r="A7" s="50" t="str">
        <x:v>RC-006</x:v>
      </x:c>
      <x:c r="B7" s="50" t="str">
        <x:v>Pendiente</x:v>
      </x:c>
      <x:c r="C7" s="50" t="str">
        <x:v>Río Cuarto</x:v>
      </x:c>
      <x:c r="D7" s="50" t="str">
        <x:v>Corredor A005 / Circunvalación</x:v>
      </x:c>
      <x:c r="E7" s="50" t="str">
        <x:v>Río Cuarto</x:v>
      </x:c>
      <x:c r="F7" s="50" t="str">
        <x:v>A+</x:v>
      </x:c>
      <x:c r="G7" s="50" t="n">
        <x:v>100</x:v>
      </x:c>
      <x:c r="H7" s="50" t="str">
        <x:v>Semtraco S.A. - CASE IH / JCB</x:v>
      </x:c>
      <x:c r="I7" s="50" t="str">
        <x:v>Concesionario CASE IH, ERCA, Piersanti y distribuidor JCB</x:v>
      </x:c>
      <x:c r="J7" s="50" t="str">
        <x:v>Alquiler / dealer maquinaria pesada</x:v>
      </x:c>
      <x:c r="K7" s="50" t="str">
        <x:v>0358 4158451</x:v>
      </x:c>
      <x:c r="L7" s="50" t="str">
        <x:v>OK</x:v>
      </x:c>
      <x:c r="M7" s="50" t="str">
        <x:v>gerencia de sucursal / logística / posventa</x:v>
      </x:c>
      <x:c r="N7" s="50" t="str">
        <x:v>Entrega, retiro y traslado de maquinaria pesada entre sucursal, clientes, taller y obras.</x:v>
      </x:c>
      <x:c r="O7" s="50" t="str">
        <x:v>Plataforma 20 tn + malacate + hidrogrúa de apoyo + seguro/GPS.</x:v>
      </x:c>
      <x:c r="P7" s="50" t="str">
        <x:v>Absorber picos de entregas/retiros y movimientos interobra sin inmovilizar flota propia.</x:v>
      </x:c>
      <x:c r="Q7" s="50" t="str">
        <x:v>Llamar y visitar; pedir logística/alquileres/posventa y relevar movimientos mensuales.</x:v>
      </x:c>
      <x:c r="R7" s="50" t="str"/>
      <x:c r="S7" s="50" t="str">
        <x:v>Acceso 005 – Circunvalación, X5800 Río Cuarto, Córdoba</x:v>
      </x:c>
      <x:c r="T7" s="50" t="str"/>
      <x:c r="U7" s="50" t="str"/>
      <x:c r="V7" s="50" t="str"/>
      <x:c r="W7" s="50" t="str"/>
      <x:c r="X7" s="50" t="str">
        <x:v>03584158451</x:v>
      </x:c>
      <x:c r="Y7" s="50" t="str">
        <x:v>tel:03584158451</x:v>
      </x:c>
      <x:c r="Z7" s="50" t="str">
        <x:v>Confirmar decisor, frecuencia mensual, pesos/dimensiones y cómo resuelven hoy los traslados.</x:v>
      </x:c>
      <x:c r="AA7" s="50" t="str">
        <x:v>https://www.google.com/maps/search/?api=1&amp;query=Semtraco+S.A.+-+CASE+IH+%2F+JCB%2C+Acceso+005+%E2%80%93+Circunvalaci%C3%B3n%2C+X5800+R%C3%ADo+Cuarto%2C+C%C3%B3rdoba</x:v>
      </x:c>
      <x:c r="AB7" s="50" t="str">
        <x:v>Web oficial Semtraco</x:v>
      </x:c>
      <x:c r="AC7" s="50" t="str">
        <x:v>https://www.semtraco.com.ar/productos/case.html</x:v>
      </x:c>
      <x:c r="AD7" s="50" t="str">
        <x:v>Sucursal Río Cuarto sobre A005; comercializa maquinaria agrícola y JCB, con servicio y posventa.</x:v>
      </x:c>
      <x:c r="AE7" s="50" t="str">
        <x:v>Alta</x:v>
      </x:c>
      <x:c r="AF7" s="50" t="str">
        <x:v>Rastrillaje Río Cuarto 2026-09-15</x:v>
      </x:c>
      <x:c r="AG7" s="50" t="str">
        <x:v>Plataforma 20 tn | Malacate | Hidrogrúa | Entrega/retiro equipos | Seguro/GPS</x:v>
      </x:c>
      <x:c r="AH7" s="50" t="str">
        <x:v>Alquiler / dealer maquinaria pesada</x:v>
      </x:c>
      <x:c r="AI7" s="50" t="str">
        <x:v>Sí</x:v>
      </x:c>
      <x:c r="AJ7" s="50" t="str">
        <x:v>VISITA INMEDIATA</x:v>
      </x:c>
      <x:c r="AK7" s="50" t="str">
        <x:v>Alta afinidad: equipos de gran porte y movimientos frecuentes.</x:v>
      </x:c>
      <x:c r="AL7" s="50" t="str">
        <x:v>Web oficial / fuente comercial</x:v>
      </x:c>
      <x:c r="AM7" s="50" t="str">
        <x:v>Alta Río Cuarto; barrido integral por marcas, alquiler, maquinaria, industria y corredores A005/RN8/RN36.</x:v>
      </x:c>
    </x:row>
    <x:row r="8" ht="48" customHeight="1">
      <x:c r="A8" s="50" t="str">
        <x:v>RC-007</x:v>
      </x:c>
      <x:c r="B8" s="50" t="str">
        <x:v>Pendiente</x:v>
      </x:c>
      <x:c r="C8" s="50" t="str">
        <x:v>Río Cuarto</x:v>
      </x:c>
      <x:c r="D8" s="50" t="str">
        <x:v>Corredor RN8</x:v>
      </x:c>
      <x:c r="E8" s="50" t="str">
        <x:v>Río Cuarto</x:v>
      </x:c>
      <x:c r="F8" s="50" t="str">
        <x:v>A+</x:v>
      </x:c>
      <x:c r="G8" s="50" t="n">
        <x:v>98</x:v>
      </x:c>
      <x:c r="H8" s="50" t="str">
        <x:v>Bio4 - Bioetanol Río Cuarto S.A.</x:v>
      </x:c>
      <x:c r="I8" s="50" t="str">
        <x:v>Biorrefinería / bioetanol / energía renovable</x:v>
      </x:c>
      <x:c r="J8" s="50" t="str">
        <x:v>Agroindustria / planta industrial</x:v>
      </x:c>
      <x:c r="K8" s="50" t="str">
        <x:v>+54 358 4768500</x:v>
      </x:c>
      <x:c r="L8" s="50" t="str">
        <x:v>OK</x:v>
      </x:c>
      <x:c r="M8" s="50" t="str">
        <x:v>mantenimiento / compras / logística / proyectos</x:v>
      </x:c>
      <x:c r="N8" s="50" t="str">
        <x:v>Movimientos de mantenimiento, motores, bombas, equipos, subconjuntos y cargas especiales.</x:v>
      </x:c>
      <x:c r="O8" s="50" t="str">
        <x:v>Plataforma + hidrogrúa + percha para pallets + seguro/GPS.</x:v>
      </x:c>
      <x:c r="P8" s="50" t="str">
        <x:v>Proveedor local para paradas, montajes y movimientos extraordinarios de mantenimiento.</x:v>
      </x:c>
      <x:c r="Q8" s="50" t="str">
        <x:v>Pedir mantenimiento/compras/planta; relevar equipos críticos y proveedores actuales.</x:v>
      </x:c>
      <x:c r="R8" s="50" t="str"/>
      <x:c r="S8" s="50" t="str">
        <x:v>Ruta Provincial 19 km 1,2 (altura RN8 km 609), Río Cuarto, Córdoba</x:v>
      </x:c>
      <x:c r="T8" s="50" t="str"/>
      <x:c r="U8" s="50" t="str"/>
      <x:c r="V8" s="50" t="str"/>
      <x:c r="W8" s="50" t="str"/>
      <x:c r="X8" s="50" t="str">
        <x:v>+543584768500</x:v>
      </x:c>
      <x:c r="Y8" s="50" t="str">
        <x:v>tel:+543584768500</x:v>
      </x:c>
      <x:c r="Z8" s="50" t="str">
        <x:v>Confirmar decisor, frecuencia mensual, pesos/dimensiones y cómo resuelven hoy los traslados.</x:v>
      </x:c>
      <x:c r="AA8" s="50" t="str">
        <x:v>https://www.google.com/maps/search/?api=1&amp;query=Bio4+-+Bioetanol+R%C3%ADo+Cuarto+S.A.%2C+Ruta+Provincial+19+km+1%2C2+%28altura+RN8+km+609%29%2C+R%C3%ADo+Cuarto%2C+C%C3%B3rdoba</x:v>
      </x:c>
      <x:c r="AB8" s="50" t="str">
        <x:v>Web oficial Bio4</x:v>
      </x:c>
      <x:c r="AC8" s="50" t="str">
        <x:v>https://bio4.com.ar/</x:v>
      </x:c>
      <x:c r="AD8" s="50" t="str">
        <x:v>Gran planta industrial local; concluyó ampliación de planta en 2024 y opera procesos agroindustriales.</x:v>
      </x:c>
      <x:c r="AE8" s="50" t="str">
        <x:v>Alta</x:v>
      </x:c>
      <x:c r="AF8" s="50" t="str">
        <x:v>Rastrillaje Río Cuarto 2026-09-15</x:v>
      </x:c>
      <x:c r="AG8" s="50" t="str">
        <x:v>Plataforma 20 tn | Hidrogrúa | Percha para pallets | Seguro/GPS</x:v>
      </x:c>
      <x:c r="AH8" s="50" t="str">
        <x:v>Agroindustria / planta industrial</x:v>
      </x:c>
      <x:c r="AI8" s="50" t="str">
        <x:v>Sí</x:v>
      </x:c>
      <x:c r="AJ8" s="50" t="str">
        <x:v>VISITA INMEDIATA</x:v>
      </x:c>
      <x:c r="AK8" s="50" t="str">
        <x:v>Potencial de ticket alto aunque de frecuencia menos predecible.</x:v>
      </x:c>
      <x:c r="AL8" s="50" t="str">
        <x:v>Web oficial / fuente comercial</x:v>
      </x:c>
      <x:c r="AM8" s="50" t="str">
        <x:v>Alta Río Cuarto; barrido integral por marcas, alquiler, maquinaria, industria y corredores A005/RN8/RN36.</x:v>
      </x:c>
    </x:row>
    <x:row r="9" ht="48" customHeight="1">
      <x:c r="A9" s="50" t="str">
        <x:v>RC-008</x:v>
      </x:c>
      <x:c r="B9" s="50" t="str">
        <x:v>Pendiente</x:v>
      </x:c>
      <x:c r="C9" s="50" t="str">
        <x:v>Río Cuarto</x:v>
      </x:c>
      <x:c r="D9" s="50" t="str">
        <x:v>Área urbana Río Cuarto</x:v>
      </x:c>
      <x:c r="E9" s="50" t="str">
        <x:v>Río Cuarto</x:v>
      </x:c>
      <x:c r="F9" s="50" t="str">
        <x:v>A+</x:v>
      </x:c>
      <x:c r="G9" s="50" t="n">
        <x:v>98</x:v>
      </x:c>
      <x:c r="H9" s="50" t="str">
        <x:v>CATPRO Maquinarias</x:v>
      </x:c>
      <x:c r="I9" s="50" t="str">
        <x:v>Concesionario oficial New Holland Agriculture; usados y posventa</x:v>
      </x:c>
      <x:c r="J9" s="50" t="str">
        <x:v>Maquinaria agrícola</x:v>
      </x:c>
      <x:c r="K9" s="50" t="str">
        <x:v>0358 4650092 / 4632206</x:v>
      </x:c>
      <x:c r="L9" s="50" t="str">
        <x:v>OK</x:v>
      </x:c>
      <x:c r="M9" s="50" t="str">
        <x:v>logística / usados / servicio técnico</x:v>
      </x:c>
      <x:c r="N9" s="50" t="str">
        <x:v>Entrega/retiro de tractores, cosechadoras, pulverizadoras e implementos; usados y service.</x:v>
      </x:c>
      <x:c r="O9" s="50" t="str">
        <x:v>Plataforma 20 tn + malacate + seguro/GPS; hidrogrúa según implemento.</x:v>
      </x:c>
      <x:c r="P9" s="50" t="str">
        <x:v>Tercerizar entregas, usados y rescates de service con disponibilidad programada.</x:v>
      </x:c>
      <x:c r="Q9" s="50" t="str">
        <x:v>Pedir logística/expedición/posventa; relevar campañas, usados y picos de entregas.</x:v>
      </x:c>
      <x:c r="R9" s="50" t="str"/>
      <x:c r="S9" s="50" t="str">
        <x:v>Av. Godoy Cruz 564, X5800 Río Cuarto, Córdoba</x:v>
      </x:c>
      <x:c r="T9" s="50" t="str"/>
      <x:c r="U9" s="50" t="str"/>
      <x:c r="V9" s="50" t="str"/>
      <x:c r="W9" s="50" t="str"/>
      <x:c r="X9" s="50" t="str">
        <x:v>03584650092</x:v>
      </x:c>
      <x:c r="Y9" s="50" t="str">
        <x:v>tel:03584650092 | tel:4632206</x:v>
      </x:c>
      <x:c r="Z9" s="50" t="str">
        <x:v>Confirmar decisor, frecuencia mensual, pesos/dimensiones y cómo resuelven hoy los traslados.</x:v>
      </x:c>
      <x:c r="AA9" s="50" t="str">
        <x:v>https://www.google.com/maps/search/?api=1&amp;query=CATPRO+Maquinarias%2C+Av.+Godoy+Cruz+564%2C+X5800+R%C3%ADo+Cuarto%2C+C%C3%B3rdoba</x:v>
      </x:c>
      <x:c r="AB9" s="50" t="str">
        <x:v>Web oficial Catpro</x:v>
      </x:c>
      <x:c r="AC9" s="50" t="str">
        <x:v>https://www.catprosa.com.ar/index.php/empresa</x:v>
      </x:c>
      <x:c r="AD9" s="50" t="str">
        <x:v>Comercializa cosechadoras, tractores, pulverizadoras e implementos; también usados de múltiples marcas.</x:v>
      </x:c>
      <x:c r="AE9" s="50" t="str">
        <x:v>Alta</x:v>
      </x:c>
      <x:c r="AF9" s="50" t="str">
        <x:v>Rastrillaje Río Cuarto 2026-09-15</x:v>
      </x:c>
      <x:c r="AG9" s="50" t="str">
        <x:v>Plataforma 20 tn | Malacate | Hidrogrúa | Entrega/retiro equipos | Seguro/GPS</x:v>
      </x:c>
      <x:c r="AH9" s="50" t="str">
        <x:v>Maquinaria agrícola</x:v>
      </x:c>
      <x:c r="AI9" s="50" t="str">
        <x:v>Sí</x:v>
      </x:c>
      <x:c r="AJ9" s="50" t="str">
        <x:v>VISITA INMEDIATA</x:v>
      </x:c>
      <x:c r="AK9" s="50" t="str">
        <x:v>Fuerte estacionalidad y equipos de alto valor.</x:v>
      </x:c>
      <x:c r="AL9" s="50" t="str">
        <x:v>Web oficial / fuente comercial</x:v>
      </x:c>
      <x:c r="AM9" s="50" t="str">
        <x:v>Alta Río Cuarto; barrido integral por marcas, alquiler, maquinaria, industria y corredores A005/RN8/RN36.</x:v>
      </x:c>
    </x:row>
    <x:row r="10" ht="48" customHeight="1">
      <x:c r="A10" s="50" t="str">
        <x:v>RC-009</x:v>
      </x:c>
      <x:c r="B10" s="50" t="str">
        <x:v>Pendiente</x:v>
      </x:c>
      <x:c r="C10" s="50" t="str">
        <x:v>Río Cuarto</x:v>
      </x:c>
      <x:c r="D10" s="50" t="str">
        <x:v>Área urbana Río Cuarto</x:v>
      </x:c>
      <x:c r="E10" s="50" t="str">
        <x:v>Río Cuarto</x:v>
      </x:c>
      <x:c r="F10" s="50" t="str">
        <x:v>A+</x:v>
      </x:c>
      <x:c r="G10" s="50" t="n">
        <x:v>98</x:v>
      </x:c>
      <x:c r="H10" s="50" t="str">
        <x:v>Inelsa Ingeniería Eléctrica S.A.</x:v>
      </x:c>
      <x:c r="I10" s="50" t="str">
        <x:v>Alquiler de maquinaria, grúas, trabajos en altura e ingeniería eléctrica</x:v>
      </x:c>
      <x:c r="J10" s="50" t="str">
        <x:v>Autoelevadores y elevación</x:v>
      </x:c>
      <x:c r="K10" s="50" t="str">
        <x:v>+54 358 4750064 / +54 9 358 4183399</x:v>
      </x:c>
      <x:c r="L10" s="50" t="str">
        <x:v>OK</x:v>
      </x:c>
      <x:c r="M10" s="50" t="str">
        <x:v>alquileres / operaciones / obras</x:v>
      </x:c>
      <x:c r="N10" s="50" t="str">
        <x:v>Entrega/retiro de autoelevadores, plataformas y equipos de elevación entre base y clientes.</x:v>
      </x:c>
      <x:c r="O10" s="50" t="str">
        <x:v>Plataforma 20 tn + malacate + hidrogrúa de apoyo.</x:v>
      </x:c>
      <x:c r="P10" s="50" t="str">
        <x:v>Resolver entregas y retiros de alquiler/service sin sumar transporte propio.</x:v>
      </x:c>
      <x:c r="Q10" s="50" t="str">
        <x:v>Pedir alquileres/logística/service y cotizar tarifa por viaje y acuerdo recurrente.</x:v>
      </x:c>
      <x:c r="R10" s="50" t="str"/>
      <x:c r="S10" s="50" t="str">
        <x:v>Córdoba 780, X5800 Río Cuarto, Córdoba</x:v>
      </x:c>
      <x:c r="T10" s="50" t="str"/>
      <x:c r="U10" s="50" t="str"/>
      <x:c r="V10" s="50" t="str"/>
      <x:c r="W10" s="50" t="str"/>
      <x:c r="X10" s="50" t="str">
        <x:v>+543584750064</x:v>
      </x:c>
      <x:c r="Y10" s="50" t="str">
        <x:v>tel:+543584750064 | tel:+5493584183399</x:v>
      </x:c>
      <x:c r="Z10" s="50" t="str">
        <x:v>Confirmar decisor, frecuencia mensual, pesos/dimensiones y cómo resuelven hoy los traslados.</x:v>
      </x:c>
      <x:c r="AA10" s="50" t="str">
        <x:v>https://www.google.com/maps/search/?api=1&amp;query=Inelsa+Ingenier%C3%ADa+El%C3%A9ctrica+S.A.%2C+C%C3%B3rdoba+780%2C+X5800+R%C3%ADo+Cuarto%2C+C%C3%B3rdoba</x:v>
      </x:c>
      <x:c r="AB10" s="50" t="str">
        <x:v>Web oficial Inelsa</x:v>
      </x:c>
      <x:c r="AC10" s="50" t="str">
        <x:v>https://www.inelsa.com.ar/</x:v>
      </x:c>
      <x:c r="AD10" s="50" t="str">
        <x:v>Ofrece alquiler de maquinarias y figura como servicio/agencia de alquiler de grúas; además ejecuta montajes.</x:v>
      </x:c>
      <x:c r="AE10" s="50" t="str">
        <x:v>Alta</x:v>
      </x:c>
      <x:c r="AF10" s="50" t="str">
        <x:v>Rastrillaje Río Cuarto 2026-09-15</x:v>
      </x:c>
      <x:c r="AG10" s="50" t="str">
        <x:v>Plataforma 20 tn | Malacate | Hidrogrúa | Entrega/retiro equipos</x:v>
      </x:c>
      <x:c r="AH10" s="50" t="str">
        <x:v>Autoelevadores y elevación</x:v>
      </x:c>
      <x:c r="AI10" s="50" t="str">
        <x:v>Sí</x:v>
      </x:c>
      <x:c r="AJ10" s="50" t="str">
        <x:v>VISITA INMEDIATA</x:v>
      </x:c>
      <x:c r="AK10" s="50" t="str">
        <x:v>Movimientos recurrentes de equipos compactos y pesados.</x:v>
      </x:c>
      <x:c r="AL10" s="50" t="str">
        <x:v>Web oficial / fuente comercial</x:v>
      </x:c>
      <x:c r="AM10" s="50" t="str">
        <x:v>Alta Río Cuarto; barrido integral por marcas, alquiler, maquinaria, industria y corredores A005/RN8/RN36.</x:v>
      </x:c>
    </x:row>
    <x:row r="11" ht="48" customHeight="1">
      <x:c r="A11" s="50" t="str">
        <x:v>RC-010</x:v>
      </x:c>
      <x:c r="B11" s="50" t="str">
        <x:v>Pendiente</x:v>
      </x:c>
      <x:c r="C11" s="50" t="str">
        <x:v>Río Cuarto</x:v>
      </x:c>
      <x:c r="D11" s="50" t="str">
        <x:v>Corredor A005 / Circunvalación</x:v>
      </x:c>
      <x:c r="E11" s="50" t="str">
        <x:v>Río Cuarto</x:v>
      </x:c>
      <x:c r="F11" s="50" t="str">
        <x:v>A+</x:v>
      </x:c>
      <x:c r="G11" s="50" t="n">
        <x:v>98</x:v>
      </x:c>
      <x:c r="H11" s="50" t="str">
        <x:v>Marinelli S.A.</x:v>
      </x:c>
      <x:c r="I11" s="50" t="str">
        <x:v>Hormigón elaborado, áridos y obras</x:v>
      </x:c>
      <x:c r="J11" s="50" t="str">
        <x:v>Hormigón, áridos y materiales</x:v>
      </x:c>
      <x:c r="K11" s="50" t="str">
        <x:v>0358 4647058</x:v>
      </x:c>
      <x:c r="L11" s="50" t="str">
        <x:v>OK</x:v>
      </x:c>
      <x:c r="M11" s="50" t="str">
        <x:v>planta / logística / obras</x:v>
      </x:c>
      <x:c r="N11" s="50" t="str">
        <x:v>Movimiento de equipos de planta, bombas, moldes, premoldeados, maquinaria y cargas pesadas.</x:v>
      </x:c>
      <x:c r="O11" s="50" t="str">
        <x:v>Plataforma + hidrogrúa + percha para pallets/cargas.</x:v>
      </x:c>
      <x:c r="P11" s="50" t="str">
        <x:v>Cubrir movimientos de maquinaria y cargas especiales fuera de la logística convencional.</x:v>
      </x:c>
      <x:c r="Q11" s="50" t="str">
        <x:v>Pedir planta/mantenimiento/logística; relevar equipos y movimientos no cubiertos por mixer/camión.</x:v>
      </x:c>
      <x:c r="R11" s="50" t="str"/>
      <x:c r="S11" s="50" t="str">
        <x:v>Córdoba 961, Banda Norte / Planta en Ruta A005, Río Cuarto</x:v>
      </x:c>
      <x:c r="T11" s="50" t="str"/>
      <x:c r="U11" s="50" t="str"/>
      <x:c r="V11" s="50" t="str"/>
      <x:c r="W11" s="50" t="str"/>
      <x:c r="X11" s="50" t="str">
        <x:v>03584647058</x:v>
      </x:c>
      <x:c r="Y11" s="50" t="str">
        <x:v>tel:03584647058</x:v>
      </x:c>
      <x:c r="Z11" s="50" t="str">
        <x:v>Confirmar decisor, frecuencia mensual, pesos/dimensiones y cómo resuelven hoy los traslados.</x:v>
      </x:c>
      <x:c r="AA11" s="50" t="str">
        <x:v>https://www.google.com/maps/search/?api=1&amp;query=Marinelli+S.A.%2C+C%C3%B3rdoba+961%2C+Banda+Norte+%2F+Planta+en+Ruta+A005%2C+R%C3%ADo+Cuarto</x:v>
      </x:c>
      <x:c r="AB11" s="50" t="str">
        <x:v>Web oficial Marinelli</x:v>
      </x:c>
      <x:c r="AC11" s="50" t="str">
        <x:v>https://www.marinellisa.com/</x:v>
      </x:c>
      <x:c r="AD11" s="50" t="str">
        <x:v>Opera plantas de hormigón y cantera de áridos; dispone de flota de motohormigoneros y equipos.</x:v>
      </x:c>
      <x:c r="AE11" s="50" t="str">
        <x:v>Alta</x:v>
      </x:c>
      <x:c r="AF11" s="50" t="str">
        <x:v>Rastrillaje Río Cuarto 2026-09-15</x:v>
      </x:c>
      <x:c r="AG11" s="50" t="str">
        <x:v>Plataforma 20 tn | Hidrogrúa | Percha para pallets | Malacate</x:v>
      </x:c>
      <x:c r="AH11" s="50" t="str">
        <x:v>Hormigón, áridos y materiales</x:v>
      </x:c>
      <x:c r="AI11" s="50" t="str">
        <x:v>Sí</x:v>
      </x:c>
      <x:c r="AJ11" s="50" t="str">
        <x:v>VISITA INMEDIATA</x:v>
      </x:c>
      <x:c r="AK11" s="50" t="str">
        <x:v>Complementa transporte de materiales con cargas/equipos especiales.</x:v>
      </x:c>
      <x:c r="AL11" s="50" t="str">
        <x:v>Web oficial / fuente comercial</x:v>
      </x:c>
      <x:c r="AM11" s="50" t="str">
        <x:v>Alta Río Cuarto; barrido integral por marcas, alquiler, maquinaria, industria y corredores A005/RN8/RN36.</x:v>
      </x:c>
    </x:row>
    <x:row r="12" ht="48" customHeight="1">
      <x:c r="A12" s="50" t="str">
        <x:v>RC-011</x:v>
      </x:c>
      <x:c r="B12" s="50" t="str">
        <x:v>Pendiente</x:v>
      </x:c>
      <x:c r="C12" s="50" t="str">
        <x:v>Río Cuarto</x:v>
      </x:c>
      <x:c r="D12" s="50" t="str">
        <x:v>Corredor RN36</x:v>
      </x:c>
      <x:c r="E12" s="50" t="str">
        <x:v>Río Cuarto</x:v>
      </x:c>
      <x:c r="F12" s="50" t="str">
        <x:v>A+</x:v>
      </x:c>
      <x:c r="G12" s="50" t="n">
        <x:v>98</x:v>
      </x:c>
      <x:c r="H12" s="50" t="str">
        <x:v>SALA</x:v>
      </x:c>
      <x:c r="I12" s="50" t="str">
        <x:v>Concesionario John Deere</x:v>
      </x:c>
      <x:c r="J12" s="50" t="str">
        <x:v>Maquinaria agrícola</x:v>
      </x:c>
      <x:c r="K12" s="50" t="str">
        <x:v>+54 9 358 2409477</x:v>
      </x:c>
      <x:c r="L12" s="50" t="str">
        <x:v>OK</x:v>
      </x:c>
      <x:c r="M12" s="50" t="str">
        <x:v>logística / entregas / posventa</x:v>
      </x:c>
      <x:c r="N12" s="50" t="str">
        <x:v>Entrega/retiro de tractores, cosechadoras, pulverizadoras e implementos; usados y service.</x:v>
      </x:c>
      <x:c r="O12" s="50" t="str">
        <x:v>Plataforma 20 tn + malacate + seguro/GPS; hidrogrúa según implemento.</x:v>
      </x:c>
      <x:c r="P12" s="50" t="str">
        <x:v>Tercerizar entregas, usados y rescates de service con disponibilidad programada.</x:v>
      </x:c>
      <x:c r="Q12" s="50" t="str">
        <x:v>Pedir logística/expedición/posventa; relevar campañas, usados y picos de entregas.</x:v>
      </x:c>
      <x:c r="R12" s="50" t="str"/>
      <x:c r="S12" s="50" t="str">
        <x:v>RN36 km 609, X5800 Río Cuarto, Córdoba</x:v>
      </x:c>
      <x:c r="T12" s="50" t="str"/>
      <x:c r="U12" s="50" t="str"/>
      <x:c r="V12" s="50" t="str"/>
      <x:c r="W12" s="50" t="str"/>
      <x:c r="X12" s="50" t="str">
        <x:v>+5493582409477</x:v>
      </x:c>
      <x:c r="Y12" s="50" t="str">
        <x:v>tel:+5493582409477</x:v>
      </x:c>
      <x:c r="Z12" s="50" t="str">
        <x:v>Confirmar decisor, frecuencia mensual, pesos/dimensiones y cómo resuelven hoy los traslados.</x:v>
      </x:c>
      <x:c r="AA12" s="50" t="str">
        <x:v>https://www.google.com/maps/search/?api=1&amp;query=SALA%2C+RN36+km+609%2C+X5800+R%C3%ADo+Cuarto%2C+C%C3%B3rdoba</x:v>
      </x:c>
      <x:c r="AB12" s="50" t="str">
        <x:v>Google Business Profile + John Deere</x:v>
      </x:c>
      <x:c r="AC12" s="50" t="str">
        <x:v>https://www.google.com/maps/search/?api=1&amp;query=SALA+John+Deere+Rio+Cuarto</x:v>
      </x:c>
      <x:c r="AD12" s="50" t="str">
        <x:v>Concesionario en Río Cuarto, referenciado por John Deere para eventos de la marca.</x:v>
      </x:c>
      <x:c r="AE12" s="50" t="str">
        <x:v>Alta</x:v>
      </x:c>
      <x:c r="AF12" s="50" t="str">
        <x:v>Rastrillaje Río Cuarto 2026-09-15</x:v>
      </x:c>
      <x:c r="AG12" s="50" t="str">
        <x:v>Plataforma 20 tn | Malacate | Hidrogrúa | Entrega/retiro equipos | Seguro/GPS</x:v>
      </x:c>
      <x:c r="AH12" s="50" t="str">
        <x:v>Maquinaria agrícola</x:v>
      </x:c>
      <x:c r="AI12" s="50" t="str">
        <x:v>Sí</x:v>
      </x:c>
      <x:c r="AJ12" s="50" t="str">
        <x:v>VISITA INMEDIATA</x:v>
      </x:c>
      <x:c r="AK12" s="50" t="str">
        <x:v>Fuerte estacionalidad y equipos de alto valor.</x:v>
      </x:c>
      <x:c r="AL12" s="50" t="str">
        <x:v>Google Business / directorio / web sectorial</x:v>
      </x:c>
      <x:c r="AM12" s="50" t="str">
        <x:v>Alta Río Cuarto; barrido integral por marcas, alquiler, maquinaria, industria y corredores A005/RN8/RN36.</x:v>
      </x:c>
    </x:row>
    <x:row r="13" ht="48" customHeight="1">
      <x:c r="A13" s="50" t="str">
        <x:v>RC-012</x:v>
      </x:c>
      <x:c r="B13" s="50" t="str">
        <x:v>Pendiente</x:v>
      </x:c>
      <x:c r="C13" s="50" t="str">
        <x:v>Río Cuarto</x:v>
      </x:c>
      <x:c r="D13" s="50" t="str">
        <x:v>Av. Sabattini / Este</x:v>
      </x:c>
      <x:c r="E13" s="50" t="str">
        <x:v>Río Cuarto</x:v>
      </x:c>
      <x:c r="F13" s="50" t="str">
        <x:v>A+</x:v>
      </x:c>
      <x:c r="G13" s="50" t="n">
        <x:v>98</x:v>
      </x:c>
      <x:c r="H13" s="50" t="str">
        <x:v>Simonassi Maquinarias Agrícolas</x:v>
      </x:c>
      <x:c r="I13" s="50" t="str">
        <x:v>Concesionario oficial de maquinaria agrícola; CASE IH / PLA</x:v>
      </x:c>
      <x:c r="J13" s="50" t="str">
        <x:v>Maquinaria agrícola</x:v>
      </x:c>
      <x:c r="K13" s="50" t="str">
        <x:v>+54 358 5062964</x:v>
      </x:c>
      <x:c r="L13" s="50" t="str">
        <x:v>OK</x:v>
      </x:c>
      <x:c r="M13" s="50" t="str">
        <x:v>gerencia / logística / posventa</x:v>
      </x:c>
      <x:c r="N13" s="50" t="str">
        <x:v>Entrega/retiro de tractores, cosechadoras, pulverizadoras e implementos; usados y service.</x:v>
      </x:c>
      <x:c r="O13" s="50" t="str">
        <x:v>Plataforma 20 tn + malacate + seguro/GPS; hidrogrúa según implemento.</x:v>
      </x:c>
      <x:c r="P13" s="50" t="str">
        <x:v>Tercerizar entregas, usados y rescates de service con disponibilidad programada.</x:v>
      </x:c>
      <x:c r="Q13" s="50" t="str">
        <x:v>Pedir logística/expedición/posventa; relevar campañas, usados y picos de entregas.</x:v>
      </x:c>
      <x:c r="R13" s="50" t="str"/>
      <x:c r="S13" s="50" t="str">
        <x:v>Av. Amadeo Sabattini 2950, X5800 Río Cuarto, Córdoba</x:v>
      </x:c>
      <x:c r="T13" s="50" t="str"/>
      <x:c r="U13" s="50" t="str"/>
      <x:c r="V13" s="50" t="str"/>
      <x:c r="W13" s="50" t="str"/>
      <x:c r="X13" s="50" t="str">
        <x:v>+543585062964</x:v>
      </x:c>
      <x:c r="Y13" s="50" t="str">
        <x:v>tel:+543585062964</x:v>
      </x:c>
      <x:c r="Z13" s="50" t="str">
        <x:v>Confirmar decisor, frecuencia mensual, pesos/dimensiones y cómo resuelven hoy los traslados.</x:v>
      </x:c>
      <x:c r="AA13" s="50" t="str">
        <x:v>https://www.google.com/maps/search/?api=1&amp;query=Simonassi+Maquinarias+Agr%C3%ADcolas%2C+Av.+Amadeo+Sabattini+2950%2C+X5800+R%C3%ADo+Cuarto%2C+C%C3%B3rdoba</x:v>
      </x:c>
      <x:c r="AB13" s="50" t="str">
        <x:v>Google Business Profile + LinkedIn</x:v>
      </x:c>
      <x:c r="AC13" s="50" t="str">
        <x:v>https://www.google.com/maps/search/?api=1&amp;query=Simonassi+Maquinarias+Agricolas+Rio+Cuarto</x:v>
      </x:c>
      <x:c r="AD13" s="50" t="str">
        <x:v>Proveedor de equipos agrícolas con sucursal Río Cuarto y servicio técnico.</x:v>
      </x:c>
      <x:c r="AE13" s="50" t="str">
        <x:v>Alta</x:v>
      </x:c>
      <x:c r="AF13" s="50" t="str">
        <x:v>Rastrillaje Río Cuarto 2026-09-15</x:v>
      </x:c>
      <x:c r="AG13" s="50" t="str">
        <x:v>Plataforma 20 tn | Malacate | Hidrogrúa | Entrega/retiro equipos | Seguro/GPS</x:v>
      </x:c>
      <x:c r="AH13" s="50" t="str">
        <x:v>Maquinaria agrícola</x:v>
      </x:c>
      <x:c r="AI13" s="50" t="str">
        <x:v>Sí</x:v>
      </x:c>
      <x:c r="AJ13" s="50" t="str">
        <x:v>VISITA INMEDIATA</x:v>
      </x:c>
      <x:c r="AK13" s="50" t="str">
        <x:v>Fuerte estacionalidad y equipos de alto valor.</x:v>
      </x:c>
      <x:c r="AL13" s="50" t="str">
        <x:v>Google Business / directorio / web sectorial</x:v>
      </x:c>
      <x:c r="AM13" s="50" t="str">
        <x:v>Alta Río Cuarto; barrido integral por marcas, alquiler, maquinaria, industria y corredores A005/RN8/RN36.</x:v>
      </x:c>
    </x:row>
    <x:row r="14" ht="48" customHeight="1">
      <x:c r="A14" s="50" t="str">
        <x:v>RC-013</x:v>
      </x:c>
      <x:c r="B14" s="50" t="str">
        <x:v>Pendiente</x:v>
      </x:c>
      <x:c r="C14" s="50" t="str">
        <x:v>Río Cuarto</x:v>
      </x:c>
      <x:c r="D14" s="50" t="str">
        <x:v>Área urbana Río Cuarto</x:v>
      </x:c>
      <x:c r="E14" s="50" t="str">
        <x:v>Río Cuarto</x:v>
      </x:c>
      <x:c r="F14" s="50" t="str">
        <x:v>A+</x:v>
      </x:c>
      <x:c r="G14" s="50" t="n">
        <x:v>98</x:v>
      </x:c>
      <x:c r="H14" s="50" t="str">
        <x:v>TECNAC S.R.L.</x:v>
      </x:c>
      <x:c r="I14" s="50" t="str">
        <x:v>Construcción e ingeniería; obras viales, naves y movimiento de suelos</x:v>
      </x:c>
      <x:c r="J14" s="50" t="str">
        <x:v>Construcción vial / movimiento de suelo</x:v>
      </x:c>
      <x:c r="K14" s="50" t="str">
        <x:v>0358 4642965</x:v>
      </x:c>
      <x:c r="L14" s="50" t="str">
        <x:v>OK</x:v>
      </x:c>
      <x:c r="M14" s="50" t="str">
        <x:v>jefe de equipos / obras / logística</x:v>
      </x:c>
      <x:c r="N14" s="50" t="str">
        <x:v>Traslados interobra de excavadoras, retroexcavadoras, minicargadoras, rodillos y equipos viales.</x:v>
      </x:c>
      <x:c r="O14" s="50" t="str">
        <x:v>Plataforma 20 tn + malacate + seguro/GPS + coordinación interobra.</x:v>
      </x:c>
      <x:c r="P14" s="50" t="str">
        <x:v>Mover equipos entre frentes sin sacar recursos propios de la obra.</x:v>
      </x:c>
      <x:c r="Q14" s="50" t="str">
        <x:v>Pedir jefe de equipos/obras; relevar flota, pesos y frecuencia de movimientos.</x:v>
      </x:c>
      <x:c r="R14" s="50" t="str"/>
      <x:c r="S14" s="50" t="str">
        <x:v>De las Postas 2435, Río Cuarto, Córdoba</x:v>
      </x:c>
      <x:c r="T14" s="50" t="str"/>
      <x:c r="U14" s="50" t="str"/>
      <x:c r="V14" s="50" t="str"/>
      <x:c r="W14" s="50" t="str"/>
      <x:c r="X14" s="50" t="str">
        <x:v>03584642965</x:v>
      </x:c>
      <x:c r="Y14" s="50" t="str">
        <x:v>tel:03584642965</x:v>
      </x:c>
      <x:c r="Z14" s="50" t="str">
        <x:v>Confirmar decisor, frecuencia mensual, pesos/dimensiones y cómo resuelven hoy los traslados.</x:v>
      </x:c>
      <x:c r="AA14" s="50" t="str">
        <x:v>https://www.google.com/maps/search/?api=1&amp;query=TECNAC+S.R.L.%2C+De+las+Postas+2435%2C+R%C3%ADo+Cuarto%2C+C%C3%B3rdoba</x:v>
      </x:c>
      <x:c r="AB14" s="50" t="str">
        <x:v>Web oficial TECNAC</x:v>
      </x:c>
      <x:c r="AC14" s="50" t="str">
        <x:v>https://tecnac.com.ar/</x:v>
      </x:c>
      <x:c r="AD14" s="50" t="str">
        <x:v>Constructora local con flota propia y experiencia en obras viales, naves industriales y movimiento de suelos.</x:v>
      </x:c>
      <x:c r="AE14" s="50" t="str">
        <x:v>Alta</x:v>
      </x:c>
      <x:c r="AF14" s="50" t="str">
        <x:v>Rastrillaje Río Cuarto 2026-09-15</x:v>
      </x:c>
      <x:c r="AG14" s="50" t="str">
        <x:v>Plataforma 20 tn | Malacate | Hidrogrúa | Traslados interobra | Seguro/GPS</x:v>
      </x:c>
      <x:c r="AH14" s="50" t="str">
        <x:v>Construcción vial / movimiento de suelo</x:v>
      </x:c>
      <x:c r="AI14" s="50" t="str">
        <x:v>Sí</x:v>
      </x:c>
      <x:c r="AJ14" s="50" t="str">
        <x:v>VISITA INMEDIATA</x:v>
      </x:c>
      <x:c r="AK14" s="50" t="str">
        <x:v>Cliente natural para carretones y traslados interobra.</x:v>
      </x:c>
      <x:c r="AL14" s="50" t="str">
        <x:v>Web oficial / fuente comercial</x:v>
      </x:c>
      <x:c r="AM14" s="50" t="str">
        <x:v>Alta Río Cuarto; barrido integral por marcas, alquiler, maquinaria, industria y corredores A005/RN8/RN36.</x:v>
      </x:c>
    </x:row>
    <x:row r="15" ht="48" customHeight="1">
      <x:c r="A15" s="50" t="str">
        <x:v>RC-014</x:v>
      </x:c>
      <x:c r="B15" s="50" t="str">
        <x:v>Pendiente</x:v>
      </x:c>
      <x:c r="C15" s="50" t="str">
        <x:v>Río Cuarto</x:v>
      </x:c>
      <x:c r="D15" s="50" t="str">
        <x:v>Área urbana Río Cuarto</x:v>
      </x:c>
      <x:c r="E15" s="50" t="str">
        <x:v>Río Cuarto</x:v>
      </x:c>
      <x:c r="F15" s="50" t="str">
        <x:v>A+</x:v>
      </x:c>
      <x:c r="G15" s="50" t="n">
        <x:v>98</x:v>
      </x:c>
      <x:c r="H15" s="50" t="str">
        <x:v>Terramobil - Alquiler de maquinaria vial</x:v>
      </x:c>
      <x:c r="I15" s="50" t="str">
        <x:v>Alquiler de maquinaria vial</x:v>
      </x:c>
      <x:c r="J15" s="50" t="str">
        <x:v>Alquiler / dealer maquinaria pesada</x:v>
      </x:c>
      <x:c r="K15" s="50" t="str">
        <x:v>+54 358 5180190</x:v>
      </x:c>
      <x:c r="L15" s="50" t="str">
        <x:v>OK</x:v>
      </x:c>
      <x:c r="M15" s="50" t="str">
        <x:v>alquileres / logística / operaciones</x:v>
      </x:c>
      <x:c r="N15" s="50" t="str">
        <x:v>Entrega, retiro y traslado de maquinaria pesada entre sucursal, clientes, taller y obras.</x:v>
      </x:c>
      <x:c r="O15" s="50" t="str">
        <x:v>Plataforma 20 tn + malacate + hidrogrúa de apoyo + seguro/GPS.</x:v>
      </x:c>
      <x:c r="P15" s="50" t="str">
        <x:v>Absorber picos de entregas/retiros y movimientos interobra sin inmovilizar flota propia.</x:v>
      </x:c>
      <x:c r="Q15" s="50" t="str">
        <x:v>Llamar y visitar; pedir logística/alquileres/posventa y relevar movimientos mensuales.</x:v>
      </x:c>
      <x:c r="R15" s="50" t="str"/>
      <x:c r="S15" s="50" t="str">
        <x:v>Pirovano 613, X5808 Río Cuarto, Córdoba</x:v>
      </x:c>
      <x:c r="T15" s="50" t="str"/>
      <x:c r="U15" s="50" t="str"/>
      <x:c r="V15" s="50" t="str"/>
      <x:c r="W15" s="50" t="str"/>
      <x:c r="X15" s="50" t="str">
        <x:v>+543585180190</x:v>
      </x:c>
      <x:c r="Y15" s="50" t="str">
        <x:v>tel:+543585180190</x:v>
      </x:c>
      <x:c r="Z15" s="50" t="str">
        <x:v>Confirmar decisor, frecuencia mensual, pesos/dimensiones y cómo resuelven hoy los traslados.</x:v>
      </x:c>
      <x:c r="AA15" s="50" t="str">
        <x:v>https://www.google.com/maps/search/?api=1&amp;query=Terramobil+-+Alquiler+de+maquinaria+vial%2C+Pirovano+613%2C+X5808+R%C3%ADo+Cuarto%2C+C%C3%B3rdoba</x:v>
      </x:c>
      <x:c r="AB15" s="50" t="str">
        <x:v>Google Business Profile</x:v>
      </x:c>
      <x:c r="AC15" s="50" t="str">
        <x:v>https://www.google.com/maps/search/?api=1&amp;query=Terramobil+Alquiler+Maquinaria+Vial+Rio+Cuarto</x:v>
      </x:c>
      <x:c r="AD15" s="50" t="str">
        <x:v>Servicio local de alquiler de maquinaria vial.</x:v>
      </x:c>
      <x:c r="AE15" s="50" t="str">
        <x:v>Alta</x:v>
      </x:c>
      <x:c r="AF15" s="50" t="str">
        <x:v>Rastrillaje Río Cuarto 2026-09-15</x:v>
      </x:c>
      <x:c r="AG15" s="50" t="str">
        <x:v>Plataforma 20 tn | Malacate | Hidrogrúa | Entrega/retiro equipos | Seguro/GPS</x:v>
      </x:c>
      <x:c r="AH15" s="50" t="str">
        <x:v>Alquiler / dealer maquinaria pesada</x:v>
      </x:c>
      <x:c r="AI15" s="50" t="str">
        <x:v>Sí</x:v>
      </x:c>
      <x:c r="AJ15" s="50" t="str">
        <x:v>VISITA INMEDIATA</x:v>
      </x:c>
      <x:c r="AK15" s="50" t="str">
        <x:v>Alta afinidad: equipos de gran porte y movimientos frecuentes.</x:v>
      </x:c>
      <x:c r="AL15" s="50" t="str">
        <x:v>Google Business / directorio / web sectorial</x:v>
      </x:c>
      <x:c r="AM15" s="50" t="str">
        <x:v>Alta Río Cuarto; barrido integral por marcas, alquiler, maquinaria, industria y corredores A005/RN8/RN36.</x:v>
      </x:c>
    </x:row>
    <x:row r="16" ht="48" customHeight="1">
      <x:c r="A16" s="50" t="str">
        <x:v>RC-015</x:v>
      </x:c>
      <x:c r="B16" s="50" t="str">
        <x:v>Pendiente</x:v>
      </x:c>
      <x:c r="C16" s="50" t="str">
        <x:v>Río Cuarto</x:v>
      </x:c>
      <x:c r="D16" s="50" t="str">
        <x:v>Área urbana Río Cuarto</x:v>
      </x:c>
      <x:c r="E16" s="50" t="str">
        <x:v>Río Cuarto</x:v>
      </x:c>
      <x:c r="F16" s="50" t="str">
        <x:v>A+</x:v>
      </x:c>
      <x:c r="G16" s="50" t="n">
        <x:v>96</x:v>
      </x:c>
      <x:c r="H16" s="50" t="str">
        <x:v>Autoelevadores Río Cuarto Alquiler</x:v>
      </x:c>
      <x:c r="I16" s="50" t="str">
        <x:v>Alquiler de montacargas / autoelevadores</x:v>
      </x:c>
      <x:c r="J16" s="50" t="str">
        <x:v>Autoelevadores y elevación</x:v>
      </x:c>
      <x:c r="K16" s="50" t="str">
        <x:v>+54 358 5703111</x:v>
      </x:c>
      <x:c r="L16" s="50" t="str">
        <x:v>OK</x:v>
      </x:c>
      <x:c r="M16" s="50" t="str">
        <x:v>alquileres / logística</x:v>
      </x:c>
      <x:c r="N16" s="50" t="str">
        <x:v>Entrega/retiro de autoelevadores, plataformas y equipos de elevación entre base y clientes.</x:v>
      </x:c>
      <x:c r="O16" s="50" t="str">
        <x:v>Plataforma 20 tn + malacate + hidrogrúa de apoyo.</x:v>
      </x:c>
      <x:c r="P16" s="50" t="str">
        <x:v>Resolver entregas y retiros de alquiler/service sin sumar transporte propio.</x:v>
      </x:c>
      <x:c r="Q16" s="50" t="str">
        <x:v>Pedir alquileres/logística/service y cotizar tarifa por viaje y acuerdo recurrente.</x:v>
      </x:c>
      <x:c r="R16" s="50" t="str"/>
      <x:c r="S16" s="50" t="str">
        <x:v>Pje. Magallanes 2415, Río Cuarto, Córdoba</x:v>
      </x:c>
      <x:c r="T16" s="50" t="str"/>
      <x:c r="U16" s="50" t="str"/>
      <x:c r="V16" s="50" t="str"/>
      <x:c r="W16" s="50" t="str"/>
      <x:c r="X16" s="50" t="str">
        <x:v>+543585703111</x:v>
      </x:c>
      <x:c r="Y16" s="50" t="str">
        <x:v>tel:+543585703111</x:v>
      </x:c>
      <x:c r="Z16" s="50" t="str">
        <x:v>Confirmar decisor, frecuencia mensual, pesos/dimensiones y cómo resuelven hoy los traslados.</x:v>
      </x:c>
      <x:c r="AA16" s="50" t="str">
        <x:v>https://www.google.com/maps/search/?api=1&amp;query=Autoelevadores+R%C3%ADo+Cuarto+Alquiler%2C+Pje.+Magallanes+2415%2C+R%C3%ADo+Cuarto%2C+C%C3%B3rdoba</x:v>
      </x:c>
      <x:c r="AB16" s="50" t="str">
        <x:v>Google Business Profile</x:v>
      </x:c>
      <x:c r="AC16" s="50" t="str">
        <x:v>https://www.google.com/maps/search/?api=1&amp;query=Autoelevadores+Rio+Cuarto+Alquiler</x:v>
      </x:c>
      <x:c r="AD16" s="50" t="str">
        <x:v>Servicio local de alquiler de montacargas.</x:v>
      </x:c>
      <x:c r="AE16" s="50" t="str">
        <x:v>Alta</x:v>
      </x:c>
      <x:c r="AF16" s="50" t="str">
        <x:v>Rastrillaje Río Cuarto 2026-09-15</x:v>
      </x:c>
      <x:c r="AG16" s="50" t="str">
        <x:v>Plataforma 20 tn | Malacate | Hidrogrúa | Entrega/retiro equipos</x:v>
      </x:c>
      <x:c r="AH16" s="50" t="str">
        <x:v>Autoelevadores y elevación</x:v>
      </x:c>
      <x:c r="AI16" s="50" t="str">
        <x:v>Sí</x:v>
      </x:c>
      <x:c r="AJ16" s="50" t="str">
        <x:v>VISITA INMEDIATA</x:v>
      </x:c>
      <x:c r="AK16" s="50" t="str">
        <x:v>Movimientos recurrentes de equipos compactos y pesados.</x:v>
      </x:c>
      <x:c r="AL16" s="50" t="str">
        <x:v>Google Business / directorio / web sectorial</x:v>
      </x:c>
      <x:c r="AM16" s="50" t="str">
        <x:v>Alta Río Cuarto; barrido integral por marcas, alquiler, maquinaria, industria y corredores A005/RN8/RN36.</x:v>
      </x:c>
    </x:row>
    <x:row r="17" ht="48" customHeight="1">
      <x:c r="A17" s="50" t="str">
        <x:v>RC-016</x:v>
      </x:c>
      <x:c r="B17" s="50" t="str">
        <x:v>Pendiente</x:v>
      </x:c>
      <x:c r="C17" s="50" t="str">
        <x:v>Río Cuarto</x:v>
      </x:c>
      <x:c r="D17" s="50" t="str">
        <x:v>Área urbana Río Cuarto</x:v>
      </x:c>
      <x:c r="E17" s="50" t="str">
        <x:v>Río Cuarto</x:v>
      </x:c>
      <x:c r="F17" s="50" t="str">
        <x:v>A+</x:v>
      </x:c>
      <x:c r="G17" s="50" t="n">
        <x:v>96</x:v>
      </x:c>
      <x:c r="H17" s="50" t="str">
        <x:v>PONCE Movimientos de Suelo</x:v>
      </x:c>
      <x:c r="I17" s="50" t="str">
        <x:v>Movimiento de suelo y preparación de terrenos</x:v>
      </x:c>
      <x:c r="J17" s="50" t="str">
        <x:v>Construcción vial / movimiento de suelo</x:v>
      </x:c>
      <x:c r="K17" s="50" t="str">
        <x:v>+54 358 5180198</x:v>
      </x:c>
      <x:c r="L17" s="50" t="str">
        <x:v>OK</x:v>
      </x:c>
      <x:c r="M17" s="50" t="str">
        <x:v>dueño / operaciones</x:v>
      </x:c>
      <x:c r="N17" s="50" t="str">
        <x:v>Traslados interobra de excavadoras, retroexcavadoras, minicargadoras, rodillos y equipos viales.</x:v>
      </x:c>
      <x:c r="O17" s="50" t="str">
        <x:v>Plataforma 20 tn + malacate + seguro/GPS + coordinación interobra.</x:v>
      </x:c>
      <x:c r="P17" s="50" t="str">
        <x:v>Mover equipos entre frentes sin sacar recursos propios de la obra.</x:v>
      </x:c>
      <x:c r="Q17" s="50" t="str">
        <x:v>Pedir jefe de equipos/obras; relevar flota, pesos y frecuencia de movimientos.</x:v>
      </x:c>
      <x:c r="R17" s="50" t="str"/>
      <x:c r="S17" s="50" t="str">
        <x:v>Alvear 455, X5800 Río Cuarto, Córdoba</x:v>
      </x:c>
      <x:c r="T17" s="50" t="str"/>
      <x:c r="U17" s="50" t="str"/>
      <x:c r="V17" s="50" t="str"/>
      <x:c r="W17" s="50" t="str"/>
      <x:c r="X17" s="50" t="str">
        <x:v>+543585180198</x:v>
      </x:c>
      <x:c r="Y17" s="50" t="str">
        <x:v>tel:+543585180198</x:v>
      </x:c>
      <x:c r="Z17" s="50" t="str">
        <x:v>Confirmar decisor, frecuencia mensual, pesos/dimensiones y cómo resuelven hoy los traslados.</x:v>
      </x:c>
      <x:c r="AA17" s="50" t="str">
        <x:v>https://www.google.com/maps/search/?api=1&amp;query=PONCE+Movimientos+de+Suelo%2C+Alvear+455%2C+X5800+R%C3%ADo+Cuarto%2C+C%C3%B3rdoba</x:v>
      </x:c>
      <x:c r="AB17" s="50" t="str">
        <x:v>Google Business Profile</x:v>
      </x:c>
      <x:c r="AC17" s="50" t="str">
        <x:v>https://www.google.com/maps/search/?api=1&amp;query=PONCE+movimientos+de+suelo+Rio+Cuarto</x:v>
      </x:c>
      <x:c r="AD17" s="50" t="str">
        <x:v>Contratista local de movimiento de suelos.</x:v>
      </x:c>
      <x:c r="AE17" s="50" t="str">
        <x:v>Alta</x:v>
      </x:c>
      <x:c r="AF17" s="50" t="str">
        <x:v>Rastrillaje Río Cuarto 2026-09-15</x:v>
      </x:c>
      <x:c r="AG17" s="50" t="str">
        <x:v>Plataforma 20 tn | Malacate | Hidrogrúa | Traslados interobra | Seguro/GPS</x:v>
      </x:c>
      <x:c r="AH17" s="50" t="str">
        <x:v>Construcción vial / movimiento de suelo</x:v>
      </x:c>
      <x:c r="AI17" s="50" t="str">
        <x:v>Sí</x:v>
      </x:c>
      <x:c r="AJ17" s="50" t="str">
        <x:v>VISITA INMEDIATA</x:v>
      </x:c>
      <x:c r="AK17" s="50" t="str">
        <x:v>Cliente natural para carretones y traslados interobra.</x:v>
      </x:c>
      <x:c r="AL17" s="50" t="str">
        <x:v>Google Business / directorio / web sectorial</x:v>
      </x:c>
      <x:c r="AM17" s="50" t="str">
        <x:v>Alta Río Cuarto; barrido integral por marcas, alquiler, maquinaria, industria y corredores A005/RN8/RN36.</x:v>
      </x:c>
    </x:row>
    <x:row r="18" ht="48" customHeight="1">
      <x:c r="A18" s="50" t="str">
        <x:v>RC-017</x:v>
      </x:c>
      <x:c r="B18" s="50" t="str">
        <x:v>Pendiente</x:v>
      </x:c>
      <x:c r="C18" s="50" t="str">
        <x:v>Río Cuarto</x:v>
      </x:c>
      <x:c r="D18" s="50" t="str">
        <x:v>Corredor A005 / Circunvalación</x:v>
      </x:c>
      <x:c r="E18" s="50" t="str">
        <x:v>Río Cuarto</x:v>
      </x:c>
      <x:c r="F18" s="50" t="str">
        <x:v>A+</x:v>
      </x:c>
      <x:c r="G18" s="50" t="n">
        <x:v>96</x:v>
      </x:c>
      <x:c r="H18" s="50" t="str">
        <x:v>RINO Pauny</x:v>
      </x:c>
      <x:c r="I18" s="50" t="str">
        <x:v>Concesionario / comercio de tractores Pauny</x:v>
      </x:c>
      <x:c r="J18" s="50" t="str">
        <x:v>Maquinaria agrícola</x:v>
      </x:c>
      <x:c r="K18" s="50" t="str">
        <x:v>+54 358 5091232</x:v>
      </x:c>
      <x:c r="L18" s="50" t="str">
        <x:v>OK</x:v>
      </x:c>
      <x:c r="M18" s="50" t="str">
        <x:v>ventas / logística / posventa</x:v>
      </x:c>
      <x:c r="N18" s="50" t="str">
        <x:v>Entrega/retiro de tractores, cosechadoras, pulverizadoras e implementos; usados y service.</x:v>
      </x:c>
      <x:c r="O18" s="50" t="str">
        <x:v>Plataforma 20 tn + malacate + seguro/GPS; hidrogrúa según implemento.</x:v>
      </x:c>
      <x:c r="P18" s="50" t="str">
        <x:v>Tercerizar entregas, usados y rescates de service con disponibilidad programada.</x:v>
      </x:c>
      <x:c r="Q18" s="50" t="str">
        <x:v>Pedir logística/expedición/posventa; relevar campañas, usados y picos de entregas.</x:v>
      </x:c>
      <x:c r="R18" s="50" t="str"/>
      <x:c r="S18" s="50" t="str">
        <x:v>RN A005 km 10,5, X5804 Río Cuarto, Córdoba</x:v>
      </x:c>
      <x:c r="T18" s="50" t="str"/>
      <x:c r="U18" s="50" t="str"/>
      <x:c r="V18" s="50" t="str"/>
      <x:c r="W18" s="50" t="str"/>
      <x:c r="X18" s="50" t="str">
        <x:v>+543585091232</x:v>
      </x:c>
      <x:c r="Y18" s="50" t="str">
        <x:v>tel:+543585091232</x:v>
      </x:c>
      <x:c r="Z18" s="50" t="str">
        <x:v>Confirmar decisor, frecuencia mensual, pesos/dimensiones y cómo resuelven hoy los traslados.</x:v>
      </x:c>
      <x:c r="AA18" s="50" t="str">
        <x:v>https://www.google.com/maps/search/?api=1&amp;query=RINO+Pauny%2C+RN+A005+km+10%2C5%2C+X5804+R%C3%ADo+Cuarto%2C+C%C3%B3rdoba</x:v>
      </x:c>
      <x:c r="AB18" s="50" t="str">
        <x:v>Google Business Profile</x:v>
      </x:c>
      <x:c r="AC18" s="50" t="str">
        <x:v>https://www.google.com/maps/search/?api=1&amp;query=RINO+Pauny+Rio+Cuarto</x:v>
      </x:c>
      <x:c r="AD18" s="50" t="str">
        <x:v>Punto comercial Pauny sobre A005, con equipos de gran porte.</x:v>
      </x:c>
      <x:c r="AE18" s="50" t="str">
        <x:v>Alta</x:v>
      </x:c>
      <x:c r="AF18" s="50" t="str">
        <x:v>Rastrillaje Río Cuarto 2026-09-15</x:v>
      </x:c>
      <x:c r="AG18" s="50" t="str">
        <x:v>Plataforma 20 tn | Malacate | Hidrogrúa | Entrega/retiro equipos | Seguro/GPS</x:v>
      </x:c>
      <x:c r="AH18" s="50" t="str">
        <x:v>Maquinaria agrícola</x:v>
      </x:c>
      <x:c r="AI18" s="50" t="str">
        <x:v>Sí</x:v>
      </x:c>
      <x:c r="AJ18" s="50" t="str">
        <x:v>VISITA INMEDIATA</x:v>
      </x:c>
      <x:c r="AK18" s="50" t="str">
        <x:v>Fuerte estacionalidad y equipos de alto valor.</x:v>
      </x:c>
      <x:c r="AL18" s="50" t="str">
        <x:v>Google Business / directorio / web sectorial</x:v>
      </x:c>
      <x:c r="AM18" s="50" t="str">
        <x:v>Alta Río Cuarto; barrido integral por marcas, alquiler, maquinaria, industria y corredores A005/RN8/RN36.</x:v>
      </x:c>
    </x:row>
    <x:row r="19" ht="48" customHeight="1">
      <x:c r="A19" s="50" t="str">
        <x:v>RC-018</x:v>
      </x:c>
      <x:c r="B19" s="50" t="str">
        <x:v>Pendiente</x:v>
      </x:c>
      <x:c r="C19" s="50" t="str">
        <x:v>Río Cuarto</x:v>
      </x:c>
      <x:c r="D19" s="50" t="str">
        <x:v>Área urbana Río Cuarto</x:v>
      </x:c>
      <x:c r="E19" s="50" t="str">
        <x:v>Río Cuarto</x:v>
      </x:c>
      <x:c r="F19" s="50" t="str">
        <x:v>A+</x:v>
      </x:c>
      <x:c r="G19" s="50" t="n">
        <x:v>96</x:v>
      </x:c>
      <x:c r="H19" s="50" t="str">
        <x:v>SAV Autoelevadores y Máquinas Viales</x:v>
      </x:c>
      <x:c r="I19" s="50" t="str">
        <x:v>Servicio y taller de autoelevadores y maquinaria vial</x:v>
      </x:c>
      <x:c r="J19" s="50" t="str">
        <x:v>Autoelevadores y elevación</x:v>
      </x:c>
      <x:c r="K19" s="50" t="str">
        <x:v>+54 358 5092695</x:v>
      </x:c>
      <x:c r="L19" s="50" t="str">
        <x:v>OK</x:v>
      </x:c>
      <x:c r="M19" s="50" t="str">
        <x:v>dueño / operaciones / logística</x:v>
      </x:c>
      <x:c r="N19" s="50" t="str">
        <x:v>Entrega/retiro de autoelevadores, plataformas y equipos de elevación entre base y clientes.</x:v>
      </x:c>
      <x:c r="O19" s="50" t="str">
        <x:v>Plataforma 20 tn + malacate + hidrogrúa de apoyo.</x:v>
      </x:c>
      <x:c r="P19" s="50" t="str">
        <x:v>Resolver entregas y retiros de alquiler/service sin sumar transporte propio.</x:v>
      </x:c>
      <x:c r="Q19" s="50" t="str">
        <x:v>Pedir alquileres/logística/service y cotizar tarifa por viaje y acuerdo recurrente.</x:v>
      </x:c>
      <x:c r="R19" s="50" t="str"/>
      <x:c r="S19" s="50" t="str">
        <x:v>Lope de Vega 946, X5804 Río Cuarto, Córdoba</x:v>
      </x:c>
      <x:c r="T19" s="50" t="str"/>
      <x:c r="U19" s="50" t="str"/>
      <x:c r="V19" s="50" t="str"/>
      <x:c r="W19" s="50" t="str"/>
      <x:c r="X19" s="50" t="str">
        <x:v>+543585092695</x:v>
      </x:c>
      <x:c r="Y19" s="50" t="str">
        <x:v>tel:+543585092695</x:v>
      </x:c>
      <x:c r="Z19" s="50" t="str">
        <x:v>Confirmar decisor, frecuencia mensual, pesos/dimensiones y cómo resuelven hoy los traslados.</x:v>
      </x:c>
      <x:c r="AA19" s="50" t="str">
        <x:v>https://www.google.com/maps/search/?api=1&amp;query=SAV+Autoelevadores+y+M%C3%A1quinas+Viales%2C+Lope+de+Vega+946%2C+X5804+R%C3%ADo+Cuarto%2C+C%C3%B3rdoba</x:v>
      </x:c>
      <x:c r="AB19" s="50" t="str">
        <x:v>Google Business Profile</x:v>
      </x:c>
      <x:c r="AC19" s="50" t="str">
        <x:v>https://www.google.com/maps/search/?api=1&amp;query=SAV+Autoelevadores+y+Maquinas+Viales+Rio+Cuarto</x:v>
      </x:c>
      <x:c r="AD19" s="50" t="str">
        <x:v>Taller especializado en autoelevadores y máquinas viales.</x:v>
      </x:c>
      <x:c r="AE19" s="50" t="str">
        <x:v>Alta</x:v>
      </x:c>
      <x:c r="AF19" s="50" t="str">
        <x:v>Rastrillaje Río Cuarto 2026-09-15</x:v>
      </x:c>
      <x:c r="AG19" s="50" t="str">
        <x:v>Plataforma 20 tn | Malacate | Hidrogrúa | Entrega/retiro equipos</x:v>
      </x:c>
      <x:c r="AH19" s="50" t="str">
        <x:v>Autoelevadores y elevación</x:v>
      </x:c>
      <x:c r="AI19" s="50" t="str">
        <x:v>Sí</x:v>
      </x:c>
      <x:c r="AJ19" s="50" t="str">
        <x:v>VISITA INMEDIATA</x:v>
      </x:c>
      <x:c r="AK19" s="50" t="str">
        <x:v>Movimientos recurrentes de equipos compactos y pesados.</x:v>
      </x:c>
      <x:c r="AL19" s="50" t="str">
        <x:v>Google Business / directorio / web sectorial</x:v>
      </x:c>
      <x:c r="AM19" s="50" t="str">
        <x:v>Alta Río Cuarto; barrido integral por marcas, alquiler, maquinaria, industria y corredores A005/RN8/RN36.</x:v>
      </x:c>
    </x:row>
    <x:row r="20" ht="48" customHeight="1">
      <x:c r="A20" s="50" t="str">
        <x:v>RC-019</x:v>
      </x:c>
      <x:c r="B20" s="50" t="str">
        <x:v>Pendiente</x:v>
      </x:c>
      <x:c r="C20" s="50" t="str">
        <x:v>Río Cuarto</x:v>
      </x:c>
      <x:c r="D20" s="50" t="str">
        <x:v>Corredor A005 / Circunvalación</x:v>
      </x:c>
      <x:c r="E20" s="50" t="str">
        <x:v>Río Cuarto</x:v>
      </x:c>
      <x:c r="F20" s="50" t="str">
        <x:v>A+</x:v>
      </x:c>
      <x:c r="G20" s="50" t="n">
        <x:v>95</x:v>
      </x:c>
      <x:c r="H20" s="50" t="str">
        <x:v>Agecer - Volvo Trucks &amp; Buses Río Cuarto</x:v>
      </x:c>
      <x:c r="I20" s="50" t="str">
        <x:v>Concesionario oficial Volvo Trucks; usados y semirremolques</x:v>
      </x:c>
      <x:c r="J20" s="50" t="str">
        <x:v>Transporte / camiones / izajes</x:v>
      </x:c>
      <x:c r="K20" s="50" t="str">
        <x:v>+54 9 358 4013892</x:v>
      </x:c>
      <x:c r="L20" s="50" t="str">
        <x:v>OK</x:v>
      </x:c>
      <x:c r="M20" s="50" t="str">
        <x:v>posventa / logística / usados / comercial</x:v>
      </x:c>
      <x:c r="N20" s="50" t="str">
        <x:v>Traslado de camiones, semirremolques, equipos averiados o apoyo de flota en contingencias.</x:v>
      </x:c>
      <x:c r="O20" s="50" t="str">
        <x:v>Plataforma 20 tn + malacate + hidrogrúa/izaje según maniobra.</x:v>
      </x:c>
      <x:c r="P20" s="50" t="str">
        <x:v>Apoyo externo para rescates, reposicionamientos y equipos que no pueden circular.</x:v>
      </x:c>
      <x:c r="Q20" s="50" t="str">
        <x:v>Pedir taller/flota/logística; ofrecer soporte de contingencia y tarifa por movilización.</x:v>
      </x:c>
      <x:c r="R20" s="50" t="str"/>
      <x:c r="S20" s="50" t="str">
        <x:v>Ruta A005 km 9,5, X5800 Río Cuarto, Córdoba</x:v>
      </x:c>
      <x:c r="T20" s="50" t="str"/>
      <x:c r="U20" s="50" t="str"/>
      <x:c r="V20" s="50" t="str"/>
      <x:c r="W20" s="50" t="str"/>
      <x:c r="X20" s="50" t="str">
        <x:v>+5493584013892</x:v>
      </x:c>
      <x:c r="Y20" s="50" t="str">
        <x:v>tel:+5493584013892</x:v>
      </x:c>
      <x:c r="Z20" s="50" t="str">
        <x:v>Confirmar decisor, frecuencia mensual, pesos/dimensiones y cómo resuelven hoy los traslados.</x:v>
      </x:c>
      <x:c r="AA20" s="50" t="str">
        <x:v>https://www.google.com/maps/search/?api=1&amp;query=Agecer+-+Volvo+Trucks+%26+Buses+R%C3%ADo+Cuarto%2C+Ruta+A005+km+9%2C5%2C+X5800+R%C3%ADo+Cuarto%2C+C%C3%B3rdoba</x:v>
      </x:c>
      <x:c r="AB20" s="50" t="str">
        <x:v>Web oficial Volvo/Agecer</x:v>
      </x:c>
      <x:c r="AC20" s="50" t="str">
        <x:v>https://www.dealer.volvotrucks.com.ar/agecer/es-ar/nuestras-sucursales/rio-cuarto.html</x:v>
      </x:c>
      <x:c r="AD20" s="50" t="str">
        <x:v>Sucursal Volvo Trucks con usados, repuestos y representación de remolques/semirremolques.</x:v>
      </x:c>
      <x:c r="AE20" s="50" t="str">
        <x:v>Alta</x:v>
      </x:c>
      <x:c r="AF20" s="50" t="str">
        <x:v>Rastrillaje Río Cuarto 2026-09-15</x:v>
      </x:c>
      <x:c r="AG20" s="50" t="str">
        <x:v>Plataforma 20 tn | Malacate | Hidrogrúa | Apoyo de flota</x:v>
      </x:c>
      <x:c r="AH20" s="50" t="str">
        <x:v>Transporte / camiones / izajes</x:v>
      </x:c>
      <x:c r="AI20" s="50" t="str">
        <x:v>Sí</x:v>
      </x:c>
      <x:c r="AJ20" s="50" t="str">
        <x:v>VISITA INMEDIATA</x:v>
      </x:c>
      <x:c r="AK20" s="50" t="str">
        <x:v>Oportunidad por contingencias y reposicionamiento de flota.</x:v>
      </x:c>
      <x:c r="AL20" s="50" t="str">
        <x:v>Web oficial / fuente comercial</x:v>
      </x:c>
      <x:c r="AM20" s="50" t="str">
        <x:v>Alta Río Cuarto; barrido integral por marcas, alquiler, maquinaria, industria y corredores A005/RN8/RN36.</x:v>
      </x:c>
    </x:row>
    <x:row r="21" ht="48" customHeight="1">
      <x:c r="A21" s="50" t="str">
        <x:v>RC-020</x:v>
      </x:c>
      <x:c r="B21" s="50" t="str">
        <x:v>Pendiente</x:v>
      </x:c>
      <x:c r="C21" s="50" t="str">
        <x:v>Río Cuarto</x:v>
      </x:c>
      <x:c r="D21" s="50" t="str">
        <x:v>Corredor A005 / Circunvalación</x:v>
      </x:c>
      <x:c r="E21" s="50" t="str">
        <x:v>Río Cuarto</x:v>
      </x:c>
      <x:c r="F21" s="50" t="str">
        <x:v>A+</x:v>
      </x:c>
      <x:c r="G21" s="50" t="n">
        <x:v>95</x:v>
      </x:c>
      <x:c r="H21" s="50" t="str">
        <x:v>AGRO VIAL FERNANDEZ</x:v>
      </x:c>
      <x:c r="I21" s="50" t="str">
        <x:v>Fábrica y comercialización de maquinaria agrícola/vial</x:v>
      </x:c>
      <x:c r="J21" s="50" t="str">
        <x:v>Alquiler / dealer maquinaria pesada</x:v>
      </x:c>
      <x:c r="K21" s="50" t="str">
        <x:v>+54 9 351 6077077</x:v>
      </x:c>
      <x:c r="L21" s="50" t="str">
        <x:v>OK</x:v>
      </x:c>
      <x:c r="M21" s="50" t="str">
        <x:v>ventas / logística / taller</x:v>
      </x:c>
      <x:c r="N21" s="50" t="str">
        <x:v>Entrega, retiro y traslado de maquinaria pesada entre sucursal, clientes, taller y obras.</x:v>
      </x:c>
      <x:c r="O21" s="50" t="str">
        <x:v>Plataforma 20 tn + malacate + hidrogrúa de apoyo + seguro/GPS.</x:v>
      </x:c>
      <x:c r="P21" s="50" t="str">
        <x:v>Absorber picos de entregas/retiros y movimientos interobra sin inmovilizar flota propia.</x:v>
      </x:c>
      <x:c r="Q21" s="50" t="str">
        <x:v>Llamar y visitar; pedir logística/alquileres/posventa y relevar movimientos mensuales.</x:v>
      </x:c>
      <x:c r="R21" s="50" t="str"/>
      <x:c r="S21" s="50" t="str">
        <x:v>Ruta A005 y Arturo M. Bas, X5800 Río Cuarto, Córdoba</x:v>
      </x:c>
      <x:c r="T21" s="50" t="str"/>
      <x:c r="U21" s="50" t="str"/>
      <x:c r="V21" s="50" t="str"/>
      <x:c r="W21" s="50" t="str"/>
      <x:c r="X21" s="50" t="str">
        <x:v>+5493516077077</x:v>
      </x:c>
      <x:c r="Y21" s="50" t="str">
        <x:v>tel:+5493516077077</x:v>
      </x:c>
      <x:c r="Z21" s="50" t="str">
        <x:v>Confirmar decisor, frecuencia mensual, pesos/dimensiones y cómo resuelven hoy los traslados.</x:v>
      </x:c>
      <x:c r="AA21" s="50" t="str">
        <x:v>https://www.google.com/maps/search/?api=1&amp;query=AGRO+VIAL+FERNANDEZ%2C+Ruta+A005+y+Arturo+M.+Bas%2C+X5800+R%C3%ADo+Cuarto%2C+C%C3%B3rdoba</x:v>
      </x:c>
      <x:c r="AB21" s="50" t="str">
        <x:v>Google Business Profile</x:v>
      </x:c>
      <x:c r="AC21" s="50" t="str">
        <x:v>https://www.google.com/maps/search/?api=1&amp;query=Agro+Vial+Fernandez+Rio+Cuarto</x:v>
      </x:c>
      <x:c r="AD21" s="50" t="str">
        <x:v>Fábrica de maquinaria agrícola ubicada sobre A005.</x:v>
      </x:c>
      <x:c r="AE21" s="50" t="str">
        <x:v>Alta</x:v>
      </x:c>
      <x:c r="AF21" s="50" t="str">
        <x:v>Rastrillaje Río Cuarto 2026-09-15</x:v>
      </x:c>
      <x:c r="AG21" s="50" t="str">
        <x:v>Plataforma 20 tn | Malacate | Hidrogrúa | Entrega/retiro equipos | Seguro/GPS</x:v>
      </x:c>
      <x:c r="AH21" s="50" t="str">
        <x:v>Alquiler / dealer maquinaria pesada</x:v>
      </x:c>
      <x:c r="AI21" s="50" t="str">
        <x:v>Sí</x:v>
      </x:c>
      <x:c r="AJ21" s="50" t="str">
        <x:v>VISITA INMEDIATA</x:v>
      </x:c>
      <x:c r="AK21" s="50" t="str">
        <x:v>Alta afinidad: equipos de gran porte y movimientos frecuentes.</x:v>
      </x:c>
      <x:c r="AL21" s="50" t="str">
        <x:v>Google Business / directorio / web sectorial</x:v>
      </x:c>
      <x:c r="AM21" s="50" t="str">
        <x:v>Alta Río Cuarto; barrido integral por marcas, alquiler, maquinaria, industria y corredores A005/RN8/RN36.</x:v>
      </x:c>
    </x:row>
    <x:row r="22" ht="48" customHeight="1">
      <x:c r="A22" s="50" t="str">
        <x:v>RC-021</x:v>
      </x:c>
      <x:c r="B22" s="50" t="str">
        <x:v>Pendiente</x:v>
      </x:c>
      <x:c r="C22" s="50" t="str">
        <x:v>Río Cuarto</x:v>
      </x:c>
      <x:c r="D22" s="50" t="str">
        <x:v>Corredor A005 / Circunvalación</x:v>
      </x:c>
      <x:c r="E22" s="50" t="str">
        <x:v>Río Cuarto</x:v>
      </x:c>
      <x:c r="F22" s="50" t="str">
        <x:v>A+</x:v>
      </x:c>
      <x:c r="G22" s="50" t="n">
        <x:v>95</x:v>
      </x:c>
      <x:c r="H22" s="50" t="str">
        <x:v>Agrokeegan Maquinarias</x:v>
      </x:c>
      <x:c r="I22" s="50" t="str">
        <x:v>Comercialización de maquinaria agrícola e implementos</x:v>
      </x:c>
      <x:c r="J22" s="50" t="str">
        <x:v>Maquinaria agrícola</x:v>
      </x:c>
      <x:c r="K22" s="50" t="str">
        <x:v>+54 358 6014848</x:v>
      </x:c>
      <x:c r="L22" s="50" t="str">
        <x:v>OK</x:v>
      </x:c>
      <x:c r="M22" s="50" t="str">
        <x:v>ventas / logística / expedición</x:v>
      </x:c>
      <x:c r="N22" s="50" t="str">
        <x:v>Entrega/retiro de tractores, cosechadoras, pulverizadoras e implementos; usados y service.</x:v>
      </x:c>
      <x:c r="O22" s="50" t="str">
        <x:v>Plataforma 20 tn + malacate + seguro/GPS; hidrogrúa según implemento.</x:v>
      </x:c>
      <x:c r="P22" s="50" t="str">
        <x:v>Tercerizar entregas, usados y rescates de service con disponibilidad programada.</x:v>
      </x:c>
      <x:c r="Q22" s="50" t="str">
        <x:v>Pedir logística/expedición/posventa; relevar campañas, usados y picos de entregas.</x:v>
      </x:c>
      <x:c r="R22" s="50" t="str"/>
      <x:c r="S22" s="50" t="str">
        <x:v>RN A005 km 0,5, X5800 Río Cuarto, Córdoba</x:v>
      </x:c>
      <x:c r="T22" s="50" t="str"/>
      <x:c r="U22" s="50" t="str"/>
      <x:c r="V22" s="50" t="str"/>
      <x:c r="W22" s="50" t="str"/>
      <x:c r="X22" s="50" t="str">
        <x:v>+543586014848</x:v>
      </x:c>
      <x:c r="Y22" s="50" t="str">
        <x:v>tel:+543586014848</x:v>
      </x:c>
      <x:c r="Z22" s="50" t="str">
        <x:v>Confirmar decisor, frecuencia mensual, pesos/dimensiones y cómo resuelven hoy los traslados.</x:v>
      </x:c>
      <x:c r="AA22" s="50" t="str">
        <x:v>https://www.google.com/maps/search/?api=1&amp;query=Agrokeegan+Maquinarias%2C+RN+A005+km+0%2C5%2C+X5800+R%C3%ADo+Cuarto%2C+C%C3%B3rdoba</x:v>
      </x:c>
      <x:c r="AB22" s="50" t="str">
        <x:v>Web oficial Agrokeegan</x:v>
      </x:c>
      <x:c r="AC22" s="50" t="str">
        <x:v>https://agrokeegan.com.ar/about-us</x:v>
      </x:c>
      <x:c r="AD22" s="50" t="str">
        <x:v>Empresa local con stock de equipos nuevos; comercializa múltiples fabricantes.</x:v>
      </x:c>
      <x:c r="AE22" s="50" t="str">
        <x:v>Alta</x:v>
      </x:c>
      <x:c r="AF22" s="50" t="str">
        <x:v>Rastrillaje Río Cuarto 2026-09-15</x:v>
      </x:c>
      <x:c r="AG22" s="50" t="str">
        <x:v>Plataforma 20 tn | Malacate | Hidrogrúa | Entrega/retiro equipos | Seguro/GPS</x:v>
      </x:c>
      <x:c r="AH22" s="50" t="str">
        <x:v>Maquinaria agrícola</x:v>
      </x:c>
      <x:c r="AI22" s="50" t="str">
        <x:v>Sí</x:v>
      </x:c>
      <x:c r="AJ22" s="50" t="str">
        <x:v>VISITA INMEDIATA</x:v>
      </x:c>
      <x:c r="AK22" s="50" t="str">
        <x:v>Fuerte estacionalidad y equipos de alto valor.</x:v>
      </x:c>
      <x:c r="AL22" s="50" t="str">
        <x:v>Web oficial / fuente comercial</x:v>
      </x:c>
      <x:c r="AM22" s="50" t="str">
        <x:v>Alta Río Cuarto; barrido integral por marcas, alquiler, maquinaria, industria y corredores A005/RN8/RN36.</x:v>
      </x:c>
    </x:row>
    <x:row r="23" ht="48" customHeight="1">
      <x:c r="A23" s="50" t="str">
        <x:v>RC-022</x:v>
      </x:c>
      <x:c r="B23" s="50" t="str">
        <x:v>Pendiente</x:v>
      </x:c>
      <x:c r="C23" s="50" t="str">
        <x:v>Río Cuarto</x:v>
      </x:c>
      <x:c r="D23" s="50" t="str">
        <x:v>Corredor A005 / Circunvalación</x:v>
      </x:c>
      <x:c r="E23" s="50" t="str">
        <x:v>Río Cuarto</x:v>
      </x:c>
      <x:c r="F23" s="50" t="str">
        <x:v>A+</x:v>
      </x:c>
      <x:c r="G23" s="50" t="n">
        <x:v>95</x:v>
      </x:c>
      <x:c r="H23" s="50" t="str">
        <x:v>Bricchi Hnos. S.A.</x:v>
      </x:c>
      <x:c r="I23" s="50" t="str">
        <x:v>Maquinaria agrícola, vial y agro</x:v>
      </x:c>
      <x:c r="J23" s="50" t="str">
        <x:v>Maquinaria agrícola</x:v>
      </x:c>
      <x:c r="K23" s="50" t="str">
        <x:v>+54 9 358 4854418</x:v>
      </x:c>
      <x:c r="L23" s="50" t="str">
        <x:v>OK</x:v>
      </x:c>
      <x:c r="M23" s="50" t="str">
        <x:v>ventas / logística / posventa</x:v>
      </x:c>
      <x:c r="N23" s="50" t="str">
        <x:v>Entrega/retiro de tractores, cosechadoras, pulverizadoras e implementos; usados y service.</x:v>
      </x:c>
      <x:c r="O23" s="50" t="str">
        <x:v>Plataforma 20 tn + malacate + seguro/GPS; hidrogrúa según implemento.</x:v>
      </x:c>
      <x:c r="P23" s="50" t="str">
        <x:v>Tercerizar entregas, usados y rescates de service con disponibilidad programada.</x:v>
      </x:c>
      <x:c r="Q23" s="50" t="str">
        <x:v>Pedir logística/expedición/posventa; relevar campañas, usados y picos de entregas.</x:v>
      </x:c>
      <x:c r="R23" s="50" t="str"/>
      <x:c r="S23" s="50" t="str">
        <x:v>Ruta A005 km 1,2, Río Cuarto, Córdoba</x:v>
      </x:c>
      <x:c r="T23" s="50" t="str"/>
      <x:c r="U23" s="50" t="str"/>
      <x:c r="V23" s="50" t="str"/>
      <x:c r="W23" s="50" t="str"/>
      <x:c r="X23" s="50" t="str">
        <x:v>+5493584854418</x:v>
      </x:c>
      <x:c r="Y23" s="50" t="str">
        <x:v>tel:+5493584854418</x:v>
      </x:c>
      <x:c r="Z23" s="50" t="str">
        <x:v>Confirmar decisor, frecuencia mensual, pesos/dimensiones y cómo resuelven hoy los traslados.</x:v>
      </x:c>
      <x:c r="AA23" s="50" t="str">
        <x:v>https://www.google.com/maps/search/?api=1&amp;query=Bricchi+Hnos.+S.A.%2C+Ruta+A005+km+1%2C2%2C+R%C3%ADo+Cuarto%2C+C%C3%B3rdoba</x:v>
      </x:c>
      <x:c r="AB23" s="50" t="str">
        <x:v>Web oficial Bricchi</x:v>
      </x:c>
      <x:c r="AC23" s="50" t="str">
        <x:v>https://www.bricchihnos.com/</x:v>
      </x:c>
      <x:c r="AD23" s="50" t="str">
        <x:v>Ofrece maquinaria para agro y vial; ubicación sobre A005.</x:v>
      </x:c>
      <x:c r="AE23" s="50" t="str">
        <x:v>Alta</x:v>
      </x:c>
      <x:c r="AF23" s="50" t="str">
        <x:v>Rastrillaje Río Cuarto 2026-09-15</x:v>
      </x:c>
      <x:c r="AG23" s="50" t="str">
        <x:v>Plataforma 20 tn | Malacate | Hidrogrúa | Entrega/retiro equipos | Seguro/GPS</x:v>
      </x:c>
      <x:c r="AH23" s="50" t="str">
        <x:v>Maquinaria agrícola</x:v>
      </x:c>
      <x:c r="AI23" s="50" t="str">
        <x:v>Sí</x:v>
      </x:c>
      <x:c r="AJ23" s="50" t="str">
        <x:v>VISITA INMEDIATA</x:v>
      </x:c>
      <x:c r="AK23" s="50" t="str">
        <x:v>Fuerte estacionalidad y equipos de alto valor.</x:v>
      </x:c>
      <x:c r="AL23" s="50" t="str">
        <x:v>Web oficial / fuente comercial</x:v>
      </x:c>
      <x:c r="AM23" s="50" t="str">
        <x:v>Alta Río Cuarto; barrido integral por marcas, alquiler, maquinaria, industria y corredores A005/RN8/RN36.</x:v>
      </x:c>
    </x:row>
    <x:row r="24" ht="48" customHeight="1">
      <x:c r="A24" s="50" t="str">
        <x:v>RC-023</x:v>
      </x:c>
      <x:c r="B24" s="50" t="str">
        <x:v>Pendiente</x:v>
      </x:c>
      <x:c r="C24" s="50" t="str">
        <x:v>Río Cuarto</x:v>
      </x:c>
      <x:c r="D24" s="50" t="str">
        <x:v>Corredor RN8</x:v>
      </x:c>
      <x:c r="E24" s="50" t="str">
        <x:v>Río Cuarto</x:v>
      </x:c>
      <x:c r="F24" s="50" t="str">
        <x:v>A+</x:v>
      </x:c>
      <x:c r="G24" s="50" t="n">
        <x:v>95</x:v>
      </x:c>
      <x:c r="H24" s="50" t="str">
        <x:v>Caon Maquinarias</x:v>
      </x:c>
      <x:c r="I24" s="50" t="str">
        <x:v>Proveedor de equipos agrícolas</x:v>
      </x:c>
      <x:c r="J24" s="50" t="str">
        <x:v>Maquinaria agrícola</x:v>
      </x:c>
      <x:c r="K24" s="50" t="str">
        <x:v>+54 358 4117162</x:v>
      </x:c>
      <x:c r="L24" s="50" t="str">
        <x:v>OK</x:v>
      </x:c>
      <x:c r="M24" s="50" t="str">
        <x:v>ventas / logística / usados</x:v>
      </x:c>
      <x:c r="N24" s="50" t="str">
        <x:v>Entrega/retiro de tractores, cosechadoras, pulverizadoras e implementos; usados y service.</x:v>
      </x:c>
      <x:c r="O24" s="50" t="str">
        <x:v>Plataforma 20 tn + malacate + seguro/GPS; hidrogrúa según implemento.</x:v>
      </x:c>
      <x:c r="P24" s="50" t="str">
        <x:v>Tercerizar entregas, usados y rescates de service con disponibilidad programada.</x:v>
      </x:c>
      <x:c r="Q24" s="50" t="str">
        <x:v>Pedir logística/expedición/posventa; relevar campañas, usados y picos de entregas.</x:v>
      </x:c>
      <x:c r="R24" s="50" t="str"/>
      <x:c r="S24" s="50" t="str">
        <x:v>RN8 km 608, X5800 Río Cuarto, Córdoba</x:v>
      </x:c>
      <x:c r="T24" s="50" t="str"/>
      <x:c r="U24" s="50" t="str"/>
      <x:c r="V24" s="50" t="str"/>
      <x:c r="W24" s="50" t="str"/>
      <x:c r="X24" s="50" t="str">
        <x:v>+543584117162</x:v>
      </x:c>
      <x:c r="Y24" s="50" t="str">
        <x:v>tel:+543584117162</x:v>
      </x:c>
      <x:c r="Z24" s="50" t="str">
        <x:v>Confirmar decisor, frecuencia mensual, pesos/dimensiones y cómo resuelven hoy los traslados.</x:v>
      </x:c>
      <x:c r="AA24" s="50" t="str">
        <x:v>https://www.google.com/maps/search/?api=1&amp;query=Caon+Maquinarias%2C+RN8+km+608%2C+X5800+R%C3%ADo+Cuarto%2C+C%C3%B3rdoba</x:v>
      </x:c>
      <x:c r="AB24" s="50" t="str">
        <x:v>Google Business Profile</x:v>
      </x:c>
      <x:c r="AC24" s="50" t="str">
        <x:v>https://www.google.com/maps/search/?api=1&amp;query=Caon+Maquinarias+Rio+Cuarto</x:v>
      </x:c>
      <x:c r="AD24" s="50" t="str">
        <x:v>Proveedor de maquinaria agrícola sobre RN8.</x:v>
      </x:c>
      <x:c r="AE24" s="50" t="str">
        <x:v>Alta</x:v>
      </x:c>
      <x:c r="AF24" s="50" t="str">
        <x:v>Rastrillaje Río Cuarto 2026-09-15</x:v>
      </x:c>
      <x:c r="AG24" s="50" t="str">
        <x:v>Plataforma 20 tn | Malacate | Hidrogrúa | Entrega/retiro equipos | Seguro/GPS</x:v>
      </x:c>
      <x:c r="AH24" s="50" t="str">
        <x:v>Maquinaria agrícola</x:v>
      </x:c>
      <x:c r="AI24" s="50" t="str">
        <x:v>Sí</x:v>
      </x:c>
      <x:c r="AJ24" s="50" t="str">
        <x:v>VISITA INMEDIATA</x:v>
      </x:c>
      <x:c r="AK24" s="50" t="str">
        <x:v>Fuerte estacionalidad y equipos de alto valor.</x:v>
      </x:c>
      <x:c r="AL24" s="50" t="str">
        <x:v>Google Business / directorio / web sectorial</x:v>
      </x:c>
      <x:c r="AM24" s="50" t="str">
        <x:v>Alta Río Cuarto; barrido integral por marcas, alquiler, maquinaria, industria y corredores A005/RN8/RN36.</x:v>
      </x:c>
    </x:row>
    <x:row r="25" ht="48" customHeight="1">
      <x:c r="A25" s="50" t="str">
        <x:v>RC-024</x:v>
      </x:c>
      <x:c r="B25" s="50" t="str">
        <x:v>Pendiente</x:v>
      </x:c>
      <x:c r="C25" s="50" t="str">
        <x:v>Río Cuarto</x:v>
      </x:c>
      <x:c r="D25" s="50" t="str">
        <x:v>Av. Perón / Oeste</x:v>
      </x:c>
      <x:c r="E25" s="50" t="str">
        <x:v>Río Cuarto</x:v>
      </x:c>
      <x:c r="F25" s="50" t="str">
        <x:v>A</x:v>
      </x:c>
      <x:c r="G25" s="50" t="n">
        <x:v>94</x:v>
      </x:c>
      <x:c r="H25" s="50" t="str">
        <x:v>Attus</x:v>
      </x:c>
      <x:c r="I25" s="50" t="str">
        <x:v>Ingeniería civil; estructuras metálicas, hormigón y movimiento de suelos</x:v>
      </x:c>
      <x:c r="J25" s="50" t="str">
        <x:v>Construcción y obra industrial</x:v>
      </x:c>
      <x:c r="K25" s="50" t="str">
        <x:v>+54 9 358 4629741</x:v>
      </x:c>
      <x:c r="L25" s="50" t="str">
        <x:v>OK</x:v>
      </x:c>
      <x:c r="M25" s="50" t="str">
        <x:v>operaciones / montajes / obras</x:v>
      </x:c>
      <x:c r="N25" s="50" t="str">
        <x:v>Movimientos de equipos, cargas especiales o apoyo logístico asociados a su operación.</x:v>
      </x:c>
      <x:c r="O25" s="50" t="str">
        <x:v>Plataforma 20 tn + hidrogrúa + malacate según necesidad.</x:v>
      </x:c>
      <x:c r="P25" s="50" t="str">
        <x:v>Capacidad externa para movimientos pesados o especiales.</x:v>
      </x:c>
      <x:c r="Q25" s="50" t="str">
        <x:v>Contactar operaciones/logística y relevar movimientos actuales.</x:v>
      </x:c>
      <x:c r="R25" s="50" t="str"/>
      <x:c r="S25" s="50" t="str">
        <x:v>Av. Presidente Perón Centro 448, Río Cuarto, Córdoba</x:v>
      </x:c>
      <x:c r="T25" s="50" t="str"/>
      <x:c r="U25" s="50" t="str"/>
      <x:c r="V25" s="50" t="str"/>
      <x:c r="W25" s="50" t="str"/>
      <x:c r="X25" s="50" t="str">
        <x:v>+5493584629741</x:v>
      </x:c>
      <x:c r="Y25" s="50" t="str">
        <x:v>tel:+5493584629741</x:v>
      </x:c>
      <x:c r="Z25" s="50" t="str">
        <x:v>Confirmar decisor, frecuencia mensual, pesos/dimensiones y cómo resuelven hoy los traslados.</x:v>
      </x:c>
      <x:c r="AA25" s="50" t="str">
        <x:v>https://www.google.com/maps/search/?api=1&amp;query=Attus%2C+Av.+Presidente+Per%C3%B3n+Centro+448%2C+R%C3%ADo+Cuarto%2C+C%C3%B3rdoba</x:v>
      </x:c>
      <x:c r="AB25" s="50" t="str">
        <x:v>Web oficial Attus</x:v>
      </x:c>
      <x:c r="AC25" s="50" t="str">
        <x:v>https://attus.com.ar/servicios/</x:v>
      </x:c>
      <x:c r="AD25" s="50" t="str">
        <x:v>Ofrece estructuras metálicas, hormigón armado, pisos industriales y movimiento de suelos.</x:v>
      </x:c>
      <x:c r="AE25" s="50" t="str">
        <x:v>Alta</x:v>
      </x:c>
      <x:c r="AF25" s="50" t="str">
        <x:v>Rastrillaje Río Cuarto 2026-09-15</x:v>
      </x:c>
      <x:c r="AG25" s="50" t="str">
        <x:v>Plataforma 20 tn | Hidrogrúa | Malacate</x:v>
      </x:c>
      <x:c r="AH25" s="50" t="str">
        <x:v>Construcción y obra industrial</x:v>
      </x:c>
      <x:c r="AI25" s="50" t="str">
        <x:v>Sí</x:v>
      </x:c>
      <x:c r="AJ25" s="50" t="str">
        <x:v>PRIORIDAD ALTA</x:v>
      </x:c>
      <x:c r="AK25" s="50" t="str">
        <x:v>Requiere calificación comercial en primer contacto.</x:v>
      </x:c>
      <x:c r="AL25" s="50" t="str">
        <x:v>Web oficial / fuente comercial</x:v>
      </x:c>
      <x:c r="AM25" s="50" t="str">
        <x:v>Alta Río Cuarto; barrido integral por marcas, alquiler, maquinaria, industria y corredores A005/RN8/RN36.</x:v>
      </x:c>
    </x:row>
    <x:row r="26" ht="48" customHeight="1">
      <x:c r="A26" s="50" t="str">
        <x:v>RC-025</x:v>
      </x:c>
      <x:c r="B26" s="50" t="str">
        <x:v>Pendiente</x:v>
      </x:c>
      <x:c r="C26" s="50" t="str">
        <x:v>Río Cuarto</x:v>
      </x:c>
      <x:c r="D26" s="50" t="str">
        <x:v>Corredor RN36</x:v>
      </x:c>
      <x:c r="E26" s="50" t="str">
        <x:v>Río Cuarto</x:v>
      </x:c>
      <x:c r="F26" s="50" t="str">
        <x:v>A</x:v>
      </x:c>
      <x:c r="G26" s="50" t="n">
        <x:v>94</x:v>
      </x:c>
      <x:c r="H26" s="50" t="str">
        <x:v>Cantera La Helena</x:v>
      </x:c>
      <x:c r="I26" s="50" t="str">
        <x:v>Extracción, procesamiento y comercialización de áridos</x:v>
      </x:c>
      <x:c r="J26" s="50" t="str">
        <x:v>Hormigón, áridos y materiales</x:v>
      </x:c>
      <x:c r="K26" s="50" t="str">
        <x:v>+54 358 4309507</x:v>
      </x:c>
      <x:c r="L26" s="50" t="str">
        <x:v>OK</x:v>
      </x:c>
      <x:c r="M26" s="50" t="str">
        <x:v>operaciones / mantenimiento / logística</x:v>
      </x:c>
      <x:c r="N26" s="50" t="str">
        <x:v>Movimiento de equipos de planta, bombas, moldes, premoldeados, maquinaria y cargas pesadas.</x:v>
      </x:c>
      <x:c r="O26" s="50" t="str">
        <x:v>Plataforma + hidrogrúa + percha para pallets/cargas.</x:v>
      </x:c>
      <x:c r="P26" s="50" t="str">
        <x:v>Cubrir movimientos de maquinaria y cargas especiales fuera de la logística convencional.</x:v>
      </x:c>
      <x:c r="Q26" s="50" t="str">
        <x:v>Pedir planta/mantenimiento/logística; relevar equipos y movimientos no cubiertos por mixer/camión.</x:v>
      </x:c>
      <x:c r="R26" s="50" t="str"/>
      <x:c r="S26" s="50" t="str">
        <x:v>Ex Ruta 36 km 610, X5800 Río Cuarto, Córdoba</x:v>
      </x:c>
      <x:c r="T26" s="50" t="str"/>
      <x:c r="U26" s="50" t="str"/>
      <x:c r="V26" s="50" t="str"/>
      <x:c r="W26" s="50" t="str"/>
      <x:c r="X26" s="50" t="str">
        <x:v>+543584309507</x:v>
      </x:c>
      <x:c r="Y26" s="50" t="str">
        <x:v>tel:+543584309507</x:v>
      </x:c>
      <x:c r="Z26" s="50" t="str">
        <x:v>Confirmar decisor, frecuencia mensual, pesos/dimensiones y cómo resuelven hoy los traslados.</x:v>
      </x:c>
      <x:c r="AA26" s="50" t="str">
        <x:v>https://www.google.com/maps/search/?api=1&amp;query=Cantera+La+Helena%2C+Ex+Ruta+36+km+610%2C+X5800+R%C3%ADo+Cuarto%2C+C%C3%B3rdoba</x:v>
      </x:c>
      <x:c r="AB26" s="50" t="str">
        <x:v>Web oficial La Helena</x:v>
      </x:c>
      <x:c r="AC26" s="50" t="str">
        <x:v>https://lahelena.com.ar/about/</x:v>
      </x:c>
      <x:c r="AD26" s="50" t="str">
        <x:v>Cantera local con procesos automatizados y maquinaria propia.</x:v>
      </x:c>
      <x:c r="AE26" s="50" t="str">
        <x:v>Alta</x:v>
      </x:c>
      <x:c r="AF26" s="50" t="str">
        <x:v>Rastrillaje Río Cuarto 2026-09-15</x:v>
      </x:c>
      <x:c r="AG26" s="50" t="str">
        <x:v>Plataforma 20 tn | Hidrogrúa | Percha para pallets | Malacate</x:v>
      </x:c>
      <x:c r="AH26" s="50" t="str">
        <x:v>Hormigón, áridos y materiales</x:v>
      </x:c>
      <x:c r="AI26" s="50" t="str">
        <x:v>Sí</x:v>
      </x:c>
      <x:c r="AJ26" s="50" t="str">
        <x:v>PRIORIDAD ALTA</x:v>
      </x:c>
      <x:c r="AK26" s="50" t="str">
        <x:v>Complementa transporte de materiales con cargas/equipos especiales.</x:v>
      </x:c>
      <x:c r="AL26" s="50" t="str">
        <x:v>Web oficial / fuente comercial</x:v>
      </x:c>
      <x:c r="AM26" s="50" t="str">
        <x:v>Alta Río Cuarto; barrido integral por marcas, alquiler, maquinaria, industria y corredores A005/RN8/RN36.</x:v>
      </x:c>
    </x:row>
    <x:row r="27" ht="48" customHeight="1">
      <x:c r="A27" s="50" t="str">
        <x:v>RC-026</x:v>
      </x:c>
      <x:c r="B27" s="50" t="str">
        <x:v>Pendiente</x:v>
      </x:c>
      <x:c r="C27" s="50" t="str">
        <x:v>Río Cuarto</x:v>
      </x:c>
      <x:c r="D27" s="50" t="str">
        <x:v>Corredor A005 / Circunvalación</x:v>
      </x:c>
      <x:c r="E27" s="50" t="str">
        <x:v>Río Cuarto</x:v>
      </x:c>
      <x:c r="F27" s="50" t="str">
        <x:v>A</x:v>
      </x:c>
      <x:c r="G27" s="50" t="n">
        <x:v>94</x:v>
      </x:c>
      <x:c r="H27" s="50" t="str">
        <x:v>Carrocerías El Tero S.A.</x:v>
      </x:c>
      <x:c r="I27" s="50" t="str">
        <x:v>Carrocerías, acoplados y semirremolques</x:v>
      </x:c>
      <x:c r="J27" s="50" t="str">
        <x:v>Metalúrgica y fabricación</x:v>
      </x:c>
      <x:c r="K27" s="50" t="str">
        <x:v>0358 4155555 / +54 9 358 5077725</x:v>
      </x:c>
      <x:c r="L27" s="50" t="str">
        <x:v>OK</x:v>
      </x:c>
      <x:c r="M27" s="50" t="str">
        <x:v>producción / expedición / taller</x:v>
      </x:c>
      <x:c r="N27" s="50" t="str">
        <x:v>Despacho/traslado de estructuras, piezas, implementos, acoplados o conjuntos metálicos.</x:v>
      </x:c>
      <x:c r="O27" s="50" t="str">
        <x:v>Plataforma + hidrogrúa + malacate; percha para pallets según carga.</x:v>
      </x:c>
      <x:c r="P27" s="50" t="str">
        <x:v>Resolver despachos pesados y piezas fuera de medida con un único proveedor.</x:v>
      </x:c>
      <x:c r="Q27" s="50" t="str">
        <x:v>Pedir expedición/logística/producción; relevar piezas máximas y destinos habituales.</x:v>
      </x:c>
      <x:c r="R27" s="50" t="str"/>
      <x:c r="S27" s="50" t="str">
        <x:v>Ruta A005 km 2,5, X5800 Río Cuarto, Córdoba</x:v>
      </x:c>
      <x:c r="T27" s="50" t="str"/>
      <x:c r="U27" s="50" t="str"/>
      <x:c r="V27" s="50" t="str"/>
      <x:c r="W27" s="50" t="str"/>
      <x:c r="X27" s="50" t="str">
        <x:v>03584155555</x:v>
      </x:c>
      <x:c r="Y27" s="50" t="str">
        <x:v>tel:03584155555 | tel:+5493585077725</x:v>
      </x:c>
      <x:c r="Z27" s="50" t="str">
        <x:v>Confirmar decisor, frecuencia mensual, pesos/dimensiones y cómo resuelven hoy los traslados.</x:v>
      </x:c>
      <x:c r="AA27" s="50" t="str">
        <x:v>https://www.google.com/maps/search/?api=1&amp;query=Carrocer%C3%ADas+El+Tero+S.A.%2C+Ruta+A005+km+2%2C5%2C+X5800+R%C3%ADo+Cuarto%2C+C%C3%B3rdoba</x:v>
      </x:c>
      <x:c r="AB27" s="50" t="str">
        <x:v>Web oficial Carrocerías El Tero</x:v>
      </x:c>
      <x:c r="AC27" s="50" t="str">
        <x:v>https://www.carroceriaseltero.com/</x:v>
      </x:c>
      <x:c r="AD27" s="50" t="str">
        <x:v>Fabrica carrocerías, acoplados, semirremolques y especiales.</x:v>
      </x:c>
      <x:c r="AE27" s="50" t="str">
        <x:v>Alta</x:v>
      </x:c>
      <x:c r="AF27" s="50" t="str">
        <x:v>Rastrillaje Río Cuarto 2026-09-15</x:v>
      </x:c>
      <x:c r="AG27" s="50" t="str">
        <x:v>Plataforma 20 tn | Hidrogrúa | Malacate | Percha para pallets</x:v>
      </x:c>
      <x:c r="AH27" s="50" t="str">
        <x:v>Metalúrgica y fabricación</x:v>
      </x:c>
      <x:c r="AI27" s="50" t="str">
        <x:v>Sí</x:v>
      </x:c>
      <x:c r="AJ27" s="50" t="str">
        <x:v>PRIORIDAD ALTA</x:v>
      </x:c>
      <x:c r="AK27" s="50" t="str">
        <x:v>Potencial por piezas pesadas, voluminosas o de geometría irregular.</x:v>
      </x:c>
      <x:c r="AL27" s="50" t="str">
        <x:v>Web oficial / fuente comercial</x:v>
      </x:c>
      <x:c r="AM27" s="50" t="str">
        <x:v>Alta Río Cuarto; barrido integral por marcas, alquiler, maquinaria, industria y corredores A005/RN8/RN36.</x:v>
      </x:c>
    </x:row>
    <x:row r="28" ht="48" customHeight="1">
      <x:c r="A28" s="50" t="str">
        <x:v>RC-027</x:v>
      </x:c>
      <x:c r="B28" s="50" t="str">
        <x:v>Pendiente</x:v>
      </x:c>
      <x:c r="C28" s="50" t="str">
        <x:v>Río Cuarto</x:v>
      </x:c>
      <x:c r="D28" s="50" t="str">
        <x:v>Corredor RN8</x:v>
      </x:c>
      <x:c r="E28" s="50" t="str">
        <x:v>Río Cuarto</x:v>
      </x:c>
      <x:c r="F28" s="50" t="str">
        <x:v>A</x:v>
      </x:c>
      <x:c r="G28" s="50" t="n">
        <x:v>94</x:v>
      </x:c>
      <x:c r="H28" s="50" t="str">
        <x:v>Cisar Piscinas y Cúpulas</x:v>
      </x:c>
      <x:c r="I28" s="50" t="str">
        <x:v>Fábrica de piscinas de fibra y cúpulas</x:v>
      </x:c>
      <x:c r="J28" s="50" t="str">
        <x:v>Piscinas / fibra de vidrio</x:v>
      </x:c>
      <x:c r="K28" s="50" t="str">
        <x:v>0358 4640586 / +54 9 358 4818472</x:v>
      </x:c>
      <x:c r="L28" s="50" t="str">
        <x:v>OK</x:v>
      </x:c>
      <x:c r="M28" s="50" t="str">
        <x:v>producción / logística / colocaciones</x:v>
      </x:c>
      <x:c r="N28" s="50" t="str">
        <x:v>Traslado de piscinas/cúpulas desde fábrica o depósito hasta obra y apoyo de descarga.</x:v>
      </x:c>
      <x:c r="O28" s="50" t="str">
        <x:v>Plataforma + hidrogrúa para entrega y posicionamiento.</x:v>
      </x:c>
      <x:c r="P28" s="50" t="str">
        <x:v>Una sola coordinación para traslado y descarga en domicilio/obra.</x:v>
      </x:c>
      <x:c r="Q28" s="50" t="str">
        <x:v>Pedir logística/colocación; relevar medidas máximas y volumen mensual en temporada.</x:v>
      </x:c>
      <x:c r="R28" s="50" t="str"/>
      <x:c r="S28" s="50" t="str">
        <x:v>Ruta 8 km 605,5, Río Cuarto, Córdoba</x:v>
      </x:c>
      <x:c r="T28" s="50" t="str"/>
      <x:c r="U28" s="50" t="str"/>
      <x:c r="V28" s="50" t="str"/>
      <x:c r="W28" s="50" t="str"/>
      <x:c r="X28" s="50" t="str">
        <x:v>03584640586</x:v>
      </x:c>
      <x:c r="Y28" s="50" t="str">
        <x:v>tel:03584640586 | tel:+5493584818472</x:v>
      </x:c>
      <x:c r="Z28" s="50" t="str">
        <x:v>Confirmar decisor, frecuencia mensual, pesos/dimensiones y cómo resuelven hoy los traslados.</x:v>
      </x:c>
      <x:c r="AA28" s="50" t="str">
        <x:v>https://www.google.com/maps/search/?api=1&amp;query=Cisar+Piscinas+y+C%C3%BApulas%2C+Ruta+8+km+605%2C5%2C+R%C3%ADo+Cuarto%2C+C%C3%B3rdoba</x:v>
      </x:c>
      <x:c r="AB28" s="50" t="str">
        <x:v>Web oficial Cisar</x:v>
      </x:c>
      <x:c r="AC28" s="50" t="str">
        <x:v>https://cisarpiscinasycupulas.com.ar/about/</x:v>
      </x:c>
      <x:c r="AD28" s="50" t="str">
        <x:v>Fabricante local; declara transporte y colocación de piscinas y distribución nacional.</x:v>
      </x:c>
      <x:c r="AE28" s="50" t="str">
        <x:v>Alta</x:v>
      </x:c>
      <x:c r="AF28" s="50" t="str">
        <x:v>Rastrillaje Río Cuarto 2026-09-15</x:v>
      </x:c>
      <x:c r="AG28" s="50" t="str">
        <x:v>Plataforma 20 tn | Hidrogrúa | Entrega a obra</x:v>
      </x:c>
      <x:c r="AH28" s="50" t="str">
        <x:v>Piscinas / fibra de vidrio</x:v>
      </x:c>
      <x:c r="AI28" s="50" t="str">
        <x:v>Sí</x:v>
      </x:c>
      <x:c r="AJ28" s="50" t="str">
        <x:v>PRIORIDAD ALTA</x:v>
      </x:c>
      <x:c r="AK28" s="50" t="str">
        <x:v>Carga voluminosa y estacional; buena afinidad con hidrogrúa.</x:v>
      </x:c>
      <x:c r="AL28" s="50" t="str">
        <x:v>Web oficial / fuente comercial</x:v>
      </x:c>
      <x:c r="AM28" s="50" t="str">
        <x:v>Alta Río Cuarto; barrido integral por marcas, alquiler, maquinaria, industria y corredores A005/RN8/RN36.</x:v>
      </x:c>
    </x:row>
    <x:row r="29" ht="48" customHeight="1">
      <x:c r="A29" s="50" t="str">
        <x:v>RC-028</x:v>
      </x:c>
      <x:c r="B29" s="50" t="str">
        <x:v>Pendiente</x:v>
      </x:c>
      <x:c r="C29" s="50" t="str">
        <x:v>Río Cuarto</x:v>
      </x:c>
      <x:c r="D29" s="50" t="str">
        <x:v>Área urbana Río Cuarto</x:v>
      </x:c>
      <x:c r="E29" s="50" t="str">
        <x:v>Río Cuarto</x:v>
      </x:c>
      <x:c r="F29" s="50" t="str">
        <x:v>A</x:v>
      </x:c>
      <x:c r="G29" s="50" t="n">
        <x:v>94</x:v>
      </x:c>
      <x:c r="H29" s="50" t="str">
        <x:v>Löchel Industria Metalúrgica</x:v>
      </x:c>
      <x:c r="I29" s="50" t="str">
        <x:v>Fabricación de maquinaria e implementos agrícolas</x:v>
      </x:c>
      <x:c r="J29" s="50" t="str">
        <x:v>Metalúrgica y fabricación</x:v>
      </x:c>
      <x:c r="K29" s="50" t="str">
        <x:v>+54 358 5605339 / 4018967</x:v>
      </x:c>
      <x:c r="L29" s="50" t="str">
        <x:v>OK</x:v>
      </x:c>
      <x:c r="M29" s="50" t="str">
        <x:v>producción / expedición / logística</x:v>
      </x:c>
      <x:c r="N29" s="50" t="str">
        <x:v>Despacho/traslado de estructuras, piezas, implementos, acoplados o conjuntos metálicos.</x:v>
      </x:c>
      <x:c r="O29" s="50" t="str">
        <x:v>Plataforma + hidrogrúa + malacate; percha para pallets según carga.</x:v>
      </x:c>
      <x:c r="P29" s="50" t="str">
        <x:v>Resolver despachos pesados y piezas fuera de medida con un único proveedor.</x:v>
      </x:c>
      <x:c r="Q29" s="50" t="str">
        <x:v>Pedir expedición/logística/producción; relevar piezas máximas y destinos habituales.</x:v>
      </x:c>
      <x:c r="R29" s="50" t="str"/>
      <x:c r="S29" s="50" t="str">
        <x:v>Int. Daguerre 1550, X5800 Río Cuarto, Córdoba</x:v>
      </x:c>
      <x:c r="T29" s="50" t="str"/>
      <x:c r="U29" s="50" t="str"/>
      <x:c r="V29" s="50" t="str"/>
      <x:c r="W29" s="50" t="str"/>
      <x:c r="X29" s="50" t="str">
        <x:v>+543585605339</x:v>
      </x:c>
      <x:c r="Y29" s="50" t="str">
        <x:v>tel:+543585605339 | tel:4018967</x:v>
      </x:c>
      <x:c r="Z29" s="50" t="str">
        <x:v>Confirmar decisor, frecuencia mensual, pesos/dimensiones y cómo resuelven hoy los traslados.</x:v>
      </x:c>
      <x:c r="AA29" s="50" t="str">
        <x:v>https://www.google.com/maps/search/?api=1&amp;query=L%C3%B6chel+Industria+Metal%C3%BArgica%2C+Int.+Daguerre+1550%2C+X5800+R%C3%ADo+Cuarto%2C+C%C3%B3rdoba</x:v>
      </x:c>
      <x:c r="AB29" s="50" t="str">
        <x:v>Web oficial Löchel</x:v>
      </x:c>
      <x:c r="AC29" s="50" t="str">
        <x:v>https://lochel.com.ar/contacto/</x:v>
      </x:c>
      <x:c r="AD29" s="50" t="str">
        <x:v>Fabricante local de maquinaria agrícola e implementos.</x:v>
      </x:c>
      <x:c r="AE29" s="50" t="str">
        <x:v>Alta</x:v>
      </x:c>
      <x:c r="AF29" s="50" t="str">
        <x:v>Rastrillaje Río Cuarto 2026-09-15</x:v>
      </x:c>
      <x:c r="AG29" s="50" t="str">
        <x:v>Plataforma 20 tn | Hidrogrúa | Malacate | Percha para pallets</x:v>
      </x:c>
      <x:c r="AH29" s="50" t="str">
        <x:v>Metalúrgica y fabricación</x:v>
      </x:c>
      <x:c r="AI29" s="50" t="str">
        <x:v>Sí</x:v>
      </x:c>
      <x:c r="AJ29" s="50" t="str">
        <x:v>PRIORIDAD ALTA</x:v>
      </x:c>
      <x:c r="AK29" s="50" t="str">
        <x:v>Potencial por piezas pesadas, voluminosas o de geometría irregular.</x:v>
      </x:c>
      <x:c r="AL29" s="50" t="str">
        <x:v>Web oficial / fuente comercial</x:v>
      </x:c>
      <x:c r="AM29" s="50" t="str">
        <x:v>Alta Río Cuarto; barrido integral por marcas, alquiler, maquinaria, industria y corredores A005/RN8/RN36.</x:v>
      </x:c>
    </x:row>
    <x:row r="30" ht="48" customHeight="1">
      <x:c r="A30" s="50" t="str">
        <x:v>RC-029</x:v>
      </x:c>
      <x:c r="B30" s="50" t="str">
        <x:v>Pendiente</x:v>
      </x:c>
      <x:c r="C30" s="50" t="str">
        <x:v>Río Cuarto</x:v>
      </x:c>
      <x:c r="D30" s="50" t="str">
        <x:v>Área urbana Río Cuarto</x:v>
      </x:c>
      <x:c r="E30" s="50" t="str">
        <x:v>Río Cuarto</x:v>
      </x:c>
      <x:c r="F30" s="50" t="str">
        <x:v>A</x:v>
      </x:c>
      <x:c r="G30" s="50" t="n">
        <x:v>94</x:v>
      </x:c>
      <x:c r="H30" s="50" t="str">
        <x:v>MG Autoelevadores</x:v>
      </x:c>
      <x:c r="I30" s="50" t="str">
        <x:v>Autoelevadores; servicio y reparación</x:v>
      </x:c>
      <x:c r="J30" s="50" t="str">
        <x:v>Autoelevadores y elevación</x:v>
      </x:c>
      <x:c r="K30" s="50" t="str">
        <x:v>+54 358 4017219</x:v>
      </x:c>
      <x:c r="L30" s="50" t="str">
        <x:v>OK</x:v>
      </x:c>
      <x:c r="M30" s="50" t="str">
        <x:v>operaciones / servicio / logística</x:v>
      </x:c>
      <x:c r="N30" s="50" t="str">
        <x:v>Entrega/retiro de autoelevadores, plataformas y equipos de elevación entre base y clientes.</x:v>
      </x:c>
      <x:c r="O30" s="50" t="str">
        <x:v>Plataforma 20 tn + malacate + hidrogrúa de apoyo.</x:v>
      </x:c>
      <x:c r="P30" s="50" t="str">
        <x:v>Resolver entregas y retiros de alquiler/service sin sumar transporte propio.</x:v>
      </x:c>
      <x:c r="Q30" s="50" t="str">
        <x:v>Pedir alquileres/logística/service y cotizar tarifa por viaje y acuerdo recurrente.</x:v>
      </x:c>
      <x:c r="R30" s="50" t="str"/>
      <x:c r="S30" s="50" t="str">
        <x:v>Av. Marcelo T. de Alvear 1334, X5800 Río Cuarto, Córdoba</x:v>
      </x:c>
      <x:c r="T30" s="50" t="str"/>
      <x:c r="U30" s="50" t="str"/>
      <x:c r="V30" s="50" t="str"/>
      <x:c r="W30" s="50" t="str"/>
      <x:c r="X30" s="50" t="str">
        <x:v>+543584017219</x:v>
      </x:c>
      <x:c r="Y30" s="50" t="str">
        <x:v>tel:+543584017219</x:v>
      </x:c>
      <x:c r="Z30" s="50" t="str">
        <x:v>Confirmar decisor, frecuencia mensual, pesos/dimensiones y cómo resuelven hoy los traslados.</x:v>
      </x:c>
      <x:c r="AA30" s="50" t="str">
        <x:v>https://www.google.com/maps/search/?api=1&amp;query=MG+Autoelevadores%2C+Av.+Marcelo+T.+de+Alvear+1334%2C+X5800+R%C3%ADo+Cuarto%2C+C%C3%B3rdoba</x:v>
      </x:c>
      <x:c r="AB30" s="50" t="str">
        <x:v>Google Business Profile</x:v>
      </x:c>
      <x:c r="AC30" s="50" t="str">
        <x:v>https://www.google.com/maps/search/?api=1&amp;query=MG+Autoelevadores+Rio+Cuarto</x:v>
      </x:c>
      <x:c r="AD30" s="50" t="str">
        <x:v>Taller especializado en autoelevadores.</x:v>
      </x:c>
      <x:c r="AE30" s="50" t="str">
        <x:v>Alta</x:v>
      </x:c>
      <x:c r="AF30" s="50" t="str">
        <x:v>Rastrillaje Río Cuarto 2026-09-15</x:v>
      </x:c>
      <x:c r="AG30" s="50" t="str">
        <x:v>Plataforma 20 tn | Malacate | Hidrogrúa | Entrega/retiro equipos</x:v>
      </x:c>
      <x:c r="AH30" s="50" t="str">
        <x:v>Autoelevadores y elevación</x:v>
      </x:c>
      <x:c r="AI30" s="50" t="str">
        <x:v>Sí</x:v>
      </x:c>
      <x:c r="AJ30" s="50" t="str">
        <x:v>PRIORIDAD ALTA</x:v>
      </x:c>
      <x:c r="AK30" s="50" t="str">
        <x:v>Movimientos recurrentes de equipos compactos y pesados.</x:v>
      </x:c>
      <x:c r="AL30" s="50" t="str">
        <x:v>Google Business / directorio / web sectorial</x:v>
      </x:c>
      <x:c r="AM30" s="50" t="str">
        <x:v>Alta Río Cuarto; barrido integral por marcas, alquiler, maquinaria, industria y corredores A005/RN8/RN36.</x:v>
      </x:c>
    </x:row>
    <x:row r="31" ht="48" customHeight="1">
      <x:c r="A31" s="50" t="str">
        <x:v>RC-030</x:v>
      </x:c>
      <x:c r="B31" s="50" t="str">
        <x:v>Pendiente</x:v>
      </x:c>
      <x:c r="C31" s="50" t="str">
        <x:v>Río Cuarto</x:v>
      </x:c>
      <x:c r="D31" s="50" t="str">
        <x:v>Área urbana Río Cuarto</x:v>
      </x:c>
      <x:c r="E31" s="50" t="str">
        <x:v>Río Cuarto</x:v>
      </x:c>
      <x:c r="F31" s="50" t="str">
        <x:v>A</x:v>
      </x:c>
      <x:c r="G31" s="50" t="n">
        <x:v>94</x:v>
      </x:c>
      <x:c r="H31" s="50" t="str">
        <x:v>R.C Movimiento de Suelos</x:v>
      </x:c>
      <x:c r="I31" s="50" t="str">
        <x:v>Movimiento de tierras</x:v>
      </x:c>
      <x:c r="J31" s="50" t="str">
        <x:v>Construcción vial / movimiento de suelo</x:v>
      </x:c>
      <x:c r="K31" s="50" t="str">
        <x:v>+54 358 4289293</x:v>
      </x:c>
      <x:c r="L31" s="50" t="str">
        <x:v>OK</x:v>
      </x:c>
      <x:c r="M31" s="50" t="str">
        <x:v>operaciones / dueño</x:v>
      </x:c>
      <x:c r="N31" s="50" t="str">
        <x:v>Traslados interobra de excavadoras, retroexcavadoras, minicargadoras, rodillos y equipos viales.</x:v>
      </x:c>
      <x:c r="O31" s="50" t="str">
        <x:v>Plataforma 20 tn + malacate + seguro/GPS + coordinación interobra.</x:v>
      </x:c>
      <x:c r="P31" s="50" t="str">
        <x:v>Mover equipos entre frentes sin sacar recursos propios de la obra.</x:v>
      </x:c>
      <x:c r="Q31" s="50" t="str">
        <x:v>Pedir jefe de equipos/obras; relevar flota, pesos y frecuencia de movimientos.</x:v>
      </x:c>
      <x:c r="R31" s="50" t="str"/>
      <x:c r="S31" s="50" t="str">
        <x:v>Río Cuarto, Córdoba</x:v>
      </x:c>
      <x:c r="T31" s="50" t="str"/>
      <x:c r="U31" s="50" t="str"/>
      <x:c r="V31" s="50" t="str"/>
      <x:c r="W31" s="50" t="str"/>
      <x:c r="X31" s="50" t="str">
        <x:v>+543584289293</x:v>
      </x:c>
      <x:c r="Y31" s="50" t="str">
        <x:v>tel:+543584289293</x:v>
      </x:c>
      <x:c r="Z31" s="50" t="str">
        <x:v>Confirmar decisor, frecuencia mensual, pesos/dimensiones y cómo resuelven hoy los traslados.</x:v>
      </x:c>
      <x:c r="AA31" s="50" t="str">
        <x:v>https://www.google.com/maps/search/?api=1&amp;query=R.C+Movimiento+de+Suelos%2C+R%C3%ADo+Cuarto%2C+C%C3%B3rdoba</x:v>
      </x:c>
      <x:c r="AB31" s="50" t="str">
        <x:v>Google Business Profile</x:v>
      </x:c>
      <x:c r="AC31" s="50" t="str">
        <x:v>https://www.google.com/maps/search/?api=1&amp;query=RC+Movimiento+de+Suelos+Rio+Cuarto</x:v>
      </x:c>
      <x:c r="AD31" s="50" t="str">
        <x:v>Empresa local de movimiento de tierras.</x:v>
      </x:c>
      <x:c r="AE31" s="50" t="str">
        <x:v>Alta</x:v>
      </x:c>
      <x:c r="AF31" s="50" t="str">
        <x:v>Rastrillaje Río Cuarto 2026-09-15</x:v>
      </x:c>
      <x:c r="AG31" s="50" t="str">
        <x:v>Plataforma 20 tn | Malacate | Hidrogrúa | Traslados interobra | Seguro/GPS</x:v>
      </x:c>
      <x:c r="AH31" s="50" t="str">
        <x:v>Construcción vial / movimiento de suelo</x:v>
      </x:c>
      <x:c r="AI31" s="50" t="str">
        <x:v>Sí</x:v>
      </x:c>
      <x:c r="AJ31" s="50" t="str">
        <x:v>PRIORIDAD ALTA</x:v>
      </x:c>
      <x:c r="AK31" s="50" t="str">
        <x:v>Cliente natural para carretones y traslados interobra.</x:v>
      </x:c>
      <x:c r="AL31" s="50" t="str">
        <x:v>Google Business / directorio / web sectorial</x:v>
      </x:c>
      <x:c r="AM31" s="50" t="str">
        <x:v>Alta Río Cuarto; barrido integral por marcas, alquiler, maquinaria, industria y corredores A005/RN8/RN36.</x:v>
      </x:c>
    </x:row>
    <x:row r="32" ht="48" customHeight="1">
      <x:c r="A32" s="50" t="str">
        <x:v>RC-031</x:v>
      </x:c>
      <x:c r="B32" s="50" t="str">
        <x:v>Pendiente</x:v>
      </x:c>
      <x:c r="C32" s="50" t="str">
        <x:v>Río Cuarto</x:v>
      </x:c>
      <x:c r="D32" s="50" t="str">
        <x:v>Corredor A005 / Circunvalación</x:v>
      </x:c>
      <x:c r="E32" s="50" t="str">
        <x:v>Río Cuarto</x:v>
      </x:c>
      <x:c r="F32" s="50" t="str">
        <x:v>A</x:v>
      </x:c>
      <x:c r="G32" s="50" t="n">
        <x:v>92</x:v>
      </x:c>
      <x:c r="H32" s="50" t="str">
        <x:v>Alquilo Todo Río Cuarto</x:v>
      </x:c>
      <x:c r="I32" s="50" t="str">
        <x:v>Alquiler de herramientas y maquinaria para construcción</x:v>
      </x:c>
      <x:c r="J32" s="50" t="str">
        <x:v>Alquiler / dealer maquinaria pesada</x:v>
      </x:c>
      <x:c r="K32" s="50" t="str">
        <x:v>+54 3546 490403</x:v>
      </x:c>
      <x:c r="L32" s="50" t="str">
        <x:v>OK</x:v>
      </x:c>
      <x:c r="M32" s="50" t="str">
        <x:v>alquileres / operaciones</x:v>
      </x:c>
      <x:c r="N32" s="50" t="str">
        <x:v>Entrega, retiro y traslado de maquinaria pesada entre sucursal, clientes, taller y obras.</x:v>
      </x:c>
      <x:c r="O32" s="50" t="str">
        <x:v>Plataforma 20 tn + malacate + hidrogrúa de apoyo + seguro/GPS.</x:v>
      </x:c>
      <x:c r="P32" s="50" t="str">
        <x:v>Absorber picos de entregas/retiros y movimientos interobra sin inmovilizar flota propia.</x:v>
      </x:c>
      <x:c r="Q32" s="50" t="str">
        <x:v>Llamar y visitar; pedir logística/alquileres/posventa y relevar movimientos mensuales.</x:v>
      </x:c>
      <x:c r="R32" s="50" t="str"/>
      <x:c r="S32" s="50" t="str">
        <x:v>Reverendo Padre Geniale Silvi 273, colectora A005, X5806 Río Cuarto</x:v>
      </x:c>
      <x:c r="T32" s="50" t="str"/>
      <x:c r="U32" s="50" t="str"/>
      <x:c r="V32" s="50" t="str"/>
      <x:c r="W32" s="50" t="str"/>
      <x:c r="X32" s="50" t="str">
        <x:v>+543546490403</x:v>
      </x:c>
      <x:c r="Y32" s="50" t="str">
        <x:v>tel:+543546490403</x:v>
      </x:c>
      <x:c r="Z32" s="50" t="str">
        <x:v>Confirmar decisor, frecuencia mensual, pesos/dimensiones y cómo resuelven hoy los traslados.</x:v>
      </x:c>
      <x:c r="AA32" s="50" t="str">
        <x:v>https://www.google.com/maps/search/?api=1&amp;query=Alquilo+Todo+R%C3%ADo+Cuarto%2C+Reverendo+Padre+Geniale+Silvi+273%2C+colectora+A005%2C+X5806+R%C3%ADo+Cuarto</x:v>
      </x:c>
      <x:c r="AB32" s="50" t="str">
        <x:v>Google Business Profile</x:v>
      </x:c>
      <x:c r="AC32" s="50" t="str">
        <x:v>https://www.google.com/maps/search/?api=1&amp;query=Alquilo+Todo+Rio+Cuarto</x:v>
      </x:c>
      <x:c r="AD32" s="50" t="str">
        <x:v>Agencia local de alquiler de maquinaria para construcción y herramientas.</x:v>
      </x:c>
      <x:c r="AE32" s="50" t="str">
        <x:v>Alta</x:v>
      </x:c>
      <x:c r="AF32" s="50" t="str">
        <x:v>Rastrillaje Río Cuarto 2026-09-15</x:v>
      </x:c>
      <x:c r="AG32" s="50" t="str">
        <x:v>Plataforma 20 tn | Malacate | Hidrogrúa | Entrega/retiro equipos | Seguro/GPS</x:v>
      </x:c>
      <x:c r="AH32" s="50" t="str">
        <x:v>Alquiler / dealer maquinaria pesada</x:v>
      </x:c>
      <x:c r="AI32" s="50" t="str">
        <x:v>Sí</x:v>
      </x:c>
      <x:c r="AJ32" s="50" t="str">
        <x:v>PRIORIDAD ALTA</x:v>
      </x:c>
      <x:c r="AK32" s="50" t="str">
        <x:v>Alta afinidad: equipos de gran porte y movimientos frecuentes.</x:v>
      </x:c>
      <x:c r="AL32" s="50" t="str">
        <x:v>Google Business / directorio / web sectorial</x:v>
      </x:c>
      <x:c r="AM32" s="50" t="str">
        <x:v>Alta Río Cuarto; barrido integral por marcas, alquiler, maquinaria, industria y corredores A005/RN8/RN36.</x:v>
      </x:c>
    </x:row>
    <x:row r="33" ht="48" customHeight="1">
      <x:c r="A33" s="50" t="str">
        <x:v>RC-032</x:v>
      </x:c>
      <x:c r="B33" s="50" t="str">
        <x:v>Pendiente</x:v>
      </x:c>
      <x:c r="C33" s="50" t="str">
        <x:v>Río Cuarto</x:v>
      </x:c>
      <x:c r="D33" s="50" t="str">
        <x:v>Corredor A005 / Circunvalación</x:v>
      </x:c>
      <x:c r="E33" s="50" t="str">
        <x:v>Río Cuarto</x:v>
      </x:c>
      <x:c r="F33" s="50" t="str">
        <x:v>A</x:v>
      </x:c>
      <x:c r="G33" s="50" t="n">
        <x:v>92</x:v>
      </x:c>
      <x:c r="H33" s="50" t="str">
        <x:v>Concesionario Rubén Marconi</x:v>
      </x:c>
      <x:c r="I33" s="50" t="str">
        <x:v>Proveedor de equipos agrícolas</x:v>
      </x:c>
      <x:c r="J33" s="50" t="str">
        <x:v>Maquinaria agrícola</x:v>
      </x:c>
      <x:c r="K33" s="50" t="str">
        <x:v>+54 358 4700452</x:v>
      </x:c>
      <x:c r="L33" s="50" t="str">
        <x:v>OK</x:v>
      </x:c>
      <x:c r="M33" s="50" t="str">
        <x:v>ventas / logística</x:v>
      </x:c>
      <x:c r="N33" s="50" t="str">
        <x:v>Entrega/retiro de tractores, cosechadoras, pulverizadoras e implementos; usados y service.</x:v>
      </x:c>
      <x:c r="O33" s="50" t="str">
        <x:v>Plataforma 20 tn + malacate + seguro/GPS; hidrogrúa según implemento.</x:v>
      </x:c>
      <x:c r="P33" s="50" t="str">
        <x:v>Tercerizar entregas, usados y rescates de service con disponibilidad programada.</x:v>
      </x:c>
      <x:c r="Q33" s="50" t="str">
        <x:v>Pedir logística/expedición/posventa; relevar campañas, usados y picos de entregas.</x:v>
      </x:c>
      <x:c r="R33" s="50" t="str"/>
      <x:c r="S33" s="50" t="str">
        <x:v>RN A005 2708, X5800 Río Cuarto, Córdoba</x:v>
      </x:c>
      <x:c r="T33" s="50" t="str"/>
      <x:c r="U33" s="50" t="str"/>
      <x:c r="V33" s="50" t="str"/>
      <x:c r="W33" s="50" t="str"/>
      <x:c r="X33" s="50" t="str">
        <x:v>+543584700452</x:v>
      </x:c>
      <x:c r="Y33" s="50" t="str">
        <x:v>tel:+543584700452</x:v>
      </x:c>
      <x:c r="Z33" s="50" t="str">
        <x:v>Confirmar decisor, frecuencia mensual, pesos/dimensiones y cómo resuelven hoy los traslados.</x:v>
      </x:c>
      <x:c r="AA33" s="50" t="str">
        <x:v>https://www.google.com/maps/search/?api=1&amp;query=Concesionario+Rub%C3%A9n+Marconi%2C+RN+A005+2708%2C+X5800+R%C3%ADo+Cuarto%2C+C%C3%B3rdoba</x:v>
      </x:c>
      <x:c r="AB33" s="50" t="str">
        <x:v>Google Business Profile</x:v>
      </x:c>
      <x:c r="AC33" s="50" t="str">
        <x:v>https://www.google.com/maps/search/?api=1&amp;query=Concesionario+Ruben+Marconi+Rio+Cuarto</x:v>
      </x:c>
      <x:c r="AD33" s="50" t="str">
        <x:v>Proveedor de equipos agrícolas ubicado sobre el corredor A005.</x:v>
      </x:c>
      <x:c r="AE33" s="50" t="str">
        <x:v>Alta</x:v>
      </x:c>
      <x:c r="AF33" s="50" t="str">
        <x:v>Rastrillaje Río Cuarto 2026-09-15</x:v>
      </x:c>
      <x:c r="AG33" s="50" t="str">
        <x:v>Plataforma 20 tn | Malacate | Hidrogrúa | Entrega/retiro equipos | Seguro/GPS</x:v>
      </x:c>
      <x:c r="AH33" s="50" t="str">
        <x:v>Maquinaria agrícola</x:v>
      </x:c>
      <x:c r="AI33" s="50" t="str">
        <x:v>Sí</x:v>
      </x:c>
      <x:c r="AJ33" s="50" t="str">
        <x:v>PRIORIDAD ALTA</x:v>
      </x:c>
      <x:c r="AK33" s="50" t="str">
        <x:v>Fuerte estacionalidad y equipos de alto valor.</x:v>
      </x:c>
      <x:c r="AL33" s="50" t="str">
        <x:v>Google Business / directorio / web sectorial</x:v>
      </x:c>
      <x:c r="AM33" s="50" t="str">
        <x:v>Alta Río Cuarto; barrido integral por marcas, alquiler, maquinaria, industria y corredores A005/RN8/RN36.</x:v>
      </x:c>
    </x:row>
    <x:row r="34" ht="48" customHeight="1">
      <x:c r="A34" s="50" t="str">
        <x:v>RC-033</x:v>
      </x:c>
      <x:c r="B34" s="50" t="str">
        <x:v>Pendiente</x:v>
      </x:c>
      <x:c r="C34" s="50" t="str">
        <x:v>Río Cuarto</x:v>
      </x:c>
      <x:c r="D34" s="50" t="str">
        <x:v>Área urbana Río Cuarto</x:v>
      </x:c>
      <x:c r="E34" s="50" t="str">
        <x:v>Río Cuarto</x:v>
      </x:c>
      <x:c r="F34" s="50" t="str">
        <x:v>A</x:v>
      </x:c>
      <x:c r="G34" s="50" t="n">
        <x:v>92</x:v>
      </x:c>
      <x:c r="H34" s="50" t="str">
        <x:v>DEXCO Constructora</x:v>
      </x:c>
      <x:c r="I34" s="50" t="str">
        <x:v>Obras civiles, industriales, infraestructura y vial</x:v>
      </x:c>
      <x:c r="J34" s="50" t="str">
        <x:v>Construcción y obra industrial</x:v>
      </x:c>
      <x:c r="K34" s="50" t="str">
        <x:v>A verificar</x:v>
      </x:c>
      <x:c r="L34" s="50" t="str">
        <x:v>A verificar</x:v>
      </x:c>
      <x:c r="M34" s="50" t="str">
        <x:v>jefe de obra / compras / logística</x:v>
      </x:c>
      <x:c r="N34" s="50" t="str">
        <x:v>Movimientos de equipos, cargas especiales o apoyo logístico asociados a su operación.</x:v>
      </x:c>
      <x:c r="O34" s="50" t="str">
        <x:v>Plataforma 20 tn + hidrogrúa + malacate según necesidad.</x:v>
      </x:c>
      <x:c r="P34" s="50" t="str">
        <x:v>Capacidad externa para movimientos pesados o especiales.</x:v>
      </x:c>
      <x:c r="Q34" s="50" t="str">
        <x:v>Contactar operaciones/logística y relevar movimientos actuales.</x:v>
      </x:c>
      <x:c r="R34" s="50" t="str"/>
      <x:c r="S34" s="50" t="str">
        <x:v>Río Cuarto, Córdoba</x:v>
      </x:c>
      <x:c r="T34" s="50" t="str"/>
      <x:c r="U34" s="50" t="str"/>
      <x:c r="V34" s="50" t="str"/>
      <x:c r="W34" s="50" t="str"/>
      <x:c r="X34" s="50" t="str"/>
      <x:c r="Y34" s="50" t="str"/>
      <x:c r="Z34" s="50" t="str">
        <x:v>Confirmar teléfono directo + decisor + frecuencia mensual + pesos/dimensiones.</x:v>
      </x:c>
      <x:c r="AA34" s="50" t="str">
        <x:v>https://www.google.com/maps/search/?api=1&amp;query=DEXCO+Constructora%2C+R%C3%ADo+Cuarto%2C+C%C3%B3rdoba</x:v>
      </x:c>
      <x:c r="AB34" s="50" t="str">
        <x:v>Web oficial DEXCO</x:v>
      </x:c>
      <x:c r="AC34" s="50" t="str">
        <x:v>https://www.constructoradexco.com/</x:v>
      </x:c>
      <x:c r="AD34" s="50" t="str">
        <x:v>Ejecuta obras industriales, infraestructura urbana/regional y obra vial.</x:v>
      </x:c>
      <x:c r="AE34" s="50" t="str">
        <x:v>Media-Alta</x:v>
      </x:c>
      <x:c r="AF34" s="50" t="str">
        <x:v>Rastrillaje Río Cuarto 2026-09-15</x:v>
      </x:c>
      <x:c r="AG34" s="50" t="str">
        <x:v>Plataforma 20 tn | Hidrogrúa | Malacate</x:v>
      </x:c>
      <x:c r="AH34" s="50" t="str">
        <x:v>Construcción y obra industrial</x:v>
      </x:c>
      <x:c r="AI34" s="50" t="str">
        <x:v>Sí</x:v>
      </x:c>
      <x:c r="AJ34" s="50" t="str">
        <x:v>PRIORIDAD ALTA</x:v>
      </x:c>
      <x:c r="AK34" s="50" t="str">
        <x:v>Requiere calificación comercial en primer contacto.</x:v>
      </x:c>
      <x:c r="AL34" s="50" t="str">
        <x:v>Web oficial / fuente comercial</x:v>
      </x:c>
      <x:c r="AM34" s="50" t="str">
        <x:v>Alta Río Cuarto; barrido integral por marcas, alquiler, maquinaria, industria y corredores A005/RN8/RN36.</x:v>
      </x:c>
    </x:row>
    <x:row r="35" ht="48" customHeight="1">
      <x:c r="A35" s="50" t="str">
        <x:v>RC-034</x:v>
      </x:c>
      <x:c r="B35" s="50" t="str">
        <x:v>Pendiente</x:v>
      </x:c>
      <x:c r="C35" s="50" t="str">
        <x:v>Río Cuarto</x:v>
      </x:c>
      <x:c r="D35" s="50" t="str">
        <x:v>Área urbana Río Cuarto</x:v>
      </x:c>
      <x:c r="E35" s="50" t="str">
        <x:v>Río Cuarto</x:v>
      </x:c>
      <x:c r="F35" s="50" t="str">
        <x:v>A</x:v>
      </x:c>
      <x:c r="G35" s="50" t="n">
        <x:v>92</x:v>
      </x:c>
      <x:c r="H35" s="50" t="str">
        <x:v>FymSA Vial</x:v>
      </x:c>
      <x:c r="I35" s="50" t="str">
        <x:v>Constructora / obra vial</x:v>
      </x:c>
      <x:c r="J35" s="50" t="str">
        <x:v>Construcción vial / movimiento de suelo</x:v>
      </x:c>
      <x:c r="K35" s="50" t="str">
        <x:v>+54 351 6669860</x:v>
      </x:c>
      <x:c r="L35" s="50" t="str">
        <x:v>OK</x:v>
      </x:c>
      <x:c r="M35" s="50" t="str">
        <x:v>obras / equipos / logística</x:v>
      </x:c>
      <x:c r="N35" s="50" t="str">
        <x:v>Traslados interobra de excavadoras, retroexcavadoras, minicargadoras, rodillos y equipos viales.</x:v>
      </x:c>
      <x:c r="O35" s="50" t="str">
        <x:v>Plataforma 20 tn + malacate + seguro/GPS + coordinación interobra.</x:v>
      </x:c>
      <x:c r="P35" s="50" t="str">
        <x:v>Mover equipos entre frentes sin sacar recursos propios de la obra.</x:v>
      </x:c>
      <x:c r="Q35" s="50" t="str">
        <x:v>Pedir jefe de equipos/obras; relevar flota, pesos y frecuencia de movimientos.</x:v>
      </x:c>
      <x:c r="R35" s="50" t="str"/>
      <x:c r="S35" s="50" t="str">
        <x:v>Paraná 226, X5800 Río Cuarto, Córdoba</x:v>
      </x:c>
      <x:c r="T35" s="50" t="str"/>
      <x:c r="U35" s="50" t="str"/>
      <x:c r="V35" s="50" t="str"/>
      <x:c r="W35" s="50" t="str"/>
      <x:c r="X35" s="50" t="str">
        <x:v>+543516669860</x:v>
      </x:c>
      <x:c r="Y35" s="50" t="str">
        <x:v>tel:+543516669860</x:v>
      </x:c>
      <x:c r="Z35" s="50" t="str">
        <x:v>Confirmar decisor, frecuencia mensual, pesos/dimensiones y cómo resuelven hoy los traslados.</x:v>
      </x:c>
      <x:c r="AA35" s="50" t="str">
        <x:v>https://www.google.com/maps/search/?api=1&amp;query=FymSA+Vial%2C+Paran%C3%A1+226%2C+X5800+R%C3%ADo+Cuarto%2C+C%C3%B3rdoba</x:v>
      </x:c>
      <x:c r="AB35" s="50" t="str">
        <x:v>Google Business Profile</x:v>
      </x:c>
      <x:c r="AC35" s="50" t="str">
        <x:v>https://www.google.com/maps/search/?api=1&amp;query=Fymsa+Vial+Rio+Cuarto</x:v>
      </x:c>
      <x:c r="AD35" s="50" t="str">
        <x:v>Empresa constructora identificada en Río Cuarto.</x:v>
      </x:c>
      <x:c r="AE35" s="50" t="str">
        <x:v>Alta</x:v>
      </x:c>
      <x:c r="AF35" s="50" t="str">
        <x:v>Rastrillaje Río Cuarto 2026-09-15</x:v>
      </x:c>
      <x:c r="AG35" s="50" t="str">
        <x:v>Plataforma 20 tn | Malacate | Hidrogrúa | Traslados interobra | Seguro/GPS</x:v>
      </x:c>
      <x:c r="AH35" s="50" t="str">
        <x:v>Construcción vial / movimiento de suelo</x:v>
      </x:c>
      <x:c r="AI35" s="50" t="str">
        <x:v>Sí</x:v>
      </x:c>
      <x:c r="AJ35" s="50" t="str">
        <x:v>PRIORIDAD ALTA</x:v>
      </x:c>
      <x:c r="AK35" s="50" t="str">
        <x:v>Cliente natural para carretones y traslados interobra.</x:v>
      </x:c>
      <x:c r="AL35" s="50" t="str">
        <x:v>Google Business / directorio / web sectorial</x:v>
      </x:c>
      <x:c r="AM35" s="50" t="str">
        <x:v>Alta Río Cuarto; barrido integral por marcas, alquiler, maquinaria, industria y corredores A005/RN8/RN36.</x:v>
      </x:c>
    </x:row>
    <x:row r="36" ht="48" customHeight="1">
      <x:c r="A36" s="50" t="str">
        <x:v>RC-035</x:v>
      </x:c>
      <x:c r="B36" s="50" t="str">
        <x:v>Pendiente</x:v>
      </x:c>
      <x:c r="C36" s="50" t="str">
        <x:v>Río Cuarto</x:v>
      </x:c>
      <x:c r="D36" s="50" t="str">
        <x:v>Corredor A005 / Circunvalación</x:v>
      </x:c>
      <x:c r="E36" s="50" t="str">
        <x:v>Río Cuarto</x:v>
      </x:c>
      <x:c r="F36" s="50" t="str">
        <x:v>A</x:v>
      </x:c>
      <x:c r="G36" s="50" t="n">
        <x:v>92</x:v>
      </x:c>
      <x:c r="H36" s="50" t="str">
        <x:v>Metalúrgica Praga</x:v>
      </x:c>
      <x:c r="I36" s="50" t="str">
        <x:v>Fábrica de maquinaria</x:v>
      </x:c>
      <x:c r="J36" s="50" t="str">
        <x:v>Metalúrgica y fabricación</x:v>
      </x:c>
      <x:c r="K36" s="50" t="str">
        <x:v>+54 358 4644658</x:v>
      </x:c>
      <x:c r="L36" s="50" t="str">
        <x:v>OK</x:v>
      </x:c>
      <x:c r="M36" s="50" t="str">
        <x:v>producción / logística</x:v>
      </x:c>
      <x:c r="N36" s="50" t="str">
        <x:v>Despacho/traslado de estructuras, piezas, implementos, acoplados o conjuntos metálicos.</x:v>
      </x:c>
      <x:c r="O36" s="50" t="str">
        <x:v>Plataforma + hidrogrúa + malacate; percha para pallets según carga.</x:v>
      </x:c>
      <x:c r="P36" s="50" t="str">
        <x:v>Resolver despachos pesados y piezas fuera de medida con un único proveedor.</x:v>
      </x:c>
      <x:c r="Q36" s="50" t="str">
        <x:v>Pedir expedición/logística/producción; relevar piezas máximas y destinos habituales.</x:v>
      </x:c>
      <x:c r="R36" s="50" t="str"/>
      <x:c r="S36" s="50" t="str">
        <x:v>RN A005 km 2, X5800 Río Cuarto, Córdoba</x:v>
      </x:c>
      <x:c r="T36" s="50" t="str"/>
      <x:c r="U36" s="50" t="str"/>
      <x:c r="V36" s="50" t="str"/>
      <x:c r="W36" s="50" t="str"/>
      <x:c r="X36" s="50" t="str">
        <x:v>+543584644658</x:v>
      </x:c>
      <x:c r="Y36" s="50" t="str">
        <x:v>tel:+543584644658</x:v>
      </x:c>
      <x:c r="Z36" s="50" t="str">
        <x:v>Confirmar decisor, frecuencia mensual, pesos/dimensiones y cómo resuelven hoy los traslados.</x:v>
      </x:c>
      <x:c r="AA36" s="50" t="str">
        <x:v>https://www.google.com/maps/search/?api=1&amp;query=Metal%C3%BArgica+Praga%2C+RN+A005+km+2%2C+X5800+R%C3%ADo+Cuarto%2C+C%C3%B3rdoba</x:v>
      </x:c>
      <x:c r="AB36" s="50" t="str">
        <x:v>Google Business Profile</x:v>
      </x:c>
      <x:c r="AC36" s="50" t="str">
        <x:v>https://www.google.com/maps/search/?api=1&amp;query=Metalurgica+Praga+Rio+Cuarto</x:v>
      </x:c>
      <x:c r="AD36" s="50" t="str">
        <x:v>Fábrica de maquinaria sobre A005.</x:v>
      </x:c>
      <x:c r="AE36" s="50" t="str">
        <x:v>Alta</x:v>
      </x:c>
      <x:c r="AF36" s="50" t="str">
        <x:v>Rastrillaje Río Cuarto 2026-09-15</x:v>
      </x:c>
      <x:c r="AG36" s="50" t="str">
        <x:v>Plataforma 20 tn | Hidrogrúa | Malacate | Percha para pallets</x:v>
      </x:c>
      <x:c r="AH36" s="50" t="str">
        <x:v>Metalúrgica y fabricación</x:v>
      </x:c>
      <x:c r="AI36" s="50" t="str">
        <x:v>Sí</x:v>
      </x:c>
      <x:c r="AJ36" s="50" t="str">
        <x:v>PRIORIDAD ALTA</x:v>
      </x:c>
      <x:c r="AK36" s="50" t="str">
        <x:v>Potencial por piezas pesadas, voluminosas o de geometría irregular.</x:v>
      </x:c>
      <x:c r="AL36" s="50" t="str">
        <x:v>Google Business / directorio / web sectorial</x:v>
      </x:c>
      <x:c r="AM36" s="50" t="str">
        <x:v>Alta Río Cuarto; barrido integral por marcas, alquiler, maquinaria, industria y corredores A005/RN8/RN36.</x:v>
      </x:c>
    </x:row>
    <x:row r="37" ht="48" customHeight="1">
      <x:c r="A37" s="50" t="str">
        <x:v>RC-036</x:v>
      </x:c>
      <x:c r="B37" s="50" t="str">
        <x:v>Pendiente</x:v>
      </x:c>
      <x:c r="C37" s="50" t="str">
        <x:v>Río Cuarto</x:v>
      </x:c>
      <x:c r="D37" s="50" t="str">
        <x:v>Área urbana Río Cuarto</x:v>
      </x:c>
      <x:c r="E37" s="50" t="str">
        <x:v>Río Cuarto</x:v>
      </x:c>
      <x:c r="F37" s="50" t="str">
        <x:v>A</x:v>
      </x:c>
      <x:c r="G37" s="50" t="n">
        <x:v>92</x:v>
      </x:c>
      <x:c r="H37" s="50" t="str">
        <x:v>Oleohidráulica L&amp;M</x:v>
      </x:c>
      <x:c r="I37" s="50" t="str">
        <x:v>Servicio técnico oficial Hidro-Grubert / Palfinger; sistemas hidráulicos</x:v>
      </x:c>
      <x:c r="J37" s="50" t="str">
        <x:v>Autoelevadores y elevación</x:v>
      </x:c>
      <x:c r="K37" s="50" t="str">
        <x:v>+54 9 358 5709985 / 6015300</x:v>
      </x:c>
      <x:c r="L37" s="50" t="str">
        <x:v>OK</x:v>
      </x:c>
      <x:c r="M37" s="50" t="str">
        <x:v>servicio / taller / comercial</x:v>
      </x:c>
      <x:c r="N37" s="50" t="str">
        <x:v>Entrega/retiro de autoelevadores, plataformas y equipos de elevación entre base y clientes.</x:v>
      </x:c>
      <x:c r="O37" s="50" t="str">
        <x:v>Plataforma 20 tn + malacate + hidrogrúa de apoyo.</x:v>
      </x:c>
      <x:c r="P37" s="50" t="str">
        <x:v>Resolver entregas y retiros de alquiler/service sin sumar transporte propio.</x:v>
      </x:c>
      <x:c r="Q37" s="50" t="str">
        <x:v>Pedir alquileres/logística/service y cotizar tarifa por viaje y acuerdo recurrente.</x:v>
      </x:c>
      <x:c r="R37" s="50" t="str"/>
      <x:c r="S37" s="50" t="str">
        <x:v>Av. Godoy Cruz 251, Río Cuarto, Córdoba</x:v>
      </x:c>
      <x:c r="T37" s="50" t="str"/>
      <x:c r="U37" s="50" t="str"/>
      <x:c r="V37" s="50" t="str"/>
      <x:c r="W37" s="50" t="str"/>
      <x:c r="X37" s="50" t="str">
        <x:v>+5493585709985</x:v>
      </x:c>
      <x:c r="Y37" s="50" t="str">
        <x:v>tel:+5493585709985 | tel:6015300</x:v>
      </x:c>
      <x:c r="Z37" s="50" t="str">
        <x:v>Confirmar decisor, frecuencia mensual, pesos/dimensiones y cómo resuelven hoy los traslados.</x:v>
      </x:c>
      <x:c r="AA37" s="50" t="str">
        <x:v>https://www.google.com/maps/search/?api=1&amp;query=Oleohidr%C3%A1ulica+L%26M%2C+Av.+Godoy+Cruz+251%2C+R%C3%ADo+Cuarto%2C+C%C3%B3rdoba</x:v>
      </x:c>
      <x:c r="AB37" s="50" t="str">
        <x:v>Web oficial Oleohidráulica L&amp;M</x:v>
      </x:c>
      <x:c r="AC37" s="50" t="str">
        <x:v>https://www.oleohidraulicalym.com/servicios/</x:v>
      </x:c>
      <x:c r="AD37" s="50" t="str">
        <x:v>Repara y calibra grúas y sistemas hidráulicos; servicio oficial de marcas de izaje.</x:v>
      </x:c>
      <x:c r="AE37" s="50" t="str">
        <x:v>Alta</x:v>
      </x:c>
      <x:c r="AF37" s="50" t="str">
        <x:v>Rastrillaje Río Cuarto 2026-09-15</x:v>
      </x:c>
      <x:c r="AG37" s="50" t="str">
        <x:v>Plataforma 20 tn | Malacate | Hidrogrúa | Entrega/retiro equipos</x:v>
      </x:c>
      <x:c r="AH37" s="50" t="str">
        <x:v>Autoelevadores y elevación</x:v>
      </x:c>
      <x:c r="AI37" s="50" t="str">
        <x:v>Sí</x:v>
      </x:c>
      <x:c r="AJ37" s="50" t="str">
        <x:v>PRIORIDAD ALTA</x:v>
      </x:c>
      <x:c r="AK37" s="50" t="str">
        <x:v>Movimientos recurrentes de equipos compactos y pesados.</x:v>
      </x:c>
      <x:c r="AL37" s="50" t="str">
        <x:v>Web oficial / fuente comercial</x:v>
      </x:c>
      <x:c r="AM37" s="50" t="str">
        <x:v>Alta Río Cuarto; barrido integral por marcas, alquiler, maquinaria, industria y corredores A005/RN8/RN36.</x:v>
      </x:c>
    </x:row>
    <x:row r="38" ht="48" customHeight="1">
      <x:c r="A38" s="50" t="str">
        <x:v>RC-037</x:v>
      </x:c>
      <x:c r="B38" s="50" t="str">
        <x:v>Pendiente</x:v>
      </x:c>
      <x:c r="C38" s="50" t="str">
        <x:v>Río Cuarto</x:v>
      </x:c>
      <x:c r="D38" s="50" t="str">
        <x:v>Corredor A005 / Circunvalación</x:v>
      </x:c>
      <x:c r="E38" s="50" t="str">
        <x:v>Río Cuarto</x:v>
      </x:c>
      <x:c r="F38" s="50" t="str">
        <x:v>A</x:v>
      </x:c>
      <x:c r="G38" s="50" t="n">
        <x:v>92</x:v>
      </x:c>
      <x:c r="H38" s="50" t="str">
        <x:v>Perforaciones Fundarc Pilotes</x:v>
      </x:c>
      <x:c r="I38" s="50" t="str">
        <x:v>Perforaciones y pilotes</x:v>
      </x:c>
      <x:c r="J38" s="50" t="str">
        <x:v>Perforaciones / fundaciones</x:v>
      </x:c>
      <x:c r="K38" s="50" t="str">
        <x:v>0358 4636866</x:v>
      </x:c>
      <x:c r="L38" s="50" t="str">
        <x:v>OK</x:v>
      </x:c>
      <x:c r="M38" s="50" t="str">
        <x:v>operaciones / equipos / obras</x:v>
      </x:c>
      <x:c r="N38" s="50" t="str">
        <x:v>Movilización de perforadoras, herramientas y equipos entre obras y base.</x:v>
      </x:c>
      <x:c r="O38" s="50" t="str">
        <x:v>Plataforma 20 tn + malacate + hidrogrúa.</x:v>
      </x:c>
      <x:c r="P38" s="50" t="str">
        <x:v>Traslado coordinado de equipos de perforación y accesorios entre frentes.</x:v>
      </x:c>
      <x:c r="Q38" s="50" t="str">
        <x:v>Pedir obras/equipos; consultar pesos, dimensiones y cronograma de movilizaciones.</x:v>
      </x:c>
      <x:c r="R38" s="50" t="str"/>
      <x:c r="S38" s="50" t="str">
        <x:v>Lateral A005, X5800 Río Cuarto, Córdoba</x:v>
      </x:c>
      <x:c r="T38" s="50" t="str"/>
      <x:c r="U38" s="50" t="str"/>
      <x:c r="V38" s="50" t="str"/>
      <x:c r="W38" s="50" t="str"/>
      <x:c r="X38" s="50" t="str">
        <x:v>03584636866</x:v>
      </x:c>
      <x:c r="Y38" s="50" t="str">
        <x:v>tel:03584636866</x:v>
      </x:c>
      <x:c r="Z38" s="50" t="str">
        <x:v>Confirmar decisor, frecuencia mensual, pesos/dimensiones y cómo resuelven hoy los traslados.</x:v>
      </x:c>
      <x:c r="AA38" s="50" t="str">
        <x:v>https://www.google.com/maps/search/?api=1&amp;query=Perforaciones+Fundarc+Pilotes%2C+Lateral+A005%2C+X5800+R%C3%ADo+Cuarto%2C+C%C3%B3rdoba</x:v>
      </x:c>
      <x:c r="AB38" s="50" t="str">
        <x:v>Páginas Amarillas</x:v>
      </x:c>
      <x:c r="AC38" s="50" t="str">
        <x:v>https://www.paginasamarillas.com.ar/b/pilotes/rio-cuarto-cordoba</x:v>
      </x:c>
      <x:c r="AD38" s="50" t="str">
        <x:v>Empresa de perforaciones ubicada en A005; equipos de perforación con potencial de traslado.</x:v>
      </x:c>
      <x:c r="AE38" s="50" t="str">
        <x:v>Alta</x:v>
      </x:c>
      <x:c r="AF38" s="50" t="str">
        <x:v>Rastrillaje Río Cuarto 2026-09-15</x:v>
      </x:c>
      <x:c r="AG38" s="50" t="str">
        <x:v>Plataforma 20 tn | Malacate | Hidrogrúa | Traslados interobra</x:v>
      </x:c>
      <x:c r="AH38" s="50" t="str">
        <x:v>Perforaciones / fundaciones</x:v>
      </x:c>
      <x:c r="AI38" s="50" t="str">
        <x:v>Sí</x:v>
      </x:c>
      <x:c r="AJ38" s="50" t="str">
        <x:v>PRIORIDAD ALTA</x:v>
      </x:c>
      <x:c r="AK38" s="50" t="str">
        <x:v>Equipos especiales con alto costo de inmovilización.</x:v>
      </x:c>
      <x:c r="AL38" s="50" t="str">
        <x:v>Google Business / directorio / web sectorial</x:v>
      </x:c>
      <x:c r="AM38" s="50" t="str">
        <x:v>Alta Río Cuarto; barrido integral por marcas, alquiler, maquinaria, industria y corredores A005/RN8/RN36.</x:v>
      </x:c>
    </x:row>
    <x:row r="39" ht="48" customHeight="1">
      <x:c r="A39" s="50" t="str">
        <x:v>RC-038</x:v>
      </x:c>
      <x:c r="B39" s="50" t="str">
        <x:v>Pendiente</x:v>
      </x:c>
      <x:c r="C39" s="50" t="str">
        <x:v>Río Cuarto</x:v>
      </x:c>
      <x:c r="D39" s="50" t="str">
        <x:v>Corredor A005 / Circunvalación</x:v>
      </x:c>
      <x:c r="E39" s="50" t="str">
        <x:v>Río Cuarto</x:v>
      </x:c>
      <x:c r="F39" s="50" t="str">
        <x:v>A</x:v>
      </x:c>
      <x:c r="G39" s="50" t="n">
        <x:v>90</x:v>
      </x:c>
      <x:c r="H39" s="50" t="str">
        <x:v>AGRORANCHO Maquinarias</x:v>
      </x:c>
      <x:c r="I39" s="50" t="str">
        <x:v>Proveedor de equipos agrícolas</x:v>
      </x:c>
      <x:c r="J39" s="50" t="str">
        <x:v>Maquinaria agrícola</x:v>
      </x:c>
      <x:c r="K39" s="50" t="str">
        <x:v>+54 358 4652174</x:v>
      </x:c>
      <x:c r="L39" s="50" t="str">
        <x:v>OK</x:v>
      </x:c>
      <x:c r="M39" s="50" t="str">
        <x:v>ventas / logística</x:v>
      </x:c>
      <x:c r="N39" s="50" t="str">
        <x:v>Entrega/retiro de tractores, cosechadoras, pulverizadoras e implementos; usados y service.</x:v>
      </x:c>
      <x:c r="O39" s="50" t="str">
        <x:v>Plataforma 20 tn + malacate + seguro/GPS; hidrogrúa según implemento.</x:v>
      </x:c>
      <x:c r="P39" s="50" t="str">
        <x:v>Tercerizar entregas, usados y rescates de service con disponibilidad programada.</x:v>
      </x:c>
      <x:c r="Q39" s="50" t="str">
        <x:v>Pedir logística/expedición/posventa; relevar campañas, usados y picos de entregas.</x:v>
      </x:c>
      <x:c r="R39" s="50" t="str"/>
      <x:c r="S39" s="50" t="str">
        <x:v>Ruta A005 km 3,5, Río Cuarto, Córdoba</x:v>
      </x:c>
      <x:c r="T39" s="50" t="str"/>
      <x:c r="U39" s="50" t="str"/>
      <x:c r="V39" s="50" t="str"/>
      <x:c r="W39" s="50" t="str"/>
      <x:c r="X39" s="50" t="str">
        <x:v>+543584652174</x:v>
      </x:c>
      <x:c r="Y39" s="50" t="str">
        <x:v>tel:+543584652174</x:v>
      </x:c>
      <x:c r="Z39" s="50" t="str">
        <x:v>Confirmar decisor, frecuencia mensual, pesos/dimensiones y cómo resuelven hoy los traslados.</x:v>
      </x:c>
      <x:c r="AA39" s="50" t="str">
        <x:v>https://www.google.com/maps/search/?api=1&amp;query=AGRORANCHO+Maquinarias%2C+Ruta+A005+km+3%2C5%2C+R%C3%ADo+Cuarto%2C+C%C3%B3rdoba</x:v>
      </x:c>
      <x:c r="AB39" s="50" t="str">
        <x:v>Google Business Profile</x:v>
      </x:c>
      <x:c r="AC39" s="50" t="str">
        <x:v>https://www.google.com/maps/search/?api=1&amp;query=Agrorancho+Maquinarias+Rio+Cuarto</x:v>
      </x:c>
      <x:c r="AD39" s="50" t="str">
        <x:v>Proveedor de maquinaria agrícola sobre A005.</x:v>
      </x:c>
      <x:c r="AE39" s="50" t="str">
        <x:v>Alta</x:v>
      </x:c>
      <x:c r="AF39" s="50" t="str">
        <x:v>Rastrillaje Río Cuarto 2026-09-15</x:v>
      </x:c>
      <x:c r="AG39" s="50" t="str">
        <x:v>Plataforma 20 tn | Malacate | Hidrogrúa | Entrega/retiro equipos | Seguro/GPS</x:v>
      </x:c>
      <x:c r="AH39" s="50" t="str">
        <x:v>Maquinaria agrícola</x:v>
      </x:c>
      <x:c r="AI39" s="50" t="str">
        <x:v>Sí</x:v>
      </x:c>
      <x:c r="AJ39" s="50" t="str">
        <x:v>PRIORIDAD ALTA</x:v>
      </x:c>
      <x:c r="AK39" s="50" t="str">
        <x:v>Fuerte estacionalidad y equipos de alto valor.</x:v>
      </x:c>
      <x:c r="AL39" s="50" t="str">
        <x:v>Google Business / directorio / web sectorial</x:v>
      </x:c>
      <x:c r="AM39" s="50" t="str">
        <x:v>Alta Río Cuarto; barrido integral por marcas, alquiler, maquinaria, industria y corredores A005/RN8/RN36.</x:v>
      </x:c>
    </x:row>
    <x:row r="40" ht="48" customHeight="1">
      <x:c r="A40" s="50" t="str">
        <x:v>RC-039</x:v>
      </x:c>
      <x:c r="B40" s="50" t="str">
        <x:v>Pendiente</x:v>
      </x:c>
      <x:c r="C40" s="50" t="str">
        <x:v>Río Cuarto</x:v>
      </x:c>
      <x:c r="D40" s="50" t="str">
        <x:v>Área urbana Río Cuarto</x:v>
      </x:c>
      <x:c r="E40" s="50" t="str">
        <x:v>Río Cuarto</x:v>
      </x:c>
      <x:c r="F40" s="50" t="str">
        <x:v>A</x:v>
      </x:c>
      <x:c r="G40" s="50" t="n">
        <x:v>90</x:v>
      </x:c>
      <x:c r="H40" s="50" t="str">
        <x:v>Bombassei Argentina S.A.</x:v>
      </x:c>
      <x:c r="I40" s="50" t="str">
        <x:v>Equipos agrícolas / componentes industriales</x:v>
      </x:c>
      <x:c r="J40" s="50" t="str">
        <x:v>Metalúrgica y fabricación</x:v>
      </x:c>
      <x:c r="K40" s="50" t="str">
        <x:v>+54 358 4194375</x:v>
      </x:c>
      <x:c r="L40" s="50" t="str">
        <x:v>OK</x:v>
      </x:c>
      <x:c r="M40" s="50" t="str">
        <x:v>logística / expedición / producción</x:v>
      </x:c>
      <x:c r="N40" s="50" t="str">
        <x:v>Despacho/traslado de estructuras, piezas, implementos, acoplados o conjuntos metálicos.</x:v>
      </x:c>
      <x:c r="O40" s="50" t="str">
        <x:v>Plataforma + hidrogrúa + malacate; percha para pallets según carga.</x:v>
      </x:c>
      <x:c r="P40" s="50" t="str">
        <x:v>Resolver despachos pesados y piezas fuera de medida con un único proveedor.</x:v>
      </x:c>
      <x:c r="Q40" s="50" t="str">
        <x:v>Pedir expedición/logística/producción; relevar piezas máximas y destinos habituales.</x:v>
      </x:c>
      <x:c r="R40" s="50" t="str"/>
      <x:c r="S40" s="50" t="str">
        <x:v>X5806 Río Cuarto, Córdoba</x:v>
      </x:c>
      <x:c r="T40" s="50" t="str"/>
      <x:c r="U40" s="50" t="str"/>
      <x:c r="V40" s="50" t="str"/>
      <x:c r="W40" s="50" t="str"/>
      <x:c r="X40" s="50" t="str">
        <x:v>+543584194375</x:v>
      </x:c>
      <x:c r="Y40" s="50" t="str">
        <x:v>tel:+543584194375</x:v>
      </x:c>
      <x:c r="Z40" s="50" t="str">
        <x:v>Confirmar decisor, frecuencia mensual, pesos/dimensiones y cómo resuelven hoy los traslados.</x:v>
      </x:c>
      <x:c r="AA40" s="50" t="str">
        <x:v>https://www.google.com/maps/search/?api=1&amp;query=Bombassei+Argentina+S.A.%2C+X5806+R%C3%ADo+Cuarto%2C+C%C3%B3rdoba</x:v>
      </x:c>
      <x:c r="AB40" s="50" t="str">
        <x:v>Google Business Profile</x:v>
      </x:c>
      <x:c r="AC40" s="50" t="str">
        <x:v>https://www.google.com/maps/search/?api=1&amp;query=Bombassei+Argentina+Rio+Cuarto</x:v>
      </x:c>
      <x:c r="AD40" s="50" t="str">
        <x:v>Proveedor de equipos agrícolas y operación industrial local.</x:v>
      </x:c>
      <x:c r="AE40" s="50" t="str">
        <x:v>Alta</x:v>
      </x:c>
      <x:c r="AF40" s="50" t="str">
        <x:v>Rastrillaje Río Cuarto 2026-09-15</x:v>
      </x:c>
      <x:c r="AG40" s="50" t="str">
        <x:v>Plataforma 20 tn | Hidrogrúa | Malacate | Percha para pallets</x:v>
      </x:c>
      <x:c r="AH40" s="50" t="str">
        <x:v>Metalúrgica y fabricación</x:v>
      </x:c>
      <x:c r="AI40" s="50" t="str">
        <x:v>Sí</x:v>
      </x:c>
      <x:c r="AJ40" s="50" t="str">
        <x:v>PRIORIDAD ALTA</x:v>
      </x:c>
      <x:c r="AK40" s="50" t="str">
        <x:v>Potencial por piezas pesadas, voluminosas o de geometría irregular.</x:v>
      </x:c>
      <x:c r="AL40" s="50" t="str">
        <x:v>Google Business / directorio / web sectorial</x:v>
      </x:c>
      <x:c r="AM40" s="50" t="str">
        <x:v>Alta Río Cuarto; barrido integral por marcas, alquiler, maquinaria, industria y corredores A005/RN8/RN36.</x:v>
      </x:c>
    </x:row>
    <x:row r="41" ht="48" customHeight="1">
      <x:c r="A41" s="50" t="str">
        <x:v>RC-040</x:v>
      </x:c>
      <x:c r="B41" s="50" t="str">
        <x:v>Pendiente</x:v>
      </x:c>
      <x:c r="C41" s="50" t="str">
        <x:v>Río Cuarto</x:v>
      </x:c>
      <x:c r="D41" s="50" t="str">
        <x:v>Área urbana Río Cuarto</x:v>
      </x:c>
      <x:c r="E41" s="50" t="str">
        <x:v>Río Cuarto</x:v>
      </x:c>
      <x:c r="F41" s="50" t="str">
        <x:v>A</x:v>
      </x:c>
      <x:c r="G41" s="50" t="n">
        <x:v>90</x:v>
      </x:c>
      <x:c r="H41" s="50" t="str">
        <x:v>Construcciones Eléctricas Zorzán S.A. (CEZSA)</x:v>
      </x:c>
      <x:c r="I41" s="50" t="str">
        <x:v>Montajes industriales, grupos electrógenos y obras eléctricas</x:v>
      </x:c>
      <x:c r="J41" s="50" t="str">
        <x:v>Equipos industriales / energía</x:v>
      </x:c>
      <x:c r="K41" s="50" t="str">
        <x:v>0358 156001564 / 154317980</x:v>
      </x:c>
      <x:c r="L41" s="50" t="str">
        <x:v>OK</x:v>
      </x:c>
      <x:c r="M41" s="50" t="str">
        <x:v>obras / grupos electrógenos / logística</x:v>
      </x:c>
      <x:c r="N41" s="50" t="str">
        <x:v>Movimiento de grupos, tableros, motores, módulos y equipos industriales para obra o mantenimiento.</x:v>
      </x:c>
      <x:c r="O41" s="50" t="str">
        <x:v>Plataforma + hidrogrúa + percha para pallets + seguro/GPS.</x:v>
      </x:c>
      <x:c r="P41" s="50" t="str">
        <x:v>Entrega y posicionamiento de equipos pesados con coordinación integral.</x:v>
      </x:c>
      <x:c r="Q41" s="50" t="str">
        <x:v>Pedir proyectos/mantenimiento/logística; consultar pesos, obras activas y montajes.</x:v>
      </x:c>
      <x:c r="R41" s="50" t="str"/>
      <x:c r="S41" s="50" t="str">
        <x:v>Vicente López y Planes 857, Río Cuarto, Córdoba</x:v>
      </x:c>
      <x:c r="T41" s="50" t="str"/>
      <x:c r="U41" s="50" t="str"/>
      <x:c r="V41" s="50" t="str"/>
      <x:c r="W41" s="50" t="str"/>
      <x:c r="X41" s="50" t="str">
        <x:v>0358156001564</x:v>
      </x:c>
      <x:c r="Y41" s="50" t="str">
        <x:v>tel:0358156001564 | tel:154317980</x:v>
      </x:c>
      <x:c r="Z41" s="50" t="str">
        <x:v>Confirmar decisor, frecuencia mensual, pesos/dimensiones y cómo resuelven hoy los traslados.</x:v>
      </x:c>
      <x:c r="AA41" s="50" t="str">
        <x:v>https://www.google.com/maps/search/?api=1&amp;query=Construcciones+El%C3%A9ctricas+Zorz%C3%A1n+S.A.+%28CEZSA%29%2C+Vicente+L%C3%B3pez+y+Planes+857%2C+R%C3%ADo+Cuarto%2C+C%C3%B3rdoba</x:v>
      </x:c>
      <x:c r="AB41" s="50" t="str">
        <x:v>Web oficial CEZSA</x:v>
      </x:c>
      <x:c r="AC41" s="50" t="str">
        <x:v>https://www.cezsa.com/</x:v>
      </x:c>
      <x:c r="AD41" s="50" t="str">
        <x:v>Realiza montajes industriales y comercializa/repara grupos electrógenos.</x:v>
      </x:c>
      <x:c r="AE41" s="50" t="str">
        <x:v>Alta</x:v>
      </x:c>
      <x:c r="AF41" s="50" t="str">
        <x:v>Rastrillaje Río Cuarto 2026-09-15</x:v>
      </x:c>
      <x:c r="AG41" s="50" t="str">
        <x:v>Plataforma 20 tn | Hidrogrúa | Percha para pallets | Seguro/GPS</x:v>
      </x:c>
      <x:c r="AH41" s="50" t="str">
        <x:v>Equipos industriales / energía</x:v>
      </x:c>
      <x:c r="AI41" s="50" t="str">
        <x:v>Sí</x:v>
      </x:c>
      <x:c r="AJ41" s="50" t="str">
        <x:v>PRIORIDAD ALTA</x:v>
      </x:c>
      <x:c r="AK41" s="50" t="str">
        <x:v>Buen fit para maniobras combinadas transporte + descarga.</x:v>
      </x:c>
      <x:c r="AL41" s="50" t="str">
        <x:v>Web oficial / fuente comercial</x:v>
      </x:c>
      <x:c r="AM41" s="50" t="str">
        <x:v>Alta Río Cuarto; barrido integral por marcas, alquiler, maquinaria, industria y corredores A005/RN8/RN36.</x:v>
      </x:c>
    </x:row>
    <x:row r="42" ht="48" customHeight="1">
      <x:c r="A42" s="50" t="str">
        <x:v>RC-041</x:v>
      </x:c>
      <x:c r="B42" s="50" t="str">
        <x:v>Pendiente</x:v>
      </x:c>
      <x:c r="C42" s="50" t="str">
        <x:v>Río Cuarto</x:v>
      </x:c>
      <x:c r="D42" s="50" t="str">
        <x:v>Área urbana Río Cuarto</x:v>
      </x:c>
      <x:c r="E42" s="50" t="str">
        <x:v>Río Cuarto</x:v>
      </x:c>
      <x:c r="F42" s="50" t="str">
        <x:v>A</x:v>
      </x:c>
      <x:c r="G42" s="50" t="n">
        <x:v>90</x:v>
      </x:c>
      <x:c r="H42" s="50" t="str">
        <x:v>Da Ros Premoldeados</x:v>
      </x:c>
      <x:c r="I42" s="50" t="str">
        <x:v>Premoldeados de hormigón</x:v>
      </x:c>
      <x:c r="J42" s="50" t="str">
        <x:v>Hormigón, áridos y materiales</x:v>
      </x:c>
      <x:c r="K42" s="50" t="str">
        <x:v>+54 358 6009812 / 5089009</x:v>
      </x:c>
      <x:c r="L42" s="50" t="str">
        <x:v>OK</x:v>
      </x:c>
      <x:c r="M42" s="50" t="str">
        <x:v>producción / logística / colocaciones</x:v>
      </x:c>
      <x:c r="N42" s="50" t="str">
        <x:v>Movimiento de equipos de planta, bombas, moldes, premoldeados, maquinaria y cargas pesadas.</x:v>
      </x:c>
      <x:c r="O42" s="50" t="str">
        <x:v>Plataforma + hidrogrúa + percha para pallets/cargas.</x:v>
      </x:c>
      <x:c r="P42" s="50" t="str">
        <x:v>Cubrir movimientos de maquinaria y cargas especiales fuera de la logística convencional.</x:v>
      </x:c>
      <x:c r="Q42" s="50" t="str">
        <x:v>Pedir planta/mantenimiento/logística; relevar equipos y movimientos no cubiertos por mixer/camión.</x:v>
      </x:c>
      <x:c r="R42" s="50" t="str"/>
      <x:c r="S42" s="50" t="str">
        <x:v>Sobremonte 2960 / Río Deseado 306, Río Cuarto, Córdoba</x:v>
      </x:c>
      <x:c r="T42" s="50" t="str"/>
      <x:c r="U42" s="50" t="str"/>
      <x:c r="V42" s="50" t="str"/>
      <x:c r="W42" s="50" t="str"/>
      <x:c r="X42" s="50" t="str">
        <x:v>+543586009812</x:v>
      </x:c>
      <x:c r="Y42" s="50" t="str">
        <x:v>tel:+543586009812 | tel:5089009</x:v>
      </x:c>
      <x:c r="Z42" s="50" t="str">
        <x:v>Confirmar decisor, frecuencia mensual, pesos/dimensiones y cómo resuelven hoy los traslados.</x:v>
      </x:c>
      <x:c r="AA42" s="50" t="str">
        <x:v>https://www.google.com/maps/search/?api=1&amp;query=Da+Ros+Premoldeados%2C+Sobremonte+2960+%2F+R%C3%ADo+Deseado+306%2C+R%C3%ADo+Cuarto%2C+C%C3%B3rdoba</x:v>
      </x:c>
      <x:c r="AB42" s="50" t="str">
        <x:v>Web oficial Da Ros</x:v>
      </x:c>
      <x:c r="AC42" s="50" t="str">
        <x:v>https://www.darospremoldeados.com.ar/products/paredon-premoldeado</x:v>
      </x:c>
      <x:c r="AD42" s="50" t="str">
        <x:v>Fabrica y comercializa piezas premoldeadas de hormigón.</x:v>
      </x:c>
      <x:c r="AE42" s="50" t="str">
        <x:v>Alta</x:v>
      </x:c>
      <x:c r="AF42" s="50" t="str">
        <x:v>Rastrillaje Río Cuarto 2026-09-15</x:v>
      </x:c>
      <x:c r="AG42" s="50" t="str">
        <x:v>Plataforma 20 tn | Hidrogrúa | Percha para pallets | Malacate</x:v>
      </x:c>
      <x:c r="AH42" s="50" t="str">
        <x:v>Hormigón, áridos y materiales</x:v>
      </x:c>
      <x:c r="AI42" s="50" t="str">
        <x:v>Sí</x:v>
      </x:c>
      <x:c r="AJ42" s="50" t="str">
        <x:v>PRIORIDAD ALTA</x:v>
      </x:c>
      <x:c r="AK42" s="50" t="str">
        <x:v>Complementa transporte de materiales con cargas/equipos especiales.</x:v>
      </x:c>
      <x:c r="AL42" s="50" t="str">
        <x:v>Web oficial / fuente comercial</x:v>
      </x:c>
      <x:c r="AM42" s="50" t="str">
        <x:v>Alta Río Cuarto; barrido integral por marcas, alquiler, maquinaria, industria y corredores A005/RN8/RN36.</x:v>
      </x:c>
    </x:row>
    <x:row r="43" ht="48" customHeight="1">
      <x:c r="A43" s="50" t="str">
        <x:v>RC-042</x:v>
      </x:c>
      <x:c r="B43" s="50" t="str">
        <x:v>Pendiente</x:v>
      </x:c>
      <x:c r="C43" s="50" t="str">
        <x:v>Río Cuarto</x:v>
      </x:c>
      <x:c r="D43" s="50" t="str">
        <x:v>Área urbana Río Cuarto</x:v>
      </x:c>
      <x:c r="E43" s="50" t="str">
        <x:v>Río Cuarto</x:v>
      </x:c>
      <x:c r="F43" s="50" t="str">
        <x:v>A</x:v>
      </x:c>
      <x:c r="G43" s="50" t="n">
        <x:v>90</x:v>
      </x:c>
      <x:c r="H43" s="50" t="str">
        <x:v>Demarchi S.A.</x:v>
      </x:c>
      <x:c r="I43" s="50" t="str">
        <x:v>Concesionario de tractores</x:v>
      </x:c>
      <x:c r="J43" s="50" t="str">
        <x:v>Maquinaria agrícola</x:v>
      </x:c>
      <x:c r="K43" s="50" t="str">
        <x:v>+54 358 4010714</x:v>
      </x:c>
      <x:c r="L43" s="50" t="str">
        <x:v>OK</x:v>
      </x:c>
      <x:c r="M43" s="50" t="str">
        <x:v>ventas / logística / posventa</x:v>
      </x:c>
      <x:c r="N43" s="50" t="str">
        <x:v>Entrega/retiro de tractores, cosechadoras, pulverizadoras e implementos; usados y service.</x:v>
      </x:c>
      <x:c r="O43" s="50" t="str">
        <x:v>Plataforma 20 tn + malacate + seguro/GPS; hidrogrúa según implemento.</x:v>
      </x:c>
      <x:c r="P43" s="50" t="str">
        <x:v>Tercerizar entregas, usados y rescates de service con disponibilidad programada.</x:v>
      </x:c>
      <x:c r="Q43" s="50" t="str">
        <x:v>Pedir logística/expedición/posventa; relevar campañas, usados y picos de entregas.</x:v>
      </x:c>
      <x:c r="R43" s="50" t="str"/>
      <x:c r="S43" s="50" t="str">
        <x:v>Av. Godoy Cruz 485, X5800 Río Cuarto, Córdoba</x:v>
      </x:c>
      <x:c r="T43" s="50" t="str"/>
      <x:c r="U43" s="50" t="str"/>
      <x:c r="V43" s="50" t="str"/>
      <x:c r="W43" s="50" t="str"/>
      <x:c r="X43" s="50" t="str">
        <x:v>+543584010714</x:v>
      </x:c>
      <x:c r="Y43" s="50" t="str">
        <x:v>tel:+543584010714</x:v>
      </x:c>
      <x:c r="Z43" s="50" t="str">
        <x:v>Confirmar decisor, frecuencia mensual, pesos/dimensiones y cómo resuelven hoy los traslados.</x:v>
      </x:c>
      <x:c r="AA43" s="50" t="str">
        <x:v>https://www.google.com/maps/search/?api=1&amp;query=Demarchi+S.A.%2C+Av.+Godoy+Cruz+485%2C+X5800+R%C3%ADo+Cuarto%2C+C%C3%B3rdoba</x:v>
      </x:c>
      <x:c r="AB43" s="50" t="str">
        <x:v>Google Business Profile</x:v>
      </x:c>
      <x:c r="AC43" s="50" t="str">
        <x:v>https://www.google.com/maps/search/?api=1&amp;query=Demarchi+SA+Rio+Cuarto</x:v>
      </x:c>
      <x:c r="AD43" s="50" t="str">
        <x:v>Concesionario de tractores en Río Cuarto.</x:v>
      </x:c>
      <x:c r="AE43" s="50" t="str">
        <x:v>Alta</x:v>
      </x:c>
      <x:c r="AF43" s="50" t="str">
        <x:v>Rastrillaje Río Cuarto 2026-09-15</x:v>
      </x:c>
      <x:c r="AG43" s="50" t="str">
        <x:v>Plataforma 20 tn | Malacate | Hidrogrúa | Entrega/retiro equipos | Seguro/GPS</x:v>
      </x:c>
      <x:c r="AH43" s="50" t="str">
        <x:v>Maquinaria agrícola</x:v>
      </x:c>
      <x:c r="AI43" s="50" t="str">
        <x:v>Sí</x:v>
      </x:c>
      <x:c r="AJ43" s="50" t="str">
        <x:v>PRIORIDAD ALTA</x:v>
      </x:c>
      <x:c r="AK43" s="50" t="str">
        <x:v>Fuerte estacionalidad y equipos de alto valor.</x:v>
      </x:c>
      <x:c r="AL43" s="50" t="str">
        <x:v>Google Business / directorio / web sectorial</x:v>
      </x:c>
      <x:c r="AM43" s="50" t="str">
        <x:v>Alta Río Cuarto; barrido integral por marcas, alquiler, maquinaria, industria y corredores A005/RN8/RN36.</x:v>
      </x:c>
    </x:row>
    <x:row r="44" ht="48" customHeight="1">
      <x:c r="A44" s="50" t="str">
        <x:v>RC-043</x:v>
      </x:c>
      <x:c r="B44" s="50" t="str">
        <x:v>Pendiente</x:v>
      </x:c>
      <x:c r="C44" s="50" t="str">
        <x:v>Río Cuarto</x:v>
      </x:c>
      <x:c r="D44" s="50" t="str">
        <x:v>Área urbana Río Cuarto</x:v>
      </x:c>
      <x:c r="E44" s="50" t="str">
        <x:v>Río Cuarto</x:v>
      </x:c>
      <x:c r="F44" s="50" t="str">
        <x:v>A</x:v>
      </x:c>
      <x:c r="G44" s="50" t="n">
        <x:v>90</x:v>
      </x:c>
      <x:c r="H44" s="50" t="str">
        <x:v>El Colono S.A.</x:v>
      </x:c>
      <x:c r="I44" s="50" t="str">
        <x:v>Fabricación de estructuras metálicas</x:v>
      </x:c>
      <x:c r="J44" s="50" t="str">
        <x:v>Metalúrgica y fabricación</x:v>
      </x:c>
      <x:c r="K44" s="50" t="str">
        <x:v>+54 358 4628525</x:v>
      </x:c>
      <x:c r="L44" s="50" t="str">
        <x:v>OK</x:v>
      </x:c>
      <x:c r="M44" s="50" t="str">
        <x:v>producción / montaje / logística</x:v>
      </x:c>
      <x:c r="N44" s="50" t="str">
        <x:v>Despacho/traslado de estructuras, piezas, implementos, acoplados o conjuntos metálicos.</x:v>
      </x:c>
      <x:c r="O44" s="50" t="str">
        <x:v>Plataforma + hidrogrúa + malacate; percha para pallets según carga.</x:v>
      </x:c>
      <x:c r="P44" s="50" t="str">
        <x:v>Resolver despachos pesados y piezas fuera de medida con un único proveedor.</x:v>
      </x:c>
      <x:c r="Q44" s="50" t="str">
        <x:v>Pedir expedición/logística/producción; relevar piezas máximas y destinos habituales.</x:v>
      </x:c>
      <x:c r="R44" s="50" t="str"/>
      <x:c r="S44" s="50" t="str">
        <x:v>Julio Borda 86, X5800 Río Cuarto, Córdoba</x:v>
      </x:c>
      <x:c r="T44" s="50" t="str"/>
      <x:c r="U44" s="50" t="str"/>
      <x:c r="V44" s="50" t="str"/>
      <x:c r="W44" s="50" t="str"/>
      <x:c r="X44" s="50" t="str">
        <x:v>+543584628525</x:v>
      </x:c>
      <x:c r="Y44" s="50" t="str">
        <x:v>tel:+543584628525</x:v>
      </x:c>
      <x:c r="Z44" s="50" t="str">
        <x:v>Confirmar decisor, frecuencia mensual, pesos/dimensiones y cómo resuelven hoy los traslados.</x:v>
      </x:c>
      <x:c r="AA44" s="50" t="str">
        <x:v>https://www.google.com/maps/search/?api=1&amp;query=El+Colono+S.A.%2C+Julio+Borda+86%2C+X5800+R%C3%ADo+Cuarto%2C+C%C3%B3rdoba</x:v>
      </x:c>
      <x:c r="AB44" s="50" t="str">
        <x:v>Google Business Profile</x:v>
      </x:c>
      <x:c r="AC44" s="50" t="str">
        <x:v>https://www.google.com/maps/search/?api=1&amp;query=El+Colono+SA+Rio+Cuarto</x:v>
      </x:c>
      <x:c r="AD44" s="50" t="str">
        <x:v>Fabricante local de estructuras metálicas.</x:v>
      </x:c>
      <x:c r="AE44" s="50" t="str">
        <x:v>Alta</x:v>
      </x:c>
      <x:c r="AF44" s="50" t="str">
        <x:v>Rastrillaje Río Cuarto 2026-09-15</x:v>
      </x:c>
      <x:c r="AG44" s="50" t="str">
        <x:v>Plataforma 20 tn | Hidrogrúa | Malacate | Percha para pallets</x:v>
      </x:c>
      <x:c r="AH44" s="50" t="str">
        <x:v>Metalúrgica y fabricación</x:v>
      </x:c>
      <x:c r="AI44" s="50" t="str">
        <x:v>Sí</x:v>
      </x:c>
      <x:c r="AJ44" s="50" t="str">
        <x:v>PRIORIDAD ALTA</x:v>
      </x:c>
      <x:c r="AK44" s="50" t="str">
        <x:v>Potencial por piezas pesadas, voluminosas o de geometría irregular.</x:v>
      </x:c>
      <x:c r="AL44" s="50" t="str">
        <x:v>Google Business / directorio / web sectorial</x:v>
      </x:c>
      <x:c r="AM44" s="50" t="str">
        <x:v>Alta Río Cuarto; barrido integral por marcas, alquiler, maquinaria, industria y corredores A005/RN8/RN36.</x:v>
      </x:c>
    </x:row>
    <x:row r="45" ht="48" customHeight="1">
      <x:c r="A45" s="50" t="str">
        <x:v>RC-044</x:v>
      </x:c>
      <x:c r="B45" s="50" t="str">
        <x:v>Pendiente</x:v>
      </x:c>
      <x:c r="C45" s="50" t="str">
        <x:v>Río Cuarto</x:v>
      </x:c>
      <x:c r="D45" s="50" t="str">
        <x:v>Av. Perón / Oeste</x:v>
      </x:c>
      <x:c r="E45" s="50" t="str">
        <x:v>Río Cuarto</x:v>
      </x:c>
      <x:c r="F45" s="50" t="str">
        <x:v>A</x:v>
      </x:c>
      <x:c r="G45" s="50" t="n">
        <x:v>90</x:v>
      </x:c>
      <x:c r="H45" s="50" t="str">
        <x:v>Establecimiento Industrial Rattini S.A.</x:v>
      </x:c>
      <x:c r="I45" s="50" t="str">
        <x:v>Reductores y componentes agroindustriales</x:v>
      </x:c>
      <x:c r="J45" s="50" t="str">
        <x:v>Metalúrgica y fabricación</x:v>
      </x:c>
      <x:c r="K45" s="50" t="str">
        <x:v>+54 358 4621480</x:v>
      </x:c>
      <x:c r="L45" s="50" t="str">
        <x:v>OK</x:v>
      </x:c>
      <x:c r="M45" s="50" t="str">
        <x:v>producción / expedición / compras</x:v>
      </x:c>
      <x:c r="N45" s="50" t="str">
        <x:v>Despacho/traslado de estructuras, piezas, implementos, acoplados o conjuntos metálicos.</x:v>
      </x:c>
      <x:c r="O45" s="50" t="str">
        <x:v>Plataforma + hidrogrúa + malacate; percha para pallets según carga.</x:v>
      </x:c>
      <x:c r="P45" s="50" t="str">
        <x:v>Resolver despachos pesados y piezas fuera de medida con un único proveedor.</x:v>
      </x:c>
      <x:c r="Q45" s="50" t="str">
        <x:v>Pedir expedición/logística/producción; relevar piezas máximas y destinos habituales.</x:v>
      </x:c>
      <x:c r="R45" s="50" t="str"/>
      <x:c r="S45" s="50" t="str">
        <x:v>Av. Presidente Perón Oeste 2231, X5800 Río Cuarto, Córdoba</x:v>
      </x:c>
      <x:c r="T45" s="50" t="str"/>
      <x:c r="U45" s="50" t="str"/>
      <x:c r="V45" s="50" t="str"/>
      <x:c r="W45" s="50" t="str"/>
      <x:c r="X45" s="50" t="str">
        <x:v>+543584621480</x:v>
      </x:c>
      <x:c r="Y45" s="50" t="str">
        <x:v>tel:+543584621480</x:v>
      </x:c>
      <x:c r="Z45" s="50" t="str">
        <x:v>Confirmar decisor, frecuencia mensual, pesos/dimensiones y cómo resuelven hoy los traslados.</x:v>
      </x:c>
      <x:c r="AA45" s="50" t="str">
        <x:v>https://www.google.com/maps/search/?api=1&amp;query=Establecimiento+Industrial+Rattini+S.A.%2C+Av.+Presidente+Per%C3%B3n+Oeste+2231%2C+X5800+R%C3%ADo+Cuarto%2C+C%C3%B3rdoba</x:v>
      </x:c>
      <x:c r="AB45" s="50" t="str">
        <x:v>Web oficial Rattini</x:v>
      </x:c>
      <x:c r="AC45" s="50" t="str">
        <x:v>https://rattini.com.ar/nosotros/</x:v>
      </x:c>
      <x:c r="AD45" s="50" t="str">
        <x:v>Planta industrial de 3.900 m²; fabrica transmisiones e implementos agroindustriales.</x:v>
      </x:c>
      <x:c r="AE45" s="50" t="str">
        <x:v>Alta</x:v>
      </x:c>
      <x:c r="AF45" s="50" t="str">
        <x:v>Rastrillaje Río Cuarto 2026-09-15</x:v>
      </x:c>
      <x:c r="AG45" s="50" t="str">
        <x:v>Plataforma 20 tn | Hidrogrúa | Malacate | Percha para pallets</x:v>
      </x:c>
      <x:c r="AH45" s="50" t="str">
        <x:v>Metalúrgica y fabricación</x:v>
      </x:c>
      <x:c r="AI45" s="50" t="str">
        <x:v>Sí</x:v>
      </x:c>
      <x:c r="AJ45" s="50" t="str">
        <x:v>PRIORIDAD ALTA</x:v>
      </x:c>
      <x:c r="AK45" s="50" t="str">
        <x:v>Potencial por piezas pesadas, voluminosas o de geometría irregular.</x:v>
      </x:c>
      <x:c r="AL45" s="50" t="str">
        <x:v>Web oficial / fuente comercial</x:v>
      </x:c>
      <x:c r="AM45" s="50" t="str">
        <x:v>Alta Río Cuarto; barrido integral por marcas, alquiler, maquinaria, industria y corredores A005/RN8/RN36.</x:v>
      </x:c>
    </x:row>
    <x:row r="46" ht="48" customHeight="1">
      <x:c r="A46" s="50" t="str">
        <x:v>RC-045</x:v>
      </x:c>
      <x:c r="B46" s="50" t="str">
        <x:v>Pendiente</x:v>
      </x:c>
      <x:c r="C46" s="50" t="str">
        <x:v>Río Cuarto</x:v>
      </x:c>
      <x:c r="D46" s="50" t="str">
        <x:v>Av. Sabattini / Este</x:v>
      </x:c>
      <x:c r="E46" s="50" t="str">
        <x:v>Río Cuarto</x:v>
      </x:c>
      <x:c r="F46" s="50" t="str">
        <x:v>A</x:v>
      </x:c>
      <x:c r="G46" s="50" t="n">
        <x:v>90</x:v>
      </x:c>
      <x:c r="H46" s="50" t="str">
        <x:v>Minimetal</x:v>
      </x:c>
      <x:c r="I46" s="50" t="str">
        <x:v>Fabricante de acoplados, trailers y semirremolques homologados</x:v>
      </x:c>
      <x:c r="J46" s="50" t="str">
        <x:v>Metalúrgica y fabricación</x:v>
      </x:c>
      <x:c r="K46" s="50" t="str">
        <x:v>+54 9 358 4323321</x:v>
      </x:c>
      <x:c r="L46" s="50" t="str">
        <x:v>OK</x:v>
      </x:c>
      <x:c r="M46" s="50" t="str">
        <x:v>producción / expedición</x:v>
      </x:c>
      <x:c r="N46" s="50" t="str">
        <x:v>Despacho/traslado de estructuras, piezas, implementos, acoplados o conjuntos metálicos.</x:v>
      </x:c>
      <x:c r="O46" s="50" t="str">
        <x:v>Plataforma + hidrogrúa + malacate; percha para pallets según carga.</x:v>
      </x:c>
      <x:c r="P46" s="50" t="str">
        <x:v>Resolver despachos pesados y piezas fuera de medida con un único proveedor.</x:v>
      </x:c>
      <x:c r="Q46" s="50" t="str">
        <x:v>Pedir expedición/logística/producción; relevar piezas máximas y destinos habituales.</x:v>
      </x:c>
      <x:c r="R46" s="50" t="str"/>
      <x:c r="S46" s="50" t="str">
        <x:v>Av. Amadeo Sabattini 3120, X5800 Río Cuarto, Córdoba</x:v>
      </x:c>
      <x:c r="T46" s="50" t="str"/>
      <x:c r="U46" s="50" t="str"/>
      <x:c r="V46" s="50" t="str"/>
      <x:c r="W46" s="50" t="str"/>
      <x:c r="X46" s="50" t="str">
        <x:v>+5493584323321</x:v>
      </x:c>
      <x:c r="Y46" s="50" t="str">
        <x:v>tel:+5493584323321</x:v>
      </x:c>
      <x:c r="Z46" s="50" t="str">
        <x:v>Confirmar decisor, frecuencia mensual, pesos/dimensiones y cómo resuelven hoy los traslados.</x:v>
      </x:c>
      <x:c r="AA46" s="50" t="str">
        <x:v>https://www.google.com/maps/search/?api=1&amp;query=Minimetal%2C+Av.+Amadeo+Sabattini+3120%2C+X5800+R%C3%ADo+Cuarto%2C+C%C3%B3rdoba</x:v>
      </x:c>
      <x:c r="AB46" s="50" t="str">
        <x:v>Web oficial Minimetal</x:v>
      </x:c>
      <x:c r="AC46" s="50" t="str">
        <x:v>https://minimetal.com.ar/</x:v>
      </x:c>
      <x:c r="AD46" s="50" t="str">
        <x:v>Fabricante local de trailers, acoplados y semirremolques.</x:v>
      </x:c>
      <x:c r="AE46" s="50" t="str">
        <x:v>Alta</x:v>
      </x:c>
      <x:c r="AF46" s="50" t="str">
        <x:v>Rastrillaje Río Cuarto 2026-09-15</x:v>
      </x:c>
      <x:c r="AG46" s="50" t="str">
        <x:v>Plataforma 20 tn | Hidrogrúa | Malacate | Percha para pallets</x:v>
      </x:c>
      <x:c r="AH46" s="50" t="str">
        <x:v>Metalúrgica y fabricación</x:v>
      </x:c>
      <x:c r="AI46" s="50" t="str">
        <x:v>Sí</x:v>
      </x:c>
      <x:c r="AJ46" s="50" t="str">
        <x:v>PRIORIDAD ALTA</x:v>
      </x:c>
      <x:c r="AK46" s="50" t="str">
        <x:v>Potencial por piezas pesadas, voluminosas o de geometría irregular.</x:v>
      </x:c>
      <x:c r="AL46" s="50" t="str">
        <x:v>Web oficial / fuente comercial</x:v>
      </x:c>
      <x:c r="AM46" s="50" t="str">
        <x:v>Alta Río Cuarto; barrido integral por marcas, alquiler, maquinaria, industria y corredores A005/RN8/RN36.</x:v>
      </x:c>
    </x:row>
    <x:row r="47" ht="48" customHeight="1">
      <x:c r="A47" s="50" t="str">
        <x:v>RC-046</x:v>
      </x:c>
      <x:c r="B47" s="50" t="str">
        <x:v>Pendiente</x:v>
      </x:c>
      <x:c r="C47" s="50" t="str">
        <x:v>Río Cuarto</x:v>
      </x:c>
      <x:c r="D47" s="50" t="str">
        <x:v>Área urbana Río Cuarto</x:v>
      </x:c>
      <x:c r="E47" s="50" t="str">
        <x:v>Río Cuarto</x:v>
      </x:c>
      <x:c r="F47" s="50" t="str">
        <x:v>A</x:v>
      </x:c>
      <x:c r="G47" s="50" t="n">
        <x:v>90</x:v>
      </x:c>
      <x:c r="H47" s="50" t="str">
        <x:v>MIXON - Planta de Hormigón Elaborado</x:v>
      </x:c>
      <x:c r="I47" s="50" t="str">
        <x:v>Hormigón elaborado</x:v>
      </x:c>
      <x:c r="J47" s="50" t="str">
        <x:v>Hormigón, áridos y materiales</x:v>
      </x:c>
      <x:c r="K47" s="50" t="str">
        <x:v>+54 358 5729680</x:v>
      </x:c>
      <x:c r="L47" s="50" t="str">
        <x:v>OK</x:v>
      </x:c>
      <x:c r="M47" s="50" t="str">
        <x:v>planta / logística</x:v>
      </x:c>
      <x:c r="N47" s="50" t="str">
        <x:v>Movimiento de equipos de planta, bombas, moldes, premoldeados, maquinaria y cargas pesadas.</x:v>
      </x:c>
      <x:c r="O47" s="50" t="str">
        <x:v>Plataforma + hidrogrúa + percha para pallets/cargas.</x:v>
      </x:c>
      <x:c r="P47" s="50" t="str">
        <x:v>Cubrir movimientos de maquinaria y cargas especiales fuera de la logística convencional.</x:v>
      </x:c>
      <x:c r="Q47" s="50" t="str">
        <x:v>Pedir planta/mantenimiento/logística; relevar equipos y movimientos no cubiertos por mixer/camión.</x:v>
      </x:c>
      <x:c r="R47" s="50" t="str"/>
      <x:c r="S47" s="50" t="str">
        <x:v>Dr. Julián Maidana 2351, X5800 Río Cuarto, Córdoba</x:v>
      </x:c>
      <x:c r="T47" s="50" t="str"/>
      <x:c r="U47" s="50" t="str"/>
      <x:c r="V47" s="50" t="str"/>
      <x:c r="W47" s="50" t="str"/>
      <x:c r="X47" s="50" t="str">
        <x:v>+543585729680</x:v>
      </x:c>
      <x:c r="Y47" s="50" t="str">
        <x:v>tel:+543585729680</x:v>
      </x:c>
      <x:c r="Z47" s="50" t="str">
        <x:v>Confirmar decisor, frecuencia mensual, pesos/dimensiones y cómo resuelven hoy los traslados.</x:v>
      </x:c>
      <x:c r="AA47" s="50" t="str">
        <x:v>https://www.google.com/maps/search/?api=1&amp;query=MIXON+-+Planta+de+Hormig%C3%B3n+Elaborado%2C+Dr.+Juli%C3%A1n+Maidana+2351%2C+X5800+R%C3%ADo+Cuarto%2C+C%C3%B3rdoba</x:v>
      </x:c>
      <x:c r="AB47" s="50" t="str">
        <x:v>Google Business Profile + Cámara del Hormigón</x:v>
      </x:c>
      <x:c r="AC47" s="50" t="str">
        <x:v>https://www.google.com/maps/search/?api=1&amp;query=MIXON+Hormigon+Rio+Cuarto</x:v>
      </x:c>
      <x:c r="AD47" s="50" t="str">
        <x:v>Planta de hormigón elaborado de Lunardi en Río Cuarto.</x:v>
      </x:c>
      <x:c r="AE47" s="50" t="str">
        <x:v>Alta</x:v>
      </x:c>
      <x:c r="AF47" s="50" t="str">
        <x:v>Rastrillaje Río Cuarto 2026-09-15</x:v>
      </x:c>
      <x:c r="AG47" s="50" t="str">
        <x:v>Plataforma 20 tn | Hidrogrúa | Percha para pallets | Malacate</x:v>
      </x:c>
      <x:c r="AH47" s="50" t="str">
        <x:v>Hormigón, áridos y materiales</x:v>
      </x:c>
      <x:c r="AI47" s="50" t="str">
        <x:v>Sí</x:v>
      </x:c>
      <x:c r="AJ47" s="50" t="str">
        <x:v>PRIORIDAD ALTA</x:v>
      </x:c>
      <x:c r="AK47" s="50" t="str">
        <x:v>Complementa transporte de materiales con cargas/equipos especiales.</x:v>
      </x:c>
      <x:c r="AL47" s="50" t="str">
        <x:v>Google Business / directorio / web sectorial</x:v>
      </x:c>
      <x:c r="AM47" s="50" t="str">
        <x:v>Alta Río Cuarto; barrido integral por marcas, alquiler, maquinaria, industria y corredores A005/RN8/RN36.</x:v>
      </x:c>
    </x:row>
    <x:row r="48" ht="48" customHeight="1">
      <x:c r="A48" s="50" t="str">
        <x:v>RC-047</x:v>
      </x:c>
      <x:c r="B48" s="50" t="str">
        <x:v>Pendiente</x:v>
      </x:c>
      <x:c r="C48" s="50" t="str">
        <x:v>Río Cuarto</x:v>
      </x:c>
      <x:c r="D48" s="50" t="str">
        <x:v>Corredor RN8</x:v>
      </x:c>
      <x:c r="E48" s="50" t="str">
        <x:v>Río Cuarto</x:v>
      </x:c>
      <x:c r="F48" s="50" t="str">
        <x:v>A</x:v>
      </x:c>
      <x:c r="G48" s="50" t="n">
        <x:v>90</x:v>
      </x:c>
      <x:c r="H48" s="50" t="str">
        <x:v>Scania Región Centro - Río IV</x:v>
      </x:c>
      <x:c r="I48" s="50" t="str">
        <x:v>Concesionario y servicio de camiones</x:v>
      </x:c>
      <x:c r="J48" s="50" t="str">
        <x:v>Transporte / camiones / izajes</x:v>
      </x:c>
      <x:c r="K48" s="50" t="str">
        <x:v>+54 358 4755600</x:v>
      </x:c>
      <x:c r="L48" s="50" t="str">
        <x:v>OK</x:v>
      </x:c>
      <x:c r="M48" s="50" t="str">
        <x:v>posventa / taller / logística</x:v>
      </x:c>
      <x:c r="N48" s="50" t="str">
        <x:v>Traslado de camiones, semirremolques, equipos averiados o apoyo de flota en contingencias.</x:v>
      </x:c>
      <x:c r="O48" s="50" t="str">
        <x:v>Plataforma 20 tn + malacate + hidrogrúa/izaje según maniobra.</x:v>
      </x:c>
      <x:c r="P48" s="50" t="str">
        <x:v>Apoyo externo para rescates, reposicionamientos y equipos que no pueden circular.</x:v>
      </x:c>
      <x:c r="Q48" s="50" t="str">
        <x:v>Pedir taller/flota/logística; ofrecer soporte de contingencia y tarifa por movilización.</x:v>
      </x:c>
      <x:c r="R48" s="50" t="str"/>
      <x:c r="S48" s="50" t="str">
        <x:v>RN8, X5800 Río Cuarto, Córdoba</x:v>
      </x:c>
      <x:c r="T48" s="50" t="str"/>
      <x:c r="U48" s="50" t="str"/>
      <x:c r="V48" s="50" t="str"/>
      <x:c r="W48" s="50" t="str"/>
      <x:c r="X48" s="50" t="str">
        <x:v>+543584755600</x:v>
      </x:c>
      <x:c r="Y48" s="50" t="str">
        <x:v>tel:+543584755600</x:v>
      </x:c>
      <x:c r="Z48" s="50" t="str">
        <x:v>Confirmar decisor, frecuencia mensual, pesos/dimensiones y cómo resuelven hoy los traslados.</x:v>
      </x:c>
      <x:c r="AA48" s="50" t="str">
        <x:v>https://www.google.com/maps/search/?api=1&amp;query=Scania+Regi%C3%B3n+Centro+-+R%C3%ADo+IV%2C+RN8%2C+X5800+R%C3%ADo+Cuarto%2C+C%C3%B3rdoba</x:v>
      </x:c>
      <x:c r="AB48" s="50" t="str">
        <x:v>Google Business Profile</x:v>
      </x:c>
      <x:c r="AC48" s="50" t="str">
        <x:v>https://www.google.com/maps/search/?api=1&amp;query=Scania+Region+Centro+Rio+Cuarto</x:v>
      </x:c>
      <x:c r="AD48" s="50" t="str">
        <x:v>Concesionario de camiones y servicio técnico local.</x:v>
      </x:c>
      <x:c r="AE48" s="50" t="str">
        <x:v>Alta</x:v>
      </x:c>
      <x:c r="AF48" s="50" t="str">
        <x:v>Rastrillaje Río Cuarto 2026-09-15</x:v>
      </x:c>
      <x:c r="AG48" s="50" t="str">
        <x:v>Plataforma 20 tn | Malacate | Hidrogrúa | Apoyo de flota</x:v>
      </x:c>
      <x:c r="AH48" s="50" t="str">
        <x:v>Transporte / camiones / izajes</x:v>
      </x:c>
      <x:c r="AI48" s="50" t="str">
        <x:v>Sí</x:v>
      </x:c>
      <x:c r="AJ48" s="50" t="str">
        <x:v>PRIORIDAD ALTA</x:v>
      </x:c>
      <x:c r="AK48" s="50" t="str">
        <x:v>Oportunidad por contingencias y reposicionamiento de flota.</x:v>
      </x:c>
      <x:c r="AL48" s="50" t="str">
        <x:v>Google Business / directorio / web sectorial</x:v>
      </x:c>
      <x:c r="AM48" s="50" t="str">
        <x:v>Alta Río Cuarto; barrido integral por marcas, alquiler, maquinaria, industria y corredores A005/RN8/RN36.</x:v>
      </x:c>
    </x:row>
    <x:row r="49" ht="48" customHeight="1">
      <x:c r="A49" s="50" t="str">
        <x:v>RC-048</x:v>
      </x:c>
      <x:c r="B49" s="50" t="str">
        <x:v>Pendiente</x:v>
      </x:c>
      <x:c r="C49" s="50" t="str">
        <x:v>Río Cuarto</x:v>
      </x:c>
      <x:c r="D49" s="50" t="str">
        <x:v>Área urbana Río Cuarto</x:v>
      </x:c>
      <x:c r="E49" s="50" t="str">
        <x:v>Río Cuarto</x:v>
      </x:c>
      <x:c r="F49" s="50" t="str">
        <x:v>A</x:v>
      </x:c>
      <x:c r="G49" s="50" t="n">
        <x:v>90</x:v>
      </x:c>
      <x:c r="H49" s="50" t="str">
        <x:v>SEIERO Metalúrgica</x:v>
      </x:c>
      <x:c r="I49" s="50" t="str">
        <x:v>Corte láser, plegado, soldadura y fabricación industrial</x:v>
      </x:c>
      <x:c r="J49" s="50" t="str">
        <x:v>Metalúrgica y fabricación</x:v>
      </x:c>
      <x:c r="K49" s="50" t="str">
        <x:v>+54 358 4328815</x:v>
      </x:c>
      <x:c r="L49" s="50" t="str">
        <x:v>OK</x:v>
      </x:c>
      <x:c r="M49" s="50" t="str">
        <x:v>producción / logística / expedición</x:v>
      </x:c>
      <x:c r="N49" s="50" t="str">
        <x:v>Despacho/traslado de estructuras, piezas, implementos, acoplados o conjuntos metálicos.</x:v>
      </x:c>
      <x:c r="O49" s="50" t="str">
        <x:v>Plataforma + hidrogrúa + malacate; percha para pallets según carga.</x:v>
      </x:c>
      <x:c r="P49" s="50" t="str">
        <x:v>Resolver despachos pesados y piezas fuera de medida con un único proveedor.</x:v>
      </x:c>
      <x:c r="Q49" s="50" t="str">
        <x:v>Pedir expedición/logística/producción; relevar piezas máximas y destinos habituales.</x:v>
      </x:c>
      <x:c r="R49" s="50" t="str"/>
      <x:c r="S49" s="50" t="str">
        <x:v>Juan de Garay 1250, X5800 Río Cuarto, Córdoba</x:v>
      </x:c>
      <x:c r="T49" s="50" t="str"/>
      <x:c r="U49" s="50" t="str"/>
      <x:c r="V49" s="50" t="str"/>
      <x:c r="W49" s="50" t="str"/>
      <x:c r="X49" s="50" t="str">
        <x:v>+543584328815</x:v>
      </x:c>
      <x:c r="Y49" s="50" t="str">
        <x:v>tel:+543584328815</x:v>
      </x:c>
      <x:c r="Z49" s="50" t="str">
        <x:v>Confirmar decisor, frecuencia mensual, pesos/dimensiones y cómo resuelven hoy los traslados.</x:v>
      </x:c>
      <x:c r="AA49" s="50" t="str">
        <x:v>https://www.google.com/maps/search/?api=1&amp;query=SEIERO+Metal%C3%BArgica%2C+Juan+de+Garay+1250%2C+X5800+R%C3%ADo+Cuarto%2C+C%C3%B3rdoba</x:v>
      </x:c>
      <x:c r="AB49" s="50" t="str">
        <x:v>Web oficial SEIERO</x:v>
      </x:c>
      <x:c r="AC49" s="50" t="str">
        <x:v>https://www.seiero.com.ar/</x:v>
      </x:c>
      <x:c r="AD49" s="50" t="str">
        <x:v>Realiza corte, plegado, soldadura y fabricación de componentes industriales.</x:v>
      </x:c>
      <x:c r="AE49" s="50" t="str">
        <x:v>Alta</x:v>
      </x:c>
      <x:c r="AF49" s="50" t="str">
        <x:v>Rastrillaje Río Cuarto 2026-09-15</x:v>
      </x:c>
      <x:c r="AG49" s="50" t="str">
        <x:v>Plataforma 20 tn | Hidrogrúa | Malacate | Percha para pallets</x:v>
      </x:c>
      <x:c r="AH49" s="50" t="str">
        <x:v>Metalúrgica y fabricación</x:v>
      </x:c>
      <x:c r="AI49" s="50" t="str">
        <x:v>Sí</x:v>
      </x:c>
      <x:c r="AJ49" s="50" t="str">
        <x:v>PRIORIDAD ALTA</x:v>
      </x:c>
      <x:c r="AK49" s="50" t="str">
        <x:v>Potencial por piezas pesadas, voluminosas o de geometría irregular.</x:v>
      </x:c>
      <x:c r="AL49" s="50" t="str">
        <x:v>Web oficial / fuente comercial</x:v>
      </x:c>
      <x:c r="AM49" s="50" t="str">
        <x:v>Alta Río Cuarto; barrido integral por marcas, alquiler, maquinaria, industria y corredores A005/RN8/RN36.</x:v>
      </x:c>
    </x:row>
    <x:row r="50" ht="48" customHeight="1">
      <x:c r="A50" s="50" t="str">
        <x:v>RC-049</x:v>
      </x:c>
      <x:c r="B50" s="50" t="str">
        <x:v>Pendiente</x:v>
      </x:c>
      <x:c r="C50" s="50" t="str">
        <x:v>Río Cuarto</x:v>
      </x:c>
      <x:c r="D50" s="50" t="str">
        <x:v>Área urbana Río Cuarto</x:v>
      </x:c>
      <x:c r="E50" s="50" t="str">
        <x:v>Río Cuarto</x:v>
      </x:c>
      <x:c r="F50" s="50" t="str">
        <x:v>A</x:v>
      </x:c>
      <x:c r="G50" s="50" t="n">
        <x:v>90</x:v>
      </x:c>
      <x:c r="H50" s="50" t="str">
        <x:v>TARDITI S.R.L.</x:v>
      </x:c>
      <x:c r="I50" s="50" t="str">
        <x:v>Fabricación y distribución de repuestos agrícolas</x:v>
      </x:c>
      <x:c r="J50" s="50" t="str">
        <x:v>Metalúrgica y fabricación</x:v>
      </x:c>
      <x:c r="K50" s="50" t="str">
        <x:v>+54 358 4848482 / 4653399</x:v>
      </x:c>
      <x:c r="L50" s="50" t="str">
        <x:v>OK</x:v>
      </x:c>
      <x:c r="M50" s="50" t="str">
        <x:v>expedición / producción / logística</x:v>
      </x:c>
      <x:c r="N50" s="50" t="str">
        <x:v>Despacho/traslado de estructuras, piezas, implementos, acoplados o conjuntos metálicos.</x:v>
      </x:c>
      <x:c r="O50" s="50" t="str">
        <x:v>Plataforma + hidrogrúa + malacate; percha para pallets según carga.</x:v>
      </x:c>
      <x:c r="P50" s="50" t="str">
        <x:v>Resolver despachos pesados y piezas fuera de medida con un único proveedor.</x:v>
      </x:c>
      <x:c r="Q50" s="50" t="str">
        <x:v>Pedir expedición/logística/producción; relevar piezas máximas y destinos habituales.</x:v>
      </x:c>
      <x:c r="R50" s="50" t="str"/>
      <x:c r="S50" s="50" t="str">
        <x:v>Río Deseado 150, X5800 Río Cuarto, Córdoba</x:v>
      </x:c>
      <x:c r="T50" s="50" t="str"/>
      <x:c r="U50" s="50" t="str"/>
      <x:c r="V50" s="50" t="str"/>
      <x:c r="W50" s="50" t="str"/>
      <x:c r="X50" s="50" t="str">
        <x:v>+543584848482</x:v>
      </x:c>
      <x:c r="Y50" s="50" t="str">
        <x:v>tel:+543584848482 | tel:4653399</x:v>
      </x:c>
      <x:c r="Z50" s="50" t="str">
        <x:v>Confirmar decisor, frecuencia mensual, pesos/dimensiones y cómo resuelven hoy los traslados.</x:v>
      </x:c>
      <x:c r="AA50" s="50" t="str">
        <x:v>https://www.google.com/maps/search/?api=1&amp;query=TARDITI+S.R.L.%2C+R%C3%ADo+Deseado+150%2C+X5800+R%C3%ADo+Cuarto%2C+C%C3%B3rdoba</x:v>
      </x:c>
      <x:c r="AB50" s="50" t="str">
        <x:v>Web oficial Tarditi</x:v>
      </x:c>
      <x:c r="AC50" s="50" t="str">
        <x:v>https://www.tarditisrl.com.ar/</x:v>
      </x:c>
      <x:c r="AD50" s="50" t="str">
        <x:v>Fábrica local de repuestos para cosechadoras y maiceros con cobertura nacional.</x:v>
      </x:c>
      <x:c r="AE50" s="50" t="str">
        <x:v>Alta</x:v>
      </x:c>
      <x:c r="AF50" s="50" t="str">
        <x:v>Rastrillaje Río Cuarto 2026-09-15</x:v>
      </x:c>
      <x:c r="AG50" s="50" t="str">
        <x:v>Plataforma 20 tn | Hidrogrúa | Malacate | Percha para pallets</x:v>
      </x:c>
      <x:c r="AH50" s="50" t="str">
        <x:v>Metalúrgica y fabricación</x:v>
      </x:c>
      <x:c r="AI50" s="50" t="str">
        <x:v>Sí</x:v>
      </x:c>
      <x:c r="AJ50" s="50" t="str">
        <x:v>PRIORIDAD ALTA</x:v>
      </x:c>
      <x:c r="AK50" s="50" t="str">
        <x:v>Potencial por piezas pesadas, voluminosas o de geometría irregular.</x:v>
      </x:c>
      <x:c r="AL50" s="50" t="str">
        <x:v>Web oficial / fuente comercial</x:v>
      </x:c>
      <x:c r="AM50" s="50" t="str">
        <x:v>Alta Río Cuarto; barrido integral por marcas, alquiler, maquinaria, industria y corredores A005/RN8/RN36.</x:v>
      </x:c>
    </x:row>
    <x:row r="51" ht="48" customHeight="1">
      <x:c r="A51" s="50" t="str">
        <x:v>RC-050</x:v>
      </x:c>
      <x:c r="B51" s="50" t="str">
        <x:v>Pendiente</x:v>
      </x:c>
      <x:c r="C51" s="50" t="str">
        <x:v>Río Cuarto</x:v>
      </x:c>
      <x:c r="D51" s="50" t="str">
        <x:v>Corredor A005 / Circunvalación</x:v>
      </x:c>
      <x:c r="E51" s="50" t="str">
        <x:v>Río Cuarto</x:v>
      </x:c>
      <x:c r="F51" s="50" t="str">
        <x:v>A</x:v>
      </x:c>
      <x:c r="G51" s="50" t="n">
        <x:v>90</x:v>
      </x:c>
      <x:c r="H51" s="50" t="str">
        <x:v>Vasquetto Nutrición Animal</x:v>
      </x:c>
      <x:c r="I51" s="50" t="str">
        <x:v>Fábrica de alimentos balanceados y pellets</x:v>
      </x:c>
      <x:c r="J51" s="50" t="str">
        <x:v>Agroindustria / planta industrial</x:v>
      </x:c>
      <x:c r="K51" s="50" t="str">
        <x:v>+54 9 358 4831420</x:v>
      </x:c>
      <x:c r="L51" s="50" t="str">
        <x:v>OK</x:v>
      </x:c>
      <x:c r="M51" s="50" t="str">
        <x:v>planta / mantenimiento / logística</x:v>
      </x:c>
      <x:c r="N51" s="50" t="str">
        <x:v>Movimientos de mantenimiento, motores, bombas, equipos, subconjuntos y cargas especiales.</x:v>
      </x:c>
      <x:c r="O51" s="50" t="str">
        <x:v>Plataforma + hidrogrúa + percha para pallets + seguro/GPS.</x:v>
      </x:c>
      <x:c r="P51" s="50" t="str">
        <x:v>Proveedor local para paradas, montajes y movimientos extraordinarios de mantenimiento.</x:v>
      </x:c>
      <x:c r="Q51" s="50" t="str">
        <x:v>Pedir mantenimiento/compras/planta; relevar equipos críticos y proveedores actuales.</x:v>
      </x:c>
      <x:c r="R51" s="50" t="str"/>
      <x:c r="S51" s="50" t="str">
        <x:v>Ruta A005 km 10,5, X5800 Río Cuarto, Córdoba</x:v>
      </x:c>
      <x:c r="T51" s="50" t="str"/>
      <x:c r="U51" s="50" t="str"/>
      <x:c r="V51" s="50" t="str"/>
      <x:c r="W51" s="50" t="str"/>
      <x:c r="X51" s="50" t="str">
        <x:v>+5493584831420</x:v>
      </x:c>
      <x:c r="Y51" s="50" t="str">
        <x:v>tel:+5493584831420</x:v>
      </x:c>
      <x:c r="Z51" s="50" t="str">
        <x:v>Confirmar decisor, frecuencia mensual, pesos/dimensiones y cómo resuelven hoy los traslados.</x:v>
      </x:c>
      <x:c r="AA51" s="50" t="str">
        <x:v>https://www.google.com/maps/search/?api=1&amp;query=Vasquetto+Nutrici%C3%B3n+Animal%2C+Ruta+A005+km+10%2C5%2C+X5800+R%C3%ADo+Cuarto%2C+C%C3%B3rdoba</x:v>
      </x:c>
      <x:c r="AB51" s="50" t="str">
        <x:v>Web oficial Vasquetto</x:v>
      </x:c>
      <x:c r="AC51" s="50" t="str">
        <x:v>https://vasquetto.com.ar/es/contacto</x:v>
      </x:c>
      <x:c r="AD51" s="50" t="str">
        <x:v>Planta productiva de gran escala sobre A005; fabrica alimentos y pellets.</x:v>
      </x:c>
      <x:c r="AE51" s="50" t="str">
        <x:v>Alta</x:v>
      </x:c>
      <x:c r="AF51" s="50" t="str">
        <x:v>Rastrillaje Río Cuarto 2026-09-15</x:v>
      </x:c>
      <x:c r="AG51" s="50" t="str">
        <x:v>Plataforma 20 tn | Hidrogrúa | Percha para pallets | Seguro/GPS</x:v>
      </x:c>
      <x:c r="AH51" s="50" t="str">
        <x:v>Agroindustria / planta industrial</x:v>
      </x:c>
      <x:c r="AI51" s="50" t="str">
        <x:v>Sí</x:v>
      </x:c>
      <x:c r="AJ51" s="50" t="str">
        <x:v>PRIORIDAD ALTA</x:v>
      </x:c>
      <x:c r="AK51" s="50" t="str">
        <x:v>Potencial de ticket alto aunque de frecuencia menos predecible.</x:v>
      </x:c>
      <x:c r="AL51" s="50" t="str">
        <x:v>Web oficial / fuente comercial</x:v>
      </x:c>
      <x:c r="AM51" s="50" t="str">
        <x:v>Alta Río Cuarto; barrido integral por marcas, alquiler, maquinaria, industria y corredores A005/RN8/RN36.</x:v>
      </x:c>
    </x:row>
    <x:row r="52" ht="48" customHeight="1">
      <x:c r="A52" s="50" t="str">
        <x:v>RC-051</x:v>
      </x:c>
      <x:c r="B52" s="50" t="str">
        <x:v>Pendiente</x:v>
      </x:c>
      <x:c r="C52" s="50" t="str">
        <x:v>Río Cuarto</x:v>
      </x:c>
      <x:c r="D52" s="50" t="str">
        <x:v>Área urbana Río Cuarto</x:v>
      </x:c>
      <x:c r="E52" s="50" t="str">
        <x:v>Río Cuarto</x:v>
      </x:c>
      <x:c r="F52" s="50" t="str">
        <x:v>A</x:v>
      </x:c>
      <x:c r="G52" s="50" t="n">
        <x:v>88</x:v>
      </x:c>
      <x:c r="H52" s="50" t="str">
        <x:v>Diesel Lange - Río Cuarto</x:v>
      </x:c>
      <x:c r="I52" s="50" t="str">
        <x:v>Servicio/comercialización vinculada a maquinaria y motores diésel</x:v>
      </x:c>
      <x:c r="J52" s="50" t="str">
        <x:v>Maquinaria agrícola</x:v>
      </x:c>
      <x:c r="K52" s="50" t="str">
        <x:v>+54 358 4334218</x:v>
      </x:c>
      <x:c r="L52" s="50" t="str">
        <x:v>OK</x:v>
      </x:c>
      <x:c r="M52" s="50" t="str">
        <x:v>sucursal / logística / servicio</x:v>
      </x:c>
      <x:c r="N52" s="50" t="str">
        <x:v>Entrega/retiro de tractores, cosechadoras, pulverizadoras e implementos; usados y service.</x:v>
      </x:c>
      <x:c r="O52" s="50" t="str">
        <x:v>Plataforma 20 tn + malacate + seguro/GPS; hidrogrúa según implemento.</x:v>
      </x:c>
      <x:c r="P52" s="50" t="str">
        <x:v>Tercerizar entregas, usados y rescates de service con disponibilidad programada.</x:v>
      </x:c>
      <x:c r="Q52" s="50" t="str">
        <x:v>Pedir logística/expedición/posventa; relevar campañas, usados y picos de entregas.</x:v>
      </x:c>
      <x:c r="R52" s="50" t="str"/>
      <x:c r="S52" s="50" t="str">
        <x:v>Río Cuarto, Córdoba</x:v>
      </x:c>
      <x:c r="T52" s="50" t="str"/>
      <x:c r="U52" s="50" t="str"/>
      <x:c r="V52" s="50" t="str"/>
      <x:c r="W52" s="50" t="str"/>
      <x:c r="X52" s="50" t="str">
        <x:v>+543584334218</x:v>
      </x:c>
      <x:c r="Y52" s="50" t="str">
        <x:v>tel:+543584334218</x:v>
      </x:c>
      <x:c r="Z52" s="50" t="str">
        <x:v>Confirmar decisor, frecuencia mensual, pesos/dimensiones y cómo resuelven hoy los traslados.</x:v>
      </x:c>
      <x:c r="AA52" s="50" t="str">
        <x:v>https://www.google.com/maps/search/?api=1&amp;query=Diesel+Lange+-+R%C3%ADo+Cuarto%2C+R%C3%ADo+Cuarto%2C+C%C3%B3rdoba</x:v>
      </x:c>
      <x:c r="AB52" s="50" t="str">
        <x:v>Google Business Profile</x:v>
      </x:c>
      <x:c r="AC52" s="50" t="str">
        <x:v>https://www.google.com/maps/search/?api=1&amp;query=Diesel+Lange+Rio+Cuarto</x:v>
      </x:c>
      <x:c r="AD52" s="50" t="str">
        <x:v>Sucursal local vinculada a equipos diésel y agro.</x:v>
      </x:c>
      <x:c r="AE52" s="50" t="str">
        <x:v>Alta</x:v>
      </x:c>
      <x:c r="AF52" s="50" t="str">
        <x:v>Rastrillaje Río Cuarto 2026-09-15</x:v>
      </x:c>
      <x:c r="AG52" s="50" t="str">
        <x:v>Plataforma 20 tn | Malacate | Hidrogrúa | Entrega/retiro equipos | Seguro/GPS</x:v>
      </x:c>
      <x:c r="AH52" s="50" t="str">
        <x:v>Maquinaria agrícola</x:v>
      </x:c>
      <x:c r="AI52" s="50" t="str">
        <x:v>Sí</x:v>
      </x:c>
      <x:c r="AJ52" s="50" t="str">
        <x:v>PRIORIDAD ALTA</x:v>
      </x:c>
      <x:c r="AK52" s="50" t="str">
        <x:v>Fuerte estacionalidad y equipos de alto valor.</x:v>
      </x:c>
      <x:c r="AL52" s="50" t="str">
        <x:v>Google Business / directorio / web sectorial</x:v>
      </x:c>
      <x:c r="AM52" s="50" t="str">
        <x:v>Alta Río Cuarto; barrido integral por marcas, alquiler, maquinaria, industria y corredores A005/RN8/RN36.</x:v>
      </x:c>
    </x:row>
    <x:row r="53" ht="48" customHeight="1">
      <x:c r="A53" s="50" t="str">
        <x:v>RC-052</x:v>
      </x:c>
      <x:c r="B53" s="50" t="str">
        <x:v>Pendiente</x:v>
      </x:c>
      <x:c r="C53" s="50" t="str">
        <x:v>Río Cuarto</x:v>
      </x:c>
      <x:c r="D53" s="50" t="str">
        <x:v>Corredor RN8</x:v>
      </x:c>
      <x:c r="E53" s="50" t="str">
        <x:v>Río Cuarto</x:v>
      </x:c>
      <x:c r="F53" s="50" t="str">
        <x:v>A</x:v>
      </x:c>
      <x:c r="G53" s="50" t="n">
        <x:v>88</x:v>
      </x:c>
      <x:c r="H53" s="50" t="str">
        <x:v>Metalúrgica R. Haller</x:v>
      </x:c>
      <x:c r="I53" s="50" t="str">
        <x:v>Fabricación metalúrgica</x:v>
      </x:c>
      <x:c r="J53" s="50" t="str">
        <x:v>Metalúrgica y fabricación</x:v>
      </x:c>
      <x:c r="K53" s="50" t="str">
        <x:v>+54 358 4643209</x:v>
      </x:c>
      <x:c r="L53" s="50" t="str">
        <x:v>OK</x:v>
      </x:c>
      <x:c r="M53" s="50" t="str">
        <x:v>producción / expedición</x:v>
      </x:c>
      <x:c r="N53" s="50" t="str">
        <x:v>Despacho/traslado de estructuras, piezas, implementos, acoplados o conjuntos metálicos.</x:v>
      </x:c>
      <x:c r="O53" s="50" t="str">
        <x:v>Plataforma + hidrogrúa + malacate; percha para pallets según carga.</x:v>
      </x:c>
      <x:c r="P53" s="50" t="str">
        <x:v>Resolver despachos pesados y piezas fuera de medida con un único proveedor.</x:v>
      </x:c>
      <x:c r="Q53" s="50" t="str">
        <x:v>Pedir expedición/logística/producción; relevar piezas máximas y destinos habituales.</x:v>
      </x:c>
      <x:c r="R53" s="50" t="str"/>
      <x:c r="S53" s="50" t="str">
        <x:v>RN8 km 607,5, X5800 Río Cuarto, Córdoba</x:v>
      </x:c>
      <x:c r="T53" s="50" t="str"/>
      <x:c r="U53" s="50" t="str"/>
      <x:c r="V53" s="50" t="str"/>
      <x:c r="W53" s="50" t="str"/>
      <x:c r="X53" s="50" t="str">
        <x:v>+543584643209</x:v>
      </x:c>
      <x:c r="Y53" s="50" t="str">
        <x:v>tel:+543584643209</x:v>
      </x:c>
      <x:c r="Z53" s="50" t="str">
        <x:v>Confirmar decisor, frecuencia mensual, pesos/dimensiones y cómo resuelven hoy los traslados.</x:v>
      </x:c>
      <x:c r="AA53" s="50" t="str">
        <x:v>https://www.google.com/maps/search/?api=1&amp;query=Metal%C3%BArgica+R.+Haller%2C+RN8+km+607%2C5%2C+X5800+R%C3%ADo+Cuarto%2C+C%C3%B3rdoba</x:v>
      </x:c>
      <x:c r="AB53" s="50" t="str">
        <x:v>Google Business Profile</x:v>
      </x:c>
      <x:c r="AC53" s="50" t="str">
        <x:v>https://www.google.com/maps/search/?api=1&amp;query=Metalurgica+R+Haller+Rio+Cuarto</x:v>
      </x:c>
      <x:c r="AD53" s="50" t="str">
        <x:v>Fábrica metalúrgica sobre RN8.</x:v>
      </x:c>
      <x:c r="AE53" s="50" t="str">
        <x:v>Alta</x:v>
      </x:c>
      <x:c r="AF53" s="50" t="str">
        <x:v>Rastrillaje Río Cuarto 2026-09-15</x:v>
      </x:c>
      <x:c r="AG53" s="50" t="str">
        <x:v>Plataforma 20 tn | Hidrogrúa | Malacate | Percha para pallets</x:v>
      </x:c>
      <x:c r="AH53" s="50" t="str">
        <x:v>Metalúrgica y fabricación</x:v>
      </x:c>
      <x:c r="AI53" s="50" t="str">
        <x:v>Sí</x:v>
      </x:c>
      <x:c r="AJ53" s="50" t="str">
        <x:v>PRIORIDAD ALTA</x:v>
      </x:c>
      <x:c r="AK53" s="50" t="str">
        <x:v>Potencial por piezas pesadas, voluminosas o de geometría irregular.</x:v>
      </x:c>
      <x:c r="AL53" s="50" t="str">
        <x:v>Google Business / directorio / web sectorial</x:v>
      </x:c>
      <x:c r="AM53" s="50" t="str">
        <x:v>Alta Río Cuarto; barrido integral por marcas, alquiler, maquinaria, industria y corredores A005/RN8/RN36.</x:v>
      </x:c>
    </x:row>
    <x:row r="54" ht="48" customHeight="1">
      <x:c r="A54" s="50" t="str">
        <x:v>RC-053</x:v>
      </x:c>
      <x:c r="B54" s="50" t="str">
        <x:v>Pendiente</x:v>
      </x:c>
      <x:c r="C54" s="50" t="str">
        <x:v>Río Cuarto</x:v>
      </x:c>
      <x:c r="D54" s="50" t="str">
        <x:v>Corredor A005 / Circunvalación</x:v>
      </x:c>
      <x:c r="E54" s="50" t="str">
        <x:v>Río Cuarto</x:v>
      </x:c>
      <x:c r="F54" s="50" t="str">
        <x:v>A</x:v>
      </x:c>
      <x:c r="G54" s="50" t="n">
        <x:v>86</x:v>
      </x:c>
      <x:c r="H54" s="50" t="str">
        <x:v>Indusplast Piscinas Río Cuarto</x:v>
      </x:c>
      <x:c r="I54" s="50" t="str">
        <x:v>Piscinas / contratista de piscinas</x:v>
      </x:c>
      <x:c r="J54" s="50" t="str">
        <x:v>Piscinas / fibra de vidrio</x:v>
      </x:c>
      <x:c r="K54" s="50" t="str">
        <x:v>+54 358 6028628</x:v>
      </x:c>
      <x:c r="L54" s="50" t="str">
        <x:v>OK</x:v>
      </x:c>
      <x:c r="M54" s="50" t="str">
        <x:v>logística / colocaciones</x:v>
      </x:c>
      <x:c r="N54" s="50" t="str">
        <x:v>Traslado de piscinas/cúpulas desde fábrica o depósito hasta obra y apoyo de descarga.</x:v>
      </x:c>
      <x:c r="O54" s="50" t="str">
        <x:v>Plataforma + hidrogrúa para entrega y posicionamiento.</x:v>
      </x:c>
      <x:c r="P54" s="50" t="str">
        <x:v>Una sola coordinación para traslado y descarga en domicilio/obra.</x:v>
      </x:c>
      <x:c r="Q54" s="50" t="str">
        <x:v>Pedir logística/colocación; relevar medidas máximas y volumen mensual en temporada.</x:v>
      </x:c>
      <x:c r="R54" s="50" t="str"/>
      <x:c r="S54" s="50" t="str">
        <x:v>Colectora A005 y José Mármol, X5800 Río Cuarto, Córdoba</x:v>
      </x:c>
      <x:c r="T54" s="50" t="str"/>
      <x:c r="U54" s="50" t="str"/>
      <x:c r="V54" s="50" t="str"/>
      <x:c r="W54" s="50" t="str"/>
      <x:c r="X54" s="50" t="str">
        <x:v>+543586028628</x:v>
      </x:c>
      <x:c r="Y54" s="50" t="str">
        <x:v>tel:+543586028628</x:v>
      </x:c>
      <x:c r="Z54" s="50" t="str">
        <x:v>Confirmar decisor, frecuencia mensual, pesos/dimensiones y cómo resuelven hoy los traslados.</x:v>
      </x:c>
      <x:c r="AA54" s="50" t="str">
        <x:v>https://www.google.com/maps/search/?api=1&amp;query=Indusplast+Piscinas+R%C3%ADo+Cuarto%2C+Colectora+A005+y+Jos%C3%A9+M%C3%A1rmol%2C+X5800+R%C3%ADo+Cuarto%2C+C%C3%B3rdoba</x:v>
      </x:c>
      <x:c r="AB54" s="50" t="str">
        <x:v>Google Business Profile</x:v>
      </x:c>
      <x:c r="AC54" s="50" t="str">
        <x:v>https://www.google.com/maps/search/?api=1&amp;query=Indusplast+Piscinas+Rio+Cuarto</x:v>
      </x:c>
      <x:c r="AD54" s="50" t="str">
        <x:v>Negocio especializado en piscinas sobre A005.</x:v>
      </x:c>
      <x:c r="AE54" s="50" t="str">
        <x:v>Alta</x:v>
      </x:c>
      <x:c r="AF54" s="50" t="str">
        <x:v>Rastrillaje Río Cuarto 2026-09-15</x:v>
      </x:c>
      <x:c r="AG54" s="50" t="str">
        <x:v>Plataforma 20 tn | Hidrogrúa | Entrega a obra</x:v>
      </x:c>
      <x:c r="AH54" s="50" t="str">
        <x:v>Piscinas / fibra de vidrio</x:v>
      </x:c>
      <x:c r="AI54" s="50" t="str">
        <x:v>Sí</x:v>
      </x:c>
      <x:c r="AJ54" s="50" t="str">
        <x:v>PRIORIDAD ALTA</x:v>
      </x:c>
      <x:c r="AK54" s="50" t="str">
        <x:v>Carga voluminosa y estacional; buena afinidad con hidrogrúa.</x:v>
      </x:c>
      <x:c r="AL54" s="50" t="str">
        <x:v>Google Business / directorio / web sectorial</x:v>
      </x:c>
      <x:c r="AM54" s="50" t="str">
        <x:v>Alta Río Cuarto; barrido integral por marcas, alquiler, maquinaria, industria y corredores A005/RN8/RN36.</x:v>
      </x:c>
    </x:row>
    <x:row r="55" ht="48" customHeight="1">
      <x:c r="A55" s="50" t="str">
        <x:v>RC-054</x:v>
      </x:c>
      <x:c r="B55" s="50" t="str">
        <x:v>Pendiente</x:v>
      </x:c>
      <x:c r="C55" s="50" t="str">
        <x:v>Río Cuarto</x:v>
      </x:c>
      <x:c r="D55" s="50" t="str">
        <x:v>Área urbana Río Cuarto</x:v>
      </x:c>
      <x:c r="E55" s="50" t="str">
        <x:v>Río Cuarto</x:v>
      </x:c>
      <x:c r="F55" s="50" t="str">
        <x:v>A</x:v>
      </x:c>
      <x:c r="G55" s="50" t="n">
        <x:v>86</x:v>
      </x:c>
      <x:c r="H55" s="50" t="str">
        <x:v>Metalúrgica NF Ingeniería y Fabricación</x:v>
      </x:c>
      <x:c r="I55" s="50" t="str">
        <x:v>Ingeniería y fabricación metalúrgica</x:v>
      </x:c>
      <x:c r="J55" s="50" t="str">
        <x:v>Metalúrgica y fabricación</x:v>
      </x:c>
      <x:c r="K55" s="50" t="str">
        <x:v>+54 358 6020520</x:v>
      </x:c>
      <x:c r="L55" s="50" t="str">
        <x:v>OK</x:v>
      </x:c>
      <x:c r="M55" s="50" t="str">
        <x:v>producción / logística</x:v>
      </x:c>
      <x:c r="N55" s="50" t="str">
        <x:v>Despacho/traslado de estructuras, piezas, implementos, acoplados o conjuntos metálicos.</x:v>
      </x:c>
      <x:c r="O55" s="50" t="str">
        <x:v>Plataforma + hidrogrúa + malacate; percha para pallets según carga.</x:v>
      </x:c>
      <x:c r="P55" s="50" t="str">
        <x:v>Resolver despachos pesados y piezas fuera de medida con un único proveedor.</x:v>
      </x:c>
      <x:c r="Q55" s="50" t="str">
        <x:v>Pedir expedición/logística/producción; relevar piezas máximas y destinos habituales.</x:v>
      </x:c>
      <x:c r="R55" s="50" t="str"/>
      <x:c r="S55" s="50" t="str">
        <x:v>Av. Godoy Cruz 563, Río Cuarto, Córdoba</x:v>
      </x:c>
      <x:c r="T55" s="50" t="str"/>
      <x:c r="U55" s="50" t="str"/>
      <x:c r="V55" s="50" t="str"/>
      <x:c r="W55" s="50" t="str"/>
      <x:c r="X55" s="50" t="str">
        <x:v>+543586020520</x:v>
      </x:c>
      <x:c r="Y55" s="50" t="str">
        <x:v>tel:+543586020520</x:v>
      </x:c>
      <x:c r="Z55" s="50" t="str">
        <x:v>Confirmar decisor, frecuencia mensual, pesos/dimensiones y cómo resuelven hoy los traslados.</x:v>
      </x:c>
      <x:c r="AA55" s="50" t="str">
        <x:v>https://www.google.com/maps/search/?api=1&amp;query=Metal%C3%BArgica+NF+Ingenier%C3%ADa+y+Fabricaci%C3%B3n%2C+Av.+Godoy+Cruz+563%2C+R%C3%ADo+Cuarto%2C+C%C3%B3rdoba</x:v>
      </x:c>
      <x:c r="AB55" s="50" t="str">
        <x:v>Google Business Profile</x:v>
      </x:c>
      <x:c r="AC55" s="50" t="str">
        <x:v>https://www.google.com/maps/search/?api=1&amp;query=Metalurgica+NF+Ingenieria+Rio+Cuarto</x:v>
      </x:c>
      <x:c r="AD55" s="50" t="str">
        <x:v>Taller metalúrgico de ingeniería y fabricación.</x:v>
      </x:c>
      <x:c r="AE55" s="50" t="str">
        <x:v>Alta</x:v>
      </x:c>
      <x:c r="AF55" s="50" t="str">
        <x:v>Rastrillaje Río Cuarto 2026-09-15</x:v>
      </x:c>
      <x:c r="AG55" s="50" t="str">
        <x:v>Plataforma 20 tn | Hidrogrúa | Malacate | Percha para pallets</x:v>
      </x:c>
      <x:c r="AH55" s="50" t="str">
        <x:v>Metalúrgica y fabricación</x:v>
      </x:c>
      <x:c r="AI55" s="50" t="str">
        <x:v>Sí</x:v>
      </x:c>
      <x:c r="AJ55" s="50" t="str">
        <x:v>PRIORIDAD ALTA</x:v>
      </x:c>
      <x:c r="AK55" s="50" t="str">
        <x:v>Potencial por piezas pesadas, voluminosas o de geometría irregular.</x:v>
      </x:c>
      <x:c r="AL55" s="50" t="str">
        <x:v>Google Business / directorio / web sectorial</x:v>
      </x:c>
      <x:c r="AM55" s="50" t="str">
        <x:v>Alta Río Cuarto; barrido integral por marcas, alquiler, maquinaria, industria y corredores A005/RN8/RN36.</x:v>
      </x:c>
    </x:row>
    <x:row r="56" ht="48" customHeight="1">
      <x:c r="A56" s="50" t="str">
        <x:v>RC-055</x:v>
      </x:c>
      <x:c r="B56" s="50" t="str">
        <x:v>Pendiente</x:v>
      </x:c>
      <x:c r="C56" s="50" t="str">
        <x:v>Río Cuarto</x:v>
      </x:c>
      <x:c r="D56" s="50" t="str">
        <x:v>Corredor A005 / Circunvalación</x:v>
      </x:c>
      <x:c r="E56" s="50" t="str">
        <x:v>Río Cuarto</x:v>
      </x:c>
      <x:c r="F56" s="50" t="str">
        <x:v>A</x:v>
      </x:c>
      <x:c r="G56" s="50" t="n">
        <x:v>84</x:v>
      </x:c>
      <x:c r="H56" s="50" t="str">
        <x:v>Canteras Bringas</x:v>
      </x:c>
      <x:c r="I56" s="50" t="str">
        <x:v>Áridos / cantera</x:v>
      </x:c>
      <x:c r="J56" s="50" t="str">
        <x:v>Hormigón, áridos y materiales</x:v>
      </x:c>
      <x:c r="K56" s="50" t="str">
        <x:v>+54 358 4906010</x:v>
      </x:c>
      <x:c r="L56" s="50" t="str">
        <x:v>OK</x:v>
      </x:c>
      <x:c r="M56" s="50" t="str">
        <x:v>operaciones / logística</x:v>
      </x:c>
      <x:c r="N56" s="50" t="str">
        <x:v>Movimiento de equipos de planta, bombas, moldes, premoldeados, maquinaria y cargas pesadas.</x:v>
      </x:c>
      <x:c r="O56" s="50" t="str">
        <x:v>Plataforma + hidrogrúa + percha para pallets/cargas.</x:v>
      </x:c>
      <x:c r="P56" s="50" t="str">
        <x:v>Cubrir movimientos de maquinaria y cargas especiales fuera de la logística convencional.</x:v>
      </x:c>
      <x:c r="Q56" s="50" t="str">
        <x:v>Pedir planta/mantenimiento/logística; relevar equipos y movimientos no cubiertos por mixer/camión.</x:v>
      </x:c>
      <x:c r="R56" s="50" t="str"/>
      <x:c r="S56" s="50" t="str">
        <x:v>RN A005 km 5,2, X5800 Río Cuarto, Córdoba</x:v>
      </x:c>
      <x:c r="T56" s="50" t="str"/>
      <x:c r="U56" s="50" t="str"/>
      <x:c r="V56" s="50" t="str"/>
      <x:c r="W56" s="50" t="str"/>
      <x:c r="X56" s="50" t="str">
        <x:v>+543584906010</x:v>
      </x:c>
      <x:c r="Y56" s="50" t="str">
        <x:v>tel:+543584906010</x:v>
      </x:c>
      <x:c r="Z56" s="50" t="str">
        <x:v>Confirmar decisor, frecuencia mensual, pesos/dimensiones y cómo resuelven hoy los traslados.</x:v>
      </x:c>
      <x:c r="AA56" s="50" t="str">
        <x:v>https://www.google.com/maps/search/?api=1&amp;query=Canteras+Bringas%2C+RN+A005+km+5%2C2%2C+X5800+R%C3%ADo+Cuarto%2C+C%C3%B3rdoba</x:v>
      </x:c>
      <x:c r="AB56" s="50" t="str">
        <x:v>Google Business Profile</x:v>
      </x:c>
      <x:c r="AC56" s="50" t="str">
        <x:v>https://www.google.com/maps/search/?api=1&amp;query=Canteras+Bringas+Rio+Cuarto</x:v>
      </x:c>
      <x:c r="AD56" s="50" t="str">
        <x:v>Proveedor local sobre A005 vinculado a áridos/cantera.</x:v>
      </x:c>
      <x:c r="AE56" s="50" t="str">
        <x:v>Alta</x:v>
      </x:c>
      <x:c r="AF56" s="50" t="str">
        <x:v>Rastrillaje Río Cuarto 2026-09-15</x:v>
      </x:c>
      <x:c r="AG56" s="50" t="str">
        <x:v>Plataforma 20 tn | Hidrogrúa | Percha para pallets | Malacate</x:v>
      </x:c>
      <x:c r="AH56" s="50" t="str">
        <x:v>Hormigón, áridos y materiales</x:v>
      </x:c>
      <x:c r="AI56" s="50" t="str">
        <x:v>Sí</x:v>
      </x:c>
      <x:c r="AJ56" s="50" t="str">
        <x:v>PRIORIDAD ALTA</x:v>
      </x:c>
      <x:c r="AK56" s="50" t="str">
        <x:v>Complementa transporte de materiales con cargas/equipos especiales.</x:v>
      </x:c>
      <x:c r="AL56" s="50" t="str">
        <x:v>Google Business / directorio / web sectorial</x:v>
      </x:c>
      <x:c r="AM56" s="50" t="str">
        <x:v>Alta Río Cuarto; barrido integral por marcas, alquiler, maquinaria, industria y corredores A005/RN8/RN36.</x:v>
      </x:c>
    </x:row>
    <x:row r="57" ht="48" customHeight="1">
      <x:c r="A57" s="50" t="str">
        <x:v>RC-056</x:v>
      </x:c>
      <x:c r="B57" s="50" t="str">
        <x:v>Pendiente</x:v>
      </x:c>
      <x:c r="C57" s="50" t="str">
        <x:v>Río Cuarto</x:v>
      </x:c>
      <x:c r="D57" s="50" t="str">
        <x:v>Av. Sabattini / Este</x:v>
      </x:c>
      <x:c r="E57" s="50" t="str">
        <x:v>Río Cuarto</x:v>
      </x:c>
      <x:c r="F57" s="50" t="str">
        <x:v>A</x:v>
      </x:c>
      <x:c r="G57" s="50" t="n">
        <x:v>84</x:v>
      </x:c>
      <x:c r="H57" s="50" t="str">
        <x:v>La Elenense - Showroom Río Cuarto</x:v>
      </x:c>
      <x:c r="I57" s="50" t="str">
        <x:v>Premoldeados de hormigón</x:v>
      </x:c>
      <x:c r="J57" s="50" t="str">
        <x:v>Hormigón, áridos y materiales</x:v>
      </x:c>
      <x:c r="K57" s="50" t="str">
        <x:v>0358 4647090</x:v>
      </x:c>
      <x:c r="L57" s="50" t="str">
        <x:v>OK</x:v>
      </x:c>
      <x:c r="M57" s="50" t="str">
        <x:v>showroom / logística / colocaciones</x:v>
      </x:c>
      <x:c r="N57" s="50" t="str">
        <x:v>Movimiento de equipos de planta, bombas, moldes, premoldeados, maquinaria y cargas pesadas.</x:v>
      </x:c>
      <x:c r="O57" s="50" t="str">
        <x:v>Plataforma + hidrogrúa + percha para pallets/cargas.</x:v>
      </x:c>
      <x:c r="P57" s="50" t="str">
        <x:v>Cubrir movimientos de maquinaria y cargas especiales fuera de la logística convencional.</x:v>
      </x:c>
      <x:c r="Q57" s="50" t="str">
        <x:v>Pedir planta/mantenimiento/logística; relevar equipos y movimientos no cubiertos por mixer/camión.</x:v>
      </x:c>
      <x:c r="R57" s="50" t="str"/>
      <x:c r="S57" s="50" t="str">
        <x:v>Av. Sabattini 2794, Río Cuarto, Córdoba</x:v>
      </x:c>
      <x:c r="T57" s="50" t="str"/>
      <x:c r="U57" s="50" t="str"/>
      <x:c r="V57" s="50" t="str"/>
      <x:c r="W57" s="50" t="str"/>
      <x:c r="X57" s="50" t="str">
        <x:v>03584647090</x:v>
      </x:c>
      <x:c r="Y57" s="50" t="str">
        <x:v>tel:03584647090</x:v>
      </x:c>
      <x:c r="Z57" s="50" t="str">
        <x:v>Confirmar decisor, frecuencia mensual, pesos/dimensiones y cómo resuelven hoy los traslados.</x:v>
      </x:c>
      <x:c r="AA57" s="50" t="str">
        <x:v>https://www.google.com/maps/search/?api=1&amp;query=La+Elenense+-+Showroom+R%C3%ADo+Cuarto%2C+Av.+Sabattini+2794%2C+R%C3%ADo+Cuarto%2C+C%C3%B3rdoba</x:v>
      </x:c>
      <x:c r="AB57" s="50" t="str">
        <x:v>Web oficial La Elenense</x:v>
      </x:c>
      <x:c r="AC57" s="50" t="str">
        <x:v>https://laelenense.com/premoldeados/</x:v>
      </x:c>
      <x:c r="AD57" s="50" t="str">
        <x:v>Showroom local de premoldeados de hormigón.</x:v>
      </x:c>
      <x:c r="AE57" s="50" t="str">
        <x:v>Alta</x:v>
      </x:c>
      <x:c r="AF57" s="50" t="str">
        <x:v>Rastrillaje Río Cuarto 2026-09-15</x:v>
      </x:c>
      <x:c r="AG57" s="50" t="str">
        <x:v>Plataforma 20 tn | Hidrogrúa | Percha para pallets | Malacate</x:v>
      </x:c>
      <x:c r="AH57" s="50" t="str">
        <x:v>Hormigón, áridos y materiales</x:v>
      </x:c>
      <x:c r="AI57" s="50" t="str">
        <x:v>Sí</x:v>
      </x:c>
      <x:c r="AJ57" s="50" t="str">
        <x:v>PRIORIDAD ALTA</x:v>
      </x:c>
      <x:c r="AK57" s="50" t="str">
        <x:v>Complementa transporte de materiales con cargas/equipos especiales.</x:v>
      </x:c>
      <x:c r="AL57" s="50" t="str">
        <x:v>Web oficial / fuente comercial</x:v>
      </x:c>
      <x:c r="AM57" s="50" t="str">
        <x:v>Alta Río Cuarto; barrido integral por marcas, alquiler, maquinaria, industria y corredores A005/RN8/RN36.</x:v>
      </x:c>
    </x:row>
    <x:row r="58" ht="48" customHeight="1">
      <x:c r="A58" s="50" t="str">
        <x:v>RC-057</x:v>
      </x:c>
      <x:c r="B58" s="50" t="str">
        <x:v>Pendiente</x:v>
      </x:c>
      <x:c r="C58" s="50" t="str">
        <x:v>Río Cuarto</x:v>
      </x:c>
      <x:c r="D58" s="50" t="str">
        <x:v>Banda Norte</x:v>
      </x:c>
      <x:c r="E58" s="50" t="str">
        <x:v>Río Cuarto</x:v>
      </x:c>
      <x:c r="F58" s="50" t="str">
        <x:v>A</x:v>
      </x:c>
      <x:c r="G58" s="50" t="n">
        <x:v>84</x:v>
      </x:c>
      <x:c r="H58" s="50" t="str">
        <x:v>Lencinas Constructora</x:v>
      </x:c>
      <x:c r="I58" s="50" t="str">
        <x:v>Construcción</x:v>
      </x:c>
      <x:c r="J58" s="50" t="str">
        <x:v>Construcción y obra industrial</x:v>
      </x:c>
      <x:c r="K58" s="50" t="str">
        <x:v>+54 358 4640597</x:v>
      </x:c>
      <x:c r="L58" s="50" t="str">
        <x:v>OK</x:v>
      </x:c>
      <x:c r="M58" s="50" t="str">
        <x:v>obras / compras / logística</x:v>
      </x:c>
      <x:c r="N58" s="50" t="str">
        <x:v>Movimientos de equipos, cargas especiales o apoyo logístico asociados a su operación.</x:v>
      </x:c>
      <x:c r="O58" s="50" t="str">
        <x:v>Plataforma 20 tn + hidrogrúa + malacate según necesidad.</x:v>
      </x:c>
      <x:c r="P58" s="50" t="str">
        <x:v>Capacidad externa para movimientos pesados o especiales.</x:v>
      </x:c>
      <x:c r="Q58" s="50" t="str">
        <x:v>Contactar operaciones/logística y relevar movimientos actuales.</x:v>
      </x:c>
      <x:c r="R58" s="50" t="str"/>
      <x:c r="S58" s="50" t="str">
        <x:v>Av. Adán Quiroga 698, Banda Norte, X5804 Río Cuarto</x:v>
      </x:c>
      <x:c r="T58" s="50" t="str"/>
      <x:c r="U58" s="50" t="str"/>
      <x:c r="V58" s="50" t="str"/>
      <x:c r="W58" s="50" t="str"/>
      <x:c r="X58" s="50" t="str">
        <x:v>+543584640597</x:v>
      </x:c>
      <x:c r="Y58" s="50" t="str">
        <x:v>tel:+543584640597</x:v>
      </x:c>
      <x:c r="Z58" s="50" t="str">
        <x:v>Confirmar decisor, frecuencia mensual, pesos/dimensiones y cómo resuelven hoy los traslados.</x:v>
      </x:c>
      <x:c r="AA58" s="50" t="str">
        <x:v>https://www.google.com/maps/search/?api=1&amp;query=Lencinas+Constructora%2C+Av.+Ad%C3%A1n+Quiroga+698%2C+Banda+Norte%2C+X5804+R%C3%ADo+Cuarto</x:v>
      </x:c>
      <x:c r="AB58" s="50" t="str">
        <x:v>Google Business Profile</x:v>
      </x:c>
      <x:c r="AC58" s="50" t="str">
        <x:v>https://www.google.com/maps/search/?api=1&amp;query=Lencinas+Constructora+Rio+Cuarto</x:v>
      </x:c>
      <x:c r="AD58" s="50" t="str">
        <x:v>Empresa constructora local.</x:v>
      </x:c>
      <x:c r="AE58" s="50" t="str">
        <x:v>Alta</x:v>
      </x:c>
      <x:c r="AF58" s="50" t="str">
        <x:v>Rastrillaje Río Cuarto 2026-09-15</x:v>
      </x:c>
      <x:c r="AG58" s="50" t="str">
        <x:v>Plataforma 20 tn | Hidrogrúa | Malacate</x:v>
      </x:c>
      <x:c r="AH58" s="50" t="str">
        <x:v>Construcción y obra industrial</x:v>
      </x:c>
      <x:c r="AI58" s="50" t="str">
        <x:v>Sí</x:v>
      </x:c>
      <x:c r="AJ58" s="50" t="str">
        <x:v>PRIORIDAD ALTA</x:v>
      </x:c>
      <x:c r="AK58" s="50" t="str">
        <x:v>Requiere calificación comercial en primer contacto.</x:v>
      </x:c>
      <x:c r="AL58" s="50" t="str">
        <x:v>Google Business / directorio / web sectorial</x:v>
      </x:c>
      <x:c r="AM58" s="50" t="str">
        <x:v>Alta Río Cuarto; barrido integral por marcas, alquiler, maquinaria, industria y corredores A005/RN8/RN36.</x:v>
      </x:c>
    </x:row>
    <x:row r="59" ht="48" customHeight="1">
      <x:c r="A59" s="50" t="str">
        <x:v>RC-058</x:v>
      </x:c>
      <x:c r="B59" s="50" t="str">
        <x:v>Pendiente</x:v>
      </x:c>
      <x:c r="C59" s="50" t="str">
        <x:v>Río Cuarto</x:v>
      </x:c>
      <x:c r="D59" s="50" t="str">
        <x:v>Área urbana Río Cuarto</x:v>
      </x:c>
      <x:c r="E59" s="50" t="str">
        <x:v>Río Cuarto</x:v>
      </x:c>
      <x:c r="F59" s="50" t="str">
        <x:v>A</x:v>
      </x:c>
      <x:c r="G59" s="50" t="n">
        <x:v>84</x:v>
      </x:c>
      <x:c r="H59" s="50" t="str">
        <x:v>Pedrueza S.A.</x:v>
      </x:c>
      <x:c r="I59" s="50" t="str">
        <x:v>Desarrollos y construcción</x:v>
      </x:c>
      <x:c r="J59" s="50" t="str">
        <x:v>Construcción y obra industrial</x:v>
      </x:c>
      <x:c r="K59" s="50" t="str">
        <x:v>0358 154110370 / 154114368</x:v>
      </x:c>
      <x:c r="L59" s="50" t="str">
        <x:v>OK</x:v>
      </x:c>
      <x:c r="M59" s="50" t="str">
        <x:v>obras / compras / logística</x:v>
      </x:c>
      <x:c r="N59" s="50" t="str">
        <x:v>Movimientos de equipos, cargas especiales o apoyo logístico asociados a su operación.</x:v>
      </x:c>
      <x:c r="O59" s="50" t="str">
        <x:v>Plataforma 20 tn + hidrogrúa + malacate según necesidad.</x:v>
      </x:c>
      <x:c r="P59" s="50" t="str">
        <x:v>Capacidad externa para movimientos pesados o especiales.</x:v>
      </x:c>
      <x:c r="Q59" s="50" t="str">
        <x:v>Contactar operaciones/logística y relevar movimientos actuales.</x:v>
      </x:c>
      <x:c r="R59" s="50" t="str"/>
      <x:c r="S59" s="50" t="str">
        <x:v>Arroyo Piedras Blancas 760, Río Cuarto, Córdoba</x:v>
      </x:c>
      <x:c r="T59" s="50" t="str"/>
      <x:c r="U59" s="50" t="str"/>
      <x:c r="V59" s="50" t="str"/>
      <x:c r="W59" s="50" t="str"/>
      <x:c r="X59" s="50" t="str">
        <x:v>0358154110370</x:v>
      </x:c>
      <x:c r="Y59" s="50" t="str">
        <x:v>tel:0358154110370 | tel:154114368</x:v>
      </x:c>
      <x:c r="Z59" s="50" t="str">
        <x:v>Confirmar decisor, frecuencia mensual, pesos/dimensiones y cómo resuelven hoy los traslados.</x:v>
      </x:c>
      <x:c r="AA59" s="50" t="str">
        <x:v>https://www.google.com/maps/search/?api=1&amp;query=Pedrueza+S.A.%2C+Arroyo+Piedras+Blancas+760%2C+R%C3%ADo+Cuarto%2C+C%C3%B3rdoba</x:v>
      </x:c>
      <x:c r="AB59" s="50" t="str">
        <x:v>Web oficial Pedrueza</x:v>
      </x:c>
      <x:c r="AC59" s="50" t="str">
        <x:v>https://www.pedrueza.com.ar/nosotros</x:v>
      </x:c>
      <x:c r="AD59" s="50" t="str">
        <x:v>Desarrolla y construye proyectos de ingeniería y arquitectura.</x:v>
      </x:c>
      <x:c r="AE59" s="50" t="str">
        <x:v>Alta</x:v>
      </x:c>
      <x:c r="AF59" s="50" t="str">
        <x:v>Rastrillaje Río Cuarto 2026-09-15</x:v>
      </x:c>
      <x:c r="AG59" s="50" t="str">
        <x:v>Plataforma 20 tn | Hidrogrúa | Malacate</x:v>
      </x:c>
      <x:c r="AH59" s="50" t="str">
        <x:v>Construcción y obra industrial</x:v>
      </x:c>
      <x:c r="AI59" s="50" t="str">
        <x:v>Sí</x:v>
      </x:c>
      <x:c r="AJ59" s="50" t="str">
        <x:v>PRIORIDAD ALTA</x:v>
      </x:c>
      <x:c r="AK59" s="50" t="str">
        <x:v>Requiere calificación comercial en primer contacto.</x:v>
      </x:c>
      <x:c r="AL59" s="50" t="str">
        <x:v>Web oficial / fuente comercial</x:v>
      </x:c>
      <x:c r="AM59" s="50" t="str">
        <x:v>Alta Río Cuarto; barrido integral por marcas, alquiler, maquinaria, industria y corredores A005/RN8/RN36.</x:v>
      </x:c>
    </x:row>
    <x:row r="60" ht="48" customHeight="1">
      <x:c r="A60" s="50" t="str">
        <x:v>RC-059</x:v>
      </x:c>
      <x:c r="B60" s="50" t="str">
        <x:v>Pendiente</x:v>
      </x:c>
      <x:c r="C60" s="50" t="str">
        <x:v>Río Cuarto</x:v>
      </x:c>
      <x:c r="D60" s="50" t="str">
        <x:v>Área urbana Río Cuarto</x:v>
      </x:c>
      <x:c r="E60" s="50" t="str">
        <x:v>Río Cuarto</x:v>
      </x:c>
      <x:c r="F60" s="50" t="str">
        <x:v>A</x:v>
      </x:c>
      <x:c r="G60" s="50" t="n">
        <x:v>84</x:v>
      </x:c>
      <x:c r="H60" s="50" t="str">
        <x:v>Perforaciones Kraemer</x:v>
      </x:c>
      <x:c r="I60" s="50" t="str">
        <x:v>Perforación de pozos</x:v>
      </x:c>
      <x:c r="J60" s="50" t="str">
        <x:v>Perforaciones / fundaciones</x:v>
      </x:c>
      <x:c r="K60" s="50" t="str">
        <x:v>+54 358 5621022</x:v>
      </x:c>
      <x:c r="L60" s="50" t="str">
        <x:v>OK</x:v>
      </x:c>
      <x:c r="M60" s="50" t="str">
        <x:v>operaciones / equipos</x:v>
      </x:c>
      <x:c r="N60" s="50" t="str">
        <x:v>Movilización de perforadoras, herramientas y equipos entre obras y base.</x:v>
      </x:c>
      <x:c r="O60" s="50" t="str">
        <x:v>Plataforma 20 tn + malacate + hidrogrúa.</x:v>
      </x:c>
      <x:c r="P60" s="50" t="str">
        <x:v>Traslado coordinado de equipos de perforación y accesorios entre frentes.</x:v>
      </x:c>
      <x:c r="Q60" s="50" t="str">
        <x:v>Pedir obras/equipos; consultar pesos, dimensiones y cronograma de movilizaciones.</x:v>
      </x:c>
      <x:c r="R60" s="50" t="str"/>
      <x:c r="S60" s="50" t="str">
        <x:v>Río Cuarto, Córdoba</x:v>
      </x:c>
      <x:c r="T60" s="50" t="str"/>
      <x:c r="U60" s="50" t="str"/>
      <x:c r="V60" s="50" t="str"/>
      <x:c r="W60" s="50" t="str"/>
      <x:c r="X60" s="50" t="str">
        <x:v>+543585621022</x:v>
      </x:c>
      <x:c r="Y60" s="50" t="str">
        <x:v>tel:+543585621022</x:v>
      </x:c>
      <x:c r="Z60" s="50" t="str">
        <x:v>Confirmar decisor, frecuencia mensual, pesos/dimensiones y cómo resuelven hoy los traslados.</x:v>
      </x:c>
      <x:c r="AA60" s="50" t="str">
        <x:v>https://www.google.com/maps/search/?api=1&amp;query=Perforaciones+Kraemer%2C+R%C3%ADo+Cuarto%2C+C%C3%B3rdoba</x:v>
      </x:c>
      <x:c r="AB60" s="50" t="str">
        <x:v>Google Business Profile</x:v>
      </x:c>
      <x:c r="AC60" s="50" t="str">
        <x:v>https://www.google.com/maps/search/?api=1&amp;query=Perforaciones+Kraemer+Rio+Cuarto</x:v>
      </x:c>
      <x:c r="AD60" s="50" t="str">
        <x:v>Contratista local de perforación de pozos.</x:v>
      </x:c>
      <x:c r="AE60" s="50" t="str">
        <x:v>Alta</x:v>
      </x:c>
      <x:c r="AF60" s="50" t="str">
        <x:v>Rastrillaje Río Cuarto 2026-09-15</x:v>
      </x:c>
      <x:c r="AG60" s="50" t="str">
        <x:v>Plataforma 20 tn | Malacate | Hidrogrúa | Traslados interobra</x:v>
      </x:c>
      <x:c r="AH60" s="50" t="str">
        <x:v>Perforaciones / fundaciones</x:v>
      </x:c>
      <x:c r="AI60" s="50" t="str">
        <x:v>Sí</x:v>
      </x:c>
      <x:c r="AJ60" s="50" t="str">
        <x:v>PRIORIDAD ALTA</x:v>
      </x:c>
      <x:c r="AK60" s="50" t="str">
        <x:v>Equipos especiales con alto costo de inmovilización.</x:v>
      </x:c>
      <x:c r="AL60" s="50" t="str">
        <x:v>Google Business / directorio / web sectorial</x:v>
      </x:c>
      <x:c r="AM60" s="50" t="str">
        <x:v>Alta Río Cuarto; barrido integral por marcas, alquiler, maquinaria, industria y corredores A005/RN8/RN36.</x:v>
      </x:c>
    </x:row>
    <x:row r="61" ht="48" customHeight="1">
      <x:c r="A61" s="50" t="str">
        <x:v>RC-060</x:v>
      </x:c>
      <x:c r="B61" s="50" t="str">
        <x:v>Pendiente</x:v>
      </x:c>
      <x:c r="C61" s="50" t="str">
        <x:v>Río Cuarto</x:v>
      </x:c>
      <x:c r="D61" s="50" t="str">
        <x:v>Área urbana Río Cuarto</x:v>
      </x:c>
      <x:c r="E61" s="50" t="str">
        <x:v>Río Cuarto</x:v>
      </x:c>
      <x:c r="F61" s="50" t="str">
        <x:v>A</x:v>
      </x:c>
      <x:c r="G61" s="50" t="n">
        <x:v>82</x:v>
      </x:c>
      <x:c r="H61" s="50" t="str">
        <x:v>ACO-PLAR</x:v>
      </x:c>
      <x:c r="I61" s="50" t="str">
        <x:v>Taller y servicios para camiones</x:v>
      </x:c>
      <x:c r="J61" s="50" t="str">
        <x:v>Transporte / camiones / izajes</x:v>
      </x:c>
      <x:c r="K61" s="50" t="str">
        <x:v>+54 358 4205681</x:v>
      </x:c>
      <x:c r="L61" s="50" t="str">
        <x:v>OK</x:v>
      </x:c>
      <x:c r="M61" s="50" t="str">
        <x:v>taller / comercial / flota</x:v>
      </x:c>
      <x:c r="N61" s="50" t="str">
        <x:v>Traslado de camiones, semirremolques, equipos averiados o apoyo de flota en contingencias.</x:v>
      </x:c>
      <x:c r="O61" s="50" t="str">
        <x:v>Plataforma 20 tn + malacate + hidrogrúa/izaje según maniobra.</x:v>
      </x:c>
      <x:c r="P61" s="50" t="str">
        <x:v>Apoyo externo para rescates, reposicionamientos y equipos que no pueden circular.</x:v>
      </x:c>
      <x:c r="Q61" s="50" t="str">
        <x:v>Pedir taller/flota/logística; ofrecer soporte de contingencia y tarifa por movilización.</x:v>
      </x:c>
      <x:c r="R61" s="50" t="str"/>
      <x:c r="S61" s="50" t="str">
        <x:v>Pcia. de La Rioja 2600, X5800 Río Cuarto, Córdoba</x:v>
      </x:c>
      <x:c r="T61" s="50" t="str"/>
      <x:c r="U61" s="50" t="str"/>
      <x:c r="V61" s="50" t="str"/>
      <x:c r="W61" s="50" t="str"/>
      <x:c r="X61" s="50" t="str">
        <x:v>+543584205681</x:v>
      </x:c>
      <x:c r="Y61" s="50" t="str">
        <x:v>tel:+543584205681</x:v>
      </x:c>
      <x:c r="Z61" s="50" t="str">
        <x:v>Confirmar decisor, frecuencia mensual, pesos/dimensiones y cómo resuelven hoy los traslados.</x:v>
      </x:c>
      <x:c r="AA61" s="50" t="str">
        <x:v>https://www.google.com/maps/search/?api=1&amp;query=ACO-PLAR%2C+Pcia.+de+La+Rioja+2600%2C+X5800+R%C3%ADo+Cuarto%2C+C%C3%B3rdoba</x:v>
      </x:c>
      <x:c r="AB61" s="50" t="str">
        <x:v>Google Business Profile</x:v>
      </x:c>
      <x:c r="AC61" s="50" t="str">
        <x:v>https://www.google.com/maps/search/?api=1&amp;query=ACO+PLAR+Rio+Cuarto</x:v>
      </x:c>
      <x:c r="AD61" s="50" t="str">
        <x:v>Taller de camiones sobre corredor A005.</x:v>
      </x:c>
      <x:c r="AE61" s="50" t="str">
        <x:v>Alta</x:v>
      </x:c>
      <x:c r="AF61" s="50" t="str">
        <x:v>Rastrillaje Río Cuarto 2026-09-15</x:v>
      </x:c>
      <x:c r="AG61" s="50" t="str">
        <x:v>Plataforma 20 tn | Malacate | Hidrogrúa | Apoyo de flota</x:v>
      </x:c>
      <x:c r="AH61" s="50" t="str">
        <x:v>Transporte / camiones / izajes</x:v>
      </x:c>
      <x:c r="AI61" s="50" t="str">
        <x:v>Sí</x:v>
      </x:c>
      <x:c r="AJ61" s="50" t="str">
        <x:v>PRIORIDAD ALTA</x:v>
      </x:c>
      <x:c r="AK61" s="50" t="str">
        <x:v>Oportunidad por contingencias y reposicionamiento de flota.</x:v>
      </x:c>
      <x:c r="AL61" s="50" t="str">
        <x:v>Google Business / directorio / web sectorial</x:v>
      </x:c>
      <x:c r="AM61" s="50" t="str">
        <x:v>Alta Río Cuarto; barrido integral por marcas, alquiler, maquinaria, industria y corredores A005/RN8/RN36.</x:v>
      </x:c>
    </x:row>
    <x:row r="62" ht="48" customHeight="1">
      <x:c r="A62" s="50" t="str">
        <x:v>RC-061</x:v>
      </x:c>
      <x:c r="B62" s="50" t="str">
        <x:v>Pendiente</x:v>
      </x:c>
      <x:c r="C62" s="50" t="str">
        <x:v>Río Cuarto</x:v>
      </x:c>
      <x:c r="D62" s="50" t="str">
        <x:v>Corredor RN8</x:v>
      </x:c>
      <x:c r="E62" s="50" t="str">
        <x:v>Río Cuarto</x:v>
      </x:c>
      <x:c r="F62" s="50" t="str">
        <x:v>A</x:v>
      </x:c>
      <x:c r="G62" s="50" t="n">
        <x:v>82</x:v>
      </x:c>
      <x:c r="H62" s="50" t="str">
        <x:v>Arbro S.A. - Steel Tiger</x:v>
      </x:c>
      <x:c r="I62" s="50" t="str">
        <x:v>Planta industrial / accesorios automotrices</x:v>
      </x:c>
      <x:c r="J62" s="50" t="str">
        <x:v>Metalúrgica y fabricación</x:v>
      </x:c>
      <x:c r="K62" s="50" t="str">
        <x:v>0800 7777833</x:v>
      </x:c>
      <x:c r="L62" s="50" t="str">
        <x:v>OK</x:v>
      </x:c>
      <x:c r="M62" s="50" t="str">
        <x:v>planta / logística / expedición</x:v>
      </x:c>
      <x:c r="N62" s="50" t="str">
        <x:v>Despacho/traslado de estructuras, piezas, implementos, acoplados o conjuntos metálicos.</x:v>
      </x:c>
      <x:c r="O62" s="50" t="str">
        <x:v>Plataforma + hidrogrúa + malacate; percha para pallets según carga.</x:v>
      </x:c>
      <x:c r="P62" s="50" t="str">
        <x:v>Resolver despachos pesados y piezas fuera de medida con un único proveedor.</x:v>
      </x:c>
      <x:c r="Q62" s="50" t="str">
        <x:v>Pedir expedición/logística/producción; relevar piezas máximas y destinos habituales.</x:v>
      </x:c>
      <x:c r="R62" s="50" t="str"/>
      <x:c r="S62" s="50" t="str">
        <x:v>Patricias Mendocinas 1070 – Ruta 8 km 604, X5808 Río Cuarto</x:v>
      </x:c>
      <x:c r="T62" s="50" t="str"/>
      <x:c r="U62" s="50" t="str"/>
      <x:c r="V62" s="50" t="str"/>
      <x:c r="W62" s="50" t="str"/>
      <x:c r="X62" s="50" t="str">
        <x:v>08007777833</x:v>
      </x:c>
      <x:c r="Y62" s="50" t="str">
        <x:v>tel:08007777833</x:v>
      </x:c>
      <x:c r="Z62" s="50" t="str">
        <x:v>Confirmar decisor, frecuencia mensual, pesos/dimensiones y cómo resuelven hoy los traslados.</x:v>
      </x:c>
      <x:c r="AA62" s="50" t="str">
        <x:v>https://www.google.com/maps/search/?api=1&amp;query=Arbro+S.A.+-+Steel+Tiger%2C+Patricias+Mendocinas+1070+%E2%80%93+Ruta+8+km+604%2C+X5808+R%C3%ADo+Cuarto</x:v>
      </x:c>
      <x:c r="AB62" s="50" t="str">
        <x:v>Google Business Profile</x:v>
      </x:c>
      <x:c r="AC62" s="50" t="str">
        <x:v>https://www.google.com/maps/search/?api=1&amp;query=Arbro+Steel+Tiger+Rio+Cuarto</x:v>
      </x:c>
      <x:c r="AD62" s="50" t="str">
        <x:v>Planta industrial ubicada sobre Ruta 8.</x:v>
      </x:c>
      <x:c r="AE62" s="50" t="str">
        <x:v>Alta</x:v>
      </x:c>
      <x:c r="AF62" s="50" t="str">
        <x:v>Rastrillaje Río Cuarto 2026-09-15</x:v>
      </x:c>
      <x:c r="AG62" s="50" t="str">
        <x:v>Plataforma 20 tn | Hidrogrúa | Malacate | Percha para pallets</x:v>
      </x:c>
      <x:c r="AH62" s="50" t="str">
        <x:v>Metalúrgica y fabricación</x:v>
      </x:c>
      <x:c r="AI62" s="50" t="str">
        <x:v>Sí</x:v>
      </x:c>
      <x:c r="AJ62" s="50" t="str">
        <x:v>PRIORIDAD ALTA</x:v>
      </x:c>
      <x:c r="AK62" s="50" t="str">
        <x:v>Potencial por piezas pesadas, voluminosas o de geometría irregular.</x:v>
      </x:c>
      <x:c r="AL62" s="50" t="str">
        <x:v>Google Business / directorio / web sectorial</x:v>
      </x:c>
      <x:c r="AM62" s="50" t="str">
        <x:v>Alta Río Cuarto; barrido integral por marcas, alquiler, maquinaria, industria y corredores A005/RN8/RN36.</x:v>
      </x:c>
    </x:row>
    <x:row r="63" ht="48" customHeight="1">
      <x:c r="A63" s="50" t="str">
        <x:v>RC-062</x:v>
      </x:c>
      <x:c r="B63" s="50" t="str">
        <x:v>Pendiente</x:v>
      </x:c>
      <x:c r="C63" s="50" t="str">
        <x:v>Río Cuarto</x:v>
      </x:c>
      <x:c r="D63" s="50" t="str">
        <x:v>Área urbana Río Cuarto</x:v>
      </x:c>
      <x:c r="E63" s="50" t="str">
        <x:v>Río Cuarto</x:v>
      </x:c>
      <x:c r="F63" s="50" t="str">
        <x:v>A</x:v>
      </x:c>
      <x:c r="G63" s="50" t="n">
        <x:v>82</x:v>
      </x:c>
      <x:c r="H63" s="50" t="str">
        <x:v>Carranza Perforaciones</x:v>
      </x:c>
      <x:c r="I63" s="50" t="str">
        <x:v>Perforaciones / servicios geológicos</x:v>
      </x:c>
      <x:c r="J63" s="50" t="str">
        <x:v>Perforaciones / fundaciones</x:v>
      </x:c>
      <x:c r="K63" s="50" t="str">
        <x:v>+54 9 358 5604320</x:v>
      </x:c>
      <x:c r="L63" s="50" t="str">
        <x:v>OK</x:v>
      </x:c>
      <x:c r="M63" s="50" t="str">
        <x:v>operaciones / equipos</x:v>
      </x:c>
      <x:c r="N63" s="50" t="str">
        <x:v>Movilización de perforadoras, herramientas y equipos entre obras y base.</x:v>
      </x:c>
      <x:c r="O63" s="50" t="str">
        <x:v>Plataforma 20 tn + malacate + hidrogrúa.</x:v>
      </x:c>
      <x:c r="P63" s="50" t="str">
        <x:v>Traslado coordinado de equipos de perforación y accesorios entre frentes.</x:v>
      </x:c>
      <x:c r="Q63" s="50" t="str">
        <x:v>Pedir obras/equipos; consultar pesos, dimensiones y cronograma de movilizaciones.</x:v>
      </x:c>
      <x:c r="R63" s="50" t="str"/>
      <x:c r="S63" s="50" t="str">
        <x:v>Laguna Leuvuco 4399, X5800 Río Cuarto, Córdoba</x:v>
      </x:c>
      <x:c r="T63" s="50" t="str"/>
      <x:c r="U63" s="50" t="str"/>
      <x:c r="V63" s="50" t="str"/>
      <x:c r="W63" s="50" t="str"/>
      <x:c r="X63" s="50" t="str">
        <x:v>+5493585604320</x:v>
      </x:c>
      <x:c r="Y63" s="50" t="str">
        <x:v>tel:+5493585604320</x:v>
      </x:c>
      <x:c r="Z63" s="50" t="str">
        <x:v>Confirmar decisor, frecuencia mensual, pesos/dimensiones y cómo resuelven hoy los traslados.</x:v>
      </x:c>
      <x:c r="AA63" s="50" t="str">
        <x:v>https://www.google.com/maps/search/?api=1&amp;query=Carranza+Perforaciones%2C+Laguna+Leuvuco+4399%2C+X5800+R%C3%ADo+Cuarto%2C+C%C3%B3rdoba</x:v>
      </x:c>
      <x:c r="AB63" s="50" t="str">
        <x:v>Google Business Profile</x:v>
      </x:c>
      <x:c r="AC63" s="50" t="str">
        <x:v>https://www.google.com/maps/search/?api=1&amp;query=Carranza+Perforaciones+Rio+Cuarto</x:v>
      </x:c>
      <x:c r="AD63" s="50" t="str">
        <x:v>Servicio geológico y de perforaciones local.</x:v>
      </x:c>
      <x:c r="AE63" s="50" t="str">
        <x:v>Alta</x:v>
      </x:c>
      <x:c r="AF63" s="50" t="str">
        <x:v>Rastrillaje Río Cuarto 2026-09-15</x:v>
      </x:c>
      <x:c r="AG63" s="50" t="str">
        <x:v>Plataforma 20 tn | Malacate | Hidrogrúa | Traslados interobra</x:v>
      </x:c>
      <x:c r="AH63" s="50" t="str">
        <x:v>Perforaciones / fundaciones</x:v>
      </x:c>
      <x:c r="AI63" s="50" t="str">
        <x:v>Sí</x:v>
      </x:c>
      <x:c r="AJ63" s="50" t="str">
        <x:v>PRIORIDAD ALTA</x:v>
      </x:c>
      <x:c r="AK63" s="50" t="str">
        <x:v>Equipos especiales con alto costo de inmovilización.</x:v>
      </x:c>
      <x:c r="AL63" s="50" t="str">
        <x:v>Google Business / directorio / web sectorial</x:v>
      </x:c>
      <x:c r="AM63" s="50" t="str">
        <x:v>Alta Río Cuarto; barrido integral por marcas, alquiler, maquinaria, industria y corredores A005/RN8/RN36.</x:v>
      </x:c>
    </x:row>
    <x:row r="64" ht="48" customHeight="1">
      <x:c r="A64" s="50" t="str">
        <x:v>RC-063</x:v>
      </x:c>
      <x:c r="B64" s="50" t="str">
        <x:v>Pendiente</x:v>
      </x:c>
      <x:c r="C64" s="50" t="str">
        <x:v>Río Cuarto</x:v>
      </x:c>
      <x:c r="D64" s="50" t="str">
        <x:v>Área urbana Río Cuarto</x:v>
      </x:c>
      <x:c r="E64" s="50" t="str">
        <x:v>Río Cuarto</x:v>
      </x:c>
      <x:c r="F64" s="50" t="str">
        <x:v>A</x:v>
      </x:c>
      <x:c r="G64" s="50" t="n">
        <x:v>82</x:v>
      </x:c>
      <x:c r="H64" s="50" t="str">
        <x:v>Columbia Elevadores - Río Cuarto</x:v>
      </x:c>
      <x:c r="I64" s="50" t="str">
        <x:v>Fabricación, montaje y mantenimiento de elevadores</x:v>
      </x:c>
      <x:c r="J64" s="50" t="str">
        <x:v>Autoelevadores y elevación</x:v>
      </x:c>
      <x:c r="K64" s="50" t="str">
        <x:v>+54 9 358 5093820</x:v>
      </x:c>
      <x:c r="L64" s="50" t="str">
        <x:v>OK</x:v>
      </x:c>
      <x:c r="M64" s="50" t="str">
        <x:v>montajes / logística</x:v>
      </x:c>
      <x:c r="N64" s="50" t="str">
        <x:v>Entrega/retiro de autoelevadores, plataformas y equipos de elevación entre base y clientes.</x:v>
      </x:c>
      <x:c r="O64" s="50" t="str">
        <x:v>Plataforma 20 tn + malacate + hidrogrúa de apoyo.</x:v>
      </x:c>
      <x:c r="P64" s="50" t="str">
        <x:v>Resolver entregas y retiros de alquiler/service sin sumar transporte propio.</x:v>
      </x:c>
      <x:c r="Q64" s="50" t="str">
        <x:v>Pedir alquileres/logística/service y cotizar tarifa por viaje y acuerdo recurrente.</x:v>
      </x:c>
      <x:c r="R64" s="50" t="str"/>
      <x:c r="S64" s="50" t="str">
        <x:v>Río Cuarto, Córdoba</x:v>
      </x:c>
      <x:c r="T64" s="50" t="str"/>
      <x:c r="U64" s="50" t="str"/>
      <x:c r="V64" s="50" t="str"/>
      <x:c r="W64" s="50" t="str"/>
      <x:c r="X64" s="50" t="str">
        <x:v>+5493585093820</x:v>
      </x:c>
      <x:c r="Y64" s="50" t="str">
        <x:v>tel:+5493585093820</x:v>
      </x:c>
      <x:c r="Z64" s="50" t="str">
        <x:v>Confirmar decisor, frecuencia mensual, pesos/dimensiones y cómo resuelven hoy los traslados.</x:v>
      </x:c>
      <x:c r="AA64" s="50" t="str">
        <x:v>https://www.google.com/maps/search/?api=1&amp;query=Columbia+Elevadores+-+R%C3%ADo+Cuarto%2C+R%C3%ADo+Cuarto%2C+C%C3%B3rdoba</x:v>
      </x:c>
      <x:c r="AB64" s="50" t="str">
        <x:v>Web oficial Columbia Elevadores</x:v>
      </x:c>
      <x:c r="AC64" s="50" t="str">
        <x:v>https://columbiaelevadores.com/</x:v>
      </x:c>
      <x:c r="AD64" s="50" t="str">
        <x:v>Opera en Río Cuarto con instalaciones y servicio técnico de elevadores.</x:v>
      </x:c>
      <x:c r="AE64" s="50" t="str">
        <x:v>Alta</x:v>
      </x:c>
      <x:c r="AF64" s="50" t="str">
        <x:v>Rastrillaje Río Cuarto 2026-09-15</x:v>
      </x:c>
      <x:c r="AG64" s="50" t="str">
        <x:v>Plataforma 20 tn | Malacate | Hidrogrúa | Entrega/retiro equipos</x:v>
      </x:c>
      <x:c r="AH64" s="50" t="str">
        <x:v>Autoelevadores y elevación</x:v>
      </x:c>
      <x:c r="AI64" s="50" t="str">
        <x:v>Sí</x:v>
      </x:c>
      <x:c r="AJ64" s="50" t="str">
        <x:v>PRIORIDAD ALTA</x:v>
      </x:c>
      <x:c r="AK64" s="50" t="str">
        <x:v>Movimientos recurrentes de equipos compactos y pesados.</x:v>
      </x:c>
      <x:c r="AL64" s="50" t="str">
        <x:v>Web oficial / fuente comercial</x:v>
      </x:c>
      <x:c r="AM64" s="50" t="str">
        <x:v>Alta Río Cuarto; barrido integral por marcas, alquiler, maquinaria, industria y corredores A005/RN8/RN36.</x:v>
      </x:c>
    </x:row>
    <x:row r="65" ht="48" customHeight="1">
      <x:c r="A65" s="50" t="str">
        <x:v>RC-064</x:v>
      </x:c>
      <x:c r="B65" s="50" t="str">
        <x:v>Pendiente</x:v>
      </x:c>
      <x:c r="C65" s="50" t="str">
        <x:v>Río Cuarto</x:v>
      </x:c>
      <x:c r="D65" s="50" t="str">
        <x:v>Área urbana Río Cuarto</x:v>
      </x:c>
      <x:c r="E65" s="50" t="str">
        <x:v>Río Cuarto</x:v>
      </x:c>
      <x:c r="F65" s="50" t="str">
        <x:v>A</x:v>
      </x:c>
      <x:c r="G65" s="50" t="n">
        <x:v>82</x:v>
      </x:c>
      <x:c r="H65" s="50" t="str">
        <x:v>Da Natureza Piscinas y Riegos</x:v>
      </x:c>
      <x:c r="I65" s="50" t="str">
        <x:v>Punto de venta de piscinas y casillas de fibra</x:v>
      </x:c>
      <x:c r="J65" s="50" t="str">
        <x:v>Piscinas / fibra de vidrio</x:v>
      </x:c>
      <x:c r="K65" s="50" t="str">
        <x:v>+54 9 358 4287330</x:v>
      </x:c>
      <x:c r="L65" s="50" t="str">
        <x:v>OK</x:v>
      </x:c>
      <x:c r="M65" s="50" t="str">
        <x:v>logística / instalaciones</x:v>
      </x:c>
      <x:c r="N65" s="50" t="str">
        <x:v>Traslado de piscinas/cúpulas desde fábrica o depósito hasta obra y apoyo de descarga.</x:v>
      </x:c>
      <x:c r="O65" s="50" t="str">
        <x:v>Plataforma + hidrogrúa para entrega y posicionamiento.</x:v>
      </x:c>
      <x:c r="P65" s="50" t="str">
        <x:v>Una sola coordinación para traslado y descarga en domicilio/obra.</x:v>
      </x:c>
      <x:c r="Q65" s="50" t="str">
        <x:v>Pedir logística/colocación; relevar medidas máximas y volumen mensual en temporada.</x:v>
      </x:c>
      <x:c r="R65" s="50" t="str"/>
      <x:c r="S65" s="50" t="str">
        <x:v>Reverendo Padre Silvi 551, X5806 Río Cuarto, Córdoba</x:v>
      </x:c>
      <x:c r="T65" s="50" t="str"/>
      <x:c r="U65" s="50" t="str"/>
      <x:c r="V65" s="50" t="str"/>
      <x:c r="W65" s="50" t="str"/>
      <x:c r="X65" s="50" t="str">
        <x:v>+5493584287330</x:v>
      </x:c>
      <x:c r="Y65" s="50" t="str">
        <x:v>tel:+5493584287330</x:v>
      </x:c>
      <x:c r="Z65" s="50" t="str">
        <x:v>Confirmar decisor, frecuencia mensual, pesos/dimensiones y cómo resuelven hoy los traslados.</x:v>
      </x:c>
      <x:c r="AA65" s="50" t="str">
        <x:v>https://www.google.com/maps/search/?api=1&amp;query=Da+Natureza+Piscinas+y+Riegos%2C+Reverendo+Padre+Silvi+551%2C+X5806+R%C3%ADo+Cuarto%2C+C%C3%B3rdoba</x:v>
      </x:c>
      <x:c r="AB65" s="50" t="str">
        <x:v>Moldear - punto de venta</x:v>
      </x:c>
      <x:c r="AC65" s="50" t="str">
        <x:v>https://www.moldear.com.ar/cordoba/rio-cuarto/danatureza/</x:v>
      </x:c>
      <x:c r="AD65" s="50" t="str">
        <x:v>Punto de venta certificado de piscinas y casillas de fibra.</x:v>
      </x:c>
      <x:c r="AE65" s="50" t="str">
        <x:v>Alta</x:v>
      </x:c>
      <x:c r="AF65" s="50" t="str">
        <x:v>Rastrillaje Río Cuarto 2026-09-15</x:v>
      </x:c>
      <x:c r="AG65" s="50" t="str">
        <x:v>Plataforma 20 tn | Hidrogrúa | Entrega a obra</x:v>
      </x:c>
      <x:c r="AH65" s="50" t="str">
        <x:v>Piscinas / fibra de vidrio</x:v>
      </x:c>
      <x:c r="AI65" s="50" t="str">
        <x:v>Sí</x:v>
      </x:c>
      <x:c r="AJ65" s="50" t="str">
        <x:v>PRIORIDAD ALTA</x:v>
      </x:c>
      <x:c r="AK65" s="50" t="str">
        <x:v>Carga voluminosa y estacional; buena afinidad con hidrogrúa.</x:v>
      </x:c>
      <x:c r="AL65" s="50" t="str">
        <x:v>Google Business / directorio / web sectorial</x:v>
      </x:c>
      <x:c r="AM65" s="50" t="str">
        <x:v>Alta Río Cuarto; barrido integral por marcas, alquiler, maquinaria, industria y corredores A005/RN8/RN36.</x:v>
      </x:c>
    </x:row>
    <x:row r="66" ht="48" customHeight="1">
      <x:c r="A66" s="50" t="str">
        <x:v>RC-065</x:v>
      </x:c>
      <x:c r="B66" s="50" t="str">
        <x:v>Pendiente</x:v>
      </x:c>
      <x:c r="C66" s="50" t="str">
        <x:v>Río Cuarto</x:v>
      </x:c>
      <x:c r="D66" s="50" t="str">
        <x:v>Área urbana Río Cuarto</x:v>
      </x:c>
      <x:c r="E66" s="50" t="str">
        <x:v>Río Cuarto</x:v>
      </x:c>
      <x:c r="F66" s="50" t="str">
        <x:v>A</x:v>
      </x:c>
      <x:c r="G66" s="50" t="n">
        <x:v>82</x:v>
      </x:c>
      <x:c r="H66" s="50" t="str">
        <x:v>GUIAR Constructora</x:v>
      </x:c>
      <x:c r="I66" s="50" t="str">
        <x:v>Construcción</x:v>
      </x:c>
      <x:c r="J66" s="50" t="str">
        <x:v>Construcción y obra industrial</x:v>
      </x:c>
      <x:c r="K66" s="50" t="str">
        <x:v>+54 358 3434555</x:v>
      </x:c>
      <x:c r="L66" s="50" t="str">
        <x:v>OK</x:v>
      </x:c>
      <x:c r="M66" s="50" t="str">
        <x:v>obras / compras</x:v>
      </x:c>
      <x:c r="N66" s="50" t="str">
        <x:v>Movimientos de equipos, cargas especiales o apoyo logístico asociados a su operación.</x:v>
      </x:c>
      <x:c r="O66" s="50" t="str">
        <x:v>Plataforma 20 tn + hidrogrúa + malacate según necesidad.</x:v>
      </x:c>
      <x:c r="P66" s="50" t="str">
        <x:v>Capacidad externa para movimientos pesados o especiales.</x:v>
      </x:c>
      <x:c r="Q66" s="50" t="str">
        <x:v>Contactar operaciones/logística y relevar movimientos actuales.</x:v>
      </x:c>
      <x:c r="R66" s="50" t="str"/>
      <x:c r="S66" s="50" t="str">
        <x:v>9 de Julio 170, X5800 Río Cuarto, Córdoba</x:v>
      </x:c>
      <x:c r="T66" s="50" t="str"/>
      <x:c r="U66" s="50" t="str"/>
      <x:c r="V66" s="50" t="str"/>
      <x:c r="W66" s="50" t="str"/>
      <x:c r="X66" s="50" t="str">
        <x:v>+543583434555</x:v>
      </x:c>
      <x:c r="Y66" s="50" t="str">
        <x:v>tel:+543583434555</x:v>
      </x:c>
      <x:c r="Z66" s="50" t="str">
        <x:v>Confirmar decisor, frecuencia mensual, pesos/dimensiones y cómo resuelven hoy los traslados.</x:v>
      </x:c>
      <x:c r="AA66" s="50" t="str">
        <x:v>https://www.google.com/maps/search/?api=1&amp;query=GUIAR+Constructora%2C+9+de+Julio+170%2C+X5800+R%C3%ADo+Cuarto%2C+C%C3%B3rdoba</x:v>
      </x:c>
      <x:c r="AB66" s="50" t="str">
        <x:v>Google Business Profile</x:v>
      </x:c>
      <x:c r="AC66" s="50" t="str">
        <x:v>https://www.google.com/maps/search/?api=1&amp;query=GUIAR+Constructora+Rio+Cuarto</x:v>
      </x:c>
      <x:c r="AD66" s="50" t="str">
        <x:v>Empresa constructora local.</x:v>
      </x:c>
      <x:c r="AE66" s="50" t="str">
        <x:v>Alta</x:v>
      </x:c>
      <x:c r="AF66" s="50" t="str">
        <x:v>Rastrillaje Río Cuarto 2026-09-15</x:v>
      </x:c>
      <x:c r="AG66" s="50" t="str">
        <x:v>Plataforma 20 tn | Hidrogrúa | Malacate</x:v>
      </x:c>
      <x:c r="AH66" s="50" t="str">
        <x:v>Construcción y obra industrial</x:v>
      </x:c>
      <x:c r="AI66" s="50" t="str">
        <x:v>Sí</x:v>
      </x:c>
      <x:c r="AJ66" s="50" t="str">
        <x:v>PRIORIDAD ALTA</x:v>
      </x:c>
      <x:c r="AK66" s="50" t="str">
        <x:v>Requiere calificación comercial en primer contacto.</x:v>
      </x:c>
      <x:c r="AL66" s="50" t="str">
        <x:v>Google Business / directorio / web sectorial</x:v>
      </x:c>
      <x:c r="AM66" s="50" t="str">
        <x:v>Alta Río Cuarto; barrido integral por marcas, alquiler, maquinaria, industria y corredores A005/RN8/RN36.</x:v>
      </x:c>
    </x:row>
    <x:row r="67" ht="48" customHeight="1">
      <x:c r="A67" s="50" t="str">
        <x:v>RC-066</x:v>
      </x:c>
      <x:c r="B67" s="50" t="str">
        <x:v>Pendiente</x:v>
      </x:c>
      <x:c r="C67" s="50" t="str">
        <x:v>Río Cuarto</x:v>
      </x:c>
      <x:c r="D67" s="50" t="str">
        <x:v>Área urbana Río Cuarto</x:v>
      </x:c>
      <x:c r="E67" s="50" t="str">
        <x:v>Río Cuarto</x:v>
      </x:c>
      <x:c r="F67" s="50" t="str">
        <x:v>A</x:v>
      </x:c>
      <x:c r="G67" s="50" t="n">
        <x:v>82</x:v>
      </x:c>
      <x:c r="H67" s="50" t="str">
        <x:v>Metalúrgica Tsuji</x:v>
      </x:c>
      <x:c r="I67" s="50" t="str">
        <x:v>Taller metalúrgico</x:v>
      </x:c>
      <x:c r="J67" s="50" t="str">
        <x:v>Metalúrgica y fabricación</x:v>
      </x:c>
      <x:c r="K67" s="50" t="str">
        <x:v>+54 358 4663867</x:v>
      </x:c>
      <x:c r="L67" s="50" t="str">
        <x:v>OK</x:v>
      </x:c>
      <x:c r="M67" s="50" t="str">
        <x:v>dueño / producción</x:v>
      </x:c>
      <x:c r="N67" s="50" t="str">
        <x:v>Despacho/traslado de estructuras, piezas, implementos, acoplados o conjuntos metálicos.</x:v>
      </x:c>
      <x:c r="O67" s="50" t="str">
        <x:v>Plataforma + hidrogrúa + malacate; percha para pallets según carga.</x:v>
      </x:c>
      <x:c r="P67" s="50" t="str">
        <x:v>Resolver despachos pesados y piezas fuera de medida con un único proveedor.</x:v>
      </x:c>
      <x:c r="Q67" s="50" t="str">
        <x:v>Pedir expedición/logística/producción; relevar piezas máximas y destinos habituales.</x:v>
      </x:c>
      <x:c r="R67" s="50" t="str"/>
      <x:c r="S67" s="50" t="str">
        <x:v>Joaquín Crisol 878, X5800 Río Cuarto, Córdoba</x:v>
      </x:c>
      <x:c r="T67" s="50" t="str"/>
      <x:c r="U67" s="50" t="str"/>
      <x:c r="V67" s="50" t="str"/>
      <x:c r="W67" s="50" t="str"/>
      <x:c r="X67" s="50" t="str">
        <x:v>+543584663867</x:v>
      </x:c>
      <x:c r="Y67" s="50" t="str">
        <x:v>tel:+543584663867</x:v>
      </x:c>
      <x:c r="Z67" s="50" t="str">
        <x:v>Confirmar decisor, frecuencia mensual, pesos/dimensiones y cómo resuelven hoy los traslados.</x:v>
      </x:c>
      <x:c r="AA67" s="50" t="str">
        <x:v>https://www.google.com/maps/search/?api=1&amp;query=Metal%C3%BArgica+Tsuji%2C+Joaqu%C3%ADn+Crisol+878%2C+X5800+R%C3%ADo+Cuarto%2C+C%C3%B3rdoba</x:v>
      </x:c>
      <x:c r="AB67" s="50" t="str">
        <x:v>Google Business Profile</x:v>
      </x:c>
      <x:c r="AC67" s="50" t="str">
        <x:v>https://www.google.com/maps/search/?api=1&amp;query=Metalurgica+Tsuji+Rio+Cuarto</x:v>
      </x:c>
      <x:c r="AD67" s="50" t="str">
        <x:v>Taller metalúrgico local.</x:v>
      </x:c>
      <x:c r="AE67" s="50" t="str">
        <x:v>Alta</x:v>
      </x:c>
      <x:c r="AF67" s="50" t="str">
        <x:v>Rastrillaje Río Cuarto 2026-09-15</x:v>
      </x:c>
      <x:c r="AG67" s="50" t="str">
        <x:v>Plataforma 20 tn | Hidrogrúa | Malacate | Percha para pallets</x:v>
      </x:c>
      <x:c r="AH67" s="50" t="str">
        <x:v>Metalúrgica y fabricación</x:v>
      </x:c>
      <x:c r="AI67" s="50" t="str">
        <x:v>Sí</x:v>
      </x:c>
      <x:c r="AJ67" s="50" t="str">
        <x:v>PRIORIDAD ALTA</x:v>
      </x:c>
      <x:c r="AK67" s="50" t="str">
        <x:v>Potencial por piezas pesadas, voluminosas o de geometría irregular.</x:v>
      </x:c>
      <x:c r="AL67" s="50" t="str">
        <x:v>Google Business / directorio / web sectorial</x:v>
      </x:c>
      <x:c r="AM67" s="50" t="str">
        <x:v>Alta Río Cuarto; barrido integral por marcas, alquiler, maquinaria, industria y corredores A005/RN8/RN36.</x:v>
      </x:c>
    </x:row>
    <x:row r="68" ht="48" customHeight="1">
      <x:c r="A68" s="50" t="str">
        <x:v>RC-067</x:v>
      </x:c>
      <x:c r="B68" s="50" t="str">
        <x:v>Pendiente</x:v>
      </x:c>
      <x:c r="C68" s="50" t="str">
        <x:v>Río Cuarto</x:v>
      </x:c>
      <x:c r="D68" s="50" t="str">
        <x:v>Área urbana Río Cuarto</x:v>
      </x:c>
      <x:c r="E68" s="50" t="str">
        <x:v>Río Cuarto</x:v>
      </x:c>
      <x:c r="F68" s="50" t="str">
        <x:v>A</x:v>
      </x:c>
      <x:c r="G68" s="50" t="n">
        <x:v>80</x:v>
      </x:c>
      <x:c r="H68" s="50" t="str">
        <x:v>Cantera La Negrita</x:v>
      </x:c>
      <x:c r="I68" s="50" t="str">
        <x:v>Cantera / áridos</x:v>
      </x:c>
      <x:c r="J68" s="50" t="str">
        <x:v>Hormigón, áridos y materiales</x:v>
      </x:c>
      <x:c r="K68" s="50" t="str">
        <x:v>+54 358 4116778</x:v>
      </x:c>
      <x:c r="L68" s="50" t="str">
        <x:v>OK</x:v>
      </x:c>
      <x:c r="M68" s="50" t="str">
        <x:v>operaciones / logística</x:v>
      </x:c>
      <x:c r="N68" s="50" t="str">
        <x:v>Movimiento de equipos de planta, bombas, moldes, premoldeados, maquinaria y cargas pesadas.</x:v>
      </x:c>
      <x:c r="O68" s="50" t="str">
        <x:v>Plataforma + hidrogrúa + percha para pallets/cargas.</x:v>
      </x:c>
      <x:c r="P68" s="50" t="str">
        <x:v>Cubrir movimientos de maquinaria y cargas especiales fuera de la logística convencional.</x:v>
      </x:c>
      <x:c r="Q68" s="50" t="str">
        <x:v>Pedir planta/mantenimiento/logística; relevar equipos y movimientos no cubiertos por mixer/camión.</x:v>
      </x:c>
      <x:c r="R68" s="50" t="str"/>
      <x:c r="S68" s="50" t="str">
        <x:v>Río Cuarto, Córdoba</x:v>
      </x:c>
      <x:c r="T68" s="50" t="str"/>
      <x:c r="U68" s="50" t="str"/>
      <x:c r="V68" s="50" t="str"/>
      <x:c r="W68" s="50" t="str"/>
      <x:c r="X68" s="50" t="str">
        <x:v>+543584116778</x:v>
      </x:c>
      <x:c r="Y68" s="50" t="str">
        <x:v>tel:+543584116778</x:v>
      </x:c>
      <x:c r="Z68" s="50" t="str">
        <x:v>Confirmar decisor, frecuencia mensual, pesos/dimensiones y cómo resuelven hoy los traslados.</x:v>
      </x:c>
      <x:c r="AA68" s="50" t="str">
        <x:v>https://www.google.com/maps/search/?api=1&amp;query=Cantera+La+Negrita%2C+R%C3%ADo+Cuarto%2C+C%C3%B3rdoba</x:v>
      </x:c>
      <x:c r="AB68" s="50" t="str">
        <x:v>Google Business Profile</x:v>
      </x:c>
      <x:c r="AC68" s="50" t="str">
        <x:v>https://www.google.com/maps/search/?api=1&amp;query=Cantera+La+Negrita+Rio+Cuarto</x:v>
      </x:c>
      <x:c r="AD68" s="50" t="str">
        <x:v>Cantera local.</x:v>
      </x:c>
      <x:c r="AE68" s="50" t="str">
        <x:v>Alta</x:v>
      </x:c>
      <x:c r="AF68" s="50" t="str">
        <x:v>Rastrillaje Río Cuarto 2026-09-15</x:v>
      </x:c>
      <x:c r="AG68" s="50" t="str">
        <x:v>Plataforma 20 tn | Hidrogrúa | Percha para pallets | Malacate</x:v>
      </x:c>
      <x:c r="AH68" s="50" t="str">
        <x:v>Hormigón, áridos y materiales</x:v>
      </x:c>
      <x:c r="AI68" s="50" t="str">
        <x:v>Sí</x:v>
      </x:c>
      <x:c r="AJ68" s="50" t="str">
        <x:v>PRIORIDAD ALTA</x:v>
      </x:c>
      <x:c r="AK68" s="50" t="str">
        <x:v>Complementa transporte de materiales con cargas/equipos especiales.</x:v>
      </x:c>
      <x:c r="AL68" s="50" t="str">
        <x:v>Google Business / directorio / web sectorial</x:v>
      </x:c>
      <x:c r="AM68" s="50" t="str">
        <x:v>Alta Río Cuarto; barrido integral por marcas, alquiler, maquinaria, industria y corredores A005/RN8/RN36.</x:v>
      </x:c>
    </x:row>
    <x:row r="69" ht="48" customHeight="1">
      <x:c r="A69" s="50" t="str">
        <x:v>RC-068</x:v>
      </x:c>
      <x:c r="B69" s="50" t="str">
        <x:v>Pendiente</x:v>
      </x:c>
      <x:c r="C69" s="50" t="str">
        <x:v>Río Cuarto</x:v>
      </x:c>
      <x:c r="D69" s="50" t="str">
        <x:v>Área urbana Río Cuarto</x:v>
      </x:c>
      <x:c r="E69" s="50" t="str">
        <x:v>Río Cuarto</x:v>
      </x:c>
      <x:c r="F69" s="50" t="str">
        <x:v>A</x:v>
      </x:c>
      <x:c r="G69" s="50" t="n">
        <x:v>80</x:v>
      </x:c>
      <x:c r="H69" s="50" t="str">
        <x:v>Carmix Hormigón Elaborado</x:v>
      </x:c>
      <x:c r="I69" s="50" t="str">
        <x:v>Hormigón elaborado</x:v>
      </x:c>
      <x:c r="J69" s="50" t="str">
        <x:v>Hormigón, áridos y materiales</x:v>
      </x:c>
      <x:c r="K69" s="50" t="str">
        <x:v>A verificar</x:v>
      </x:c>
      <x:c r="L69" s="50" t="str">
        <x:v>A verificar</x:v>
      </x:c>
      <x:c r="M69" s="50" t="str">
        <x:v>planta / logística</x:v>
      </x:c>
      <x:c r="N69" s="50" t="str">
        <x:v>Movimiento de equipos de planta, bombas, moldes, premoldeados, maquinaria y cargas pesadas.</x:v>
      </x:c>
      <x:c r="O69" s="50" t="str">
        <x:v>Plataforma + hidrogrúa + percha para pallets/cargas.</x:v>
      </x:c>
      <x:c r="P69" s="50" t="str">
        <x:v>Cubrir movimientos de maquinaria y cargas especiales fuera de la logística convencional.</x:v>
      </x:c>
      <x:c r="Q69" s="50" t="str">
        <x:v>Pedir planta/mantenimiento/logística; relevar equipos y movimientos no cubiertos por mixer/camión.</x:v>
      </x:c>
      <x:c r="R69" s="50" t="str"/>
      <x:c r="S69" s="50" t="str">
        <x:v>Vélez Sarsfield 260, X5800 Río Cuarto, Córdoba</x:v>
      </x:c>
      <x:c r="T69" s="50" t="str"/>
      <x:c r="U69" s="50" t="str"/>
      <x:c r="V69" s="50" t="str"/>
      <x:c r="W69" s="50" t="str"/>
      <x:c r="X69" s="50" t="str"/>
      <x:c r="Y69" s="50" t="str"/>
      <x:c r="Z69" s="50" t="str">
        <x:v>Confirmar teléfono directo + decisor + frecuencia mensual + pesos/dimensiones.</x:v>
      </x:c>
      <x:c r="AA69" s="50" t="str">
        <x:v>https://www.google.com/maps/search/?api=1&amp;query=Carmix+Hormig%C3%B3n+Elaborado%2C+V%C3%A9lez+Sarsfield+260%2C+X5800+R%C3%ADo+Cuarto%2C+C%C3%B3rdoba</x:v>
      </x:c>
      <x:c r="AB69" s="50" t="str">
        <x:v>Google Business Profile</x:v>
      </x:c>
      <x:c r="AC69" s="50" t="str">
        <x:v>https://www.google.com/maps/search/?api=1&amp;query=Carmix+Hormigon+Elaborado+Rio+Cuarto</x:v>
      </x:c>
      <x:c r="AD69" s="50" t="str">
        <x:v>Empresa local de hormigonado.</x:v>
      </x:c>
      <x:c r="AE69" s="50" t="str">
        <x:v>Media</x:v>
      </x:c>
      <x:c r="AF69" s="50" t="str">
        <x:v>Rastrillaje Río Cuarto 2026-09-15</x:v>
      </x:c>
      <x:c r="AG69" s="50" t="str">
        <x:v>Plataforma 20 tn | Hidrogrúa | Percha para pallets | Malacate</x:v>
      </x:c>
      <x:c r="AH69" s="50" t="str">
        <x:v>Hormigón, áridos y materiales</x:v>
      </x:c>
      <x:c r="AI69" s="50" t="str">
        <x:v>Sí</x:v>
      </x:c>
      <x:c r="AJ69" s="50" t="str">
        <x:v>PRIORIDAD ALTA</x:v>
      </x:c>
      <x:c r="AK69" s="50" t="str">
        <x:v>Complementa transporte de materiales con cargas/equipos especiales.</x:v>
      </x:c>
      <x:c r="AL69" s="50" t="str">
        <x:v>Google Business / directorio / web sectorial</x:v>
      </x:c>
      <x:c r="AM69" s="50" t="str">
        <x:v>Alta Río Cuarto; barrido integral por marcas, alquiler, maquinaria, industria y corredores A005/RN8/RN36.</x:v>
      </x:c>
    </x:row>
    <x:row r="70" ht="48" customHeight="1">
      <x:c r="A70" s="50" t="str">
        <x:v>RC-069</x:v>
      </x:c>
      <x:c r="B70" s="50" t="str">
        <x:v>Pendiente</x:v>
      </x:c>
      <x:c r="C70" s="50" t="str">
        <x:v>Río Cuarto</x:v>
      </x:c>
      <x:c r="D70" s="50" t="str">
        <x:v>Área urbana Río Cuarto</x:v>
      </x:c>
      <x:c r="E70" s="50" t="str">
        <x:v>Río Cuarto</x:v>
      </x:c>
      <x:c r="F70" s="50" t="str">
        <x:v>A</x:v>
      </x:c>
      <x:c r="G70" s="50" t="n">
        <x:v>80</x:v>
      </x:c>
      <x:c r="H70" s="50" t="str">
        <x:v>Cassel Argentina</x:v>
      </x:c>
      <x:c r="I70" s="50" t="str">
        <x:v>Equipos industriales de inspección</x:v>
      </x:c>
      <x:c r="J70" s="50" t="str">
        <x:v>Equipos industriales / energía</x:v>
      </x:c>
      <x:c r="K70" s="50" t="str">
        <x:v>+54 358 4646141 / 4326611</x:v>
      </x:c>
      <x:c r="L70" s="50" t="str">
        <x:v>OK</x:v>
      </x:c>
      <x:c r="M70" s="50" t="str">
        <x:v>logística / instalaciones / servicio</x:v>
      </x:c>
      <x:c r="N70" s="50" t="str">
        <x:v>Movimiento de grupos, tableros, motores, módulos y equipos industriales para obra o mantenimiento.</x:v>
      </x:c>
      <x:c r="O70" s="50" t="str">
        <x:v>Plataforma + hidrogrúa + percha para pallets + seguro/GPS.</x:v>
      </x:c>
      <x:c r="P70" s="50" t="str">
        <x:v>Entrega y posicionamiento de equipos pesados con coordinación integral.</x:v>
      </x:c>
      <x:c r="Q70" s="50" t="str">
        <x:v>Pedir proyectos/mantenimiento/logística; consultar pesos, obras activas y montajes.</x:v>
      </x:c>
      <x:c r="R70" s="50" t="str"/>
      <x:c r="S70" s="50" t="str">
        <x:v>Av. Marcelo T. de Alvear 1889, X5800 Río Cuarto, Córdoba</x:v>
      </x:c>
      <x:c r="T70" s="50" t="str"/>
      <x:c r="U70" s="50" t="str"/>
      <x:c r="V70" s="50" t="str"/>
      <x:c r="W70" s="50" t="str"/>
      <x:c r="X70" s="50" t="str">
        <x:v>+543584646141</x:v>
      </x:c>
      <x:c r="Y70" s="50" t="str">
        <x:v>tel:+543584646141 | tel:4326611</x:v>
      </x:c>
      <x:c r="Z70" s="50" t="str">
        <x:v>Confirmar decisor, frecuencia mensual, pesos/dimensiones y cómo resuelven hoy los traslados.</x:v>
      </x:c>
      <x:c r="AA70" s="50" t="str">
        <x:v>https://www.google.com/maps/search/?api=1&amp;query=Cassel+Argentina%2C+Av.+Marcelo+T.+de+Alvear+1889%2C+X5800+R%C3%ADo+Cuarto%2C+C%C3%B3rdoba</x:v>
      </x:c>
      <x:c r="AB70" s="50" t="str">
        <x:v>Web oficial Cassel Argentina</x:v>
      </x:c>
      <x:c r="AC70" s="50" t="str">
        <x:v>https://casselargentina.com.ar/</x:v>
      </x:c>
      <x:c r="AD70" s="50" t="str">
        <x:v>Proveedor de equipos industriales para líneas de producción.</x:v>
      </x:c>
      <x:c r="AE70" s="50" t="str">
        <x:v>Alta</x:v>
      </x:c>
      <x:c r="AF70" s="50" t="str">
        <x:v>Rastrillaje Río Cuarto 2026-09-15</x:v>
      </x:c>
      <x:c r="AG70" s="50" t="str">
        <x:v>Plataforma 20 tn | Hidrogrúa | Percha para pallets | Seguro/GPS</x:v>
      </x:c>
      <x:c r="AH70" s="50" t="str">
        <x:v>Equipos industriales / energía</x:v>
      </x:c>
      <x:c r="AI70" s="50" t="str">
        <x:v>Sí</x:v>
      </x:c>
      <x:c r="AJ70" s="50" t="str">
        <x:v>PRIORIDAD ALTA</x:v>
      </x:c>
      <x:c r="AK70" s="50" t="str">
        <x:v>Buen fit para maniobras combinadas transporte + descarga.</x:v>
      </x:c>
      <x:c r="AL70" s="50" t="str">
        <x:v>Web oficial / fuente comercial</x:v>
      </x:c>
      <x:c r="AM70" s="50" t="str">
        <x:v>Alta Río Cuarto; barrido integral por marcas, alquiler, maquinaria, industria y corredores A005/RN8/RN36.</x:v>
      </x:c>
    </x:row>
    <x:row r="71" ht="48" customHeight="1">
      <x:c r="A71" s="50" t="str">
        <x:v>RC-070</x:v>
      </x:c>
      <x:c r="B71" s="50" t="str">
        <x:v>Pendiente</x:v>
      </x:c>
      <x:c r="C71" s="50" t="str">
        <x:v>Río Cuarto</x:v>
      </x:c>
      <x:c r="D71" s="50" t="str">
        <x:v>Área urbana Río Cuarto</x:v>
      </x:c>
      <x:c r="E71" s="50" t="str">
        <x:v>Río Cuarto</x:v>
      </x:c>
      <x:c r="F71" s="50" t="str">
        <x:v>A</x:v>
      </x:c>
      <x:c r="G71" s="50" t="n">
        <x:v>80</x:v>
      </x:c>
      <x:c r="H71" s="50" t="str">
        <x:v>Fábrica de Cabinas I.M.S.A.</x:v>
      </x:c>
      <x:c r="I71" s="50" t="str">
        <x:v>Fabricación de cabinas / componentes</x:v>
      </x:c>
      <x:c r="J71" s="50" t="str">
        <x:v>Metalúrgica y fabricación</x:v>
      </x:c>
      <x:c r="K71" s="50" t="str">
        <x:v>+54 358 4375447</x:v>
      </x:c>
      <x:c r="L71" s="50" t="str">
        <x:v>OK</x:v>
      </x:c>
      <x:c r="M71" s="50" t="str">
        <x:v>producción / expedición</x:v>
      </x:c>
      <x:c r="N71" s="50" t="str">
        <x:v>Despacho/traslado de estructuras, piezas, implementos, acoplados o conjuntos metálicos.</x:v>
      </x:c>
      <x:c r="O71" s="50" t="str">
        <x:v>Plataforma + hidrogrúa + malacate; percha para pallets según carga.</x:v>
      </x:c>
      <x:c r="P71" s="50" t="str">
        <x:v>Resolver despachos pesados y piezas fuera de medida con un único proveedor.</x:v>
      </x:c>
      <x:c r="Q71" s="50" t="str">
        <x:v>Pedir expedición/logística/producción; relevar piezas máximas y destinos habituales.</x:v>
      </x:c>
      <x:c r="R71" s="50" t="str"/>
      <x:c r="S71" s="50" t="str">
        <x:v>Río Deseado 634, X5800 Río Cuarto, Córdoba</x:v>
      </x:c>
      <x:c r="T71" s="50" t="str"/>
      <x:c r="U71" s="50" t="str"/>
      <x:c r="V71" s="50" t="str"/>
      <x:c r="W71" s="50" t="str"/>
      <x:c r="X71" s="50" t="str">
        <x:v>+543584375447</x:v>
      </x:c>
      <x:c r="Y71" s="50" t="str">
        <x:v>tel:+543584375447</x:v>
      </x:c>
      <x:c r="Z71" s="50" t="str">
        <x:v>Confirmar decisor, frecuencia mensual, pesos/dimensiones y cómo resuelven hoy los traslados.</x:v>
      </x:c>
      <x:c r="AA71" s="50" t="str">
        <x:v>https://www.google.com/maps/search/?api=1&amp;query=F%C3%A1brica+de+Cabinas+I.M.S.A.%2C+R%C3%ADo+Deseado+634%2C+X5800+R%C3%ADo+Cuarto%2C+C%C3%B3rdoba</x:v>
      </x:c>
      <x:c r="AB71" s="50" t="str">
        <x:v>Google Business Profile</x:v>
      </x:c>
      <x:c r="AC71" s="50" t="str">
        <x:v>https://www.google.com/maps/search/?api=1&amp;query=Fabrica+de+Cabinas+IMSA+Rio+Cuarto</x:v>
      </x:c>
      <x:c r="AD71" s="50" t="str">
        <x:v>Fábrica local de cabinas y componentes.</x:v>
      </x:c>
      <x:c r="AE71" s="50" t="str">
        <x:v>Alta</x:v>
      </x:c>
      <x:c r="AF71" s="50" t="str">
        <x:v>Rastrillaje Río Cuarto 2026-09-15</x:v>
      </x:c>
      <x:c r="AG71" s="50" t="str">
        <x:v>Plataforma 20 tn | Hidrogrúa | Malacate | Percha para pallets</x:v>
      </x:c>
      <x:c r="AH71" s="50" t="str">
        <x:v>Metalúrgica y fabricación</x:v>
      </x:c>
      <x:c r="AI71" s="50" t="str">
        <x:v>Sí</x:v>
      </x:c>
      <x:c r="AJ71" s="50" t="str">
        <x:v>PRIORIDAD ALTA</x:v>
      </x:c>
      <x:c r="AK71" s="50" t="str">
        <x:v>Potencial por piezas pesadas, voluminosas o de geometría irregular.</x:v>
      </x:c>
      <x:c r="AL71" s="50" t="str">
        <x:v>Google Business / directorio / web sectorial</x:v>
      </x:c>
      <x:c r="AM71" s="50" t="str">
        <x:v>Alta Río Cuarto; barrido integral por marcas, alquiler, maquinaria, industria y corredores A005/RN8/RN36.</x:v>
      </x:c>
    </x:row>
    <x:row r="72" ht="48" customHeight="1">
      <x:c r="A72" s="50" t="str">
        <x:v>RC-071</x:v>
      </x:c>
      <x:c r="B72" s="50" t="str">
        <x:v>Pendiente</x:v>
      </x:c>
      <x:c r="C72" s="50" t="str">
        <x:v>Río Cuarto</x:v>
      </x:c>
      <x:c r="D72" s="50" t="str">
        <x:v>Área urbana Río Cuarto</x:v>
      </x:c>
      <x:c r="E72" s="50" t="str">
        <x:v>Río Cuarto</x:v>
      </x:c>
      <x:c r="F72" s="50" t="str">
        <x:v>A</x:v>
      </x:c>
      <x:c r="G72" s="50" t="n">
        <x:v>80</x:v>
      </x:c>
      <x:c r="H72" s="50" t="str">
        <x:v>Grandes Carteles</x:v>
      </x:c>
      <x:c r="I72" s="50" t="str">
        <x:v>Cartelería y cálculo/diseño de estructuras metálicas</x:v>
      </x:c>
      <x:c r="J72" s="50" t="str">
        <x:v>Metalúrgica y fabricación</x:v>
      </x:c>
      <x:c r="K72" s="50" t="str">
        <x:v>+54 358 4220799 / 4220795</x:v>
      </x:c>
      <x:c r="L72" s="50" t="str">
        <x:v>OK</x:v>
      </x:c>
      <x:c r="M72" s="50" t="str">
        <x:v>producción / montaje / logística</x:v>
      </x:c>
      <x:c r="N72" s="50" t="str">
        <x:v>Despacho/traslado de estructuras, piezas, implementos, acoplados o conjuntos metálicos.</x:v>
      </x:c>
      <x:c r="O72" s="50" t="str">
        <x:v>Plataforma + hidrogrúa + malacate; percha para pallets según carga.</x:v>
      </x:c>
      <x:c r="P72" s="50" t="str">
        <x:v>Resolver despachos pesados y piezas fuera de medida con un único proveedor.</x:v>
      </x:c>
      <x:c r="Q72" s="50" t="str">
        <x:v>Pedir expedición/logística/producción; relevar piezas máximas y destinos habituales.</x:v>
      </x:c>
      <x:c r="R72" s="50" t="str"/>
      <x:c r="S72" s="50" t="str">
        <x:v>San Martín 1533, Río Cuarto, Córdoba</x:v>
      </x:c>
      <x:c r="T72" s="50" t="str"/>
      <x:c r="U72" s="50" t="str"/>
      <x:c r="V72" s="50" t="str"/>
      <x:c r="W72" s="50" t="str"/>
      <x:c r="X72" s="50" t="str">
        <x:v>+543584220799</x:v>
      </x:c>
      <x:c r="Y72" s="50" t="str">
        <x:v>tel:+543584220799 | tel:4220795</x:v>
      </x:c>
      <x:c r="Z72" s="50" t="str">
        <x:v>Confirmar decisor, frecuencia mensual, pesos/dimensiones y cómo resuelven hoy los traslados.</x:v>
      </x:c>
      <x:c r="AA72" s="50" t="str">
        <x:v>https://www.google.com/maps/search/?api=1&amp;query=Grandes+Carteles%2C+San+Mart%C3%ADn+1533%2C+R%C3%ADo+Cuarto%2C+C%C3%B3rdoba</x:v>
      </x:c>
      <x:c r="AB72" s="50" t="str">
        <x:v>Web oficial Grandes Carteles</x:v>
      </x:c>
      <x:c r="AC72" s="50" t="str">
        <x:v>https://www.grandescarteles.com.ar/contacto.html</x:v>
      </x:c>
      <x:c r="AD72" s="50" t="str">
        <x:v>Diseña y fabrica estructuras para cartelería de gran formato.</x:v>
      </x:c>
      <x:c r="AE72" s="50" t="str">
        <x:v>Alta</x:v>
      </x:c>
      <x:c r="AF72" s="50" t="str">
        <x:v>Rastrillaje Río Cuarto 2026-09-15</x:v>
      </x:c>
      <x:c r="AG72" s="50" t="str">
        <x:v>Plataforma 20 tn | Hidrogrúa | Malacate | Percha para pallets</x:v>
      </x:c>
      <x:c r="AH72" s="50" t="str">
        <x:v>Metalúrgica y fabricación</x:v>
      </x:c>
      <x:c r="AI72" s="50" t="str">
        <x:v>Sí</x:v>
      </x:c>
      <x:c r="AJ72" s="50" t="str">
        <x:v>PRIORIDAD ALTA</x:v>
      </x:c>
      <x:c r="AK72" s="50" t="str">
        <x:v>Potencial por piezas pesadas, voluminosas o de geometría irregular.</x:v>
      </x:c>
      <x:c r="AL72" s="50" t="str">
        <x:v>Web oficial / fuente comercial</x:v>
      </x:c>
      <x:c r="AM72" s="50" t="str">
        <x:v>Alta Río Cuarto; barrido integral por marcas, alquiler, maquinaria, industria y corredores A005/RN8/RN36.</x:v>
      </x:c>
    </x:row>
    <x:row r="73" ht="48" customHeight="1">
      <x:c r="A73" s="50" t="str">
        <x:v>RC-072</x:v>
      </x:c>
      <x:c r="B73" s="50" t="str">
        <x:v>Pendiente</x:v>
      </x:c>
      <x:c r="C73" s="50" t="str">
        <x:v>Río Cuarto</x:v>
      </x:c>
      <x:c r="D73" s="50" t="str">
        <x:v>Av. Perón / Oeste</x:v>
      </x:c>
      <x:c r="E73" s="50" t="str">
        <x:v>Río Cuarto</x:v>
      </x:c>
      <x:c r="F73" s="50" t="str">
        <x:v>A</x:v>
      </x:c>
      <x:c r="G73" s="50" t="n">
        <x:v>80</x:v>
      </x:c>
      <x:c r="H73" s="50" t="str">
        <x:v>Lunardi Desarrollista</x:v>
      </x:c>
      <x:c r="I73" s="50" t="str">
        <x:v>Desarrollos y construcción</x:v>
      </x:c>
      <x:c r="J73" s="50" t="str">
        <x:v>Construcción y obra industrial</x:v>
      </x:c>
      <x:c r="K73" s="50" t="str">
        <x:v>+54 358 4629741</x:v>
      </x:c>
      <x:c r="L73" s="50" t="str">
        <x:v>OK</x:v>
      </x:c>
      <x:c r="M73" s="50" t="str">
        <x:v>obras / compras / logística</x:v>
      </x:c>
      <x:c r="N73" s="50" t="str">
        <x:v>Movimientos de equipos, cargas especiales o apoyo logístico asociados a su operación.</x:v>
      </x:c>
      <x:c r="O73" s="50" t="str">
        <x:v>Plataforma 20 tn + hidrogrúa + malacate según necesidad.</x:v>
      </x:c>
      <x:c r="P73" s="50" t="str">
        <x:v>Capacidad externa para movimientos pesados o especiales.</x:v>
      </x:c>
      <x:c r="Q73" s="50" t="str">
        <x:v>Contactar operaciones/logística y relevar movimientos actuales.</x:v>
      </x:c>
      <x:c r="R73" s="50" t="str"/>
      <x:c r="S73" s="50" t="str">
        <x:v>Av. Presidente Perón Centro 448, X5800 Río Cuarto, Córdoba</x:v>
      </x:c>
      <x:c r="T73" s="50" t="str"/>
      <x:c r="U73" s="50" t="str"/>
      <x:c r="V73" s="50" t="str"/>
      <x:c r="W73" s="50" t="str"/>
      <x:c r="X73" s="50" t="str">
        <x:v>+543584629741</x:v>
      </x:c>
      <x:c r="Y73" s="50" t="str">
        <x:v>tel:+543584629741</x:v>
      </x:c>
      <x:c r="Z73" s="50" t="str">
        <x:v>Confirmar decisor, frecuencia mensual, pesos/dimensiones y cómo resuelven hoy los traslados.</x:v>
      </x:c>
      <x:c r="AA73" s="50" t="str">
        <x:v>https://www.google.com/maps/search/?api=1&amp;query=Lunardi+Desarrollista%2C+Av.+Presidente+Per%C3%B3n+Centro+448%2C+X5800+R%C3%ADo+Cuarto%2C+C%C3%B3rdoba</x:v>
      </x:c>
      <x:c r="AB73" s="50" t="str">
        <x:v>Google Business Profile</x:v>
      </x:c>
      <x:c r="AC73" s="50" t="str">
        <x:v>https://www.google.com/maps/search/?api=1&amp;query=Lunardi+Desarrollista+Rio+Cuarto</x:v>
      </x:c>
      <x:c r="AD73" s="50" t="str">
        <x:v>Desarrollista local; comparte ecosistema empresarial con Mixon/Attus.</x:v>
      </x:c>
      <x:c r="AE73" s="50" t="str">
        <x:v>Alta</x:v>
      </x:c>
      <x:c r="AF73" s="50" t="str">
        <x:v>Rastrillaje Río Cuarto 2026-09-15</x:v>
      </x:c>
      <x:c r="AG73" s="50" t="str">
        <x:v>Plataforma 20 tn | Hidrogrúa | Malacate</x:v>
      </x:c>
      <x:c r="AH73" s="50" t="str">
        <x:v>Construcción y obra industrial</x:v>
      </x:c>
      <x:c r="AI73" s="50" t="str">
        <x:v>Sí</x:v>
      </x:c>
      <x:c r="AJ73" s="50" t="str">
        <x:v>PRIORIDAD ALTA</x:v>
      </x:c>
      <x:c r="AK73" s="50" t="str">
        <x:v>Requiere calificación comercial en primer contacto.</x:v>
      </x:c>
      <x:c r="AL73" s="50" t="str">
        <x:v>Google Business / directorio / web sectorial</x:v>
      </x:c>
      <x:c r="AM73" s="50" t="str">
        <x:v>Alta Río Cuarto; barrido integral por marcas, alquiler, maquinaria, industria y corredores A005/RN8/RN36.</x:v>
      </x:c>
    </x:row>
    <x:row r="74" ht="48" customHeight="1">
      <x:c r="A74" s="50" t="str">
        <x:v>RC-073</x:v>
      </x:c>
      <x:c r="B74" s="50" t="str">
        <x:v>Pendiente</x:v>
      </x:c>
      <x:c r="C74" s="50" t="str">
        <x:v>Río Cuarto</x:v>
      </x:c>
      <x:c r="D74" s="50" t="str">
        <x:v>Corredor A005 / Circunvalación</x:v>
      </x:c>
      <x:c r="E74" s="50" t="str">
        <x:v>Río Cuarto</x:v>
      </x:c>
      <x:c r="F74" s="50" t="str">
        <x:v>A</x:v>
      </x:c>
      <x:c r="G74" s="50" t="n">
        <x:v>80</x:v>
      </x:c>
      <x:c r="H74" s="50" t="str">
        <x:v>Luvi Piscinas</x:v>
      </x:c>
      <x:c r="I74" s="50" t="str">
        <x:v>Piscinas / instalación</x:v>
      </x:c>
      <x:c r="J74" s="50" t="str">
        <x:v>Piscinas / fibra de vidrio</x:v>
      </x:c>
      <x:c r="K74" s="50" t="str">
        <x:v>+54 358 4826734</x:v>
      </x:c>
      <x:c r="L74" s="50" t="str">
        <x:v>OK</x:v>
      </x:c>
      <x:c r="M74" s="50" t="str">
        <x:v>logística / instalaciones</x:v>
      </x:c>
      <x:c r="N74" s="50" t="str">
        <x:v>Traslado de piscinas/cúpulas desde fábrica o depósito hasta obra y apoyo de descarga.</x:v>
      </x:c>
      <x:c r="O74" s="50" t="str">
        <x:v>Plataforma + hidrogrúa para entrega y posicionamiento.</x:v>
      </x:c>
      <x:c r="P74" s="50" t="str">
        <x:v>Una sola coordinación para traslado y descarga en domicilio/obra.</x:v>
      </x:c>
      <x:c r="Q74" s="50" t="str">
        <x:v>Pedir logística/colocación; relevar medidas máximas y volumen mensual en temporada.</x:v>
      </x:c>
      <x:c r="R74" s="50" t="str"/>
      <x:c r="S74" s="50" t="str">
        <x:v>Ruta A005 y Av. Presidente Perón Oeste, Río Cuarto, Córdoba</x:v>
      </x:c>
      <x:c r="T74" s="50" t="str"/>
      <x:c r="U74" s="50" t="str"/>
      <x:c r="V74" s="50" t="str"/>
      <x:c r="W74" s="50" t="str"/>
      <x:c r="X74" s="50" t="str">
        <x:v>+543584826734</x:v>
      </x:c>
      <x:c r="Y74" s="50" t="str">
        <x:v>tel:+543584826734</x:v>
      </x:c>
      <x:c r="Z74" s="50" t="str">
        <x:v>Confirmar decisor, frecuencia mensual, pesos/dimensiones y cómo resuelven hoy los traslados.</x:v>
      </x:c>
      <x:c r="AA74" s="50" t="str">
        <x:v>https://www.google.com/maps/search/?api=1&amp;query=Luvi+Piscinas%2C+Ruta+A005+y+Av.+Presidente+Per%C3%B3n+Oeste%2C+R%C3%ADo+Cuarto%2C+C%C3%B3rdoba</x:v>
      </x:c>
      <x:c r="AB74" s="50" t="str">
        <x:v>Google Business Profile</x:v>
      </x:c>
      <x:c r="AC74" s="50" t="str">
        <x:v>https://www.google.com/maps/search/?api=1&amp;query=Luvi+Piscinas+Rio+Cuarto</x:v>
      </x:c>
      <x:c r="AD74" s="50" t="str">
        <x:v>Empresa local de piscinas sobre A005.</x:v>
      </x:c>
      <x:c r="AE74" s="50" t="str">
        <x:v>Alta</x:v>
      </x:c>
      <x:c r="AF74" s="50" t="str">
        <x:v>Rastrillaje Río Cuarto 2026-09-15</x:v>
      </x:c>
      <x:c r="AG74" s="50" t="str">
        <x:v>Plataforma 20 tn | Hidrogrúa | Entrega a obra</x:v>
      </x:c>
      <x:c r="AH74" s="50" t="str">
        <x:v>Piscinas / fibra de vidrio</x:v>
      </x:c>
      <x:c r="AI74" s="50" t="str">
        <x:v>Sí</x:v>
      </x:c>
      <x:c r="AJ74" s="50" t="str">
        <x:v>PRIORIDAD ALTA</x:v>
      </x:c>
      <x:c r="AK74" s="50" t="str">
        <x:v>Carga voluminosa y estacional; buena afinidad con hidrogrúa.</x:v>
      </x:c>
      <x:c r="AL74" s="50" t="str">
        <x:v>Google Business / directorio / web sectorial</x:v>
      </x:c>
      <x:c r="AM74" s="50" t="str">
        <x:v>Alta Río Cuarto; barrido integral por marcas, alquiler, maquinaria, industria y corredores A005/RN8/RN36.</x:v>
      </x:c>
    </x:row>
    <x:row r="75" ht="48" customHeight="1">
      <x:c r="A75" s="50" t="str">
        <x:v>RC-074</x:v>
      </x:c>
      <x:c r="B75" s="50" t="str">
        <x:v>Pendiente</x:v>
      </x:c>
      <x:c r="C75" s="50" t="str">
        <x:v>Río Cuarto</x:v>
      </x:c>
      <x:c r="D75" s="50" t="str">
        <x:v>Av. Sabattini / Este</x:v>
      </x:c>
      <x:c r="E75" s="50" t="str">
        <x:v>Río Cuarto</x:v>
      </x:c>
      <x:c r="F75" s="50" t="str">
        <x:v>A</x:v>
      </x:c>
      <x:c r="G75" s="50" t="n">
        <x:v>80</x:v>
      </x:c>
      <x:c r="H75" s="50" t="str">
        <x:v>Osvaldo González - Sucursal Río Cuarto</x:v>
      </x:c>
      <x:c r="I75" s="50" t="str">
        <x:v>Materiales de construcción y hormigón</x:v>
      </x:c>
      <x:c r="J75" s="50" t="str">
        <x:v>Hormigón, áridos y materiales</x:v>
      </x:c>
      <x:c r="K75" s="50" t="str">
        <x:v>+54 358 4237037</x:v>
      </x:c>
      <x:c r="L75" s="50" t="str">
        <x:v>OK</x:v>
      </x:c>
      <x:c r="M75" s="50" t="str">
        <x:v>sucursal / logística / obras</x:v>
      </x:c>
      <x:c r="N75" s="50" t="str">
        <x:v>Movimiento de equipos de planta, bombas, moldes, premoldeados, maquinaria y cargas pesadas.</x:v>
      </x:c>
      <x:c r="O75" s="50" t="str">
        <x:v>Plataforma + hidrogrúa + percha para pallets/cargas.</x:v>
      </x:c>
      <x:c r="P75" s="50" t="str">
        <x:v>Cubrir movimientos de maquinaria y cargas especiales fuera de la logística convencional.</x:v>
      </x:c>
      <x:c r="Q75" s="50" t="str">
        <x:v>Pedir planta/mantenimiento/logística; relevar equipos y movimientos no cubiertos por mixer/camión.</x:v>
      </x:c>
      <x:c r="R75" s="50" t="str"/>
      <x:c r="S75" s="50" t="str">
        <x:v>Av. Amadeo Sabattini 2700, Río Cuarto, Córdoba</x:v>
      </x:c>
      <x:c r="T75" s="50" t="str"/>
      <x:c r="U75" s="50" t="str"/>
      <x:c r="V75" s="50" t="str"/>
      <x:c r="W75" s="50" t="str"/>
      <x:c r="X75" s="50" t="str">
        <x:v>+543584237037</x:v>
      </x:c>
      <x:c r="Y75" s="50" t="str">
        <x:v>tel:+543584237037</x:v>
      </x:c>
      <x:c r="Z75" s="50" t="str">
        <x:v>Confirmar decisor, frecuencia mensual, pesos/dimensiones y cómo resuelven hoy los traslados.</x:v>
      </x:c>
      <x:c r="AA75" s="50" t="str">
        <x:v>https://www.google.com/maps/search/?api=1&amp;query=Osvaldo+Gonz%C3%A1lez+-+Sucursal+R%C3%ADo+Cuarto%2C+Av.+Amadeo+Sabattini+2700%2C+R%C3%ADo+Cuarto%2C+C%C3%B3rdoba</x:v>
      </x:c>
      <x:c r="AB75" s="50" t="str">
        <x:v>Web oficial Corralón González</x:v>
      </x:c>
      <x:c r="AC75" s="50" t="str">
        <x:v>https://www.corralongonzalez.com.ar/nosotros</x:v>
      </x:c>
      <x:c r="AD75" s="50" t="str">
        <x:v>Sucursal local de materiales de construcción; el grupo comercializa hormigón elaborado.</x:v>
      </x:c>
      <x:c r="AE75" s="50" t="str">
        <x:v>Alta</x:v>
      </x:c>
      <x:c r="AF75" s="50" t="str">
        <x:v>Rastrillaje Río Cuarto 2026-09-15</x:v>
      </x:c>
      <x:c r="AG75" s="50" t="str">
        <x:v>Plataforma 20 tn | Hidrogrúa | Percha para pallets | Malacate</x:v>
      </x:c>
      <x:c r="AH75" s="50" t="str">
        <x:v>Hormigón, áridos y materiales</x:v>
      </x:c>
      <x:c r="AI75" s="50" t="str">
        <x:v>Sí</x:v>
      </x:c>
      <x:c r="AJ75" s="50" t="str">
        <x:v>PRIORIDAD ALTA</x:v>
      </x:c>
      <x:c r="AK75" s="50" t="str">
        <x:v>Complementa transporte de materiales con cargas/equipos especiales.</x:v>
      </x:c>
      <x:c r="AL75" s="50" t="str">
        <x:v>Web oficial / fuente comercial</x:v>
      </x:c>
      <x:c r="AM75" s="50" t="str">
        <x:v>Alta Río Cuarto; barrido integral por marcas, alquiler, maquinaria, industria y corredores A005/RN8/RN36.</x:v>
      </x:c>
    </x:row>
    <x:row r="76" ht="48" customHeight="1">
      <x:c r="A76" s="50" t="str">
        <x:v>RC-075</x:v>
      </x:c>
      <x:c r="B76" s="50" t="str">
        <x:v>Pendiente</x:v>
      </x:c>
      <x:c r="C76" s="50" t="str">
        <x:v>Río Cuarto</x:v>
      </x:c>
      <x:c r="D76" s="50" t="str">
        <x:v>Corredor A005 / Circunvalación</x:v>
      </x:c>
      <x:c r="E76" s="50" t="str">
        <x:v>Río Cuarto</x:v>
      </x:c>
      <x:c r="F76" s="50" t="str">
        <x:v>A</x:v>
      </x:c>
      <x:c r="G76" s="50" t="n">
        <x:v>80</x:v>
      </x:c>
      <x:c r="H76" s="50" t="str">
        <x:v>Piscinas iGUi Río Cuarto</x:v>
      </x:c>
      <x:c r="I76" s="50" t="str">
        <x:v>Piscinas de fibra / instalación</x:v>
      </x:c>
      <x:c r="J76" s="50" t="str">
        <x:v>Piscinas / fibra de vidrio</x:v>
      </x:c>
      <x:c r="K76" s="50" t="str">
        <x:v>0800 2224484</x:v>
      </x:c>
      <x:c r="L76" s="50" t="str">
        <x:v>OK</x:v>
      </x:c>
      <x:c r="M76" s="50" t="str">
        <x:v>logística / instalaciones</x:v>
      </x:c>
      <x:c r="N76" s="50" t="str">
        <x:v>Traslado de piscinas/cúpulas desde fábrica o depósito hasta obra y apoyo de descarga.</x:v>
      </x:c>
      <x:c r="O76" s="50" t="str">
        <x:v>Plataforma + hidrogrúa para entrega y posicionamiento.</x:v>
      </x:c>
      <x:c r="P76" s="50" t="str">
        <x:v>Una sola coordinación para traslado y descarga en domicilio/obra.</x:v>
      </x:c>
      <x:c r="Q76" s="50" t="str">
        <x:v>Pedir logística/colocación; relevar medidas máximas y volumen mensual en temporada.</x:v>
      </x:c>
      <x:c r="R76" s="50" t="str"/>
      <x:c r="S76" s="50" t="str">
        <x:v>RN A005 y Tejerina, Río Cuarto, Córdoba</x:v>
      </x:c>
      <x:c r="T76" s="50" t="str"/>
      <x:c r="U76" s="50" t="str"/>
      <x:c r="V76" s="50" t="str"/>
      <x:c r="W76" s="50" t="str"/>
      <x:c r="X76" s="50" t="str">
        <x:v>08002224484</x:v>
      </x:c>
      <x:c r="Y76" s="50" t="str">
        <x:v>tel:08002224484</x:v>
      </x:c>
      <x:c r="Z76" s="50" t="str">
        <x:v>Confirmar decisor, frecuencia mensual, pesos/dimensiones y cómo resuelven hoy los traslados.</x:v>
      </x:c>
      <x:c r="AA76" s="50" t="str">
        <x:v>https://www.google.com/maps/search/?api=1&amp;query=Piscinas+iGUi+R%C3%ADo+Cuarto%2C+RN+A005+y+Tejerina%2C+R%C3%ADo+Cuarto%2C+C%C3%B3rdoba</x:v>
      </x:c>
      <x:c r="AB76" s="50" t="str">
        <x:v>Google Business Profile</x:v>
      </x:c>
      <x:c r="AC76" s="50" t="str">
        <x:v>https://www.google.com/maps/search/?api=1&amp;query=Piscinas+iGUi+Rio+Cuarto</x:v>
      </x:c>
      <x:c r="AD76" s="50" t="str">
        <x:v>Contratista/punto de venta de piscinas ubicado sobre A005.</x:v>
      </x:c>
      <x:c r="AE76" s="50" t="str">
        <x:v>Alta</x:v>
      </x:c>
      <x:c r="AF76" s="50" t="str">
        <x:v>Rastrillaje Río Cuarto 2026-09-15</x:v>
      </x:c>
      <x:c r="AG76" s="50" t="str">
        <x:v>Plataforma 20 tn | Hidrogrúa | Entrega a obra</x:v>
      </x:c>
      <x:c r="AH76" s="50" t="str">
        <x:v>Piscinas / fibra de vidrio</x:v>
      </x:c>
      <x:c r="AI76" s="50" t="str">
        <x:v>Sí</x:v>
      </x:c>
      <x:c r="AJ76" s="50" t="str">
        <x:v>PRIORIDAD ALTA</x:v>
      </x:c>
      <x:c r="AK76" s="50" t="str">
        <x:v>Carga voluminosa y estacional; buena afinidad con hidrogrúa.</x:v>
      </x:c>
      <x:c r="AL76" s="50" t="str">
        <x:v>Google Business / directorio / web sectorial</x:v>
      </x:c>
      <x:c r="AM76" s="50" t="str">
        <x:v>Alta Río Cuarto; barrido integral por marcas, alquiler, maquinaria, industria y corredores A005/RN8/RN36.</x:v>
      </x:c>
    </x:row>
    <x:row r="77" ht="48" customHeight="1">
      <x:c r="A77" s="50" t="str">
        <x:v>RC-076</x:v>
      </x:c>
      <x:c r="B77" s="50" t="str">
        <x:v>Pendiente</x:v>
      </x:c>
      <x:c r="C77" s="50" t="str">
        <x:v>Río Cuarto</x:v>
      </x:c>
      <x:c r="D77" s="50" t="str">
        <x:v>Área urbana Río Cuarto</x:v>
      </x:c>
      <x:c r="E77" s="50" t="str">
        <x:v>Río Cuarto</x:v>
      </x:c>
      <x:c r="F77" s="50" t="str">
        <x:v>B</x:v>
      </x:c>
      <x:c r="G77" s="50" t="n">
        <x:v>78</x:v>
      </x:c>
      <x:c r="H77" s="50" t="str">
        <x:v>Auxilios Río Cuarto</x:v>
      </x:c>
      <x:c r="I77" s="50" t="str">
        <x:v>Servicio de grúa 24 h</x:v>
      </x:c>
      <x:c r="J77" s="50" t="str">
        <x:v>Transporte / camiones / izajes</x:v>
      </x:c>
      <x:c r="K77" s="50" t="str">
        <x:v>+54 358 5092541</x:v>
      </x:c>
      <x:c r="L77" s="50" t="str">
        <x:v>OK</x:v>
      </x:c>
      <x:c r="M77" s="50" t="str">
        <x:v>dueño / operaciones</x:v>
      </x:c>
      <x:c r="N77" s="50" t="str">
        <x:v>Traslado de camiones, semirremolques, equipos averiados o apoyo de flota en contingencias.</x:v>
      </x:c>
      <x:c r="O77" s="50" t="str">
        <x:v>Plataforma 20 tn + malacate + hidrogrúa/izaje según maniobra.</x:v>
      </x:c>
      <x:c r="P77" s="50" t="str">
        <x:v>Apoyo externo para rescates, reposicionamientos y equipos que no pueden circular.</x:v>
      </x:c>
      <x:c r="Q77" s="50" t="str">
        <x:v>Pedir taller/flota/logística; ofrecer soporte de contingencia y tarifa por movilización.</x:v>
      </x:c>
      <x:c r="R77" s="50" t="str"/>
      <x:c r="S77" s="50" t="str">
        <x:v>Luis Reinaudi 1114, X5800 Río Cuarto, Córdoba</x:v>
      </x:c>
      <x:c r="T77" s="50" t="str"/>
      <x:c r="U77" s="50" t="str"/>
      <x:c r="V77" s="50" t="str"/>
      <x:c r="W77" s="50" t="str"/>
      <x:c r="X77" s="50" t="str">
        <x:v>+543585092541</x:v>
      </x:c>
      <x:c r="Y77" s="50" t="str">
        <x:v>tel:+543585092541</x:v>
      </x:c>
      <x:c r="Z77" s="50" t="str">
        <x:v>Confirmar decisor, frecuencia mensual, pesos/dimensiones y cómo resuelven hoy los traslados.</x:v>
      </x:c>
      <x:c r="AA77" s="50" t="str">
        <x:v>https://www.google.com/maps/search/?api=1&amp;query=Auxilios+R%C3%ADo+Cuarto%2C+Luis+Reinaudi+1114%2C+X5800+R%C3%ADo+Cuarto%2C+C%C3%B3rdoba</x:v>
      </x:c>
      <x:c r="AB77" s="50" t="str">
        <x:v>Google Business Profile</x:v>
      </x:c>
      <x:c r="AC77" s="50" t="str">
        <x:v>https://www.google.com/maps/search/?api=1&amp;query=Auxilios+Rio+Cuarto</x:v>
      </x:c>
      <x:c r="AD77" s="50" t="str">
        <x:v>Servicio de grúa 24 h; posible alianza/overflow.</x:v>
      </x:c>
      <x:c r="AE77" s="50" t="str">
        <x:v>Alta</x:v>
      </x:c>
      <x:c r="AF77" s="50" t="str">
        <x:v>Rastrillaje Río Cuarto 2026-09-15</x:v>
      </x:c>
      <x:c r="AG77" s="50" t="str">
        <x:v>Plataforma 20 tn | Malacate | Hidrogrúa | Apoyo de flota</x:v>
      </x:c>
      <x:c r="AH77" s="50" t="str">
        <x:v>Transporte / camiones / izajes</x:v>
      </x:c>
      <x:c r="AI77" s="50" t="str">
        <x:v>Sí</x:v>
      </x:c>
      <x:c r="AJ77" s="50" t="str">
        <x:v>SEGUNDA PASADA</x:v>
      </x:c>
      <x:c r="AK77" s="50" t="str">
        <x:v>Oportunidad por contingencias y reposicionamiento de flota.</x:v>
      </x:c>
      <x:c r="AL77" s="50" t="str">
        <x:v>Google Business / directorio / web sectorial</x:v>
      </x:c>
      <x:c r="AM77" s="50" t="str">
        <x:v>Alta Río Cuarto; barrido integral por marcas, alquiler, maquinaria, industria y corredores A005/RN8/RN36.</x:v>
      </x:c>
    </x:row>
    <x:row r="78" ht="48" customHeight="1">
      <x:c r="A78" s="50" t="str">
        <x:v>RC-077</x:v>
      </x:c>
      <x:c r="B78" s="50" t="str">
        <x:v>Pendiente</x:v>
      </x:c>
      <x:c r="C78" s="50" t="str">
        <x:v>Río Cuarto</x:v>
      </x:c>
      <x:c r="D78" s="50" t="str">
        <x:v>Área urbana Río Cuarto</x:v>
      </x:c>
      <x:c r="E78" s="50" t="str">
        <x:v>Río Cuarto</x:v>
      </x:c>
      <x:c r="F78" s="50" t="str">
        <x:v>B</x:v>
      </x:c>
      <x:c r="G78" s="50" t="n">
        <x:v>78</x:v>
      </x:c>
      <x:c r="H78" s="50" t="str">
        <x:v>Grúa y Auxilio J&amp;L Río Cuarto</x:v>
      </x:c>
      <x:c r="I78" s="50" t="str">
        <x:v>Servicio de grúa 24 h</x:v>
      </x:c>
      <x:c r="J78" s="50" t="str">
        <x:v>Transporte / camiones / izajes</x:v>
      </x:c>
      <x:c r="K78" s="50" t="str">
        <x:v>+54 358 4118092</x:v>
      </x:c>
      <x:c r="L78" s="50" t="str">
        <x:v>OK</x:v>
      </x:c>
      <x:c r="M78" s="50" t="str">
        <x:v>dueño / operaciones</x:v>
      </x:c>
      <x:c r="N78" s="50" t="str">
        <x:v>Traslado de camiones, semirremolques, equipos averiados o apoyo de flota en contingencias.</x:v>
      </x:c>
      <x:c r="O78" s="50" t="str">
        <x:v>Plataforma 20 tn + malacate + hidrogrúa/izaje según maniobra.</x:v>
      </x:c>
      <x:c r="P78" s="50" t="str">
        <x:v>Apoyo externo para rescates, reposicionamientos y equipos que no pueden circular.</x:v>
      </x:c>
      <x:c r="Q78" s="50" t="str">
        <x:v>Pedir taller/flota/logística; ofrecer soporte de contingencia y tarifa por movilización.</x:v>
      </x:c>
      <x:c r="R78" s="50" t="str"/>
      <x:c r="S78" s="50" t="str">
        <x:v>Dr. Víctor Guillet 731, X5800 Río Cuarto, Córdoba</x:v>
      </x:c>
      <x:c r="T78" s="50" t="str"/>
      <x:c r="U78" s="50" t="str"/>
      <x:c r="V78" s="50" t="str"/>
      <x:c r="W78" s="50" t="str"/>
      <x:c r="X78" s="50" t="str">
        <x:v>+543584118092</x:v>
      </x:c>
      <x:c r="Y78" s="50" t="str">
        <x:v>tel:+543584118092</x:v>
      </x:c>
      <x:c r="Z78" s="50" t="str">
        <x:v>Confirmar decisor, frecuencia mensual, pesos/dimensiones y cómo resuelven hoy los traslados.</x:v>
      </x:c>
      <x:c r="AA78" s="50" t="str">
        <x:v>https://www.google.com/maps/search/?api=1&amp;query=Gr%C3%BAa+y+Auxilio+J%26L+R%C3%ADo+Cuarto%2C+Dr.+V%C3%ADctor+Guillet+731%2C+X5800+R%C3%ADo+Cuarto%2C+C%C3%B3rdoba</x:v>
      </x:c>
      <x:c r="AB78" s="50" t="str">
        <x:v>Google Business Profile</x:v>
      </x:c>
      <x:c r="AC78" s="50" t="str">
        <x:v>https://www.google.com/maps/search/?api=1&amp;query=Grua+y+Auxilio+JL+Rio+Cuarto</x:v>
      </x:c>
      <x:c r="AD78" s="50" t="str">
        <x:v>Servicio de grúa local con operación 24 h.</x:v>
      </x:c>
      <x:c r="AE78" s="50" t="str">
        <x:v>Alta</x:v>
      </x:c>
      <x:c r="AF78" s="50" t="str">
        <x:v>Rastrillaje Río Cuarto 2026-09-15</x:v>
      </x:c>
      <x:c r="AG78" s="50" t="str">
        <x:v>Plataforma 20 tn | Malacate | Hidrogrúa | Apoyo de flota</x:v>
      </x:c>
      <x:c r="AH78" s="50" t="str">
        <x:v>Transporte / camiones / izajes</x:v>
      </x:c>
      <x:c r="AI78" s="50" t="str">
        <x:v>Sí</x:v>
      </x:c>
      <x:c r="AJ78" s="50" t="str">
        <x:v>SEGUNDA PASADA</x:v>
      </x:c>
      <x:c r="AK78" s="50" t="str">
        <x:v>Oportunidad por contingencias y reposicionamiento de flota.</x:v>
      </x:c>
      <x:c r="AL78" s="50" t="str">
        <x:v>Google Business / directorio / web sectorial</x:v>
      </x:c>
      <x:c r="AM78" s="50" t="str">
        <x:v>Alta Río Cuarto; barrido integral por marcas, alquiler, maquinaria, industria y corredores A005/RN8/RN36.</x:v>
      </x:c>
    </x:row>
    <x:row r="79" ht="48" customHeight="1">
      <x:c r="A79" s="50" t="str">
        <x:v>RC-078</x:v>
      </x:c>
      <x:c r="B79" s="50" t="str">
        <x:v>Pendiente</x:v>
      </x:c>
      <x:c r="C79" s="50" t="str">
        <x:v>Río Cuarto</x:v>
      </x:c>
      <x:c r="D79" s="50" t="str">
        <x:v>Área urbana Río Cuarto</x:v>
      </x:c>
      <x:c r="E79" s="50" t="str">
        <x:v>Río Cuarto</x:v>
      </x:c>
      <x:c r="F79" s="50" t="str">
        <x:v>B</x:v>
      </x:c>
      <x:c r="G79" s="50" t="n">
        <x:v>78</x:v>
      </x:c>
      <x:c r="H79" s="50" t="str">
        <x:v>ONC Infraestructura</x:v>
      </x:c>
      <x:c r="I79" s="50" t="str">
        <x:v>Infraestructura eléctrica industrial</x:v>
      </x:c>
      <x:c r="J79" s="50" t="str">
        <x:v>Equipos industriales / energía</x:v>
      </x:c>
      <x:c r="K79" s="50" t="str">
        <x:v>+54 358 4310383</x:v>
      </x:c>
      <x:c r="L79" s="50" t="str">
        <x:v>OK</x:v>
      </x:c>
      <x:c r="M79" s="50" t="str">
        <x:v>obras / logística / montaje</x:v>
      </x:c>
      <x:c r="N79" s="50" t="str">
        <x:v>Movimiento de grupos, tableros, motores, módulos y equipos industriales para obra o mantenimiento.</x:v>
      </x:c>
      <x:c r="O79" s="50" t="str">
        <x:v>Plataforma + hidrogrúa + percha para pallets + seguro/GPS.</x:v>
      </x:c>
      <x:c r="P79" s="50" t="str">
        <x:v>Entrega y posicionamiento de equipos pesados con coordinación integral.</x:v>
      </x:c>
      <x:c r="Q79" s="50" t="str">
        <x:v>Pedir proyectos/mantenimiento/logística; consultar pesos, obras activas y montajes.</x:v>
      </x:c>
      <x:c r="R79" s="50" t="str"/>
      <x:c r="S79" s="50" t="str">
        <x:v>Rioja 754, Río Cuarto, Córdoba</x:v>
      </x:c>
      <x:c r="T79" s="50" t="str"/>
      <x:c r="U79" s="50" t="str"/>
      <x:c r="V79" s="50" t="str"/>
      <x:c r="W79" s="50" t="str"/>
      <x:c r="X79" s="50" t="str">
        <x:v>+543584310383</x:v>
      </x:c>
      <x:c r="Y79" s="50" t="str">
        <x:v>tel:+543584310383</x:v>
      </x:c>
      <x:c r="Z79" s="50" t="str">
        <x:v>Confirmar decisor, frecuencia mensual, pesos/dimensiones y cómo resuelven hoy los traslados.</x:v>
      </x:c>
      <x:c r="AA79" s="50" t="str">
        <x:v>https://www.google.com/maps/search/?api=1&amp;query=ONC+Infraestructura%2C+Rioja+754%2C+R%C3%ADo+Cuarto%2C+C%C3%B3rdoba</x:v>
      </x:c>
      <x:c r="AB79" s="50" t="str">
        <x:v>Web oficial ONC</x:v>
      </x:c>
      <x:c r="AC79" s="50" t="str">
        <x:v>https://oncinfraestructura.com/</x:v>
      </x:c>
      <x:c r="AD79" s="50" t="str">
        <x:v>Ejecuta instalaciones eléctricas y proyectos industriales.</x:v>
      </x:c>
      <x:c r="AE79" s="50" t="str">
        <x:v>Alta</x:v>
      </x:c>
      <x:c r="AF79" s="50" t="str">
        <x:v>Rastrillaje Río Cuarto 2026-09-15</x:v>
      </x:c>
      <x:c r="AG79" s="50" t="str">
        <x:v>Plataforma 20 tn | Hidrogrúa | Percha para pallets | Seguro/GPS</x:v>
      </x:c>
      <x:c r="AH79" s="50" t="str">
        <x:v>Equipos industriales / energía</x:v>
      </x:c>
      <x:c r="AI79" s="50" t="str">
        <x:v>Sí</x:v>
      </x:c>
      <x:c r="AJ79" s="50" t="str">
        <x:v>SEGUNDA PASADA</x:v>
      </x:c>
      <x:c r="AK79" s="50" t="str">
        <x:v>Buen fit para maniobras combinadas transporte + descarga.</x:v>
      </x:c>
      <x:c r="AL79" s="50" t="str">
        <x:v>Web oficial / fuente comercial</x:v>
      </x:c>
      <x:c r="AM79" s="50" t="str">
        <x:v>Alta Río Cuarto; barrido integral por marcas, alquiler, maquinaria, industria y corredores A005/RN8/RN36.</x:v>
      </x:c>
    </x:row>
    <x:row r="80" ht="48" customHeight="1">
      <x:c r="A80" s="50" t="str">
        <x:v>RC-079</x:v>
      </x:c>
      <x:c r="B80" s="50" t="str">
        <x:v>Pendiente</x:v>
      </x:c>
      <x:c r="C80" s="50" t="str">
        <x:v>Río Cuarto</x:v>
      </x:c>
      <x:c r="D80" s="50" t="str">
        <x:v>Área urbana Río Cuarto</x:v>
      </x:c>
      <x:c r="E80" s="50" t="str">
        <x:v>Río Cuarto</x:v>
      </x:c>
      <x:c r="F80" s="50" t="str">
        <x:v>B</x:v>
      </x:c>
      <x:c r="G80" s="50" t="n">
        <x:v>76</x:v>
      </x:c>
      <x:c r="H80" s="50" t="str">
        <x:v>Corralón Rolotti - Moldear Piscinas</x:v>
      </x:c>
      <x:c r="I80" s="50" t="str">
        <x:v>Punto de venta de piscinas/casillas de fibra</x:v>
      </x:c>
      <x:c r="J80" s="50" t="str">
        <x:v>Piscinas / fibra de vidrio</x:v>
      </x:c>
      <x:c r="K80" s="50" t="str">
        <x:v>+54 9 358 5091698</x:v>
      </x:c>
      <x:c r="L80" s="50" t="str">
        <x:v>OK</x:v>
      </x:c>
      <x:c r="M80" s="50" t="str">
        <x:v>logística / instalaciones</x:v>
      </x:c>
      <x:c r="N80" s="50" t="str">
        <x:v>Traslado de piscinas/cúpulas desde fábrica o depósito hasta obra y apoyo de descarga.</x:v>
      </x:c>
      <x:c r="O80" s="50" t="str">
        <x:v>Plataforma + hidrogrúa para entrega y posicionamiento.</x:v>
      </x:c>
      <x:c r="P80" s="50" t="str">
        <x:v>Una sola coordinación para traslado y descarga en domicilio/obra.</x:v>
      </x:c>
      <x:c r="Q80" s="50" t="str">
        <x:v>Pedir logística/colocación; relevar medidas máximas y volumen mensual en temporada.</x:v>
      </x:c>
      <x:c r="R80" s="50" t="str"/>
      <x:c r="S80" s="50" t="str">
        <x:v>Sarmiento 2849, X5800 Río Cuarto, Córdoba</x:v>
      </x:c>
      <x:c r="T80" s="50" t="str"/>
      <x:c r="U80" s="50" t="str"/>
      <x:c r="V80" s="50" t="str"/>
      <x:c r="W80" s="50" t="str"/>
      <x:c r="X80" s="50" t="str">
        <x:v>+5493585091698</x:v>
      </x:c>
      <x:c r="Y80" s="50" t="str">
        <x:v>tel:+5493585091698</x:v>
      </x:c>
      <x:c r="Z80" s="50" t="str">
        <x:v>Confirmar decisor, frecuencia mensual, pesos/dimensiones y cómo resuelven hoy los traslados.</x:v>
      </x:c>
      <x:c r="AA80" s="50" t="str">
        <x:v>https://www.google.com/maps/search/?api=1&amp;query=Corral%C3%B3n+Rolotti+-+Moldear+Piscinas%2C+Sarmiento+2849%2C+X5800+R%C3%ADo+Cuarto%2C+C%C3%B3rdoba</x:v>
      </x:c>
      <x:c r="AB80" s="50" t="str">
        <x:v>Moldear - punto de venta</x:v>
      </x:c>
      <x:c r="AC80" s="50" t="str">
        <x:v>https://www.moldear.com.ar/cordoba/rio-cuarto/corralon-rolotti/</x:v>
      </x:c>
      <x:c r="AD80" s="50" t="str">
        <x:v>Punto de venta local de piscinas y casillas de fibra.</x:v>
      </x:c>
      <x:c r="AE80" s="50" t="str">
        <x:v>Alta</x:v>
      </x:c>
      <x:c r="AF80" s="50" t="str">
        <x:v>Rastrillaje Río Cuarto 2026-09-15</x:v>
      </x:c>
      <x:c r="AG80" s="50" t="str">
        <x:v>Plataforma 20 tn | Hidrogrúa | Entrega a obra</x:v>
      </x:c>
      <x:c r="AH80" s="50" t="str">
        <x:v>Piscinas / fibra de vidrio</x:v>
      </x:c>
      <x:c r="AI80" s="50" t="str">
        <x:v>Sí</x:v>
      </x:c>
      <x:c r="AJ80" s="50" t="str">
        <x:v>SEGUNDA PASADA</x:v>
      </x:c>
      <x:c r="AK80" s="50" t="str">
        <x:v>Carga voluminosa y estacional; buena afinidad con hidrogrúa.</x:v>
      </x:c>
      <x:c r="AL80" s="50" t="str">
        <x:v>Google Business / directorio / web sectorial</x:v>
      </x:c>
      <x:c r="AM80" s="50" t="str">
        <x:v>Alta Río Cuarto; barrido integral por marcas, alquiler, maquinaria, industria y corredores A005/RN8/RN36.</x:v>
      </x:c>
    </x:row>
    <x:row r="81" ht="48" customHeight="1">
      <x:c r="A81" s="50" t="str">
        <x:v>RC-080</x:v>
      </x:c>
      <x:c r="B81" s="50" t="str">
        <x:v>Pendiente</x:v>
      </x:c>
      <x:c r="C81" s="50" t="str">
        <x:v>Río Cuarto</x:v>
      </x:c>
      <x:c r="D81" s="50" t="str">
        <x:v>Área urbana Río Cuarto</x:v>
      </x:c>
      <x:c r="E81" s="50" t="str">
        <x:v>Río Cuarto</x:v>
      </x:c>
      <x:c r="F81" s="50" t="str">
        <x:v>B</x:v>
      </x:c>
      <x:c r="G81" s="50" t="n">
        <x:v>72</x:v>
      </x:c>
      <x:c r="H81" s="50" t="str">
        <x:v>Auxilio Isidoro 24 hs</x:v>
      </x:c>
      <x:c r="I81" s="50" t="str">
        <x:v>Servicio de grúa y auxilio</x:v>
      </x:c>
      <x:c r="J81" s="50" t="str">
        <x:v>Transporte / camiones / izajes</x:v>
      </x:c>
      <x:c r="K81" s="50" t="str">
        <x:v>+54 3385 449902</x:v>
      </x:c>
      <x:c r="L81" s="50" t="str">
        <x:v>OK</x:v>
      </x:c>
      <x:c r="M81" s="50" t="str">
        <x:v>dueño / operaciones</x:v>
      </x:c>
      <x:c r="N81" s="50" t="str">
        <x:v>Traslado de camiones, semirremolques, equipos averiados o apoyo de flota en contingencias.</x:v>
      </x:c>
      <x:c r="O81" s="50" t="str">
        <x:v>Plataforma 20 tn + malacate + hidrogrúa/izaje según maniobra.</x:v>
      </x:c>
      <x:c r="P81" s="50" t="str">
        <x:v>Apoyo externo para rescates, reposicionamientos y equipos que no pueden circular.</x:v>
      </x:c>
      <x:c r="Q81" s="50" t="str">
        <x:v>Pedir taller/flota/logística; ofrecer soporte de contingencia y tarifa por movilización.</x:v>
      </x:c>
      <x:c r="R81" s="50" t="str"/>
      <x:c r="S81" s="50" t="str">
        <x:v>Hipólito Yrigoyen 563, X5800 Río Cuarto, Córdoba</x:v>
      </x:c>
      <x:c r="T81" s="50" t="str"/>
      <x:c r="U81" s="50" t="str"/>
      <x:c r="V81" s="50" t="str"/>
      <x:c r="W81" s="50" t="str"/>
      <x:c r="X81" s="50" t="str">
        <x:v>+543385449902</x:v>
      </x:c>
      <x:c r="Y81" s="50" t="str">
        <x:v>tel:+543385449902</x:v>
      </x:c>
      <x:c r="Z81" s="50" t="str">
        <x:v>Confirmar decisor, frecuencia mensual, pesos/dimensiones y cómo resuelven hoy los traslados.</x:v>
      </x:c>
      <x:c r="AA81" s="50" t="str">
        <x:v>https://www.google.com/maps/search/?api=1&amp;query=Auxilio+Isidoro+24+hs%2C+Hip%C3%B3lito+Yrigoyen+563%2C+X5800+R%C3%ADo+Cuarto%2C+C%C3%B3rdoba</x:v>
      </x:c>
      <x:c r="AB81" s="50" t="str">
        <x:v>Google Business Profile</x:v>
      </x:c>
      <x:c r="AC81" s="50" t="str">
        <x:v>https://www.google.com/maps/search/?api=1&amp;query=Auxilio+Isidoro+Rio+Cuarto</x:v>
      </x:c>
      <x:c r="AD81" s="50" t="str">
        <x:v>Servicio local de grúa y auxilio.</x:v>
      </x:c>
      <x:c r="AE81" s="50" t="str">
        <x:v>Alta</x:v>
      </x:c>
      <x:c r="AF81" s="50" t="str">
        <x:v>Rastrillaje Río Cuarto 2026-09-15</x:v>
      </x:c>
      <x:c r="AG81" s="50" t="str">
        <x:v>Plataforma 20 tn | Malacate | Hidrogrúa | Apoyo de flota</x:v>
      </x:c>
      <x:c r="AH81" s="50" t="str">
        <x:v>Transporte / camiones / izajes</x:v>
      </x:c>
      <x:c r="AI81" s="50" t="str">
        <x:v>Sí</x:v>
      </x:c>
      <x:c r="AJ81" s="50" t="str">
        <x:v>SEGUNDA PASADA</x:v>
      </x:c>
      <x:c r="AK81" s="50" t="str">
        <x:v>Oportunidad por contingencias y reposicionamiento de flota.</x:v>
      </x:c>
      <x:c r="AL81" s="50" t="str">
        <x:v>Google Business / directorio / web sectorial</x:v>
      </x:c>
      <x:c r="AM81" s="50" t="str">
        <x:v>Alta Río Cuarto; barrido integral por marcas, alquiler, maquinaria, industria y corredores A005/RN8/RN36.</x:v>
      </x:c>
    </x:row>
    <x:row r="82" ht="48" customHeight="1">
      <x:c r="A82" s="50" t="str">
        <x:v>RC-081</x:v>
      </x:c>
      <x:c r="B82" s="50" t="str">
        <x:v>Pendiente</x:v>
      </x:c>
      <x:c r="C82" s="50" t="str">
        <x:v>Río Cuarto</x:v>
      </x:c>
      <x:c r="D82" s="50" t="str">
        <x:v>Área urbana Río Cuarto</x:v>
      </x:c>
      <x:c r="E82" s="50" t="str">
        <x:v>Río Cuarto</x:v>
      </x:c>
      <x:c r="F82" s="50" t="str">
        <x:v>B</x:v>
      </x:c>
      <x:c r="G82" s="50" t="n">
        <x:v>72</x:v>
      </x:c>
      <x:c r="H82" s="50" t="str">
        <x:v>IMEGA Ingeniería y Montajes Eléctricos</x:v>
      </x:c>
      <x:c r="I82" s="50" t="str">
        <x:v>Ingeniería eléctrica y montajes</x:v>
      </x:c>
      <x:c r="J82" s="50" t="str">
        <x:v>Equipos industriales / energía</x:v>
      </x:c>
      <x:c r="K82" s="50" t="str">
        <x:v>A verificar</x:v>
      </x:c>
      <x:c r="L82" s="50" t="str">
        <x:v>A verificar</x:v>
      </x:c>
      <x:c r="M82" s="50" t="str">
        <x:v>obras / montajes</x:v>
      </x:c>
      <x:c r="N82" s="50" t="str">
        <x:v>Movimiento de grupos, tableros, motores, módulos y equipos industriales para obra o mantenimiento.</x:v>
      </x:c>
      <x:c r="O82" s="50" t="str">
        <x:v>Plataforma + hidrogrúa + percha para pallets + seguro/GPS.</x:v>
      </x:c>
      <x:c r="P82" s="50" t="str">
        <x:v>Entrega y posicionamiento de equipos pesados con coordinación integral.</x:v>
      </x:c>
      <x:c r="Q82" s="50" t="str">
        <x:v>Pedir proyectos/mantenimiento/logística; consultar pesos, obras activas y montajes.</x:v>
      </x:c>
      <x:c r="R82" s="50" t="str"/>
      <x:c r="S82" s="50" t="str">
        <x:v>Río Cuarto, Córdoba</x:v>
      </x:c>
      <x:c r="T82" s="50" t="str"/>
      <x:c r="U82" s="50" t="str"/>
      <x:c r="V82" s="50" t="str"/>
      <x:c r="W82" s="50" t="str"/>
      <x:c r="X82" s="50" t="str"/>
      <x:c r="Y82" s="50" t="str"/>
      <x:c r="Z82" s="50" t="str">
        <x:v>Confirmar teléfono directo + decisor + frecuencia mensual + pesos/dimensiones.</x:v>
      </x:c>
      <x:c r="AA82" s="50" t="str">
        <x:v>https://www.google.com/maps/search/?api=1&amp;query=IMEGA+Ingenier%C3%ADa+y+Montajes+El%C3%A9ctricos%2C+R%C3%ADo+Cuarto%2C+C%C3%B3rdoba</x:v>
      </x:c>
      <x:c r="AB82" s="50" t="str">
        <x:v>Web oficial IMEGA</x:v>
      </x:c>
      <x:c r="AC82" s="50" t="str">
        <x:v>https://imegaingenieria.com.ar/</x:v>
      </x:c>
      <x:c r="AD82" s="50" t="str">
        <x:v>Empresa local de ingeniería eléctrica y mano de obra especializada.</x:v>
      </x:c>
      <x:c r="AE82" s="50" t="str">
        <x:v>Media-Alta</x:v>
      </x:c>
      <x:c r="AF82" s="50" t="str">
        <x:v>Rastrillaje Río Cuarto 2026-09-15</x:v>
      </x:c>
      <x:c r="AG82" s="50" t="str">
        <x:v>Plataforma 20 tn | Hidrogrúa | Percha para pallets | Seguro/GPS</x:v>
      </x:c>
      <x:c r="AH82" s="50" t="str">
        <x:v>Equipos industriales / energía</x:v>
      </x:c>
      <x:c r="AI82" s="50" t="str">
        <x:v>Sí</x:v>
      </x:c>
      <x:c r="AJ82" s="50" t="str">
        <x:v>SEGUNDA PASADA</x:v>
      </x:c>
      <x:c r="AK82" s="50" t="str">
        <x:v>Buen fit para maniobras combinadas transporte + descarga.</x:v>
      </x:c>
      <x:c r="AL82" s="50" t="str">
        <x:v>Web oficial / fuente comercial</x:v>
      </x:c>
      <x:c r="AM82" s="50" t="str">
        <x:v>Alta Río Cuarto; barrido integral por marcas, alquiler, maquinaria, industria y corredores A005/RN8/RN36.</x:v>
      </x:c>
    </x:row>
    <x:row r="83" ht="48" customHeight="1">
      <x:c r="A83" s="50" t="str">
        <x:v>RC-082</x:v>
      </x:c>
      <x:c r="B83" s="50" t="str">
        <x:v>Pendiente</x:v>
      </x:c>
      <x:c r="C83" s="50" t="str">
        <x:v>Río Cuarto</x:v>
      </x:c>
      <x:c r="D83" s="50" t="str">
        <x:v>Corredor RN8</x:v>
      </x:c>
      <x:c r="E83" s="50" t="str">
        <x:v>Río Cuarto</x:v>
      </x:c>
      <x:c r="F83" s="50" t="str">
        <x:v>B</x:v>
      </x:c>
      <x:c r="G83" s="50" t="n">
        <x:v>72</x:v>
      </x:c>
      <x:c r="H83" s="50" t="str">
        <x:v>Murray Transportes y Servicios</x:v>
      </x:c>
      <x:c r="I83" s="50" t="str">
        <x:v>Transporte y servicios</x:v>
      </x:c>
      <x:c r="J83" s="50" t="str">
        <x:v>Transporte / logística / alianza</x:v>
      </x:c>
      <x:c r="K83" s="50" t="str">
        <x:v>+54 358 6540752</x:v>
      </x:c>
      <x:c r="L83" s="50" t="str">
        <x:v>OK</x:v>
      </x:c>
      <x:c r="M83" s="50" t="str">
        <x:v>operaciones / tráfico</x:v>
      </x:c>
      <x:c r="N83" s="50" t="str">
        <x:v>Overflow, subcontratación o derivación de cargas/equipos que requieran plataforma, malacate o hidrogrúa.</x:v>
      </x:c>
      <x:c r="O83" s="50" t="str">
        <x:v>Plataforma 20 tn + hidrogrúa + malacate como capacidad complementaria.</x:v>
      </x:c>
      <x:c r="P83" s="50" t="str">
        <x:v>Ser socio de respaldo para servicios que exceden la flota o especialidad habitual.</x:v>
      </x:c>
      <x:c r="Q83" s="50" t="str">
        <x:v>Pedir tráfico/operaciones; presentar capacidad y acuerdo de derivaciones.</x:v>
      </x:c>
      <x:c r="R83" s="50" t="str"/>
      <x:c r="S83" s="50" t="str">
        <x:v>RN8 km 608, Río Cuarto, Córdoba</x:v>
      </x:c>
      <x:c r="T83" s="50" t="str"/>
      <x:c r="U83" s="50" t="str"/>
      <x:c r="V83" s="50" t="str"/>
      <x:c r="W83" s="50" t="str"/>
      <x:c r="X83" s="50" t="str">
        <x:v>+543586540752</x:v>
      </x:c>
      <x:c r="Y83" s="50" t="str">
        <x:v>tel:+543586540752</x:v>
      </x:c>
      <x:c r="Z83" s="50" t="str">
        <x:v>Confirmar decisor, frecuencia mensual, pesos/dimensiones y cómo resuelven hoy los traslados.</x:v>
      </x:c>
      <x:c r="AA83" s="50" t="str">
        <x:v>https://www.google.com/maps/search/?api=1&amp;query=Murray+Transportes+y+Servicios%2C+RN8+km+608%2C+R%C3%ADo+Cuarto%2C+C%C3%B3rdoba</x:v>
      </x:c>
      <x:c r="AB83" s="50" t="str">
        <x:v>Google Business Profile</x:v>
      </x:c>
      <x:c r="AC83" s="50" t="str">
        <x:v>https://www.google.com/maps/search/?api=1&amp;query=Murray+Transportes+Rio+Cuarto</x:v>
      </x:c>
      <x:c r="AD83" s="50" t="str">
        <x:v>Empresa local sobre RN8; potencial alianza para cargas.</x:v>
      </x:c>
      <x:c r="AE83" s="50" t="str">
        <x:v>Alta</x:v>
      </x:c>
      <x:c r="AF83" s="50" t="str">
        <x:v>Rastrillaje Río Cuarto 2026-09-15</x:v>
      </x:c>
      <x:c r="AG83" s="50" t="str">
        <x:v>Plataforma 20 tn | Hidrogrúa | Malacate | Subcontratación</x:v>
      </x:c>
      <x:c r="AH83" s="50" t="str">
        <x:v>Transporte / logística / alianza</x:v>
      </x:c>
      <x:c r="AI83" s="50" t="str">
        <x:v>Sí</x:v>
      </x:c>
      <x:c r="AJ83" s="50" t="str">
        <x:v>SEGUNDA PASADA</x:v>
      </x:c>
      <x:c r="AK83" s="50" t="str">
        <x:v>Más valioso como alianza/overflow que como cliente final.</x:v>
      </x:c>
      <x:c r="AL83" s="50" t="str">
        <x:v>Google Business / directorio / web sectorial</x:v>
      </x:c>
      <x:c r="AM83" s="50" t="str">
        <x:v>Alta Río Cuarto; barrido integral por marcas, alquiler, maquinaria, industria y corredores A005/RN8/RN36.</x:v>
      </x:c>
    </x:row>
    <x:row r="84" ht="48" customHeight="1">
      <x:c r="A84" s="50" t="str">
        <x:v>RC-083</x:v>
      </x:c>
      <x:c r="B84" s="50" t="str">
        <x:v>Pendiente</x:v>
      </x:c>
      <x:c r="C84" s="50" t="str">
        <x:v>Río Cuarto</x:v>
      </x:c>
      <x:c r="D84" s="50" t="str">
        <x:v>Área urbana Río Cuarto</x:v>
      </x:c>
      <x:c r="E84" s="50" t="str">
        <x:v>Río Cuarto</x:v>
      </x:c>
      <x:c r="F84" s="50" t="str">
        <x:v>B</x:v>
      </x:c>
      <x:c r="G84" s="50" t="n">
        <x:v>72</x:v>
      </x:c>
      <x:c r="H84" s="50" t="str">
        <x:v>Skimmer Piscinas</x:v>
      </x:c>
      <x:c r="I84" s="50" t="str">
        <x:v>Construcción e instalación de piscinas</x:v>
      </x:c>
      <x:c r="J84" s="50" t="str">
        <x:v>Piscinas / fibra de vidrio</x:v>
      </x:c>
      <x:c r="K84" s="50" t="str">
        <x:v>+54 358 4182518</x:v>
      </x:c>
      <x:c r="L84" s="50" t="str">
        <x:v>OK</x:v>
      </x:c>
      <x:c r="M84" s="50" t="str">
        <x:v>instalaciones / logística</x:v>
      </x:c>
      <x:c r="N84" s="50" t="str">
        <x:v>Traslado de piscinas/cúpulas desde fábrica o depósito hasta obra y apoyo de descarga.</x:v>
      </x:c>
      <x:c r="O84" s="50" t="str">
        <x:v>Plataforma + hidrogrúa para entrega y posicionamiento.</x:v>
      </x:c>
      <x:c r="P84" s="50" t="str">
        <x:v>Una sola coordinación para traslado y descarga en domicilio/obra.</x:v>
      </x:c>
      <x:c r="Q84" s="50" t="str">
        <x:v>Pedir logística/colocación; relevar medidas máximas y volumen mensual en temporada.</x:v>
      </x:c>
      <x:c r="R84" s="50" t="str"/>
      <x:c r="S84" s="50" t="str">
        <x:v>Brasil 1006, X5800 Río Cuarto, Córdoba</x:v>
      </x:c>
      <x:c r="T84" s="50" t="str"/>
      <x:c r="U84" s="50" t="str"/>
      <x:c r="V84" s="50" t="str"/>
      <x:c r="W84" s="50" t="str"/>
      <x:c r="X84" s="50" t="str">
        <x:v>+543584182518</x:v>
      </x:c>
      <x:c r="Y84" s="50" t="str">
        <x:v>tel:+543584182518</x:v>
      </x:c>
      <x:c r="Z84" s="50" t="str">
        <x:v>Confirmar decisor, frecuencia mensual, pesos/dimensiones y cómo resuelven hoy los traslados.</x:v>
      </x:c>
      <x:c r="AA84" s="50" t="str">
        <x:v>https://www.google.com/maps/search/?api=1&amp;query=Skimmer+Piscinas%2C+Brasil+1006%2C+X5800+R%C3%ADo+Cuarto%2C+C%C3%B3rdoba</x:v>
      </x:c>
      <x:c r="AB84" s="50" t="str">
        <x:v>Google Business Profile</x:v>
      </x:c>
      <x:c r="AC84" s="50" t="str">
        <x:v>https://www.google.com/maps/search/?api=1&amp;query=Skimmer+Piscinas+Rio+Cuarto</x:v>
      </x:c>
      <x:c r="AD84" s="50" t="str">
        <x:v>Empresa local vinculada a piscinas.</x:v>
      </x:c>
      <x:c r="AE84" s="50" t="str">
        <x:v>Alta</x:v>
      </x:c>
      <x:c r="AF84" s="50" t="str">
        <x:v>Rastrillaje Río Cuarto 2026-09-15</x:v>
      </x:c>
      <x:c r="AG84" s="50" t="str">
        <x:v>Plataforma 20 tn | Hidrogrúa | Entrega a obra</x:v>
      </x:c>
      <x:c r="AH84" s="50" t="str">
        <x:v>Piscinas / fibra de vidrio</x:v>
      </x:c>
      <x:c r="AI84" s="50" t="str">
        <x:v>Sí</x:v>
      </x:c>
      <x:c r="AJ84" s="50" t="str">
        <x:v>SEGUNDA PASADA</x:v>
      </x:c>
      <x:c r="AK84" s="50" t="str">
        <x:v>Carga voluminosa y estacional; buena afinidad con hidrogrúa.</x:v>
      </x:c>
      <x:c r="AL84" s="50" t="str">
        <x:v>Google Business / directorio / web sectorial</x:v>
      </x:c>
      <x:c r="AM84" s="50" t="str">
        <x:v>Alta Río Cuarto; barrido integral por marcas, alquiler, maquinaria, industria y corredores A005/RN8/RN36.</x:v>
      </x:c>
    </x:row>
    <x:row r="85" ht="48" customHeight="1">
      <x:c r="A85" s="50" t="str">
        <x:v>RC-084</x:v>
      </x:c>
      <x:c r="B85" s="50" t="str">
        <x:v>Pendiente</x:v>
      </x:c>
      <x:c r="C85" s="50" t="str">
        <x:v>Río Cuarto</x:v>
      </x:c>
      <x:c r="D85" s="50" t="str">
        <x:v>Corredor A005 / Circunvalación</x:v>
      </x:c>
      <x:c r="E85" s="50" t="str">
        <x:v>Río Cuarto</x:v>
      </x:c>
      <x:c r="F85" s="50" t="str">
        <x:v>B</x:v>
      </x:c>
      <x:c r="G85" s="50" t="n">
        <x:v>72</x:v>
      </x:c>
      <x:c r="H85" s="50" t="str">
        <x:v>Transporte MD</x:v>
      </x:c>
      <x:c r="I85" s="50" t="str">
        <x:v>Transporte por camión</x:v>
      </x:c>
      <x:c r="J85" s="50" t="str">
        <x:v>Transporte / logística / alianza</x:v>
      </x:c>
      <x:c r="K85" s="50" t="str">
        <x:v>+54 358 4182687</x:v>
      </x:c>
      <x:c r="L85" s="50" t="str">
        <x:v>OK</x:v>
      </x:c>
      <x:c r="M85" s="50" t="str">
        <x:v>operaciones / tráfico</x:v>
      </x:c>
      <x:c r="N85" s="50" t="str">
        <x:v>Overflow, subcontratación o derivación de cargas/equipos que requieran plataforma, malacate o hidrogrúa.</x:v>
      </x:c>
      <x:c r="O85" s="50" t="str">
        <x:v>Plataforma 20 tn + hidrogrúa + malacate como capacidad complementaria.</x:v>
      </x:c>
      <x:c r="P85" s="50" t="str">
        <x:v>Ser socio de respaldo para servicios que exceden la flota o especialidad habitual.</x:v>
      </x:c>
      <x:c r="Q85" s="50" t="str">
        <x:v>Pedir tráfico/operaciones; presentar capacidad y acuerdo de derivaciones.</x:v>
      </x:c>
      <x:c r="R85" s="50" t="str"/>
      <x:c r="S85" s="50" t="str">
        <x:v>Bv. Circunvalación Oeste 2701-2799, Río Cuarto, Córdoba</x:v>
      </x:c>
      <x:c r="T85" s="50" t="str"/>
      <x:c r="U85" s="50" t="str"/>
      <x:c r="V85" s="50" t="str"/>
      <x:c r="W85" s="50" t="str"/>
      <x:c r="X85" s="50" t="str">
        <x:v>+543584182687</x:v>
      </x:c>
      <x:c r="Y85" s="50" t="str">
        <x:v>tel:+543584182687</x:v>
      </x:c>
      <x:c r="Z85" s="50" t="str">
        <x:v>Confirmar decisor, frecuencia mensual, pesos/dimensiones y cómo resuelven hoy los traslados.</x:v>
      </x:c>
      <x:c r="AA85" s="50" t="str">
        <x:v>https://www.google.com/maps/search/?api=1&amp;query=Transporte+MD%2C+Bv.+Circunvalaci%C3%B3n+Oeste+2701-2799%2C+R%C3%ADo+Cuarto%2C+C%C3%B3rdoba</x:v>
      </x:c>
      <x:c r="AB85" s="50" t="str">
        <x:v>Google Business Profile</x:v>
      </x:c>
      <x:c r="AC85" s="50" t="str">
        <x:v>https://www.google.com/maps/search/?api=1&amp;query=Transporte+MD+Rio+Cuarto</x:v>
      </x:c>
      <x:c r="AD85" s="50" t="str">
        <x:v>Empresa de transporte por camión; potencial alianza/subcontratación.</x:v>
      </x:c>
      <x:c r="AE85" s="50" t="str">
        <x:v>Alta</x:v>
      </x:c>
      <x:c r="AF85" s="50" t="str">
        <x:v>Rastrillaje Río Cuarto 2026-09-15</x:v>
      </x:c>
      <x:c r="AG85" s="50" t="str">
        <x:v>Plataforma 20 tn | Hidrogrúa | Malacate | Subcontratación</x:v>
      </x:c>
      <x:c r="AH85" s="50" t="str">
        <x:v>Transporte / logística / alianza</x:v>
      </x:c>
      <x:c r="AI85" s="50" t="str">
        <x:v>Sí</x:v>
      </x:c>
      <x:c r="AJ85" s="50" t="str">
        <x:v>SEGUNDA PASADA</x:v>
      </x:c>
      <x:c r="AK85" s="50" t="str">
        <x:v>Más valioso como alianza/overflow que como cliente final.</x:v>
      </x:c>
      <x:c r="AL85" s="50" t="str">
        <x:v>Google Business / directorio / web sectorial</x:v>
      </x:c>
      <x:c r="AM85" s="50" t="str">
        <x:v>Alta Río Cuarto; barrido integral por marcas, alquiler, maquinaria, industria y corredores A005/RN8/RN36.</x:v>
      </x:c>
    </x:row>
    <x:row r="86" ht="48" customHeight="1">
      <x:c r="A86" s="50" t="str">
        <x:v>RC-085</x:v>
      </x:c>
      <x:c r="B86" s="50" t="str">
        <x:v>Pendiente</x:v>
      </x:c>
      <x:c r="C86" s="50" t="str">
        <x:v>Río Cuarto</x:v>
      </x:c>
      <x:c r="D86" s="50" t="str">
        <x:v>Área urbana Río Cuarto</x:v>
      </x:c>
      <x:c r="E86" s="50" t="str">
        <x:v>Río Cuarto</x:v>
      </x:c>
      <x:c r="F86" s="50" t="str">
        <x:v>B</x:v>
      </x:c>
      <x:c r="G86" s="50" t="n">
        <x:v>68</x:v>
      </x:c>
      <x:c r="H86" s="50" t="str">
        <x:v>Logística Río Cuarto S.A.</x:v>
      </x:c>
      <x:c r="I86" s="50" t="str">
        <x:v>Distribución y logística</x:v>
      </x:c>
      <x:c r="J86" s="50" t="str">
        <x:v>Transporte / logística / alianza</x:v>
      </x:c>
      <x:c r="K86" s="50" t="str">
        <x:v>+54 9 358 4293916</x:v>
      </x:c>
      <x:c r="L86" s="50" t="str">
        <x:v>OK</x:v>
      </x:c>
      <x:c r="M86" s="50" t="str">
        <x:v>operaciones / tráfico</x:v>
      </x:c>
      <x:c r="N86" s="50" t="str">
        <x:v>Overflow, subcontratación o derivación de cargas/equipos que requieran plataforma, malacate o hidrogrúa.</x:v>
      </x:c>
      <x:c r="O86" s="50" t="str">
        <x:v>Plataforma 20 tn + hidrogrúa + malacate como capacidad complementaria.</x:v>
      </x:c>
      <x:c r="P86" s="50" t="str">
        <x:v>Ser socio de respaldo para servicios que exceden la flota o especialidad habitual.</x:v>
      </x:c>
      <x:c r="Q86" s="50" t="str">
        <x:v>Pedir tráfico/operaciones; presentar capacidad y acuerdo de derivaciones.</x:v>
      </x:c>
      <x:c r="R86" s="50" t="str"/>
      <x:c r="S86" s="50" t="str">
        <x:v>Roberto Payró 558, X5804 Río Cuarto, Córdoba</x:v>
      </x:c>
      <x:c r="T86" s="50" t="str"/>
      <x:c r="U86" s="50" t="str"/>
      <x:c r="V86" s="50" t="str"/>
      <x:c r="W86" s="50" t="str"/>
      <x:c r="X86" s="50" t="str">
        <x:v>+5493584293916</x:v>
      </x:c>
      <x:c r="Y86" s="50" t="str">
        <x:v>tel:+5493584293916</x:v>
      </x:c>
      <x:c r="Z86" s="50" t="str">
        <x:v>Confirmar decisor, frecuencia mensual, pesos/dimensiones y cómo resuelven hoy los traslados.</x:v>
      </x:c>
      <x:c r="AA86" s="50" t="str">
        <x:v>https://www.google.com/maps/search/?api=1&amp;query=Log%C3%ADstica+R%C3%ADo+Cuarto+S.A.%2C+Roberto+Payr%C3%B3+558%2C+X5804+R%C3%ADo+Cuarto%2C+C%C3%B3rdoba</x:v>
      </x:c>
      <x:c r="AB86" s="50" t="str">
        <x:v>Google Business Profile</x:v>
      </x:c>
      <x:c r="AC86" s="50" t="str">
        <x:v>https://www.google.com/maps/search/?api=1&amp;query=Logistica+Rio+Cuarto+SA</x:v>
      </x:c>
      <x:c r="AD86" s="50" t="str">
        <x:v>Empresa local de distribución.</x:v>
      </x:c>
      <x:c r="AE86" s="50" t="str">
        <x:v>Alta</x:v>
      </x:c>
      <x:c r="AF86" s="50" t="str">
        <x:v>Rastrillaje Río Cuarto 2026-09-15</x:v>
      </x:c>
      <x:c r="AG86" s="50" t="str">
        <x:v>Plataforma 20 tn | Hidrogrúa | Malacate | Subcontratación</x:v>
      </x:c>
      <x:c r="AH86" s="50" t="str">
        <x:v>Transporte / logística / alianza</x:v>
      </x:c>
      <x:c r="AI86" s="50" t="str">
        <x:v>Sí</x:v>
      </x:c>
      <x:c r="AJ86" s="50" t="str">
        <x:v>SEGUNDA PASADA</x:v>
      </x:c>
      <x:c r="AK86" s="50" t="str">
        <x:v>Más valioso como alianza/overflow que como cliente final.</x:v>
      </x:c>
      <x:c r="AL86" s="50" t="str">
        <x:v>Google Business / directorio / web sectorial</x:v>
      </x:c>
      <x:c r="AM86" s="50" t="str">
        <x:v>Alta Río Cuarto; barrido integral por marcas, alquiler, maquinaria, industria y corredores A005/RN8/RN36.</x:v>
      </x:c>
    </x:row>
    <x:row r="87" ht="48" customHeight="1">
      <x:c r="A87" s="50" t="str">
        <x:v>RC-086</x:v>
      </x:c>
      <x:c r="B87" s="50" t="str">
        <x:v>Pendiente</x:v>
      </x:c>
      <x:c r="C87" s="50" t="str">
        <x:v>Río Cuarto</x:v>
      </x:c>
      <x:c r="D87" s="50" t="str">
        <x:v>Área urbana Río Cuarto</x:v>
      </x:c>
      <x:c r="E87" s="50" t="str">
        <x:v>Río Cuarto</x:v>
      </x:c>
      <x:c r="F87" s="50" t="str">
        <x:v>B</x:v>
      </x:c>
      <x:c r="G87" s="50" t="n">
        <x:v>68</x:v>
      </x:c>
      <x:c r="H87" s="50" t="str">
        <x:v>SendBox / Transporte Jorge Godoy</x:v>
      </x:c>
      <x:c r="I87" s="50" t="str">
        <x:v>Transporte por camión</x:v>
      </x:c>
      <x:c r="J87" s="50" t="str">
        <x:v>Transporte / logística / alianza</x:v>
      </x:c>
      <x:c r="K87" s="50" t="str">
        <x:v>+54 358 4701790</x:v>
      </x:c>
      <x:c r="L87" s="50" t="str">
        <x:v>OK</x:v>
      </x:c>
      <x:c r="M87" s="50" t="str">
        <x:v>operaciones / tráfico</x:v>
      </x:c>
      <x:c r="N87" s="50" t="str">
        <x:v>Overflow, subcontratación o derivación de cargas/equipos que requieran plataforma, malacate o hidrogrúa.</x:v>
      </x:c>
      <x:c r="O87" s="50" t="str">
        <x:v>Plataforma 20 tn + hidrogrúa + malacate como capacidad complementaria.</x:v>
      </x:c>
      <x:c r="P87" s="50" t="str">
        <x:v>Ser socio de respaldo para servicios que exceden la flota o especialidad habitual.</x:v>
      </x:c>
      <x:c r="Q87" s="50" t="str">
        <x:v>Pedir tráfico/operaciones; presentar capacidad y acuerdo de derivaciones.</x:v>
      </x:c>
      <x:c r="R87" s="50" t="str"/>
      <x:c r="S87" s="50" t="str">
        <x:v>Alberdi 2925, X5802 Río Cuarto, Córdoba</x:v>
      </x:c>
      <x:c r="T87" s="50" t="str"/>
      <x:c r="U87" s="50" t="str"/>
      <x:c r="V87" s="50" t="str"/>
      <x:c r="W87" s="50" t="str"/>
      <x:c r="X87" s="50" t="str">
        <x:v>+543584701790</x:v>
      </x:c>
      <x:c r="Y87" s="50" t="str">
        <x:v>tel:+543584701790</x:v>
      </x:c>
      <x:c r="Z87" s="50" t="str">
        <x:v>Confirmar decisor, frecuencia mensual, pesos/dimensiones y cómo resuelven hoy los traslados.</x:v>
      </x:c>
      <x:c r="AA87" s="50" t="str">
        <x:v>https://www.google.com/maps/search/?api=1&amp;query=SendBox+%2F+Transporte+Jorge+Godoy%2C+Alberdi+2925%2C+X5802+R%C3%ADo+Cuarto%2C+C%C3%B3rdoba</x:v>
      </x:c>
      <x:c r="AB87" s="50" t="str">
        <x:v>Google Business Profile</x:v>
      </x:c>
      <x:c r="AC87" s="50" t="str">
        <x:v>https://www.google.com/maps/search/?api=1&amp;query=SendBox+Transporte+Jorge+Godoy+Rio+Cuarto</x:v>
      </x:c>
      <x:c r="AD87" s="50" t="str">
        <x:v>Empresa de transporte por camión.</x:v>
      </x:c>
      <x:c r="AE87" s="50" t="str">
        <x:v>Alta</x:v>
      </x:c>
      <x:c r="AF87" s="50" t="str">
        <x:v>Rastrillaje Río Cuarto 2026-09-15</x:v>
      </x:c>
      <x:c r="AG87" s="50" t="str">
        <x:v>Plataforma 20 tn | Hidrogrúa | Malacate | Subcontratación</x:v>
      </x:c>
      <x:c r="AH87" s="50" t="str">
        <x:v>Transporte / logística / alianza</x:v>
      </x:c>
      <x:c r="AI87" s="50" t="str">
        <x:v>Sí</x:v>
      </x:c>
      <x:c r="AJ87" s="50" t="str">
        <x:v>SEGUNDA PASADA</x:v>
      </x:c>
      <x:c r="AK87" s="50" t="str">
        <x:v>Más valioso como alianza/overflow que como cliente final.</x:v>
      </x:c>
      <x:c r="AL87" s="50" t="str">
        <x:v>Google Business / directorio / web sectorial</x:v>
      </x:c>
      <x:c r="AM87" s="50" t="str">
        <x:v>Alta Río Cuarto; barrido integral por marcas, alquiler, maquinaria, industria y corredores A005/RN8/RN36.</x:v>
      </x:c>
    </x:row>
    <x:row r="88" ht="48" customHeight="1">
      <x:c r="A88" s="50" t="str">
        <x:v>RC-087</x:v>
      </x:c>
      <x:c r="B88" s="50" t="str">
        <x:v>Pendiente</x:v>
      </x:c>
      <x:c r="C88" s="50" t="str">
        <x:v>Río Cuarto</x:v>
      </x:c>
      <x:c r="D88" s="50" t="str">
        <x:v>Av. Perón / Oeste</x:v>
      </x:c>
      <x:c r="E88" s="50" t="str">
        <x:v>Río Cuarto</x:v>
      </x:c>
      <x:c r="F88" s="50" t="str">
        <x:v>B</x:v>
      </x:c>
      <x:c r="G88" s="50" t="n">
        <x:v>64</x:v>
      </x:c>
      <x:c r="H88" s="50" t="str">
        <x:v>Transporte Imperio</x:v>
      </x:c>
      <x:c r="I88" s="50" t="str">
        <x:v>Envíos y transporte</x:v>
      </x:c>
      <x:c r="J88" s="50" t="str">
        <x:v>Transporte / logística / alianza</x:v>
      </x:c>
      <x:c r="K88" s="50" t="str">
        <x:v>+54 358 4820975</x:v>
      </x:c>
      <x:c r="L88" s="50" t="str">
        <x:v>OK</x:v>
      </x:c>
      <x:c r="M88" s="50" t="str">
        <x:v>operaciones / tráfico</x:v>
      </x:c>
      <x:c r="N88" s="50" t="str">
        <x:v>Overflow, subcontratación o derivación de cargas/equipos que requieran plataforma, malacate o hidrogrúa.</x:v>
      </x:c>
      <x:c r="O88" s="50" t="str">
        <x:v>Plataforma 20 tn + hidrogrúa + malacate como capacidad complementaria.</x:v>
      </x:c>
      <x:c r="P88" s="50" t="str">
        <x:v>Ser socio de respaldo para servicios que exceden la flota o especialidad habitual.</x:v>
      </x:c>
      <x:c r="Q88" s="50" t="str">
        <x:v>Pedir tráfico/operaciones; presentar capacidad y acuerdo de derivaciones.</x:v>
      </x:c>
      <x:c r="R88" s="50" t="str"/>
      <x:c r="S88" s="50" t="str">
        <x:v>Av. Presidente Perón Centro 145, X5802 Río Cuarto</x:v>
      </x:c>
      <x:c r="T88" s="50" t="str"/>
      <x:c r="U88" s="50" t="str"/>
      <x:c r="V88" s="50" t="str"/>
      <x:c r="W88" s="50" t="str"/>
      <x:c r="X88" s="50" t="str">
        <x:v>+543584820975</x:v>
      </x:c>
      <x:c r="Y88" s="50" t="str">
        <x:v>tel:+543584820975</x:v>
      </x:c>
      <x:c r="Z88" s="50" t="str">
        <x:v>Confirmar decisor, frecuencia mensual, pesos/dimensiones y cómo resuelven hoy los traslados.</x:v>
      </x:c>
      <x:c r="AA88" s="50" t="str">
        <x:v>https://www.google.com/maps/search/?api=1&amp;query=Transporte+Imperio%2C+Av.+Presidente+Per%C3%B3n+Centro+145%2C+X5802+R%C3%ADo+Cuarto</x:v>
      </x:c>
      <x:c r="AB88" s="50" t="str">
        <x:v>Google Business Profile</x:v>
      </x:c>
      <x:c r="AC88" s="50" t="str">
        <x:v>https://www.google.com/maps/search/?api=1&amp;query=Transporte+Imperio+Rio+Cuarto</x:v>
      </x:c>
      <x:c r="AD88" s="50" t="str">
        <x:v>Servicio local de envíos y transporte.</x:v>
      </x:c>
      <x:c r="AE88" s="50" t="str">
        <x:v>Alta</x:v>
      </x:c>
      <x:c r="AF88" s="50" t="str">
        <x:v>Rastrillaje Río Cuarto 2026-09-15</x:v>
      </x:c>
      <x:c r="AG88" s="50" t="str">
        <x:v>Plataforma 20 tn | Hidrogrúa | Malacate | Subcontratación</x:v>
      </x:c>
      <x:c r="AH88" s="50" t="str">
        <x:v>Transporte / logística / alianza</x:v>
      </x:c>
      <x:c r="AI88" s="50" t="str">
        <x:v>Sí</x:v>
      </x:c>
      <x:c r="AJ88" s="50" t="str">
        <x:v>SEGUNDA PASADA</x:v>
      </x:c>
      <x:c r="AK88" s="50" t="str">
        <x:v>Más valioso como alianza/overflow que como cliente final.</x:v>
      </x:c>
      <x:c r="AL88" s="50" t="str">
        <x:v>Google Business / directorio / web sectorial</x:v>
      </x:c>
      <x:c r="AM88" s="50" t="str">
        <x:v>Alta Río Cuarto; barrido integral por marcas, alquiler, maquinaria, industria y corredores A005/RN8/RN36.</x:v>
      </x:c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conditionalFormatting sqref="F2:F88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L2:L88">
    <x:cfRule type="expression" dxfId="3" priority="4">
      <x:formula>L2="A verificar"</x:formula>
    </x:cfRule>
  </x:conditionalFormatting>
  <x:dataValidations count="1">
    <x:dataValidation type="list" sqref="B2:B88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171f79175e43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5" max="5" width="34" hidden="0" customWidth="1"/>
    <x:col min="6" max="6" width="12" hidden="0" customWidth="1"/>
    <x:col min="7" max="7" width="12" hidden="0" customWidth="1"/>
  </x:cols>
  <x:sheetData>
    <x:row r="1">
      <x:c r="A1" s="70" t="str">
        <x:v>INDICADORES · RÍO CUARTO</x:v>
      </x:c>
      <x:c r="B1" s="70"/>
      <x:c r="C1" s="70"/>
      <x:c r="D1" s="70"/>
      <x:c r="E1" s="70"/>
      <x:c r="F1" s="70"/>
      <x:c r="G1" s="70"/>
      <x:c r="H1" s="70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68" t="str">
        <x:v>Clase</x:v>
      </x:c>
      <x:c r="B3" s="68" t="str">
        <x:v>Prospectos</x:v>
      </x:c>
      <x:c r="C3" s="68" t="str">
        <x:v>% del total</x:v>
      </x:c>
      <x:c r="D3" s="45"/>
      <x:c r="E3" s="68" t="str">
        <x:v>Categoría</x:v>
      </x:c>
      <x:c r="F3" s="68" t="str">
        <x:v>Prospectos</x:v>
      </x:c>
      <x:c r="G3" s="68" t="str">
        <x:v>% total</x:v>
      </x:c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45" t="str">
        <x:v>A+</x:v>
      </x:c>
      <x:c r="B4" s="45" t="n">
        <x:f>COUNTIF(Prospectos!F2:F88,A4)</x:f>
        <x:v>23</x:v>
      </x:c>
      <x:c r="C4" s="58" t="n">
        <x:f>B4/$B$7</x:f>
        <x:v>0.26436781609195403</x:v>
      </x:c>
      <x:c r="D4" s="45"/>
      <x:c r="E4" s="45" t="str">
        <x:v>Agroindustria / planta industrial</x:v>
      </x:c>
      <x:c r="F4" s="45" t="n">
        <x:f>COUNTIF(Prospectos!J2:J88,E4)</x:f>
        <x:v>2</x:v>
      </x:c>
      <x:c r="G4" s="58" t="n">
        <x:f>F4/$B$7</x:f>
        <x:v>0.022988505747126436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45" t="str">
        <x:v>A</x:v>
      </x:c>
      <x:c r="B5" s="45" t="n">
        <x:f>COUNTIF(Prospectos!F2:F88,A5)</x:f>
        <x:v>52</x:v>
      </x:c>
      <x:c r="C5" s="58" t="n">
        <x:f>B5/$B$7</x:f>
        <x:v>0.5977011494252874</x:v>
      </x:c>
      <x:c r="D5" s="45"/>
      <x:c r="E5" s="45" t="str">
        <x:v>Alquiler / dealer maquinaria pesada</x:v>
      </x:c>
      <x:c r="F5" s="45" t="n">
        <x:f>COUNTIF(Prospectos!J2:J88,E5)</x:f>
        <x:v>5</x:v>
      </x:c>
      <x:c r="G5" s="58" t="n">
        <x:f>F5/$B$7</x:f>
        <x:v>0.05747126436781609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45" t="str">
        <x:v>B</x:v>
      </x:c>
      <x:c r="B6" s="45" t="n">
        <x:f>COUNTIF(Prospectos!F2:F88,A6)</x:f>
        <x:v>12</x:v>
      </x:c>
      <x:c r="C6" s="58" t="n">
        <x:f>B6/$B$7</x:f>
        <x:v>0.13793103448275862</x:v>
      </x:c>
      <x:c r="D6" s="45"/>
      <x:c r="E6" s="45" t="str">
        <x:v>Autoelevadores y elevación</x:v>
      </x:c>
      <x:c r="F6" s="45" t="n">
        <x:f>COUNTIF(Prospectos!J2:J88,E6)</x:f>
        <x:v>6</x:v>
      </x:c>
      <x:c r="G6" s="58" t="n">
        <x:f>F6/$B$7</x:f>
        <x:v>0.06896551724137931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47" t="str">
        <x:v>TOTAL</x:v>
      </x:c>
      <x:c r="B7" s="47" t="n">
        <x:f>COUNTA(Prospectos!H2:H88)</x:f>
        <x:v>87</x:v>
      </x:c>
      <x:c r="C7" s="47"/>
      <x:c r="D7" s="45"/>
      <x:c r="E7" s="45" t="str">
        <x:v>Construcción vial / movimiento de suelo</x:v>
      </x:c>
      <x:c r="F7" s="45" t="n">
        <x:f>COUNTIF(Prospectos!J2:J88,E7)</x:f>
        <x:v>7</x:v>
      </x:c>
      <x:c r="G7" s="58" t="n">
        <x:f>F7/$B$7</x:f>
        <x:v>0.08045977011494253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45"/>
      <x:c r="B8" s="45"/>
      <x:c r="C8" s="45"/>
      <x:c r="D8" s="45"/>
      <x:c r="E8" s="45" t="str">
        <x:v>Construcción y obra industrial</x:v>
      </x:c>
      <x:c r="F8" s="45" t="n">
        <x:f>COUNTIF(Prospectos!J2:J88,E8)</x:f>
        <x:v>6</x:v>
      </x:c>
      <x:c r="G8" s="58" t="n">
        <x:f>F8/$B$7</x:f>
        <x:v>0.06896551724137931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45"/>
      <x:c r="B9" s="45"/>
      <x:c r="C9" s="45"/>
      <x:c r="D9" s="45"/>
      <x:c r="E9" s="45" t="str">
        <x:v>Equipos industriales / energía</x:v>
      </x:c>
      <x:c r="F9" s="45" t="n">
        <x:f>COUNTIF(Prospectos!J2:J88,E9)</x:f>
        <x:v>4</x:v>
      </x:c>
      <x:c r="G9" s="58" t="n">
        <x:f>F9/$B$7</x:f>
        <x:v>0.04597701149425287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45"/>
      <x:c r="B10" s="45"/>
      <x:c r="C10" s="45"/>
      <x:c r="D10" s="45"/>
      <x:c r="E10" s="45" t="str">
        <x:v>Hormigón, áridos y materiales</x:v>
      </x:c>
      <x:c r="F10" s="45" t="n">
        <x:f>COUNTIF(Prospectos!J2:J88,E10)</x:f>
        <x:v>9</x:v>
      </x:c>
      <x:c r="G10" s="58" t="n">
        <x:f>F10/$B$7</x:f>
        <x:v>0.10344827586206896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45"/>
      <x:c r="B11" s="45"/>
      <x:c r="C11" s="45"/>
      <x:c r="D11" s="45"/>
      <x:c r="E11" s="45" t="str">
        <x:v>Maquinaria agrícola</x:v>
      </x:c>
      <x:c r="F11" s="45" t="n">
        <x:f>COUNTIF(Prospectos!J2:J88,E11)</x:f>
        <x:v>12</x:v>
      </x:c>
      <x:c r="G11" s="58" t="n">
        <x:f>F11/$B$7</x:f>
        <x:v>0.13793103448275862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45"/>
      <x:c r="B12" s="45"/>
      <x:c r="C12" s="45"/>
      <x:c r="D12" s="45"/>
      <x:c r="E12" s="45" t="str">
        <x:v>Metalúrgica y fabricación</x:v>
      </x:c>
      <x:c r="F12" s="45" t="n">
        <x:f>COUNTIF(Prospectos!J2:J88,E12)</x:f>
        <x:v>15</x:v>
      </x:c>
      <x:c r="G12" s="58" t="n">
        <x:f>F12/$B$7</x:f>
        <x:v>0.1724137931034483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45"/>
      <x:c r="B13" s="45"/>
      <x:c r="C13" s="45"/>
      <x:c r="D13" s="45"/>
      <x:c r="E13" s="45" t="str">
        <x:v>Perforaciones / fundaciones</x:v>
      </x:c>
      <x:c r="F13" s="45" t="n">
        <x:f>COUNTIF(Prospectos!J2:J88,E13)</x:f>
        <x:v>3</x:v>
      </x:c>
      <x:c r="G13" s="58" t="n">
        <x:f>F13/$B$7</x:f>
        <x:v>0.034482758620689655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45"/>
      <x:c r="B14" s="45"/>
      <x:c r="C14" s="45"/>
      <x:c r="D14" s="45"/>
      <x:c r="E14" s="45" t="str">
        <x:v>Piscinas / fibra de vidrio</x:v>
      </x:c>
      <x:c r="F14" s="45" t="n">
        <x:f>COUNTIF(Prospectos!J2:J88,E14)</x:f>
        <x:v>7</x:v>
      </x:c>
      <x:c r="G14" s="58" t="n">
        <x:f>F14/$B$7</x:f>
        <x:v>0.08045977011494253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45"/>
      <x:c r="B15" s="45"/>
      <x:c r="C15" s="45"/>
      <x:c r="D15" s="45"/>
      <x:c r="E15" s="45" t="str">
        <x:v>Transporte / camiones / izajes</x:v>
      </x:c>
      <x:c r="F15" s="45" t="n">
        <x:f>COUNTIF(Prospectos!J2:J88,E15)</x:f>
        <x:v>6</x:v>
      </x:c>
      <x:c r="G15" s="58" t="n">
        <x:f>F15/$B$7</x:f>
        <x:v>0.06896551724137931</x:v>
      </x:c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45"/>
      <x:c r="B16" s="45"/>
      <x:c r="C16" s="45"/>
      <x:c r="D16" s="45"/>
      <x:c r="E16" s="45" t="str">
        <x:v>Transporte / logística / alianza</x:v>
      </x:c>
      <x:c r="F16" s="45" t="n">
        <x:f>COUNTIF(Prospectos!J2:J88,E16)</x:f>
        <x:v>5</x:v>
      </x:c>
      <x:c r="G16" s="58" t="n">
        <x:f>F16/$B$7</x:f>
        <x:v>0.05747126436781609</x:v>
      </x:c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b1043f92e2d4c9d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30" hidden="0" customWidth="1"/>
    <x:col min="4" max="4" width="8" hidden="0" customWidth="1"/>
    <x:col min="5" max="5" width="20" hidden="0" customWidth="1"/>
    <x:col min="6" max="6" width="34" hidden="0" customWidth="1"/>
    <x:col min="7" max="7" width="23" hidden="0" customWidth="1"/>
    <x:col min="8" max="8" width="40" hidden="0" customWidth="1"/>
    <x:col min="9" max="9" width="38" hidden="0" customWidth="1"/>
    <x:col min="10" max="10" width="38" hidden="0" customWidth="1"/>
    <x:col min="11" max="11" width="34" hidden="0" customWidth="1"/>
    <x:col min="12" max="12" width="24" hidden="0" customWidth="1"/>
  </x:cols>
  <x:sheetData>
    <x:row r="1">
      <x:c r="A1" s="70" t="str">
        <x:v>RUTA COMERCIAL A+ · RÍO CUARTO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60" t="str">
        <x:v>Ordenada por corredor/microzona para reducir tiempos de traslado. Confirmar cita antes de salir.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68" t="str">
        <x:v>Orden</x:v>
      </x:c>
      <x:c r="B4" s="68" t="str">
        <x:v>Zona</x:v>
      </x:c>
      <x:c r="C4" s="68" t="str">
        <x:v>Empresa</x:v>
      </x:c>
      <x:c r="D4" s="68" t="str">
        <x:v>Score</x:v>
      </x:c>
      <x:c r="E4" s="68" t="str">
        <x:v>Teléfono</x:v>
      </x:c>
      <x:c r="F4" s="68" t="str">
        <x:v>Dirección</x:v>
      </x:c>
      <x:c r="G4" s="68" t="str">
        <x:v>Preguntar por</x:v>
      </x:c>
      <x:c r="H4" s="68" t="str">
        <x:v>Necesidad</x:v>
      </x:c>
      <x:c r="I4" s="68" t="str">
        <x:v>Oferta PRESOL</x:v>
      </x:c>
      <x:c r="J4" s="68" t="str">
        <x:v>Acción</x:v>
      </x:c>
      <x:c r="K4" s="68" t="str">
        <x:v>Google Maps</x:v>
      </x:c>
      <x:c r="L4" s="68" t="str">
        <x:v>Fuente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50" t="n">
        <x:v>1</x:v>
      </x:c>
      <x:c r="B5" s="50" t="str">
        <x:v>Av. Sabattini / Este</x:v>
      </x:c>
      <x:c r="C5" s="50" t="str">
        <x:v>Simonassi Maquinarias Agrícolas</x:v>
      </x:c>
      <x:c r="D5" s="50" t="n">
        <x:v>98</x:v>
      </x:c>
      <x:c r="E5" s="50" t="str">
        <x:v>+54 358 5062964</x:v>
      </x:c>
      <x:c r="F5" s="50" t="str">
        <x:v>Av. Amadeo Sabattini 2950, X5800 Río Cuarto, Córdoba</x:v>
      </x:c>
      <x:c r="G5" s="50" t="str">
        <x:v>gerencia / logística / posventa</x:v>
      </x:c>
      <x:c r="H5" s="50" t="str">
        <x:v>Entrega/retiro de tractores, cosechadoras, pulverizadoras e implementos; usados y service.</x:v>
      </x:c>
      <x:c r="I5" s="50" t="str">
        <x:v>Plataforma 20 tn + malacate + seguro/GPS; hidrogrúa según implemento.</x:v>
      </x:c>
      <x:c r="J5" s="50" t="str">
        <x:v>Pedir logística/expedición/posventa; relevar campañas, usados y picos de entregas.</x:v>
      </x:c>
      <x:c r="K5" s="50" t="str">
        <x:v>https://www.google.com/maps/search/?api=1&amp;query=Simonassi+Maquinarias+Agr%C3%ADcolas%2C+Av.+Amadeo+Sabattini+2950%2C+X5800+R%C3%ADo+Cuarto%2C+C%C3%B3rdoba</x:v>
      </x:c>
      <x:c r="L5" s="50" t="str">
        <x:v>Google Business Profile + LinkedIn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50" t="n">
        <x:v>2</x:v>
      </x:c>
      <x:c r="B6" s="50" t="str">
        <x:v>Corredor A005 / Circunvalación</x:v>
      </x:c>
      <x:c r="C6" s="50" t="str">
        <x:v>Geoqom</x:v>
      </x:c>
      <x:c r="D6" s="50" t="n">
        <x:v>100</x:v>
      </x:c>
      <x:c r="E6" s="50" t="str">
        <x:v>0358 154850006</x:v>
      </x:c>
      <x:c r="F6" s="50" t="str">
        <x:v>Ruta A005 km 1,5, Río Cuarto, Córdoba</x:v>
      </x:c>
      <x:c r="G6" s="50" t="str">
        <x:v>operaciones / equipos / obras</x:v>
      </x:c>
      <x:c r="H6" s="50" t="str">
        <x:v>Traslados interobra de excavadoras, retroexcavadoras, minicargadoras, rodillos y equipos viales.</x:v>
      </x:c>
      <x:c r="I6" s="50" t="str">
        <x:v>Plataforma 20 tn + malacate + seguro/GPS + coordinación interobra.</x:v>
      </x:c>
      <x:c r="J6" s="50" t="str">
        <x:v>Pedir jefe de equipos/obras; relevar flota, pesos y frecuencia de movimientos.</x:v>
      </x:c>
      <x:c r="K6" s="50" t="str">
        <x:v>https://www.google.com/maps/search/?api=1&amp;query=Geoqom%2C+Ruta+A005+km+1%2C5%2C+R%C3%ADo+Cuarto%2C+C%C3%B3rdoba</x:v>
      </x:c>
      <x:c r="L6" s="50" t="str">
        <x:v>Web oficial Geoqom</x:v>
      </x:c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50" t="n">
        <x:v>3</x:v>
      </x:c>
      <x:c r="B7" s="50" t="str">
        <x:v>Corredor A005 / Circunvalación</x:v>
      </x:c>
      <x:c r="C7" s="50" t="str">
        <x:v>Metalfor S.A. - Río Cuarto</x:v>
      </x:c>
      <x:c r="D7" s="50" t="n">
        <x:v>100</x:v>
      </x:c>
      <x:c r="E7" s="50" t="str">
        <x:v>0358 4655642 / 358 6011697</x:v>
      </x:c>
      <x:c r="F7" s="50" t="str">
        <x:v>Ruta Prov. A005 km 3, X5800 Río Cuarto, Córdoba</x:v>
      </x:c>
      <x:c r="G7" s="50" t="str">
        <x:v>logística / expedición / servicap / usados</x:v>
      </x:c>
      <x:c r="H7" s="50" t="str">
        <x:v>Entrega/retiro de tractores, cosechadoras, pulverizadoras e implementos; usados y service.</x:v>
      </x:c>
      <x:c r="I7" s="50" t="str">
        <x:v>Plataforma 20 tn + malacate + seguro/GPS; hidrogrúa según implemento.</x:v>
      </x:c>
      <x:c r="J7" s="50" t="str">
        <x:v>Pedir logística/expedición/posventa; relevar campañas, usados y picos de entregas.</x:v>
      </x:c>
      <x:c r="K7" s="50" t="str">
        <x:v>https://www.google.com/maps/search/?api=1&amp;query=Metalfor+S.A.+-+R%C3%ADo+Cuarto%2C+Ruta+Prov.+A005+km+3%2C+X5800+R%C3%ADo+Cuarto%2C+C%C3%B3rdoba</x:v>
      </x:c>
      <x:c r="L7" s="50" t="str">
        <x:v>Waze + Cummins Service Locator</x:v>
      </x:c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50" t="n">
        <x:v>4</x:v>
      </x:c>
      <x:c r="B8" s="50" t="str">
        <x:v>Corredor A005 / Circunvalación</x:v>
      </x:c>
      <x:c r="C8" s="50" t="str">
        <x:v>Pallotti Maquinarias</x:v>
      </x:c>
      <x:c r="D8" s="50" t="n">
        <x:v>100</x:v>
      </x:c>
      <x:c r="E8" s="50" t="str">
        <x:v>+54 358 5713137 / 5091218</x:v>
      </x:c>
      <x:c r="F8" s="50" t="str">
        <x:v>RN A005 km 3,5, X5800 Río Cuarto, Córdoba</x:v>
      </x:c>
      <x:c r="G8" s="50" t="str">
        <x:v>ventas / logística / servicio técnico</x:v>
      </x:c>
      <x:c r="H8" s="50" t="str">
        <x:v>Entrega, retiro y traslado de maquinaria pesada entre sucursal, clientes, taller y obras.</x:v>
      </x:c>
      <x:c r="I8" s="50" t="str">
        <x:v>Plataforma 20 tn + malacate + hidrogrúa de apoyo + seguro/GPS.</x:v>
      </x:c>
      <x:c r="J8" s="50" t="str">
        <x:v>Llamar y visitar; pedir logística/alquileres/posventa y relevar movimientos mensuales.</x:v>
      </x:c>
      <x:c r="K8" s="50" t="str">
        <x:v>https://www.google.com/maps/search/?api=1&amp;query=Pallotti+Maquinarias%2C+RN+A005+km+3%2C5%2C+X5800+R%C3%ADo+Cuarto%2C+C%C3%B3rdoba</x:v>
      </x:c>
      <x:c r="L8" s="50" t="str">
        <x:v>Web oficial Pallotti</x:v>
      </x:c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50" t="n">
        <x:v>5</x:v>
      </x:c>
      <x:c r="B9" s="50" t="str">
        <x:v>Corredor A005 / Circunvalación</x:v>
      </x:c>
      <x:c r="C9" s="50" t="str">
        <x:v>Semtraco S.A. - CASE IH / JCB</x:v>
      </x:c>
      <x:c r="D9" s="50" t="n">
        <x:v>100</x:v>
      </x:c>
      <x:c r="E9" s="50" t="str">
        <x:v>0358 4158451</x:v>
      </x:c>
      <x:c r="F9" s="50" t="str">
        <x:v>Acceso 005 – Circunvalación, X5800 Río Cuarto, Córdoba</x:v>
      </x:c>
      <x:c r="G9" s="50" t="str">
        <x:v>gerencia de sucursal / logística / posventa</x:v>
      </x:c>
      <x:c r="H9" s="50" t="str">
        <x:v>Entrega, retiro y traslado de maquinaria pesada entre sucursal, clientes, taller y obras.</x:v>
      </x:c>
      <x:c r="I9" s="50" t="str">
        <x:v>Plataforma 20 tn + malacate + hidrogrúa de apoyo + seguro/GPS.</x:v>
      </x:c>
      <x:c r="J9" s="50" t="str">
        <x:v>Llamar y visitar; pedir logística/alquileres/posventa y relevar movimientos mensuales.</x:v>
      </x:c>
      <x:c r="K9" s="50" t="str">
        <x:v>https://www.google.com/maps/search/?api=1&amp;query=Semtraco+S.A.+-+CASE+IH+%2F+JCB%2C+Acceso+005+%E2%80%93+Circunvalaci%C3%B3n%2C+X5800+R%C3%ADo+Cuarto%2C+C%C3%B3rdoba</x:v>
      </x:c>
      <x:c r="L9" s="50" t="str">
        <x:v>Web oficial Semtraco</x:v>
      </x:c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50" t="n">
        <x:v>6</x:v>
      </x:c>
      <x:c r="B10" s="50" t="str">
        <x:v>Corredor A005 / Circunvalación</x:v>
      </x:c>
      <x:c r="C10" s="50" t="str">
        <x:v>Marinelli S.A.</x:v>
      </x:c>
      <x:c r="D10" s="50" t="n">
        <x:v>98</x:v>
      </x:c>
      <x:c r="E10" s="50" t="str">
        <x:v>0358 4647058</x:v>
      </x:c>
      <x:c r="F10" s="50" t="str">
        <x:v>Córdoba 961, Banda Norte / Planta en Ruta A005, Río Cuarto</x:v>
      </x:c>
      <x:c r="G10" s="50" t="str">
        <x:v>planta / logística / obras</x:v>
      </x:c>
      <x:c r="H10" s="50" t="str">
        <x:v>Movimiento de equipos de planta, bombas, moldes, premoldeados, maquinaria y cargas pesadas.</x:v>
      </x:c>
      <x:c r="I10" s="50" t="str">
        <x:v>Plataforma + hidrogrúa + percha para pallets/cargas.</x:v>
      </x:c>
      <x:c r="J10" s="50" t="str">
        <x:v>Pedir planta/mantenimiento/logística; relevar equipos y movimientos no cubiertos por mixer/camión.</x:v>
      </x:c>
      <x:c r="K10" s="50" t="str">
        <x:v>https://www.google.com/maps/search/?api=1&amp;query=Marinelli+S.A.%2C+C%C3%B3rdoba+961%2C+Banda+Norte+%2F+Planta+en+Ruta+A005%2C+R%C3%ADo+Cuarto</x:v>
      </x:c>
      <x:c r="L10" s="50" t="str">
        <x:v>Web oficial Marinelli</x:v>
      </x:c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50" t="n">
        <x:v>7</x:v>
      </x:c>
      <x:c r="B11" s="50" t="str">
        <x:v>Corredor A005 / Circunvalación</x:v>
      </x:c>
      <x:c r="C11" s="50" t="str">
        <x:v>RINO Pauny</x:v>
      </x:c>
      <x:c r="D11" s="50" t="n">
        <x:v>96</x:v>
      </x:c>
      <x:c r="E11" s="50" t="str">
        <x:v>+54 358 5091232</x:v>
      </x:c>
      <x:c r="F11" s="50" t="str">
        <x:v>RN A005 km 10,5, X5804 Río Cuarto, Córdoba</x:v>
      </x:c>
      <x:c r="G11" s="50" t="str">
        <x:v>ventas / logística / posventa</x:v>
      </x:c>
      <x:c r="H11" s="50" t="str">
        <x:v>Entrega/retiro de tractores, cosechadoras, pulverizadoras e implementos; usados y service.</x:v>
      </x:c>
      <x:c r="I11" s="50" t="str">
        <x:v>Plataforma 20 tn + malacate + seguro/GPS; hidrogrúa según implemento.</x:v>
      </x:c>
      <x:c r="J11" s="50" t="str">
        <x:v>Pedir logística/expedición/posventa; relevar campañas, usados y picos de entregas.</x:v>
      </x:c>
      <x:c r="K11" s="50" t="str">
        <x:v>https://www.google.com/maps/search/?api=1&amp;query=RINO+Pauny%2C+RN+A005+km+10%2C5%2C+X5804+R%C3%ADo+Cuarto%2C+C%C3%B3rdoba</x:v>
      </x:c>
      <x:c r="L11" s="50" t="str">
        <x:v>Google Business Profile</x:v>
      </x:c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50" t="n">
        <x:v>8</x:v>
      </x:c>
      <x:c r="B12" s="50" t="str">
        <x:v>Corredor A005 / Circunvalación</x:v>
      </x:c>
      <x:c r="C12" s="50" t="str">
        <x:v>AGRO VIAL FERNANDEZ</x:v>
      </x:c>
      <x:c r="D12" s="50" t="n">
        <x:v>95</x:v>
      </x:c>
      <x:c r="E12" s="50" t="str">
        <x:v>+54 9 351 6077077</x:v>
      </x:c>
      <x:c r="F12" s="50" t="str">
        <x:v>Ruta A005 y Arturo M. Bas, X5800 Río Cuarto, Córdoba</x:v>
      </x:c>
      <x:c r="G12" s="50" t="str">
        <x:v>ventas / logística / taller</x:v>
      </x:c>
      <x:c r="H12" s="50" t="str">
        <x:v>Entrega, retiro y traslado de maquinaria pesada entre sucursal, clientes, taller y obras.</x:v>
      </x:c>
      <x:c r="I12" s="50" t="str">
        <x:v>Plataforma 20 tn + malacate + hidrogrúa de apoyo + seguro/GPS.</x:v>
      </x:c>
      <x:c r="J12" s="50" t="str">
        <x:v>Llamar y visitar; pedir logística/alquileres/posventa y relevar movimientos mensuales.</x:v>
      </x:c>
      <x:c r="K12" s="50" t="str">
        <x:v>https://www.google.com/maps/search/?api=1&amp;query=AGRO+VIAL+FERNANDEZ%2C+Ruta+A005+y+Arturo+M.+Bas%2C+X5800+R%C3%ADo+Cuarto%2C+C%C3%B3rdoba</x:v>
      </x:c>
      <x:c r="L12" s="50" t="str">
        <x:v>Google Business Profile</x:v>
      </x:c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50" t="n">
        <x:v>9</x:v>
      </x:c>
      <x:c r="B13" s="50" t="str">
        <x:v>Corredor A005 / Circunvalación</x:v>
      </x:c>
      <x:c r="C13" s="50" t="str">
        <x:v>Agecer - Volvo Trucks &amp; Buses Río Cuarto</x:v>
      </x:c>
      <x:c r="D13" s="50" t="n">
        <x:v>95</x:v>
      </x:c>
      <x:c r="E13" s="50" t="str">
        <x:v>+54 9 358 4013892</x:v>
      </x:c>
      <x:c r="F13" s="50" t="str">
        <x:v>Ruta A005 km 9,5, X5800 Río Cuarto, Córdoba</x:v>
      </x:c>
      <x:c r="G13" s="50" t="str">
        <x:v>posventa / logística / usados / comercial</x:v>
      </x:c>
      <x:c r="H13" s="50" t="str">
        <x:v>Traslado de camiones, semirremolques, equipos averiados o apoyo de flota en contingencias.</x:v>
      </x:c>
      <x:c r="I13" s="50" t="str">
        <x:v>Plataforma 20 tn + malacate + hidrogrúa/izaje según maniobra.</x:v>
      </x:c>
      <x:c r="J13" s="50" t="str">
        <x:v>Pedir taller/flota/logística; ofrecer soporte de contingencia y tarifa por movilización.</x:v>
      </x:c>
      <x:c r="K13" s="50" t="str">
        <x:v>https://www.google.com/maps/search/?api=1&amp;query=Agecer+-+Volvo+Trucks+%26+Buses+R%C3%ADo+Cuarto%2C+Ruta+A005+km+9%2C5%2C+X5800+R%C3%ADo+Cuarto%2C+C%C3%B3rdoba</x:v>
      </x:c>
      <x:c r="L13" s="50" t="str">
        <x:v>Web oficial Volvo/Agecer</x:v>
      </x:c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50" t="n">
        <x:v>10</x:v>
      </x:c>
      <x:c r="B14" s="50" t="str">
        <x:v>Corredor A005 / Circunvalación</x:v>
      </x:c>
      <x:c r="C14" s="50" t="str">
        <x:v>Agrokeegan Maquinarias</x:v>
      </x:c>
      <x:c r="D14" s="50" t="n">
        <x:v>95</x:v>
      </x:c>
      <x:c r="E14" s="50" t="str">
        <x:v>+54 358 6014848</x:v>
      </x:c>
      <x:c r="F14" s="50" t="str">
        <x:v>RN A005 km 0,5, X5800 Río Cuarto, Córdoba</x:v>
      </x:c>
      <x:c r="G14" s="50" t="str">
        <x:v>ventas / logística / expedición</x:v>
      </x:c>
      <x:c r="H14" s="50" t="str">
        <x:v>Entrega/retiro de tractores, cosechadoras, pulverizadoras e implementos; usados y service.</x:v>
      </x:c>
      <x:c r="I14" s="50" t="str">
        <x:v>Plataforma 20 tn + malacate + seguro/GPS; hidrogrúa según implemento.</x:v>
      </x:c>
      <x:c r="J14" s="50" t="str">
        <x:v>Pedir logística/expedición/posventa; relevar campañas, usados y picos de entregas.</x:v>
      </x:c>
      <x:c r="K14" s="50" t="str">
        <x:v>https://www.google.com/maps/search/?api=1&amp;query=Agrokeegan+Maquinarias%2C+RN+A005+km+0%2C5%2C+X5800+R%C3%ADo+Cuarto%2C+C%C3%B3rdoba</x:v>
      </x:c>
      <x:c r="L14" s="50" t="str">
        <x:v>Web oficial Agrokeegan</x:v>
      </x:c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50" t="n">
        <x:v>11</x:v>
      </x:c>
      <x:c r="B15" s="50" t="str">
        <x:v>Corredor A005 / Circunvalación</x:v>
      </x:c>
      <x:c r="C15" s="50" t="str">
        <x:v>Bricchi Hnos. S.A.</x:v>
      </x:c>
      <x:c r="D15" s="50" t="n">
        <x:v>95</x:v>
      </x:c>
      <x:c r="E15" s="50" t="str">
        <x:v>+54 9 358 4854418</x:v>
      </x:c>
      <x:c r="F15" s="50" t="str">
        <x:v>Ruta A005 km 1,2, Río Cuarto, Córdoba</x:v>
      </x:c>
      <x:c r="G15" s="50" t="str">
        <x:v>ventas / logística / posventa</x:v>
      </x:c>
      <x:c r="H15" s="50" t="str">
        <x:v>Entrega/retiro de tractores, cosechadoras, pulverizadoras e implementos; usados y service.</x:v>
      </x:c>
      <x:c r="I15" s="50" t="str">
        <x:v>Plataforma 20 tn + malacate + seguro/GPS; hidrogrúa según implemento.</x:v>
      </x:c>
      <x:c r="J15" s="50" t="str">
        <x:v>Pedir logística/expedición/posventa; relevar campañas, usados y picos de entregas.</x:v>
      </x:c>
      <x:c r="K15" s="50" t="str">
        <x:v>https://www.google.com/maps/search/?api=1&amp;query=Bricchi+Hnos.+S.A.%2C+Ruta+A005+km+1%2C2%2C+R%C3%ADo+Cuarto%2C+C%C3%B3rdoba</x:v>
      </x:c>
      <x:c r="L15" s="50" t="str">
        <x:v>Web oficial Bricchi</x:v>
      </x:c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50" t="n">
        <x:v>12</x:v>
      </x:c>
      <x:c r="B16" s="50" t="str">
        <x:v>Corredor RN36</x:v>
      </x:c>
      <x:c r="C16" s="50" t="str">
        <x:v>Casale Maquinarias - Movimientos Agro Vial S.A.</x:v>
      </x:c>
      <x:c r="D16" s="50" t="n">
        <x:v>100</x:v>
      </x:c>
      <x:c r="E16" s="50" t="str">
        <x:v>+54 358 5094615</x:v>
      </x:c>
      <x:c r="F16" s="50" t="str">
        <x:v>RN36 606, X5800 Río Cuarto, Córdoba</x:v>
      </x:c>
      <x:c r="G16" s="50" t="str">
        <x:v>operaciones / logística / alquileres</x:v>
      </x:c>
      <x:c r="H16" s="50" t="str">
        <x:v>Traslados interobra de excavadoras, retroexcavadoras, minicargadoras, rodillos y equipos viales.</x:v>
      </x:c>
      <x:c r="I16" s="50" t="str">
        <x:v>Plataforma 20 tn + malacate + seguro/GPS + coordinación interobra.</x:v>
      </x:c>
      <x:c r="J16" s="50" t="str">
        <x:v>Pedir jefe de equipos/obras; relevar flota, pesos y frecuencia de movimientos.</x:v>
      </x:c>
      <x:c r="K16" s="50" t="str">
        <x:v>https://www.google.com/maps/search/?api=1&amp;query=Casale+Maquinarias+-+Movimientos+Agro+Vial+S.A.%2C+RN36+606%2C+X5800+R%C3%ADo+Cuarto%2C+C%C3%B3rdoba</x:v>
      </x:c>
      <x:c r="L16" s="50" t="str">
        <x:v>Agrositio + Google Business</x:v>
      </x:c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50" t="n">
        <x:v>13</x:v>
      </x:c>
      <x:c r="B17" s="50" t="str">
        <x:v>Corredor RN36</x:v>
      </x:c>
      <x:c r="C17" s="50" t="str">
        <x:v>SALA</x:v>
      </x:c>
      <x:c r="D17" s="50" t="n">
        <x:v>98</x:v>
      </x:c>
      <x:c r="E17" s="50" t="str">
        <x:v>+54 9 358 2409477</x:v>
      </x:c>
      <x:c r="F17" s="50" t="str">
        <x:v>RN36 km 609, X5800 Río Cuarto, Córdoba</x:v>
      </x:c>
      <x:c r="G17" s="50" t="str">
        <x:v>logística / entregas / posventa</x:v>
      </x:c>
      <x:c r="H17" s="50" t="str">
        <x:v>Entrega/retiro de tractores, cosechadoras, pulverizadoras e implementos; usados y service.</x:v>
      </x:c>
      <x:c r="I17" s="50" t="str">
        <x:v>Plataforma 20 tn + malacate + seguro/GPS; hidrogrúa según implemento.</x:v>
      </x:c>
      <x:c r="J17" s="50" t="str">
        <x:v>Pedir logística/expedición/posventa; relevar campañas, usados y picos de entregas.</x:v>
      </x:c>
      <x:c r="K17" s="50" t="str">
        <x:v>https://www.google.com/maps/search/?api=1&amp;query=SALA%2C+RN36+km+609%2C+X5800+R%C3%ADo+Cuarto%2C+C%C3%B3rdoba</x:v>
      </x:c>
      <x:c r="L17" s="50" t="str">
        <x:v>Google Business Profile + John Deere</x:v>
      </x:c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50" t="n">
        <x:v>14</x:v>
      </x:c>
      <x:c r="B18" s="50" t="str">
        <x:v>Corredor RN8</x:v>
      </x:c>
      <x:c r="C18" s="50" t="str">
        <x:v>Bio4 - Bioetanol Río Cuarto S.A.</x:v>
      </x:c>
      <x:c r="D18" s="50" t="n">
        <x:v>98</x:v>
      </x:c>
      <x:c r="E18" s="50" t="str">
        <x:v>+54 358 4768500</x:v>
      </x:c>
      <x:c r="F18" s="50" t="str">
        <x:v>Ruta Provincial 19 km 1,2 (altura RN8 km 609), Río Cuarto, Córdoba</x:v>
      </x:c>
      <x:c r="G18" s="50" t="str">
        <x:v>mantenimiento / compras / logística / proyectos</x:v>
      </x:c>
      <x:c r="H18" s="50" t="str">
        <x:v>Movimientos de mantenimiento, motores, bombas, equipos, subconjuntos y cargas especiales.</x:v>
      </x:c>
      <x:c r="I18" s="50" t="str">
        <x:v>Plataforma + hidrogrúa + percha para pallets + seguro/GPS.</x:v>
      </x:c>
      <x:c r="J18" s="50" t="str">
        <x:v>Pedir mantenimiento/compras/planta; relevar equipos críticos y proveedores actuales.</x:v>
      </x:c>
      <x:c r="K18" s="50" t="str">
        <x:v>https://www.google.com/maps/search/?api=1&amp;query=Bio4+-+Bioetanol+R%C3%ADo+Cuarto+S.A.%2C+Ruta+Provincial+19+km+1%2C2+%28altura+RN8+km+609%29%2C+R%C3%ADo+Cuarto%2C+C%C3%B3rdoba</x:v>
      </x:c>
      <x:c r="L18" s="50" t="str">
        <x:v>Web oficial Bio4</x:v>
      </x:c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50" t="n">
        <x:v>15</x:v>
      </x:c>
      <x:c r="B19" s="50" t="str">
        <x:v>Corredor RN8</x:v>
      </x:c>
      <x:c r="C19" s="50" t="str">
        <x:v>Caon Maquinarias</x:v>
      </x:c>
      <x:c r="D19" s="50" t="n">
        <x:v>95</x:v>
      </x:c>
      <x:c r="E19" s="50" t="str">
        <x:v>+54 358 4117162</x:v>
      </x:c>
      <x:c r="F19" s="50" t="str">
        <x:v>RN8 km 608, X5800 Río Cuarto, Córdoba</x:v>
      </x:c>
      <x:c r="G19" s="50" t="str">
        <x:v>ventas / logística / usados</x:v>
      </x:c>
      <x:c r="H19" s="50" t="str">
        <x:v>Entrega/retiro de tractores, cosechadoras, pulverizadoras e implementos; usados y service.</x:v>
      </x:c>
      <x:c r="I19" s="50" t="str">
        <x:v>Plataforma 20 tn + malacate + seguro/GPS; hidrogrúa según implemento.</x:v>
      </x:c>
      <x:c r="J19" s="50" t="str">
        <x:v>Pedir logística/expedición/posventa; relevar campañas, usados y picos de entregas.</x:v>
      </x:c>
      <x:c r="K19" s="50" t="str">
        <x:v>https://www.google.com/maps/search/?api=1&amp;query=Caon+Maquinarias%2C+RN8+km+608%2C+X5800+R%C3%ADo+Cuarto%2C+C%C3%B3rdoba</x:v>
      </x:c>
      <x:c r="L19" s="50" t="str">
        <x:v>Google Business Profile</x:v>
      </x:c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50" t="n">
        <x:v>16</x:v>
      </x:c>
      <x:c r="B20" s="50" t="str">
        <x:v>Área urbana Río Cuarto</x:v>
      </x:c>
      <x:c r="C20" s="50" t="str">
        <x:v>INCISA S.A.</x:v>
      </x:c>
      <x:c r="D20" s="50" t="n">
        <x:v>100</x:v>
      </x:c>
      <x:c r="E20" s="50" t="str">
        <x:v>0358 4182680 / 3584 389870</x:v>
      </x:c>
      <x:c r="F20" s="50" t="str">
        <x:v>Estado de Palestina 2720, X5800 Río Cuarto, Córdoba</x:v>
      </x:c>
      <x:c r="G20" s="50" t="str">
        <x:v>equipos / logística / obras / planta</x:v>
      </x:c>
      <x:c r="H20" s="50" t="str">
        <x:v>Traslados interobra de excavadoras, retroexcavadoras, minicargadoras, rodillos y equipos viales.</x:v>
      </x:c>
      <x:c r="I20" s="50" t="str">
        <x:v>Plataforma 20 tn + malacate + seguro/GPS + coordinación interobra.</x:v>
      </x:c>
      <x:c r="J20" s="50" t="str">
        <x:v>Pedir jefe de equipos/obras; relevar flota, pesos y frecuencia de movimientos.</x:v>
      </x:c>
      <x:c r="K20" s="50" t="str">
        <x:v>https://www.google.com/maps/search/?api=1&amp;query=INCISA+S.A.%2C+Estado+de+Palestina+2720%2C+X5800+R%C3%ADo+Cuarto%2C+C%C3%B3rdoba</x:v>
      </x:c>
      <x:c r="L20" s="50" t="str">
        <x:v>Web oficial INCISA</x:v>
      </x:c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50" t="n">
        <x:v>17</x:v>
      </x:c>
      <x:c r="B21" s="50" t="str">
        <x:v>Área urbana Río Cuarto</x:v>
      </x:c>
      <x:c r="C21" s="50" t="str">
        <x:v>CATPRO Maquinarias</x:v>
      </x:c>
      <x:c r="D21" s="50" t="n">
        <x:v>98</x:v>
      </x:c>
      <x:c r="E21" s="50" t="str">
        <x:v>0358 4650092 / 4632206</x:v>
      </x:c>
      <x:c r="F21" s="50" t="str">
        <x:v>Av. Godoy Cruz 564, X5800 Río Cuarto, Córdoba</x:v>
      </x:c>
      <x:c r="G21" s="50" t="str">
        <x:v>logística / usados / servicio técnico</x:v>
      </x:c>
      <x:c r="H21" s="50" t="str">
        <x:v>Entrega/retiro de tractores, cosechadoras, pulverizadoras e implementos; usados y service.</x:v>
      </x:c>
      <x:c r="I21" s="50" t="str">
        <x:v>Plataforma 20 tn + malacate + seguro/GPS; hidrogrúa según implemento.</x:v>
      </x:c>
      <x:c r="J21" s="50" t="str">
        <x:v>Pedir logística/expedición/posventa; relevar campañas, usados y picos de entregas.</x:v>
      </x:c>
      <x:c r="K21" s="50" t="str">
        <x:v>https://www.google.com/maps/search/?api=1&amp;query=CATPRO+Maquinarias%2C+Av.+Godoy+Cruz+564%2C+X5800+R%C3%ADo+Cuarto%2C+C%C3%B3rdoba</x:v>
      </x:c>
      <x:c r="L21" s="50" t="str">
        <x:v>Web oficial Catpro</x:v>
      </x:c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50" t="n">
        <x:v>18</x:v>
      </x:c>
      <x:c r="B22" s="50" t="str">
        <x:v>Área urbana Río Cuarto</x:v>
      </x:c>
      <x:c r="C22" s="50" t="str">
        <x:v>Inelsa Ingeniería Eléctrica S.A.</x:v>
      </x:c>
      <x:c r="D22" s="50" t="n">
        <x:v>98</x:v>
      </x:c>
      <x:c r="E22" s="50" t="str">
        <x:v>+54 358 4750064 / +54 9 358 4183399</x:v>
      </x:c>
      <x:c r="F22" s="50" t="str">
        <x:v>Córdoba 780, X5800 Río Cuarto, Córdoba</x:v>
      </x:c>
      <x:c r="G22" s="50" t="str">
        <x:v>alquileres / operaciones / obras</x:v>
      </x:c>
      <x:c r="H22" s="50" t="str">
        <x:v>Entrega/retiro de autoelevadores, plataformas y equipos de elevación entre base y clientes.</x:v>
      </x:c>
      <x:c r="I22" s="50" t="str">
        <x:v>Plataforma 20 tn + malacate + hidrogrúa de apoyo.</x:v>
      </x:c>
      <x:c r="J22" s="50" t="str">
        <x:v>Pedir alquileres/logística/service y cotizar tarifa por viaje y acuerdo recurrente.</x:v>
      </x:c>
      <x:c r="K22" s="50" t="str">
        <x:v>https://www.google.com/maps/search/?api=1&amp;query=Inelsa+Ingenier%C3%ADa+El%C3%A9ctrica+S.A.%2C+C%C3%B3rdoba+780%2C+X5800+R%C3%ADo+Cuarto%2C+C%C3%B3rdoba</x:v>
      </x:c>
      <x:c r="L22" s="50" t="str">
        <x:v>Web oficial Inelsa</x:v>
      </x:c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50" t="n">
        <x:v>19</x:v>
      </x:c>
      <x:c r="B23" s="50" t="str">
        <x:v>Área urbana Río Cuarto</x:v>
      </x:c>
      <x:c r="C23" s="50" t="str">
        <x:v>TECNAC S.R.L.</x:v>
      </x:c>
      <x:c r="D23" s="50" t="n">
        <x:v>98</x:v>
      </x:c>
      <x:c r="E23" s="50" t="str">
        <x:v>0358 4642965</x:v>
      </x:c>
      <x:c r="F23" s="50" t="str">
        <x:v>De las Postas 2435, Río Cuarto, Córdoba</x:v>
      </x:c>
      <x:c r="G23" s="50" t="str">
        <x:v>jefe de equipos / obras / logística</x:v>
      </x:c>
      <x:c r="H23" s="50" t="str">
        <x:v>Traslados interobra de excavadoras, retroexcavadoras, minicargadoras, rodillos y equipos viales.</x:v>
      </x:c>
      <x:c r="I23" s="50" t="str">
        <x:v>Plataforma 20 tn + malacate + seguro/GPS + coordinación interobra.</x:v>
      </x:c>
      <x:c r="J23" s="50" t="str">
        <x:v>Pedir jefe de equipos/obras; relevar flota, pesos y frecuencia de movimientos.</x:v>
      </x:c>
      <x:c r="K23" s="50" t="str">
        <x:v>https://www.google.com/maps/search/?api=1&amp;query=TECNAC+S.R.L.%2C+De+las+Postas+2435%2C+R%C3%ADo+Cuarto%2C+C%C3%B3rdoba</x:v>
      </x:c>
      <x:c r="L23" s="50" t="str">
        <x:v>Web oficial TECNAC</x:v>
      </x:c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50" t="n">
        <x:v>20</x:v>
      </x:c>
      <x:c r="B24" s="50" t="str">
        <x:v>Área urbana Río Cuarto</x:v>
      </x:c>
      <x:c r="C24" s="50" t="str">
        <x:v>Terramobil - Alquiler de maquinaria vial</x:v>
      </x:c>
      <x:c r="D24" s="50" t="n">
        <x:v>98</x:v>
      </x:c>
      <x:c r="E24" s="50" t="str">
        <x:v>+54 358 5180190</x:v>
      </x:c>
      <x:c r="F24" s="50" t="str">
        <x:v>Pirovano 613, X5808 Río Cuarto, Córdoba</x:v>
      </x:c>
      <x:c r="G24" s="50" t="str">
        <x:v>alquileres / logística / operaciones</x:v>
      </x:c>
      <x:c r="H24" s="50" t="str">
        <x:v>Entrega, retiro y traslado de maquinaria pesada entre sucursal, clientes, taller y obras.</x:v>
      </x:c>
      <x:c r="I24" s="50" t="str">
        <x:v>Plataforma 20 tn + malacate + hidrogrúa de apoyo + seguro/GPS.</x:v>
      </x:c>
      <x:c r="J24" s="50" t="str">
        <x:v>Llamar y visitar; pedir logística/alquileres/posventa y relevar movimientos mensuales.</x:v>
      </x:c>
      <x:c r="K24" s="50" t="str">
        <x:v>https://www.google.com/maps/search/?api=1&amp;query=Terramobil+-+Alquiler+de+maquinaria+vial%2C+Pirovano+613%2C+X5808+R%C3%ADo+Cuarto%2C+C%C3%B3rdoba</x:v>
      </x:c>
      <x:c r="L24" s="50" t="str">
        <x:v>Google Business Profile</x:v>
      </x:c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50" t="n">
        <x:v>21</x:v>
      </x:c>
      <x:c r="B25" s="50" t="str">
        <x:v>Área urbana Río Cuarto</x:v>
      </x:c>
      <x:c r="C25" s="50" t="str">
        <x:v>Autoelevadores Río Cuarto Alquiler</x:v>
      </x:c>
      <x:c r="D25" s="50" t="n">
        <x:v>96</x:v>
      </x:c>
      <x:c r="E25" s="50" t="str">
        <x:v>+54 358 5703111</x:v>
      </x:c>
      <x:c r="F25" s="50" t="str">
        <x:v>Pje. Magallanes 2415, Río Cuarto, Córdoba</x:v>
      </x:c>
      <x:c r="G25" s="50" t="str">
        <x:v>alquileres / logística</x:v>
      </x:c>
      <x:c r="H25" s="50" t="str">
        <x:v>Entrega/retiro de autoelevadores, plataformas y equipos de elevación entre base y clientes.</x:v>
      </x:c>
      <x:c r="I25" s="50" t="str">
        <x:v>Plataforma 20 tn + malacate + hidrogrúa de apoyo.</x:v>
      </x:c>
      <x:c r="J25" s="50" t="str">
        <x:v>Pedir alquileres/logística/service y cotizar tarifa por viaje y acuerdo recurrente.</x:v>
      </x:c>
      <x:c r="K25" s="50" t="str">
        <x:v>https://www.google.com/maps/search/?api=1&amp;query=Autoelevadores+R%C3%ADo+Cuarto+Alquiler%2C+Pje.+Magallanes+2415%2C+R%C3%ADo+Cuarto%2C+C%C3%B3rdoba</x:v>
      </x:c>
      <x:c r="L25" s="50" t="str">
        <x:v>Google Business Profile</x:v>
      </x:c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50" t="n">
        <x:v>22</x:v>
      </x:c>
      <x:c r="B26" s="50" t="str">
        <x:v>Área urbana Río Cuarto</x:v>
      </x:c>
      <x:c r="C26" s="50" t="str">
        <x:v>PONCE Movimientos de Suelo</x:v>
      </x:c>
      <x:c r="D26" s="50" t="n">
        <x:v>96</x:v>
      </x:c>
      <x:c r="E26" s="50" t="str">
        <x:v>+54 358 5180198</x:v>
      </x:c>
      <x:c r="F26" s="50" t="str">
        <x:v>Alvear 455, X5800 Río Cuarto, Córdoba</x:v>
      </x:c>
      <x:c r="G26" s="50" t="str">
        <x:v>dueño / operaciones</x:v>
      </x:c>
      <x:c r="H26" s="50" t="str">
        <x:v>Traslados interobra de excavadoras, retroexcavadoras, minicargadoras, rodillos y equipos viales.</x:v>
      </x:c>
      <x:c r="I26" s="50" t="str">
        <x:v>Plataforma 20 tn + malacate + seguro/GPS + coordinación interobra.</x:v>
      </x:c>
      <x:c r="J26" s="50" t="str">
        <x:v>Pedir jefe de equipos/obras; relevar flota, pesos y frecuencia de movimientos.</x:v>
      </x:c>
      <x:c r="K26" s="50" t="str">
        <x:v>https://www.google.com/maps/search/?api=1&amp;query=PONCE+Movimientos+de+Suelo%2C+Alvear+455%2C+X5800+R%C3%ADo+Cuarto%2C+C%C3%B3rdoba</x:v>
      </x:c>
      <x:c r="L26" s="50" t="str">
        <x:v>Google Business Profile</x:v>
      </x:c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50" t="n">
        <x:v>23</x:v>
      </x:c>
      <x:c r="B27" s="50" t="str">
        <x:v>Área urbana Río Cuarto</x:v>
      </x:c>
      <x:c r="C27" s="50" t="str">
        <x:v>SAV Autoelevadores y Máquinas Viales</x:v>
      </x:c>
      <x:c r="D27" s="50" t="n">
        <x:v>96</x:v>
      </x:c>
      <x:c r="E27" s="50" t="str">
        <x:v>+54 358 5092695</x:v>
      </x:c>
      <x:c r="F27" s="50" t="str">
        <x:v>Lope de Vega 946, X5804 Río Cuarto, Córdoba</x:v>
      </x:c>
      <x:c r="G27" s="50" t="str">
        <x:v>dueño / operaciones / logística</x:v>
      </x:c>
      <x:c r="H27" s="50" t="str">
        <x:v>Entrega/retiro de autoelevadores, plataformas y equipos de elevación entre base y clientes.</x:v>
      </x:c>
      <x:c r="I27" s="50" t="str">
        <x:v>Plataforma 20 tn + malacate + hidrogrúa de apoyo.</x:v>
      </x:c>
      <x:c r="J27" s="50" t="str">
        <x:v>Pedir alquileres/logística/service y cotizar tarifa por viaje y acuerdo recurrente.</x:v>
      </x:c>
      <x:c r="K27" s="50" t="str">
        <x:v>https://www.google.com/maps/search/?api=1&amp;query=SAV+Autoelevadores+y+M%C3%A1quinas+Viales%2C+Lope+de+Vega+946%2C+X5804+R%C3%ADo+Cuarto%2C+C%C3%B3rdoba</x:v>
      </x:c>
      <x:c r="L27" s="50" t="str">
        <x:v>Google Business Profile</x:v>
      </x:c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871699c702e44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0" hidden="0" customWidth="1"/>
    <x:col min="4" max="4" width="22" hidden="0" customWidth="1"/>
    <x:col min="5" max="5" width="13" hidden="0" customWidth="1"/>
    <x:col min="6" max="6" width="24" hidden="0" customWidth="1"/>
    <x:col min="7" max="7" width="46" hidden="0" customWidth="1"/>
    <x:col min="8" max="8" width="24" hidden="0" customWidth="1"/>
    <x:col min="9" max="9" width="46" hidden="0" customWidth="1"/>
  </x:cols>
  <x:sheetData>
    <x:row r="1">
      <x:c r="A1" s="68" t="str">
        <x:v>ID</x:v>
      </x:c>
      <x:c r="B1" s="68" t="str">
        <x:v>Clase</x:v>
      </x:c>
      <x:c r="C1" s="68" t="str">
        <x:v>Empresa</x:v>
      </x:c>
      <x:c r="D1" s="68" t="str">
        <x:v>Teléfonos</x:v>
      </x:c>
      <x:c r="E1" s="68" t="str">
        <x:v>Calidad</x:v>
      </x:c>
      <x:c r="F1" s="68" t="str">
        <x:v>Preguntar por</x:v>
      </x:c>
      <x:c r="G1" s="68" t="str">
        <x:v>Dato pendiente</x:v>
      </x:c>
      <x:c r="H1" s="68" t="str">
        <x:v>Fuente</x:v>
      </x:c>
      <x:c r="I1" s="68" t="str">
        <x:v>URL fuente</x:v>
      </x:c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62" t="str">
        <x:v>RC-001</x:v>
      </x:c>
      <x:c r="B2" s="62" t="str">
        <x:v>A+</x:v>
      </x:c>
      <x:c r="C2" s="62" t="str">
        <x:v>Casale Maquinarias - Movimientos Agro Vial S.A.</x:v>
      </x:c>
      <x:c r="D2" s="62" t="str">
        <x:v>+54 358 5094615</x:v>
      </x:c>
      <x:c r="E2" s="62" t="str">
        <x:v>OK</x:v>
      </x:c>
      <x:c r="F2" s="62" t="str">
        <x:v>operaciones / logística / alquileres</x:v>
      </x:c>
      <x:c r="G2" s="62" t="str">
        <x:v>Confirmar decisor, frecuencia mensual, pesos/dimensiones y cómo resuelven hoy los traslados.</x:v>
      </x:c>
      <x:c r="H2" s="62" t="str">
        <x:v>Agrositio + Google Business</x:v>
      </x:c>
      <x:c r="I2" s="62" t="str">
        <x:v>https://www.agrositio.com.ar/clasificados/tiendas_detalle.php?id=91599</x:v>
      </x:c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62" t="str">
        <x:v>RC-002</x:v>
      </x:c>
      <x:c r="B3" s="62" t="str">
        <x:v>A+</x:v>
      </x:c>
      <x:c r="C3" s="62" t="str">
        <x:v>Geoqom</x:v>
      </x:c>
      <x:c r="D3" s="62" t="str">
        <x:v>0358 154850006</x:v>
      </x:c>
      <x:c r="E3" s="62" t="str">
        <x:v>OK</x:v>
      </x:c>
      <x:c r="F3" s="62" t="str">
        <x:v>operaciones / equipos / obras</x:v>
      </x:c>
      <x:c r="G3" s="62" t="str">
        <x:v>Confirmar decisor, frecuencia mensual, pesos/dimensiones y cómo resuelven hoy los traslados.</x:v>
      </x:c>
      <x:c r="H3" s="62" t="str">
        <x:v>Web oficial Geoqom</x:v>
      </x:c>
      <x:c r="I3" s="62" t="str">
        <x:v>https://www.geoqom.com/</x:v>
      </x:c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62" t="str">
        <x:v>RC-003</x:v>
      </x:c>
      <x:c r="B4" s="62" t="str">
        <x:v>A+</x:v>
      </x:c>
      <x:c r="C4" s="62" t="str">
        <x:v>INCISA S.A.</x:v>
      </x:c>
      <x:c r="D4" s="62" t="str">
        <x:v>0358 4182680 / 3584 389870</x:v>
      </x:c>
      <x:c r="E4" s="62" t="str">
        <x:v>OK</x:v>
      </x:c>
      <x:c r="F4" s="62" t="str">
        <x:v>equipos / logística / obras / planta</x:v>
      </x:c>
      <x:c r="G4" s="62" t="str">
        <x:v>Confirmar decisor, frecuencia mensual, pesos/dimensiones y cómo resuelven hoy los traslados.</x:v>
      </x:c>
      <x:c r="H4" s="62" t="str">
        <x:v>Web oficial INCISA</x:v>
      </x:c>
      <x:c r="I4" s="62" t="str">
        <x:v>https://incisa-sa.com/</x:v>
      </x:c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62" t="str">
        <x:v>RC-004</x:v>
      </x:c>
      <x:c r="B5" s="62" t="str">
        <x:v>A+</x:v>
      </x:c>
      <x:c r="C5" s="62" t="str">
        <x:v>Metalfor S.A. - Río Cuarto</x:v>
      </x:c>
      <x:c r="D5" s="62" t="str">
        <x:v>0358 4655642 / 358 6011697</x:v>
      </x:c>
      <x:c r="E5" s="62" t="str">
        <x:v>OK</x:v>
      </x:c>
      <x:c r="F5" s="62" t="str">
        <x:v>logística / expedición / servicap / usados</x:v>
      </x:c>
      <x:c r="G5" s="62" t="str">
        <x:v>Confirmar decisor, frecuencia mensual, pesos/dimensiones y cómo resuelven hoy los traslados.</x:v>
      </x:c>
      <x:c r="H5" s="62" t="str">
        <x:v>Waze + Cummins Service Locator</x:v>
      </x:c>
      <x:c r="I5" s="62" t="str">
        <x:v>https://www.cummins.com/en-na/locations/argentina/cordoba/rio-cuarto/servicap-metalfor-rio-cuarto</x:v>
      </x:c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62" t="str">
        <x:v>RC-005</x:v>
      </x:c>
      <x:c r="B6" s="62" t="str">
        <x:v>A+</x:v>
      </x:c>
      <x:c r="C6" s="62" t="str">
        <x:v>Pallotti Maquinarias</x:v>
      </x:c>
      <x:c r="D6" s="62" t="str">
        <x:v>+54 358 5713137 / 5091218</x:v>
      </x:c>
      <x:c r="E6" s="62" t="str">
        <x:v>OK</x:v>
      </x:c>
      <x:c r="F6" s="62" t="str">
        <x:v>ventas / logística / servicio técnico</x:v>
      </x:c>
      <x:c r="G6" s="62" t="str">
        <x:v>Confirmar decisor, frecuencia mensual, pesos/dimensiones y cómo resuelven hoy los traslados.</x:v>
      </x:c>
      <x:c r="H6" s="62" t="str">
        <x:v>Web oficial Pallotti</x:v>
      </x:c>
      <x:c r="I6" s="62" t="str">
        <x:v>https://pallottimaquinarias.ar/contacto</x:v>
      </x:c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62" t="str">
        <x:v>RC-006</x:v>
      </x:c>
      <x:c r="B7" s="62" t="str">
        <x:v>A+</x:v>
      </x:c>
      <x:c r="C7" s="62" t="str">
        <x:v>Semtraco S.A. - CASE IH / JCB</x:v>
      </x:c>
      <x:c r="D7" s="62" t="str">
        <x:v>0358 4158451</x:v>
      </x:c>
      <x:c r="E7" s="62" t="str">
        <x:v>OK</x:v>
      </x:c>
      <x:c r="F7" s="62" t="str">
        <x:v>gerencia de sucursal / logística / posventa</x:v>
      </x:c>
      <x:c r="G7" s="62" t="str">
        <x:v>Confirmar decisor, frecuencia mensual, pesos/dimensiones y cómo resuelven hoy los traslados.</x:v>
      </x:c>
      <x:c r="H7" s="62" t="str">
        <x:v>Web oficial Semtraco</x:v>
      </x:c>
      <x:c r="I7" s="62" t="str">
        <x:v>https://www.semtraco.com.ar/productos/case.html</x:v>
      </x:c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62" t="str">
        <x:v>RC-007</x:v>
      </x:c>
      <x:c r="B8" s="62" t="str">
        <x:v>A+</x:v>
      </x:c>
      <x:c r="C8" s="62" t="str">
        <x:v>Bio4 - Bioetanol Río Cuarto S.A.</x:v>
      </x:c>
      <x:c r="D8" s="62" t="str">
        <x:v>+54 358 4768500</x:v>
      </x:c>
      <x:c r="E8" s="62" t="str">
        <x:v>OK</x:v>
      </x:c>
      <x:c r="F8" s="62" t="str">
        <x:v>mantenimiento / compras / logística / proyectos</x:v>
      </x:c>
      <x:c r="G8" s="62" t="str">
        <x:v>Confirmar decisor, frecuencia mensual, pesos/dimensiones y cómo resuelven hoy los traslados.</x:v>
      </x:c>
      <x:c r="H8" s="62" t="str">
        <x:v>Web oficial Bio4</x:v>
      </x:c>
      <x:c r="I8" s="62" t="str">
        <x:v>https://bio4.com.ar/</x:v>
      </x:c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62" t="str">
        <x:v>RC-008</x:v>
      </x:c>
      <x:c r="B9" s="62" t="str">
        <x:v>A+</x:v>
      </x:c>
      <x:c r="C9" s="62" t="str">
        <x:v>CATPRO Maquinarias</x:v>
      </x:c>
      <x:c r="D9" s="62" t="str">
        <x:v>0358 4650092 / 4632206</x:v>
      </x:c>
      <x:c r="E9" s="62" t="str">
        <x:v>OK</x:v>
      </x:c>
      <x:c r="F9" s="62" t="str">
        <x:v>logística / usados / servicio técnico</x:v>
      </x:c>
      <x:c r="G9" s="62" t="str">
        <x:v>Confirmar decisor, frecuencia mensual, pesos/dimensiones y cómo resuelven hoy los traslados.</x:v>
      </x:c>
      <x:c r="H9" s="62" t="str">
        <x:v>Web oficial Catpro</x:v>
      </x:c>
      <x:c r="I9" s="62" t="str">
        <x:v>https://www.catprosa.com.ar/index.php/empresa</x:v>
      </x:c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62" t="str">
        <x:v>RC-009</x:v>
      </x:c>
      <x:c r="B10" s="62" t="str">
        <x:v>A+</x:v>
      </x:c>
      <x:c r="C10" s="62" t="str">
        <x:v>Inelsa Ingeniería Eléctrica S.A.</x:v>
      </x:c>
      <x:c r="D10" s="62" t="str">
        <x:v>+54 358 4750064 / +54 9 358 4183399</x:v>
      </x:c>
      <x:c r="E10" s="62" t="str">
        <x:v>OK</x:v>
      </x:c>
      <x:c r="F10" s="62" t="str">
        <x:v>alquileres / operaciones / obras</x:v>
      </x:c>
      <x:c r="G10" s="62" t="str">
        <x:v>Confirmar decisor, frecuencia mensual, pesos/dimensiones y cómo resuelven hoy los traslados.</x:v>
      </x:c>
      <x:c r="H10" s="62" t="str">
        <x:v>Web oficial Inelsa</x:v>
      </x:c>
      <x:c r="I10" s="62" t="str">
        <x:v>https://www.inelsa.com.ar/</x:v>
      </x:c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62" t="str">
        <x:v>RC-010</x:v>
      </x:c>
      <x:c r="B11" s="62" t="str">
        <x:v>A+</x:v>
      </x:c>
      <x:c r="C11" s="62" t="str">
        <x:v>Marinelli S.A.</x:v>
      </x:c>
      <x:c r="D11" s="62" t="str">
        <x:v>0358 4647058</x:v>
      </x:c>
      <x:c r="E11" s="62" t="str">
        <x:v>OK</x:v>
      </x:c>
      <x:c r="F11" s="62" t="str">
        <x:v>planta / logística / obras</x:v>
      </x:c>
      <x:c r="G11" s="62" t="str">
        <x:v>Confirmar decisor, frecuencia mensual, pesos/dimensiones y cómo resuelven hoy los traslados.</x:v>
      </x:c>
      <x:c r="H11" s="62" t="str">
        <x:v>Web oficial Marinelli</x:v>
      </x:c>
      <x:c r="I11" s="62" t="str">
        <x:v>https://www.marinellisa.com/</x:v>
      </x:c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62" t="str">
        <x:v>RC-011</x:v>
      </x:c>
      <x:c r="B12" s="62" t="str">
        <x:v>A+</x:v>
      </x:c>
      <x:c r="C12" s="62" t="str">
        <x:v>SALA</x:v>
      </x:c>
      <x:c r="D12" s="62" t="str">
        <x:v>+54 9 358 2409477</x:v>
      </x:c>
      <x:c r="E12" s="62" t="str">
        <x:v>OK</x:v>
      </x:c>
      <x:c r="F12" s="62" t="str">
        <x:v>logística / entregas / posventa</x:v>
      </x:c>
      <x:c r="G12" s="62" t="str">
        <x:v>Confirmar decisor, frecuencia mensual, pesos/dimensiones y cómo resuelven hoy los traslados.</x:v>
      </x:c>
      <x:c r="H12" s="62" t="str">
        <x:v>Google Business Profile + John Deere</x:v>
      </x:c>
      <x:c r="I12" s="62" t="str">
        <x:v>https://www.google.com/maps/search/?api=1&amp;query=SALA+John+Deere+Rio+Cuarto</x:v>
      </x:c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62" t="str">
        <x:v>RC-012</x:v>
      </x:c>
      <x:c r="B13" s="62" t="str">
        <x:v>A+</x:v>
      </x:c>
      <x:c r="C13" s="62" t="str">
        <x:v>Simonassi Maquinarias Agrícolas</x:v>
      </x:c>
      <x:c r="D13" s="62" t="str">
        <x:v>+54 358 5062964</x:v>
      </x:c>
      <x:c r="E13" s="62" t="str">
        <x:v>OK</x:v>
      </x:c>
      <x:c r="F13" s="62" t="str">
        <x:v>gerencia / logística / posventa</x:v>
      </x:c>
      <x:c r="G13" s="62" t="str">
        <x:v>Confirmar decisor, frecuencia mensual, pesos/dimensiones y cómo resuelven hoy los traslados.</x:v>
      </x:c>
      <x:c r="H13" s="62" t="str">
        <x:v>Google Business Profile + LinkedIn</x:v>
      </x:c>
      <x:c r="I13" s="62" t="str">
        <x:v>https://www.google.com/maps/search/?api=1&amp;query=Simonassi+Maquinarias+Agricolas+Rio+Cuarto</x:v>
      </x:c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62" t="str">
        <x:v>RC-013</x:v>
      </x:c>
      <x:c r="B14" s="62" t="str">
        <x:v>A+</x:v>
      </x:c>
      <x:c r="C14" s="62" t="str">
        <x:v>TECNAC S.R.L.</x:v>
      </x:c>
      <x:c r="D14" s="62" t="str">
        <x:v>0358 4642965</x:v>
      </x:c>
      <x:c r="E14" s="62" t="str">
        <x:v>OK</x:v>
      </x:c>
      <x:c r="F14" s="62" t="str">
        <x:v>jefe de equipos / obras / logística</x:v>
      </x:c>
      <x:c r="G14" s="62" t="str">
        <x:v>Confirmar decisor, frecuencia mensual, pesos/dimensiones y cómo resuelven hoy los traslados.</x:v>
      </x:c>
      <x:c r="H14" s="62" t="str">
        <x:v>Web oficial TECNAC</x:v>
      </x:c>
      <x:c r="I14" s="62" t="str">
        <x:v>https://tecnac.com.ar/</x:v>
      </x:c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62" t="str">
        <x:v>RC-014</x:v>
      </x:c>
      <x:c r="B15" s="62" t="str">
        <x:v>A+</x:v>
      </x:c>
      <x:c r="C15" s="62" t="str">
        <x:v>Terramobil - Alquiler de maquinaria vial</x:v>
      </x:c>
      <x:c r="D15" s="62" t="str">
        <x:v>+54 358 5180190</x:v>
      </x:c>
      <x:c r="E15" s="62" t="str">
        <x:v>OK</x:v>
      </x:c>
      <x:c r="F15" s="62" t="str">
        <x:v>alquileres / logística / operaciones</x:v>
      </x:c>
      <x:c r="G15" s="62" t="str">
        <x:v>Confirmar decisor, frecuencia mensual, pesos/dimensiones y cómo resuelven hoy los traslados.</x:v>
      </x:c>
      <x:c r="H15" s="62" t="str">
        <x:v>Google Business Profile</x:v>
      </x:c>
      <x:c r="I15" s="62" t="str">
        <x:v>https://www.google.com/maps/search/?api=1&amp;query=Terramobil+Alquiler+Maquinaria+Vial+Rio+Cuarto</x:v>
      </x:c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62" t="str">
        <x:v>RC-015</x:v>
      </x:c>
      <x:c r="B16" s="62" t="str">
        <x:v>A+</x:v>
      </x:c>
      <x:c r="C16" s="62" t="str">
        <x:v>Autoelevadores Río Cuarto Alquiler</x:v>
      </x:c>
      <x:c r="D16" s="62" t="str">
        <x:v>+54 358 5703111</x:v>
      </x:c>
      <x:c r="E16" s="62" t="str">
        <x:v>OK</x:v>
      </x:c>
      <x:c r="F16" s="62" t="str">
        <x:v>alquileres / logística</x:v>
      </x:c>
      <x:c r="G16" s="62" t="str">
        <x:v>Confirmar decisor, frecuencia mensual, pesos/dimensiones y cómo resuelven hoy los traslados.</x:v>
      </x:c>
      <x:c r="H16" s="62" t="str">
        <x:v>Google Business Profile</x:v>
      </x:c>
      <x:c r="I16" s="62" t="str">
        <x:v>https://www.google.com/maps/search/?api=1&amp;query=Autoelevadores+Rio+Cuarto+Alquiler</x:v>
      </x:c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62" t="str">
        <x:v>RC-016</x:v>
      </x:c>
      <x:c r="B17" s="62" t="str">
        <x:v>A+</x:v>
      </x:c>
      <x:c r="C17" s="62" t="str">
        <x:v>PONCE Movimientos de Suelo</x:v>
      </x:c>
      <x:c r="D17" s="62" t="str">
        <x:v>+54 358 5180198</x:v>
      </x:c>
      <x:c r="E17" s="62" t="str">
        <x:v>OK</x:v>
      </x:c>
      <x:c r="F17" s="62" t="str">
        <x:v>dueño / operaciones</x:v>
      </x:c>
      <x:c r="G17" s="62" t="str">
        <x:v>Confirmar decisor, frecuencia mensual, pesos/dimensiones y cómo resuelven hoy los traslados.</x:v>
      </x:c>
      <x:c r="H17" s="62" t="str">
        <x:v>Google Business Profile</x:v>
      </x:c>
      <x:c r="I17" s="62" t="str">
        <x:v>https://www.google.com/maps/search/?api=1&amp;query=PONCE+movimientos+de+suelo+Rio+Cuarto</x:v>
      </x:c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62" t="str">
        <x:v>RC-017</x:v>
      </x:c>
      <x:c r="B18" s="62" t="str">
        <x:v>A+</x:v>
      </x:c>
      <x:c r="C18" s="62" t="str">
        <x:v>RINO Pauny</x:v>
      </x:c>
      <x:c r="D18" s="62" t="str">
        <x:v>+54 358 5091232</x:v>
      </x:c>
      <x:c r="E18" s="62" t="str">
        <x:v>OK</x:v>
      </x:c>
      <x:c r="F18" s="62" t="str">
        <x:v>ventas / logística / posventa</x:v>
      </x:c>
      <x:c r="G18" s="62" t="str">
        <x:v>Confirmar decisor, frecuencia mensual, pesos/dimensiones y cómo resuelven hoy los traslados.</x:v>
      </x:c>
      <x:c r="H18" s="62" t="str">
        <x:v>Google Business Profile</x:v>
      </x:c>
      <x:c r="I18" s="62" t="str">
        <x:v>https://www.google.com/maps/search/?api=1&amp;query=RINO+Pauny+Rio+Cuarto</x:v>
      </x:c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62" t="str">
        <x:v>RC-018</x:v>
      </x:c>
      <x:c r="B19" s="62" t="str">
        <x:v>A+</x:v>
      </x:c>
      <x:c r="C19" s="62" t="str">
        <x:v>SAV Autoelevadores y Máquinas Viales</x:v>
      </x:c>
      <x:c r="D19" s="62" t="str">
        <x:v>+54 358 5092695</x:v>
      </x:c>
      <x:c r="E19" s="62" t="str">
        <x:v>OK</x:v>
      </x:c>
      <x:c r="F19" s="62" t="str">
        <x:v>dueño / operaciones / logística</x:v>
      </x:c>
      <x:c r="G19" s="62" t="str">
        <x:v>Confirmar decisor, frecuencia mensual, pesos/dimensiones y cómo resuelven hoy los traslados.</x:v>
      </x:c>
      <x:c r="H19" s="62" t="str">
        <x:v>Google Business Profile</x:v>
      </x:c>
      <x:c r="I19" s="62" t="str">
        <x:v>https://www.google.com/maps/search/?api=1&amp;query=SAV+Autoelevadores+y+Maquinas+Viales+Rio+Cuarto</x:v>
      </x:c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62" t="str">
        <x:v>RC-019</x:v>
      </x:c>
      <x:c r="B20" s="62" t="str">
        <x:v>A+</x:v>
      </x:c>
      <x:c r="C20" s="62" t="str">
        <x:v>Agecer - Volvo Trucks &amp; Buses Río Cuarto</x:v>
      </x:c>
      <x:c r="D20" s="62" t="str">
        <x:v>+54 9 358 4013892</x:v>
      </x:c>
      <x:c r="E20" s="62" t="str">
        <x:v>OK</x:v>
      </x:c>
      <x:c r="F20" s="62" t="str">
        <x:v>posventa / logística / usados / comercial</x:v>
      </x:c>
      <x:c r="G20" s="62" t="str">
        <x:v>Confirmar decisor, frecuencia mensual, pesos/dimensiones y cómo resuelven hoy los traslados.</x:v>
      </x:c>
      <x:c r="H20" s="62" t="str">
        <x:v>Web oficial Volvo/Agecer</x:v>
      </x:c>
      <x:c r="I20" s="62" t="str">
        <x:v>https://www.dealer.volvotrucks.com.ar/agecer/es-ar/nuestras-sucursales/rio-cuarto.html</x:v>
      </x:c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62" t="str">
        <x:v>RC-020</x:v>
      </x:c>
      <x:c r="B21" s="62" t="str">
        <x:v>A+</x:v>
      </x:c>
      <x:c r="C21" s="62" t="str">
        <x:v>AGRO VIAL FERNANDEZ</x:v>
      </x:c>
      <x:c r="D21" s="62" t="str">
        <x:v>+54 9 351 6077077</x:v>
      </x:c>
      <x:c r="E21" s="62" t="str">
        <x:v>OK</x:v>
      </x:c>
      <x:c r="F21" s="62" t="str">
        <x:v>ventas / logística / taller</x:v>
      </x:c>
      <x:c r="G21" s="62" t="str">
        <x:v>Confirmar decisor, frecuencia mensual, pesos/dimensiones y cómo resuelven hoy los traslados.</x:v>
      </x:c>
      <x:c r="H21" s="62" t="str">
        <x:v>Google Business Profile</x:v>
      </x:c>
      <x:c r="I21" s="62" t="str">
        <x:v>https://www.google.com/maps/search/?api=1&amp;query=Agro+Vial+Fernandez+Rio+Cuarto</x:v>
      </x:c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62" t="str">
        <x:v>RC-021</x:v>
      </x:c>
      <x:c r="B22" s="62" t="str">
        <x:v>A+</x:v>
      </x:c>
      <x:c r="C22" s="62" t="str">
        <x:v>Agrokeegan Maquinarias</x:v>
      </x:c>
      <x:c r="D22" s="62" t="str">
        <x:v>+54 358 6014848</x:v>
      </x:c>
      <x:c r="E22" s="62" t="str">
        <x:v>OK</x:v>
      </x:c>
      <x:c r="F22" s="62" t="str">
        <x:v>ventas / logística / expedición</x:v>
      </x:c>
      <x:c r="G22" s="62" t="str">
        <x:v>Confirmar decisor, frecuencia mensual, pesos/dimensiones y cómo resuelven hoy los traslados.</x:v>
      </x:c>
      <x:c r="H22" s="62" t="str">
        <x:v>Web oficial Agrokeegan</x:v>
      </x:c>
      <x:c r="I22" s="62" t="str">
        <x:v>https://agrokeegan.com.ar/about-us</x:v>
      </x:c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62" t="str">
        <x:v>RC-022</x:v>
      </x:c>
      <x:c r="B23" s="62" t="str">
        <x:v>A+</x:v>
      </x:c>
      <x:c r="C23" s="62" t="str">
        <x:v>Bricchi Hnos. S.A.</x:v>
      </x:c>
      <x:c r="D23" s="62" t="str">
        <x:v>+54 9 358 4854418</x:v>
      </x:c>
      <x:c r="E23" s="62" t="str">
        <x:v>OK</x:v>
      </x:c>
      <x:c r="F23" s="62" t="str">
        <x:v>ventas / logística / posventa</x:v>
      </x:c>
      <x:c r="G23" s="62" t="str">
        <x:v>Confirmar decisor, frecuencia mensual, pesos/dimensiones y cómo resuelven hoy los traslados.</x:v>
      </x:c>
      <x:c r="H23" s="62" t="str">
        <x:v>Web oficial Bricchi</x:v>
      </x:c>
      <x:c r="I23" s="62" t="str">
        <x:v>https://www.bricchihnos.com/</x:v>
      </x:c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62" t="str">
        <x:v>RC-023</x:v>
      </x:c>
      <x:c r="B24" s="62" t="str">
        <x:v>A+</x:v>
      </x:c>
      <x:c r="C24" s="62" t="str">
        <x:v>Caon Maquinarias</x:v>
      </x:c>
      <x:c r="D24" s="62" t="str">
        <x:v>+54 358 4117162</x:v>
      </x:c>
      <x:c r="E24" s="62" t="str">
        <x:v>OK</x:v>
      </x:c>
      <x:c r="F24" s="62" t="str">
        <x:v>ventas / logística / usados</x:v>
      </x:c>
      <x:c r="G24" s="62" t="str">
        <x:v>Confirmar decisor, frecuencia mensual, pesos/dimensiones y cómo resuelven hoy los traslados.</x:v>
      </x:c>
      <x:c r="H24" s="62" t="str">
        <x:v>Google Business Profile</x:v>
      </x:c>
      <x:c r="I24" s="62" t="str">
        <x:v>https://www.google.com/maps/search/?api=1&amp;query=Caon+Maquinarias+Rio+Cuarto</x:v>
      </x:c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62" t="str">
        <x:v>RC-024</x:v>
      </x:c>
      <x:c r="B25" s="62" t="str">
        <x:v>A</x:v>
      </x:c>
      <x:c r="C25" s="62" t="str">
        <x:v>Attus</x:v>
      </x:c>
      <x:c r="D25" s="62" t="str">
        <x:v>+54 9 358 4629741</x:v>
      </x:c>
      <x:c r="E25" s="62" t="str">
        <x:v>OK</x:v>
      </x:c>
      <x:c r="F25" s="62" t="str">
        <x:v>operaciones / montajes / obras</x:v>
      </x:c>
      <x:c r="G25" s="62" t="str">
        <x:v>Confirmar decisor, frecuencia mensual, pesos/dimensiones y cómo resuelven hoy los traslados.</x:v>
      </x:c>
      <x:c r="H25" s="62" t="str">
        <x:v>Web oficial Attus</x:v>
      </x:c>
      <x:c r="I25" s="62" t="str">
        <x:v>https://attus.com.ar/servicios/</x:v>
      </x:c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62" t="str">
        <x:v>RC-025</x:v>
      </x:c>
      <x:c r="B26" s="62" t="str">
        <x:v>A</x:v>
      </x:c>
      <x:c r="C26" s="62" t="str">
        <x:v>Cantera La Helena</x:v>
      </x:c>
      <x:c r="D26" s="62" t="str">
        <x:v>+54 358 4309507</x:v>
      </x:c>
      <x:c r="E26" s="62" t="str">
        <x:v>OK</x:v>
      </x:c>
      <x:c r="F26" s="62" t="str">
        <x:v>operaciones / mantenimiento / logística</x:v>
      </x:c>
      <x:c r="G26" s="62" t="str">
        <x:v>Confirmar decisor, frecuencia mensual, pesos/dimensiones y cómo resuelven hoy los traslados.</x:v>
      </x:c>
      <x:c r="H26" s="62" t="str">
        <x:v>Web oficial La Helena</x:v>
      </x:c>
      <x:c r="I26" s="62" t="str">
        <x:v>https://lahelena.com.ar/about/</x:v>
      </x:c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62" t="str">
        <x:v>RC-026</x:v>
      </x:c>
      <x:c r="B27" s="62" t="str">
        <x:v>A</x:v>
      </x:c>
      <x:c r="C27" s="62" t="str">
        <x:v>Carrocerías El Tero S.A.</x:v>
      </x:c>
      <x:c r="D27" s="62" t="str">
        <x:v>0358 4155555 / +54 9 358 5077725</x:v>
      </x:c>
      <x:c r="E27" s="62" t="str">
        <x:v>OK</x:v>
      </x:c>
      <x:c r="F27" s="62" t="str">
        <x:v>producción / expedición / taller</x:v>
      </x:c>
      <x:c r="G27" s="62" t="str">
        <x:v>Confirmar decisor, frecuencia mensual, pesos/dimensiones y cómo resuelven hoy los traslados.</x:v>
      </x:c>
      <x:c r="H27" s="62" t="str">
        <x:v>Web oficial Carrocerías El Tero</x:v>
      </x:c>
      <x:c r="I27" s="62" t="str">
        <x:v>https://www.carroceriaseltero.com/</x:v>
      </x:c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62" t="str">
        <x:v>RC-027</x:v>
      </x:c>
      <x:c r="B28" s="62" t="str">
        <x:v>A</x:v>
      </x:c>
      <x:c r="C28" s="62" t="str">
        <x:v>Cisar Piscinas y Cúpulas</x:v>
      </x:c>
      <x:c r="D28" s="62" t="str">
        <x:v>0358 4640586 / +54 9 358 4818472</x:v>
      </x:c>
      <x:c r="E28" s="62" t="str">
        <x:v>OK</x:v>
      </x:c>
      <x:c r="F28" s="62" t="str">
        <x:v>producción / logística / colocaciones</x:v>
      </x:c>
      <x:c r="G28" s="62" t="str">
        <x:v>Confirmar decisor, frecuencia mensual, pesos/dimensiones y cómo resuelven hoy los traslados.</x:v>
      </x:c>
      <x:c r="H28" s="62" t="str">
        <x:v>Web oficial Cisar</x:v>
      </x:c>
      <x:c r="I28" s="62" t="str">
        <x:v>https://cisarpiscinasycupulas.com.ar/about/</x:v>
      </x:c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62" t="str">
        <x:v>RC-028</x:v>
      </x:c>
      <x:c r="B29" s="62" t="str">
        <x:v>A</x:v>
      </x:c>
      <x:c r="C29" s="62" t="str">
        <x:v>Löchel Industria Metalúrgica</x:v>
      </x:c>
      <x:c r="D29" s="62" t="str">
        <x:v>+54 358 5605339 / 4018967</x:v>
      </x:c>
      <x:c r="E29" s="62" t="str">
        <x:v>OK</x:v>
      </x:c>
      <x:c r="F29" s="62" t="str">
        <x:v>producción / expedición / logística</x:v>
      </x:c>
      <x:c r="G29" s="62" t="str">
        <x:v>Confirmar decisor, frecuencia mensual, pesos/dimensiones y cómo resuelven hoy los traslados.</x:v>
      </x:c>
      <x:c r="H29" s="62" t="str">
        <x:v>Web oficial Löchel</x:v>
      </x:c>
      <x:c r="I29" s="62" t="str">
        <x:v>https://lochel.com.ar/contacto/</x:v>
      </x:c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62" t="str">
        <x:v>RC-029</x:v>
      </x:c>
      <x:c r="B30" s="62" t="str">
        <x:v>A</x:v>
      </x:c>
      <x:c r="C30" s="62" t="str">
        <x:v>MG Autoelevadores</x:v>
      </x:c>
      <x:c r="D30" s="62" t="str">
        <x:v>+54 358 4017219</x:v>
      </x:c>
      <x:c r="E30" s="62" t="str">
        <x:v>OK</x:v>
      </x:c>
      <x:c r="F30" s="62" t="str">
        <x:v>operaciones / servicio / logística</x:v>
      </x:c>
      <x:c r="G30" s="62" t="str">
        <x:v>Confirmar decisor, frecuencia mensual, pesos/dimensiones y cómo resuelven hoy los traslados.</x:v>
      </x:c>
      <x:c r="H30" s="62" t="str">
        <x:v>Google Business Profile</x:v>
      </x:c>
      <x:c r="I30" s="62" t="str">
        <x:v>https://www.google.com/maps/search/?api=1&amp;query=MG+Autoelevadores+Rio+Cuarto</x:v>
      </x:c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62" t="str">
        <x:v>RC-030</x:v>
      </x:c>
      <x:c r="B31" s="62" t="str">
        <x:v>A</x:v>
      </x:c>
      <x:c r="C31" s="62" t="str">
        <x:v>R.C Movimiento de Suelos</x:v>
      </x:c>
      <x:c r="D31" s="62" t="str">
        <x:v>+54 358 4289293</x:v>
      </x:c>
      <x:c r="E31" s="62" t="str">
        <x:v>OK</x:v>
      </x:c>
      <x:c r="F31" s="62" t="str">
        <x:v>operaciones / dueño</x:v>
      </x:c>
      <x:c r="G31" s="62" t="str">
        <x:v>Confirmar decisor, frecuencia mensual, pesos/dimensiones y cómo resuelven hoy los traslados.</x:v>
      </x:c>
      <x:c r="H31" s="62" t="str">
        <x:v>Google Business Profile</x:v>
      </x:c>
      <x:c r="I31" s="62" t="str">
        <x:v>https://www.google.com/maps/search/?api=1&amp;query=RC+Movimiento+de+Suelos+Rio+Cuarto</x:v>
      </x:c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62" t="str">
        <x:v>RC-031</x:v>
      </x:c>
      <x:c r="B32" s="62" t="str">
        <x:v>A</x:v>
      </x:c>
      <x:c r="C32" s="62" t="str">
        <x:v>Alquilo Todo Río Cuarto</x:v>
      </x:c>
      <x:c r="D32" s="62" t="str">
        <x:v>+54 3546 490403</x:v>
      </x:c>
      <x:c r="E32" s="62" t="str">
        <x:v>OK</x:v>
      </x:c>
      <x:c r="F32" s="62" t="str">
        <x:v>alquileres / operaciones</x:v>
      </x:c>
      <x:c r="G32" s="62" t="str">
        <x:v>Confirmar decisor, frecuencia mensual, pesos/dimensiones y cómo resuelven hoy los traslados.</x:v>
      </x:c>
      <x:c r="H32" s="62" t="str">
        <x:v>Google Business Profile</x:v>
      </x:c>
      <x:c r="I32" s="62" t="str">
        <x:v>https://www.google.com/maps/search/?api=1&amp;query=Alquilo+Todo+Rio+Cuarto</x:v>
      </x:c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62" t="str">
        <x:v>RC-032</x:v>
      </x:c>
      <x:c r="B33" s="62" t="str">
        <x:v>A</x:v>
      </x:c>
      <x:c r="C33" s="62" t="str">
        <x:v>Concesionario Rubén Marconi</x:v>
      </x:c>
      <x:c r="D33" s="62" t="str">
        <x:v>+54 358 4700452</x:v>
      </x:c>
      <x:c r="E33" s="62" t="str">
        <x:v>OK</x:v>
      </x:c>
      <x:c r="F33" s="62" t="str">
        <x:v>ventas / logística</x:v>
      </x:c>
      <x:c r="G33" s="62" t="str">
        <x:v>Confirmar decisor, frecuencia mensual, pesos/dimensiones y cómo resuelven hoy los traslados.</x:v>
      </x:c>
      <x:c r="H33" s="62" t="str">
        <x:v>Google Business Profile</x:v>
      </x:c>
      <x:c r="I33" s="62" t="str">
        <x:v>https://www.google.com/maps/search/?api=1&amp;query=Concesionario+Ruben+Marconi+Rio+Cuarto</x:v>
      </x:c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62" t="str">
        <x:v>RC-033</x:v>
      </x:c>
      <x:c r="B34" s="62" t="str">
        <x:v>A</x:v>
      </x:c>
      <x:c r="C34" s="62" t="str">
        <x:v>DEXCO Constructora</x:v>
      </x:c>
      <x:c r="D34" s="62" t="str">
        <x:v>A verificar</x:v>
      </x:c>
      <x:c r="E34" s="62" t="str">
        <x:v>A verificar</x:v>
      </x:c>
      <x:c r="F34" s="62" t="str">
        <x:v>jefe de obra / compras / logística</x:v>
      </x:c>
      <x:c r="G34" s="62" t="str">
        <x:v>Confirmar teléfono directo + decisor + frecuencia mensual + pesos/dimensiones.</x:v>
      </x:c>
      <x:c r="H34" s="62" t="str">
        <x:v>Web oficial DEXCO</x:v>
      </x:c>
      <x:c r="I34" s="62" t="str">
        <x:v>https://www.constructoradexco.com/</x:v>
      </x:c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62" t="str">
        <x:v>RC-034</x:v>
      </x:c>
      <x:c r="B35" s="62" t="str">
        <x:v>A</x:v>
      </x:c>
      <x:c r="C35" s="62" t="str">
        <x:v>FymSA Vial</x:v>
      </x:c>
      <x:c r="D35" s="62" t="str">
        <x:v>+54 351 6669860</x:v>
      </x:c>
      <x:c r="E35" s="62" t="str">
        <x:v>OK</x:v>
      </x:c>
      <x:c r="F35" s="62" t="str">
        <x:v>obras / equipos / logística</x:v>
      </x:c>
      <x:c r="G35" s="62" t="str">
        <x:v>Confirmar decisor, frecuencia mensual, pesos/dimensiones y cómo resuelven hoy los traslados.</x:v>
      </x:c>
      <x:c r="H35" s="62" t="str">
        <x:v>Google Business Profile</x:v>
      </x:c>
      <x:c r="I35" s="62" t="str">
        <x:v>https://www.google.com/maps/search/?api=1&amp;query=Fymsa+Vial+Rio+Cuarto</x:v>
      </x:c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62" t="str">
        <x:v>RC-035</x:v>
      </x:c>
      <x:c r="B36" s="62" t="str">
        <x:v>A</x:v>
      </x:c>
      <x:c r="C36" s="62" t="str">
        <x:v>Metalúrgica Praga</x:v>
      </x:c>
      <x:c r="D36" s="62" t="str">
        <x:v>+54 358 4644658</x:v>
      </x:c>
      <x:c r="E36" s="62" t="str">
        <x:v>OK</x:v>
      </x:c>
      <x:c r="F36" s="62" t="str">
        <x:v>producción / logística</x:v>
      </x:c>
      <x:c r="G36" s="62" t="str">
        <x:v>Confirmar decisor, frecuencia mensual, pesos/dimensiones y cómo resuelven hoy los traslados.</x:v>
      </x:c>
      <x:c r="H36" s="62" t="str">
        <x:v>Google Business Profile</x:v>
      </x:c>
      <x:c r="I36" s="62" t="str">
        <x:v>https://www.google.com/maps/search/?api=1&amp;query=Metalurgica+Praga+Rio+Cuarto</x:v>
      </x:c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62" t="str">
        <x:v>RC-036</x:v>
      </x:c>
      <x:c r="B37" s="62" t="str">
        <x:v>A</x:v>
      </x:c>
      <x:c r="C37" s="62" t="str">
        <x:v>Oleohidráulica L&amp;M</x:v>
      </x:c>
      <x:c r="D37" s="62" t="str">
        <x:v>+54 9 358 5709985 / 6015300</x:v>
      </x:c>
      <x:c r="E37" s="62" t="str">
        <x:v>OK</x:v>
      </x:c>
      <x:c r="F37" s="62" t="str">
        <x:v>servicio / taller / comercial</x:v>
      </x:c>
      <x:c r="G37" s="62" t="str">
        <x:v>Confirmar decisor, frecuencia mensual, pesos/dimensiones y cómo resuelven hoy los traslados.</x:v>
      </x:c>
      <x:c r="H37" s="62" t="str">
        <x:v>Web oficial Oleohidráulica L&amp;M</x:v>
      </x:c>
      <x:c r="I37" s="62" t="str">
        <x:v>https://www.oleohidraulicalym.com/servicios/</x:v>
      </x:c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62" t="str">
        <x:v>RC-037</x:v>
      </x:c>
      <x:c r="B38" s="62" t="str">
        <x:v>A</x:v>
      </x:c>
      <x:c r="C38" s="62" t="str">
        <x:v>Perforaciones Fundarc Pilotes</x:v>
      </x:c>
      <x:c r="D38" s="62" t="str">
        <x:v>0358 4636866</x:v>
      </x:c>
      <x:c r="E38" s="62" t="str">
        <x:v>OK</x:v>
      </x:c>
      <x:c r="F38" s="62" t="str">
        <x:v>operaciones / equipos / obras</x:v>
      </x:c>
      <x:c r="G38" s="62" t="str">
        <x:v>Confirmar decisor, frecuencia mensual, pesos/dimensiones y cómo resuelven hoy los traslados.</x:v>
      </x:c>
      <x:c r="H38" s="62" t="str">
        <x:v>Páginas Amarillas</x:v>
      </x:c>
      <x:c r="I38" s="62" t="str">
        <x:v>https://www.paginasamarillas.com.ar/b/pilotes/rio-cuarto-cordoba</x:v>
      </x:c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62" t="str">
        <x:v>RC-038</x:v>
      </x:c>
      <x:c r="B39" s="62" t="str">
        <x:v>A</x:v>
      </x:c>
      <x:c r="C39" s="62" t="str">
        <x:v>AGRORANCHO Maquinarias</x:v>
      </x:c>
      <x:c r="D39" s="62" t="str">
        <x:v>+54 358 4652174</x:v>
      </x:c>
      <x:c r="E39" s="62" t="str">
        <x:v>OK</x:v>
      </x:c>
      <x:c r="F39" s="62" t="str">
        <x:v>ventas / logística</x:v>
      </x:c>
      <x:c r="G39" s="62" t="str">
        <x:v>Confirmar decisor, frecuencia mensual, pesos/dimensiones y cómo resuelven hoy los traslados.</x:v>
      </x:c>
      <x:c r="H39" s="62" t="str">
        <x:v>Google Business Profile</x:v>
      </x:c>
      <x:c r="I39" s="62" t="str">
        <x:v>https://www.google.com/maps/search/?api=1&amp;query=Agrorancho+Maquinarias+Rio+Cuarto</x:v>
      </x:c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62" t="str">
        <x:v>RC-039</x:v>
      </x:c>
      <x:c r="B40" s="62" t="str">
        <x:v>A</x:v>
      </x:c>
      <x:c r="C40" s="62" t="str">
        <x:v>Bombassei Argentina S.A.</x:v>
      </x:c>
      <x:c r="D40" s="62" t="str">
        <x:v>+54 358 4194375</x:v>
      </x:c>
      <x:c r="E40" s="62" t="str">
        <x:v>OK</x:v>
      </x:c>
      <x:c r="F40" s="62" t="str">
        <x:v>logística / expedición / producción</x:v>
      </x:c>
      <x:c r="G40" s="62" t="str">
        <x:v>Confirmar decisor, frecuencia mensual, pesos/dimensiones y cómo resuelven hoy los traslados.</x:v>
      </x:c>
      <x:c r="H40" s="62" t="str">
        <x:v>Google Business Profile</x:v>
      </x:c>
      <x:c r="I40" s="62" t="str">
        <x:v>https://www.google.com/maps/search/?api=1&amp;query=Bombassei+Argentina+Rio+Cuarto</x:v>
      </x:c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62" t="str">
        <x:v>RC-040</x:v>
      </x:c>
      <x:c r="B41" s="62" t="str">
        <x:v>A</x:v>
      </x:c>
      <x:c r="C41" s="62" t="str">
        <x:v>Construcciones Eléctricas Zorzán S.A. (CEZSA)</x:v>
      </x:c>
      <x:c r="D41" s="62" t="str">
        <x:v>0358 156001564 / 154317980</x:v>
      </x:c>
      <x:c r="E41" s="62" t="str">
        <x:v>OK</x:v>
      </x:c>
      <x:c r="F41" s="62" t="str">
        <x:v>obras / grupos electrógenos / logística</x:v>
      </x:c>
      <x:c r="G41" s="62" t="str">
        <x:v>Confirmar decisor, frecuencia mensual, pesos/dimensiones y cómo resuelven hoy los traslados.</x:v>
      </x:c>
      <x:c r="H41" s="62" t="str">
        <x:v>Web oficial CEZSA</x:v>
      </x:c>
      <x:c r="I41" s="62" t="str">
        <x:v>https://www.cezsa.com/</x:v>
      </x:c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62" t="str">
        <x:v>RC-041</x:v>
      </x:c>
      <x:c r="B42" s="62" t="str">
        <x:v>A</x:v>
      </x:c>
      <x:c r="C42" s="62" t="str">
        <x:v>Da Ros Premoldeados</x:v>
      </x:c>
      <x:c r="D42" s="62" t="str">
        <x:v>+54 358 6009812 / 5089009</x:v>
      </x:c>
      <x:c r="E42" s="62" t="str">
        <x:v>OK</x:v>
      </x:c>
      <x:c r="F42" s="62" t="str">
        <x:v>producción / logística / colocaciones</x:v>
      </x:c>
      <x:c r="G42" s="62" t="str">
        <x:v>Confirmar decisor, frecuencia mensual, pesos/dimensiones y cómo resuelven hoy los traslados.</x:v>
      </x:c>
      <x:c r="H42" s="62" t="str">
        <x:v>Web oficial Da Ros</x:v>
      </x:c>
      <x:c r="I42" s="62" t="str">
        <x:v>https://www.darospremoldeados.com.ar/products/paredon-premoldeado</x:v>
      </x:c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62" t="str">
        <x:v>RC-042</x:v>
      </x:c>
      <x:c r="B43" s="62" t="str">
        <x:v>A</x:v>
      </x:c>
      <x:c r="C43" s="62" t="str">
        <x:v>Demarchi S.A.</x:v>
      </x:c>
      <x:c r="D43" s="62" t="str">
        <x:v>+54 358 4010714</x:v>
      </x:c>
      <x:c r="E43" s="62" t="str">
        <x:v>OK</x:v>
      </x:c>
      <x:c r="F43" s="62" t="str">
        <x:v>ventas / logística / posventa</x:v>
      </x:c>
      <x:c r="G43" s="62" t="str">
        <x:v>Confirmar decisor, frecuencia mensual, pesos/dimensiones y cómo resuelven hoy los traslados.</x:v>
      </x:c>
      <x:c r="H43" s="62" t="str">
        <x:v>Google Business Profile</x:v>
      </x:c>
      <x:c r="I43" s="62" t="str">
        <x:v>https://www.google.com/maps/search/?api=1&amp;query=Demarchi+SA+Rio+Cuarto</x:v>
      </x:c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62" t="str">
        <x:v>RC-043</x:v>
      </x:c>
      <x:c r="B44" s="62" t="str">
        <x:v>A</x:v>
      </x:c>
      <x:c r="C44" s="62" t="str">
        <x:v>El Colono S.A.</x:v>
      </x:c>
      <x:c r="D44" s="62" t="str">
        <x:v>+54 358 4628525</x:v>
      </x:c>
      <x:c r="E44" s="62" t="str">
        <x:v>OK</x:v>
      </x:c>
      <x:c r="F44" s="62" t="str">
        <x:v>producción / montaje / logística</x:v>
      </x:c>
      <x:c r="G44" s="62" t="str">
        <x:v>Confirmar decisor, frecuencia mensual, pesos/dimensiones y cómo resuelven hoy los traslados.</x:v>
      </x:c>
      <x:c r="H44" s="62" t="str">
        <x:v>Google Business Profile</x:v>
      </x:c>
      <x:c r="I44" s="62" t="str">
        <x:v>https://www.google.com/maps/search/?api=1&amp;query=El+Colono+SA+Rio+Cuarto</x:v>
      </x:c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62" t="str">
        <x:v>RC-044</x:v>
      </x:c>
      <x:c r="B45" s="62" t="str">
        <x:v>A</x:v>
      </x:c>
      <x:c r="C45" s="62" t="str">
        <x:v>Establecimiento Industrial Rattini S.A.</x:v>
      </x:c>
      <x:c r="D45" s="62" t="str">
        <x:v>+54 358 4621480</x:v>
      </x:c>
      <x:c r="E45" s="62" t="str">
        <x:v>OK</x:v>
      </x:c>
      <x:c r="F45" s="62" t="str">
        <x:v>producción / expedición / compras</x:v>
      </x:c>
      <x:c r="G45" s="62" t="str">
        <x:v>Confirmar decisor, frecuencia mensual, pesos/dimensiones y cómo resuelven hoy los traslados.</x:v>
      </x:c>
      <x:c r="H45" s="62" t="str">
        <x:v>Web oficial Rattini</x:v>
      </x:c>
      <x:c r="I45" s="62" t="str">
        <x:v>https://rattini.com.ar/nosotros/</x:v>
      </x:c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62" t="str">
        <x:v>RC-045</x:v>
      </x:c>
      <x:c r="B46" s="62" t="str">
        <x:v>A</x:v>
      </x:c>
      <x:c r="C46" s="62" t="str">
        <x:v>Minimetal</x:v>
      </x:c>
      <x:c r="D46" s="62" t="str">
        <x:v>+54 9 358 4323321</x:v>
      </x:c>
      <x:c r="E46" s="62" t="str">
        <x:v>OK</x:v>
      </x:c>
      <x:c r="F46" s="62" t="str">
        <x:v>producción / expedición</x:v>
      </x:c>
      <x:c r="G46" s="62" t="str">
        <x:v>Confirmar decisor, frecuencia mensual, pesos/dimensiones y cómo resuelven hoy los traslados.</x:v>
      </x:c>
      <x:c r="H46" s="62" t="str">
        <x:v>Web oficial Minimetal</x:v>
      </x:c>
      <x:c r="I46" s="62" t="str">
        <x:v>https://minimetal.com.ar/</x:v>
      </x:c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62" t="str">
        <x:v>RC-046</x:v>
      </x:c>
      <x:c r="B47" s="62" t="str">
        <x:v>A</x:v>
      </x:c>
      <x:c r="C47" s="62" t="str">
        <x:v>MIXON - Planta de Hormigón Elaborado</x:v>
      </x:c>
      <x:c r="D47" s="62" t="str">
        <x:v>+54 358 5729680</x:v>
      </x:c>
      <x:c r="E47" s="62" t="str">
        <x:v>OK</x:v>
      </x:c>
      <x:c r="F47" s="62" t="str">
        <x:v>planta / logística</x:v>
      </x:c>
      <x:c r="G47" s="62" t="str">
        <x:v>Confirmar decisor, frecuencia mensual, pesos/dimensiones y cómo resuelven hoy los traslados.</x:v>
      </x:c>
      <x:c r="H47" s="62" t="str">
        <x:v>Google Business Profile + Cámara del Hormigón</x:v>
      </x:c>
      <x:c r="I47" s="62" t="str">
        <x:v>https://www.google.com/maps/search/?api=1&amp;query=MIXON+Hormigon+Rio+Cuarto</x:v>
      </x:c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62" t="str">
        <x:v>RC-047</x:v>
      </x:c>
      <x:c r="B48" s="62" t="str">
        <x:v>A</x:v>
      </x:c>
      <x:c r="C48" s="62" t="str">
        <x:v>Scania Región Centro - Río IV</x:v>
      </x:c>
      <x:c r="D48" s="62" t="str">
        <x:v>+54 358 4755600</x:v>
      </x:c>
      <x:c r="E48" s="62" t="str">
        <x:v>OK</x:v>
      </x:c>
      <x:c r="F48" s="62" t="str">
        <x:v>posventa / taller / logística</x:v>
      </x:c>
      <x:c r="G48" s="62" t="str">
        <x:v>Confirmar decisor, frecuencia mensual, pesos/dimensiones y cómo resuelven hoy los traslados.</x:v>
      </x:c>
      <x:c r="H48" s="62" t="str">
        <x:v>Google Business Profile</x:v>
      </x:c>
      <x:c r="I48" s="62" t="str">
        <x:v>https://www.google.com/maps/search/?api=1&amp;query=Scania+Region+Centro+Rio+Cuarto</x:v>
      </x:c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62" t="str">
        <x:v>RC-048</x:v>
      </x:c>
      <x:c r="B49" s="62" t="str">
        <x:v>A</x:v>
      </x:c>
      <x:c r="C49" s="62" t="str">
        <x:v>SEIERO Metalúrgica</x:v>
      </x:c>
      <x:c r="D49" s="62" t="str">
        <x:v>+54 358 4328815</x:v>
      </x:c>
      <x:c r="E49" s="62" t="str">
        <x:v>OK</x:v>
      </x:c>
      <x:c r="F49" s="62" t="str">
        <x:v>producción / logística / expedición</x:v>
      </x:c>
      <x:c r="G49" s="62" t="str">
        <x:v>Confirmar decisor, frecuencia mensual, pesos/dimensiones y cómo resuelven hoy los traslados.</x:v>
      </x:c>
      <x:c r="H49" s="62" t="str">
        <x:v>Web oficial SEIERO</x:v>
      </x:c>
      <x:c r="I49" s="62" t="str">
        <x:v>https://www.seiero.com.ar/</x:v>
      </x:c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62" t="str">
        <x:v>RC-049</x:v>
      </x:c>
      <x:c r="B50" s="62" t="str">
        <x:v>A</x:v>
      </x:c>
      <x:c r="C50" s="62" t="str">
        <x:v>TARDITI S.R.L.</x:v>
      </x:c>
      <x:c r="D50" s="62" t="str">
        <x:v>+54 358 4848482 / 4653399</x:v>
      </x:c>
      <x:c r="E50" s="62" t="str">
        <x:v>OK</x:v>
      </x:c>
      <x:c r="F50" s="62" t="str">
        <x:v>expedición / producción / logística</x:v>
      </x:c>
      <x:c r="G50" s="62" t="str">
        <x:v>Confirmar decisor, frecuencia mensual, pesos/dimensiones y cómo resuelven hoy los traslados.</x:v>
      </x:c>
      <x:c r="H50" s="62" t="str">
        <x:v>Web oficial Tarditi</x:v>
      </x:c>
      <x:c r="I50" s="62" t="str">
        <x:v>https://www.tarditisrl.com.ar/</x:v>
      </x:c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62" t="str">
        <x:v>RC-050</x:v>
      </x:c>
      <x:c r="B51" s="62" t="str">
        <x:v>A</x:v>
      </x:c>
      <x:c r="C51" s="62" t="str">
        <x:v>Vasquetto Nutrición Animal</x:v>
      </x:c>
      <x:c r="D51" s="62" t="str">
        <x:v>+54 9 358 4831420</x:v>
      </x:c>
      <x:c r="E51" s="62" t="str">
        <x:v>OK</x:v>
      </x:c>
      <x:c r="F51" s="62" t="str">
        <x:v>planta / mantenimiento / logística</x:v>
      </x:c>
      <x:c r="G51" s="62" t="str">
        <x:v>Confirmar decisor, frecuencia mensual, pesos/dimensiones y cómo resuelven hoy los traslados.</x:v>
      </x:c>
      <x:c r="H51" s="62" t="str">
        <x:v>Web oficial Vasquetto</x:v>
      </x:c>
      <x:c r="I51" s="62" t="str">
        <x:v>https://vasquetto.com.ar/es/contacto</x:v>
      </x:c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62" t="str">
        <x:v>RC-051</x:v>
      </x:c>
      <x:c r="B52" s="62" t="str">
        <x:v>A</x:v>
      </x:c>
      <x:c r="C52" s="62" t="str">
        <x:v>Diesel Lange - Río Cuarto</x:v>
      </x:c>
      <x:c r="D52" s="62" t="str">
        <x:v>+54 358 4334218</x:v>
      </x:c>
      <x:c r="E52" s="62" t="str">
        <x:v>OK</x:v>
      </x:c>
      <x:c r="F52" s="62" t="str">
        <x:v>sucursal / logística / servicio</x:v>
      </x:c>
      <x:c r="G52" s="62" t="str">
        <x:v>Confirmar decisor, frecuencia mensual, pesos/dimensiones y cómo resuelven hoy los traslados.</x:v>
      </x:c>
      <x:c r="H52" s="62" t="str">
        <x:v>Google Business Profile</x:v>
      </x:c>
      <x:c r="I52" s="62" t="str">
        <x:v>https://www.google.com/maps/search/?api=1&amp;query=Diesel+Lange+Rio+Cuarto</x:v>
      </x:c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62" t="str">
        <x:v>RC-052</x:v>
      </x:c>
      <x:c r="B53" s="62" t="str">
        <x:v>A</x:v>
      </x:c>
      <x:c r="C53" s="62" t="str">
        <x:v>Metalúrgica R. Haller</x:v>
      </x:c>
      <x:c r="D53" s="62" t="str">
        <x:v>+54 358 4643209</x:v>
      </x:c>
      <x:c r="E53" s="62" t="str">
        <x:v>OK</x:v>
      </x:c>
      <x:c r="F53" s="62" t="str">
        <x:v>producción / expedición</x:v>
      </x:c>
      <x:c r="G53" s="62" t="str">
        <x:v>Confirmar decisor, frecuencia mensual, pesos/dimensiones y cómo resuelven hoy los traslados.</x:v>
      </x:c>
      <x:c r="H53" s="62" t="str">
        <x:v>Google Business Profile</x:v>
      </x:c>
      <x:c r="I53" s="62" t="str">
        <x:v>https://www.google.com/maps/search/?api=1&amp;query=Metalurgica+R+Haller+Rio+Cuarto</x:v>
      </x:c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62" t="str">
        <x:v>RC-053</x:v>
      </x:c>
      <x:c r="B54" s="62" t="str">
        <x:v>A</x:v>
      </x:c>
      <x:c r="C54" s="62" t="str">
        <x:v>Indusplast Piscinas Río Cuarto</x:v>
      </x:c>
      <x:c r="D54" s="62" t="str">
        <x:v>+54 358 6028628</x:v>
      </x:c>
      <x:c r="E54" s="62" t="str">
        <x:v>OK</x:v>
      </x:c>
      <x:c r="F54" s="62" t="str">
        <x:v>logística / colocaciones</x:v>
      </x:c>
      <x:c r="G54" s="62" t="str">
        <x:v>Confirmar decisor, frecuencia mensual, pesos/dimensiones y cómo resuelven hoy los traslados.</x:v>
      </x:c>
      <x:c r="H54" s="62" t="str">
        <x:v>Google Business Profile</x:v>
      </x:c>
      <x:c r="I54" s="62" t="str">
        <x:v>https://www.google.com/maps/search/?api=1&amp;query=Indusplast+Piscinas+Rio+Cuarto</x:v>
      </x:c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62" t="str">
        <x:v>RC-054</x:v>
      </x:c>
      <x:c r="B55" s="62" t="str">
        <x:v>A</x:v>
      </x:c>
      <x:c r="C55" s="62" t="str">
        <x:v>Metalúrgica NF Ingeniería y Fabricación</x:v>
      </x:c>
      <x:c r="D55" s="62" t="str">
        <x:v>+54 358 6020520</x:v>
      </x:c>
      <x:c r="E55" s="62" t="str">
        <x:v>OK</x:v>
      </x:c>
      <x:c r="F55" s="62" t="str">
        <x:v>producción / logística</x:v>
      </x:c>
      <x:c r="G55" s="62" t="str">
        <x:v>Confirmar decisor, frecuencia mensual, pesos/dimensiones y cómo resuelven hoy los traslados.</x:v>
      </x:c>
      <x:c r="H55" s="62" t="str">
        <x:v>Google Business Profile</x:v>
      </x:c>
      <x:c r="I55" s="62" t="str">
        <x:v>https://www.google.com/maps/search/?api=1&amp;query=Metalurgica+NF+Ingenieria+Rio+Cuarto</x:v>
      </x:c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62" t="str">
        <x:v>RC-055</x:v>
      </x:c>
      <x:c r="B56" s="62" t="str">
        <x:v>A</x:v>
      </x:c>
      <x:c r="C56" s="62" t="str">
        <x:v>Canteras Bringas</x:v>
      </x:c>
      <x:c r="D56" s="62" t="str">
        <x:v>+54 358 4906010</x:v>
      </x:c>
      <x:c r="E56" s="62" t="str">
        <x:v>OK</x:v>
      </x:c>
      <x:c r="F56" s="62" t="str">
        <x:v>operaciones / logística</x:v>
      </x:c>
      <x:c r="G56" s="62" t="str">
        <x:v>Confirmar decisor, frecuencia mensual, pesos/dimensiones y cómo resuelven hoy los traslados.</x:v>
      </x:c>
      <x:c r="H56" s="62" t="str">
        <x:v>Google Business Profile</x:v>
      </x:c>
      <x:c r="I56" s="62" t="str">
        <x:v>https://www.google.com/maps/search/?api=1&amp;query=Canteras+Bringas+Rio+Cuarto</x:v>
      </x:c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62" t="str">
        <x:v>RC-056</x:v>
      </x:c>
      <x:c r="B57" s="62" t="str">
        <x:v>A</x:v>
      </x:c>
      <x:c r="C57" s="62" t="str">
        <x:v>La Elenense - Showroom Río Cuarto</x:v>
      </x:c>
      <x:c r="D57" s="62" t="str">
        <x:v>0358 4647090</x:v>
      </x:c>
      <x:c r="E57" s="62" t="str">
        <x:v>OK</x:v>
      </x:c>
      <x:c r="F57" s="62" t="str">
        <x:v>showroom / logística / colocaciones</x:v>
      </x:c>
      <x:c r="G57" s="62" t="str">
        <x:v>Confirmar decisor, frecuencia mensual, pesos/dimensiones y cómo resuelven hoy los traslados.</x:v>
      </x:c>
      <x:c r="H57" s="62" t="str">
        <x:v>Web oficial La Elenense</x:v>
      </x:c>
      <x:c r="I57" s="62" t="str">
        <x:v>https://laelenense.com/premoldeados/</x:v>
      </x:c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62" t="str">
        <x:v>RC-057</x:v>
      </x:c>
      <x:c r="B58" s="62" t="str">
        <x:v>A</x:v>
      </x:c>
      <x:c r="C58" s="62" t="str">
        <x:v>Lencinas Constructora</x:v>
      </x:c>
      <x:c r="D58" s="62" t="str">
        <x:v>+54 358 4640597</x:v>
      </x:c>
      <x:c r="E58" s="62" t="str">
        <x:v>OK</x:v>
      </x:c>
      <x:c r="F58" s="62" t="str">
        <x:v>obras / compras / logística</x:v>
      </x:c>
      <x:c r="G58" s="62" t="str">
        <x:v>Confirmar decisor, frecuencia mensual, pesos/dimensiones y cómo resuelven hoy los traslados.</x:v>
      </x:c>
      <x:c r="H58" s="62" t="str">
        <x:v>Google Business Profile</x:v>
      </x:c>
      <x:c r="I58" s="62" t="str">
        <x:v>https://www.google.com/maps/search/?api=1&amp;query=Lencinas+Constructora+Rio+Cuarto</x:v>
      </x:c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62" t="str">
        <x:v>RC-058</x:v>
      </x:c>
      <x:c r="B59" s="62" t="str">
        <x:v>A</x:v>
      </x:c>
      <x:c r="C59" s="62" t="str">
        <x:v>Pedrueza S.A.</x:v>
      </x:c>
      <x:c r="D59" s="62" t="str">
        <x:v>0358 154110370 / 154114368</x:v>
      </x:c>
      <x:c r="E59" s="62" t="str">
        <x:v>OK</x:v>
      </x:c>
      <x:c r="F59" s="62" t="str">
        <x:v>obras / compras / logística</x:v>
      </x:c>
      <x:c r="G59" s="62" t="str">
        <x:v>Confirmar decisor, frecuencia mensual, pesos/dimensiones y cómo resuelven hoy los traslados.</x:v>
      </x:c>
      <x:c r="H59" s="62" t="str">
        <x:v>Web oficial Pedrueza</x:v>
      </x:c>
      <x:c r="I59" s="62" t="str">
        <x:v>https://www.pedrueza.com.ar/nosotros</x:v>
      </x:c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62" t="str">
        <x:v>RC-059</x:v>
      </x:c>
      <x:c r="B60" s="62" t="str">
        <x:v>A</x:v>
      </x:c>
      <x:c r="C60" s="62" t="str">
        <x:v>Perforaciones Kraemer</x:v>
      </x:c>
      <x:c r="D60" s="62" t="str">
        <x:v>+54 358 5621022</x:v>
      </x:c>
      <x:c r="E60" s="62" t="str">
        <x:v>OK</x:v>
      </x:c>
      <x:c r="F60" s="62" t="str">
        <x:v>operaciones / equipos</x:v>
      </x:c>
      <x:c r="G60" s="62" t="str">
        <x:v>Confirmar decisor, frecuencia mensual, pesos/dimensiones y cómo resuelven hoy los traslados.</x:v>
      </x:c>
      <x:c r="H60" s="62" t="str">
        <x:v>Google Business Profile</x:v>
      </x:c>
      <x:c r="I60" s="62" t="str">
        <x:v>https://www.google.com/maps/search/?api=1&amp;query=Perforaciones+Kraemer+Rio+Cuarto</x:v>
      </x:c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62" t="str">
        <x:v>RC-060</x:v>
      </x:c>
      <x:c r="B61" s="62" t="str">
        <x:v>A</x:v>
      </x:c>
      <x:c r="C61" s="62" t="str">
        <x:v>ACO-PLAR</x:v>
      </x:c>
      <x:c r="D61" s="62" t="str">
        <x:v>+54 358 4205681</x:v>
      </x:c>
      <x:c r="E61" s="62" t="str">
        <x:v>OK</x:v>
      </x:c>
      <x:c r="F61" s="62" t="str">
        <x:v>taller / comercial / flota</x:v>
      </x:c>
      <x:c r="G61" s="62" t="str">
        <x:v>Confirmar decisor, frecuencia mensual, pesos/dimensiones y cómo resuelven hoy los traslados.</x:v>
      </x:c>
      <x:c r="H61" s="62" t="str">
        <x:v>Google Business Profile</x:v>
      </x:c>
      <x:c r="I61" s="62" t="str">
        <x:v>https://www.google.com/maps/search/?api=1&amp;query=ACO+PLAR+Rio+Cuarto</x:v>
      </x:c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62" t="str">
        <x:v>RC-061</x:v>
      </x:c>
      <x:c r="B62" s="62" t="str">
        <x:v>A</x:v>
      </x:c>
      <x:c r="C62" s="62" t="str">
        <x:v>Arbro S.A. - Steel Tiger</x:v>
      </x:c>
      <x:c r="D62" s="62" t="str">
        <x:v>0800 7777833</x:v>
      </x:c>
      <x:c r="E62" s="62" t="str">
        <x:v>OK</x:v>
      </x:c>
      <x:c r="F62" s="62" t="str">
        <x:v>planta / logística / expedición</x:v>
      </x:c>
      <x:c r="G62" s="62" t="str">
        <x:v>Confirmar decisor, frecuencia mensual, pesos/dimensiones y cómo resuelven hoy los traslados.</x:v>
      </x:c>
      <x:c r="H62" s="62" t="str">
        <x:v>Google Business Profile</x:v>
      </x:c>
      <x:c r="I62" s="62" t="str">
        <x:v>https://www.google.com/maps/search/?api=1&amp;query=Arbro+Steel+Tiger+Rio+Cuarto</x:v>
      </x:c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62" t="str">
        <x:v>RC-062</x:v>
      </x:c>
      <x:c r="B63" s="62" t="str">
        <x:v>A</x:v>
      </x:c>
      <x:c r="C63" s="62" t="str">
        <x:v>Carranza Perforaciones</x:v>
      </x:c>
      <x:c r="D63" s="62" t="str">
        <x:v>+54 9 358 5604320</x:v>
      </x:c>
      <x:c r="E63" s="62" t="str">
        <x:v>OK</x:v>
      </x:c>
      <x:c r="F63" s="62" t="str">
        <x:v>operaciones / equipos</x:v>
      </x:c>
      <x:c r="G63" s="62" t="str">
        <x:v>Confirmar decisor, frecuencia mensual, pesos/dimensiones y cómo resuelven hoy los traslados.</x:v>
      </x:c>
      <x:c r="H63" s="62" t="str">
        <x:v>Google Business Profile</x:v>
      </x:c>
      <x:c r="I63" s="62" t="str">
        <x:v>https://www.google.com/maps/search/?api=1&amp;query=Carranza+Perforaciones+Rio+Cuarto</x:v>
      </x:c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62" t="str">
        <x:v>RC-063</x:v>
      </x:c>
      <x:c r="B64" s="62" t="str">
        <x:v>A</x:v>
      </x:c>
      <x:c r="C64" s="62" t="str">
        <x:v>Columbia Elevadores - Río Cuarto</x:v>
      </x:c>
      <x:c r="D64" s="62" t="str">
        <x:v>+54 9 358 5093820</x:v>
      </x:c>
      <x:c r="E64" s="62" t="str">
        <x:v>OK</x:v>
      </x:c>
      <x:c r="F64" s="62" t="str">
        <x:v>montajes / logística</x:v>
      </x:c>
      <x:c r="G64" s="62" t="str">
        <x:v>Confirmar decisor, frecuencia mensual, pesos/dimensiones y cómo resuelven hoy los traslados.</x:v>
      </x:c>
      <x:c r="H64" s="62" t="str">
        <x:v>Web oficial Columbia Elevadores</x:v>
      </x:c>
      <x:c r="I64" s="62" t="str">
        <x:v>https://columbiaelevadores.com/</x:v>
      </x:c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62" t="str">
        <x:v>RC-064</x:v>
      </x:c>
      <x:c r="B65" s="62" t="str">
        <x:v>A</x:v>
      </x:c>
      <x:c r="C65" s="62" t="str">
        <x:v>Da Natureza Piscinas y Riegos</x:v>
      </x:c>
      <x:c r="D65" s="62" t="str">
        <x:v>+54 9 358 4287330</x:v>
      </x:c>
      <x:c r="E65" s="62" t="str">
        <x:v>OK</x:v>
      </x:c>
      <x:c r="F65" s="62" t="str">
        <x:v>logística / instalaciones</x:v>
      </x:c>
      <x:c r="G65" s="62" t="str">
        <x:v>Confirmar decisor, frecuencia mensual, pesos/dimensiones y cómo resuelven hoy los traslados.</x:v>
      </x:c>
      <x:c r="H65" s="62" t="str">
        <x:v>Moldear - punto de venta</x:v>
      </x:c>
      <x:c r="I65" s="62" t="str">
        <x:v>https://www.moldear.com.ar/cordoba/rio-cuarto/danatureza/</x:v>
      </x:c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62" t="str">
        <x:v>RC-065</x:v>
      </x:c>
      <x:c r="B66" s="62" t="str">
        <x:v>A</x:v>
      </x:c>
      <x:c r="C66" s="62" t="str">
        <x:v>GUIAR Constructora</x:v>
      </x:c>
      <x:c r="D66" s="62" t="str">
        <x:v>+54 358 3434555</x:v>
      </x:c>
      <x:c r="E66" s="62" t="str">
        <x:v>OK</x:v>
      </x:c>
      <x:c r="F66" s="62" t="str">
        <x:v>obras / compras</x:v>
      </x:c>
      <x:c r="G66" s="62" t="str">
        <x:v>Confirmar decisor, frecuencia mensual, pesos/dimensiones y cómo resuelven hoy los traslados.</x:v>
      </x:c>
      <x:c r="H66" s="62" t="str">
        <x:v>Google Business Profile</x:v>
      </x:c>
      <x:c r="I66" s="62" t="str">
        <x:v>https://www.google.com/maps/search/?api=1&amp;query=GUIAR+Constructora+Rio+Cuarto</x:v>
      </x:c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62" t="str">
        <x:v>RC-066</x:v>
      </x:c>
      <x:c r="B67" s="62" t="str">
        <x:v>A</x:v>
      </x:c>
      <x:c r="C67" s="62" t="str">
        <x:v>Metalúrgica Tsuji</x:v>
      </x:c>
      <x:c r="D67" s="62" t="str">
        <x:v>+54 358 4663867</x:v>
      </x:c>
      <x:c r="E67" s="62" t="str">
        <x:v>OK</x:v>
      </x:c>
      <x:c r="F67" s="62" t="str">
        <x:v>dueño / producción</x:v>
      </x:c>
      <x:c r="G67" s="62" t="str">
        <x:v>Confirmar decisor, frecuencia mensual, pesos/dimensiones y cómo resuelven hoy los traslados.</x:v>
      </x:c>
      <x:c r="H67" s="62" t="str">
        <x:v>Google Business Profile</x:v>
      </x:c>
      <x:c r="I67" s="62" t="str">
        <x:v>https://www.google.com/maps/search/?api=1&amp;query=Metalurgica+Tsuji+Rio+Cuarto</x:v>
      </x:c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62" t="str">
        <x:v>RC-067</x:v>
      </x:c>
      <x:c r="B68" s="62" t="str">
        <x:v>A</x:v>
      </x:c>
      <x:c r="C68" s="62" t="str">
        <x:v>Cantera La Negrita</x:v>
      </x:c>
      <x:c r="D68" s="62" t="str">
        <x:v>+54 358 4116778</x:v>
      </x:c>
      <x:c r="E68" s="62" t="str">
        <x:v>OK</x:v>
      </x:c>
      <x:c r="F68" s="62" t="str">
        <x:v>operaciones / logística</x:v>
      </x:c>
      <x:c r="G68" s="62" t="str">
        <x:v>Confirmar decisor, frecuencia mensual, pesos/dimensiones y cómo resuelven hoy los traslados.</x:v>
      </x:c>
      <x:c r="H68" s="62" t="str">
        <x:v>Google Business Profile</x:v>
      </x:c>
      <x:c r="I68" s="62" t="str">
        <x:v>https://www.google.com/maps/search/?api=1&amp;query=Cantera+La+Negrita+Rio+Cuarto</x:v>
      </x:c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62" t="str">
        <x:v>RC-068</x:v>
      </x:c>
      <x:c r="B69" s="62" t="str">
        <x:v>A</x:v>
      </x:c>
      <x:c r="C69" s="62" t="str">
        <x:v>Carmix Hormigón Elaborado</x:v>
      </x:c>
      <x:c r="D69" s="62" t="str">
        <x:v>A verificar</x:v>
      </x:c>
      <x:c r="E69" s="62" t="str">
        <x:v>A verificar</x:v>
      </x:c>
      <x:c r="F69" s="62" t="str">
        <x:v>planta / logística</x:v>
      </x:c>
      <x:c r="G69" s="62" t="str">
        <x:v>Confirmar teléfono directo + decisor + frecuencia mensual + pesos/dimensiones.</x:v>
      </x:c>
      <x:c r="H69" s="62" t="str">
        <x:v>Google Business Profile</x:v>
      </x:c>
      <x:c r="I69" s="62" t="str">
        <x:v>https://www.google.com/maps/search/?api=1&amp;query=Carmix+Hormigon+Elaborado+Rio+Cuarto</x:v>
      </x:c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62" t="str">
        <x:v>RC-069</x:v>
      </x:c>
      <x:c r="B70" s="62" t="str">
        <x:v>A</x:v>
      </x:c>
      <x:c r="C70" s="62" t="str">
        <x:v>Cassel Argentina</x:v>
      </x:c>
      <x:c r="D70" s="62" t="str">
        <x:v>+54 358 4646141 / 4326611</x:v>
      </x:c>
      <x:c r="E70" s="62" t="str">
        <x:v>OK</x:v>
      </x:c>
      <x:c r="F70" s="62" t="str">
        <x:v>logística / instalaciones / servicio</x:v>
      </x:c>
      <x:c r="G70" s="62" t="str">
        <x:v>Confirmar decisor, frecuencia mensual, pesos/dimensiones y cómo resuelven hoy los traslados.</x:v>
      </x:c>
      <x:c r="H70" s="62" t="str">
        <x:v>Web oficial Cassel Argentina</x:v>
      </x:c>
      <x:c r="I70" s="62" t="str">
        <x:v>https://casselargentina.com.ar/</x:v>
      </x:c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62" t="str">
        <x:v>RC-070</x:v>
      </x:c>
      <x:c r="B71" s="62" t="str">
        <x:v>A</x:v>
      </x:c>
      <x:c r="C71" s="62" t="str">
        <x:v>Fábrica de Cabinas I.M.S.A.</x:v>
      </x:c>
      <x:c r="D71" s="62" t="str">
        <x:v>+54 358 4375447</x:v>
      </x:c>
      <x:c r="E71" s="62" t="str">
        <x:v>OK</x:v>
      </x:c>
      <x:c r="F71" s="62" t="str">
        <x:v>producción / expedición</x:v>
      </x:c>
      <x:c r="G71" s="62" t="str">
        <x:v>Confirmar decisor, frecuencia mensual, pesos/dimensiones y cómo resuelven hoy los traslados.</x:v>
      </x:c>
      <x:c r="H71" s="62" t="str">
        <x:v>Google Business Profile</x:v>
      </x:c>
      <x:c r="I71" s="62" t="str">
        <x:v>https://www.google.com/maps/search/?api=1&amp;query=Fabrica+de+Cabinas+IMSA+Rio+Cuarto</x:v>
      </x:c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62" t="str">
        <x:v>RC-071</x:v>
      </x:c>
      <x:c r="B72" s="62" t="str">
        <x:v>A</x:v>
      </x:c>
      <x:c r="C72" s="62" t="str">
        <x:v>Grandes Carteles</x:v>
      </x:c>
      <x:c r="D72" s="62" t="str">
        <x:v>+54 358 4220799 / 4220795</x:v>
      </x:c>
      <x:c r="E72" s="62" t="str">
        <x:v>OK</x:v>
      </x:c>
      <x:c r="F72" s="62" t="str">
        <x:v>producción / montaje / logística</x:v>
      </x:c>
      <x:c r="G72" s="62" t="str">
        <x:v>Confirmar decisor, frecuencia mensual, pesos/dimensiones y cómo resuelven hoy los traslados.</x:v>
      </x:c>
      <x:c r="H72" s="62" t="str">
        <x:v>Web oficial Grandes Carteles</x:v>
      </x:c>
      <x:c r="I72" s="62" t="str">
        <x:v>https://www.grandescarteles.com.ar/contacto.html</x:v>
      </x:c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62" t="str">
        <x:v>RC-072</x:v>
      </x:c>
      <x:c r="B73" s="62" t="str">
        <x:v>A</x:v>
      </x:c>
      <x:c r="C73" s="62" t="str">
        <x:v>Lunardi Desarrollista</x:v>
      </x:c>
      <x:c r="D73" s="62" t="str">
        <x:v>+54 358 4629741</x:v>
      </x:c>
      <x:c r="E73" s="62" t="str">
        <x:v>OK</x:v>
      </x:c>
      <x:c r="F73" s="62" t="str">
        <x:v>obras / compras / logística</x:v>
      </x:c>
      <x:c r="G73" s="62" t="str">
        <x:v>Confirmar decisor, frecuencia mensual, pesos/dimensiones y cómo resuelven hoy los traslados.</x:v>
      </x:c>
      <x:c r="H73" s="62" t="str">
        <x:v>Google Business Profile</x:v>
      </x:c>
      <x:c r="I73" s="62" t="str">
        <x:v>https://www.google.com/maps/search/?api=1&amp;query=Lunardi+Desarrollista+Rio+Cuarto</x:v>
      </x:c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62" t="str">
        <x:v>RC-073</x:v>
      </x:c>
      <x:c r="B74" s="62" t="str">
        <x:v>A</x:v>
      </x:c>
      <x:c r="C74" s="62" t="str">
        <x:v>Luvi Piscinas</x:v>
      </x:c>
      <x:c r="D74" s="62" t="str">
        <x:v>+54 358 4826734</x:v>
      </x:c>
      <x:c r="E74" s="62" t="str">
        <x:v>OK</x:v>
      </x:c>
      <x:c r="F74" s="62" t="str">
        <x:v>logística / instalaciones</x:v>
      </x:c>
      <x:c r="G74" s="62" t="str">
        <x:v>Confirmar decisor, frecuencia mensual, pesos/dimensiones y cómo resuelven hoy los traslados.</x:v>
      </x:c>
      <x:c r="H74" s="62" t="str">
        <x:v>Google Business Profile</x:v>
      </x:c>
      <x:c r="I74" s="62" t="str">
        <x:v>https://www.google.com/maps/search/?api=1&amp;query=Luvi+Piscinas+Rio+Cuarto</x:v>
      </x:c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62" t="str">
        <x:v>RC-074</x:v>
      </x:c>
      <x:c r="B75" s="62" t="str">
        <x:v>A</x:v>
      </x:c>
      <x:c r="C75" s="62" t="str">
        <x:v>Osvaldo González - Sucursal Río Cuarto</x:v>
      </x:c>
      <x:c r="D75" s="62" t="str">
        <x:v>+54 358 4237037</x:v>
      </x:c>
      <x:c r="E75" s="62" t="str">
        <x:v>OK</x:v>
      </x:c>
      <x:c r="F75" s="62" t="str">
        <x:v>sucursal / logística / obras</x:v>
      </x:c>
      <x:c r="G75" s="62" t="str">
        <x:v>Confirmar decisor, frecuencia mensual, pesos/dimensiones y cómo resuelven hoy los traslados.</x:v>
      </x:c>
      <x:c r="H75" s="62" t="str">
        <x:v>Web oficial Corralón González</x:v>
      </x:c>
      <x:c r="I75" s="62" t="str">
        <x:v>https://www.corralongonzalez.com.ar/nosotros</x:v>
      </x:c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62" t="str">
        <x:v>RC-075</x:v>
      </x:c>
      <x:c r="B76" s="62" t="str">
        <x:v>A</x:v>
      </x:c>
      <x:c r="C76" s="62" t="str">
        <x:v>Piscinas iGUi Río Cuarto</x:v>
      </x:c>
      <x:c r="D76" s="62" t="str">
        <x:v>0800 2224484</x:v>
      </x:c>
      <x:c r="E76" s="62" t="str">
        <x:v>OK</x:v>
      </x:c>
      <x:c r="F76" s="62" t="str">
        <x:v>logística / instalaciones</x:v>
      </x:c>
      <x:c r="G76" s="62" t="str">
        <x:v>Confirmar decisor, frecuencia mensual, pesos/dimensiones y cómo resuelven hoy los traslados.</x:v>
      </x:c>
      <x:c r="H76" s="62" t="str">
        <x:v>Google Business Profile</x:v>
      </x:c>
      <x:c r="I76" s="62" t="str">
        <x:v>https://www.google.com/maps/search/?api=1&amp;query=Piscinas+iGUi+Rio+Cuarto</x:v>
      </x:c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62" t="str">
        <x:v>RC-081</x:v>
      </x:c>
      <x:c r="B77" s="62" t="str">
        <x:v>B</x:v>
      </x:c>
      <x:c r="C77" s="62" t="str">
        <x:v>IMEGA Ingeniería y Montajes Eléctricos</x:v>
      </x:c>
      <x:c r="D77" s="62" t="str">
        <x:v>A verificar</x:v>
      </x:c>
      <x:c r="E77" s="62" t="str">
        <x:v>A verificar</x:v>
      </x:c>
      <x:c r="F77" s="62" t="str">
        <x:v>obras / montajes</x:v>
      </x:c>
      <x:c r="G77" s="62" t="str">
        <x:v>Confirmar teléfono directo + decisor + frecuencia mensual + pesos/dimensiones.</x:v>
      </x:c>
      <x:c r="H77" s="62" t="str">
        <x:v>Web oficial IMEGA</x:v>
      </x:c>
      <x:c r="I77" s="62" t="str">
        <x:v>https://imegaingenieria.com.ar/</x:v>
      </x:c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conditionalFormatting sqref="E2:E77">
    <x:cfRule type="expression" dxfId="7" priority="1">
      <x:formula>E2="A verificar"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c59f907cf940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16" hidden="0" customWidth="1"/>
  </x:cols>
  <x:sheetData>
    <x:row r="1">
      <x:c r="A1" s="70" t="str">
        <x:v>SERVICIOS PRESOL · OPORTUNIDAD EN RÍO CUARTO</x:v>
      </x:c>
      <x:c r="B1" s="70"/>
      <x:c r="C1" s="70"/>
      <x:c r="D1" s="70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68" t="str">
        <x:v>Servicio</x:v>
      </x:c>
      <x:c r="B3" s="68" t="str">
        <x:v>Descripción</x:v>
      </x:c>
      <x:c r="C3" s="68" t="str">
        <x:v>Prospectos compatibles</x:v>
      </x:c>
      <x:c r="D3" s="68" t="str">
        <x:v>% del universo</x:v>
      </x:c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62" t="str">
        <x:v>Plataforma 20 tn</x:v>
      </x:c>
      <x:c r="B4" s="62" t="str">
        <x:v>Traslado de maquinaria, equipos y cargas pesadas.</x:v>
      </x:c>
      <x:c r="C4" s="62" t="n">
        <x:f>COUNTIF(Prospectos!AG2:AG88,"*Plataforma*")</x:f>
        <x:v>0</x:v>
      </x:c>
      <x:c r="D4" s="64" t="n">
        <x:f>C4/COUNTA(Prospectos!H2:H88)</x:f>
        <x:v>0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62" t="str">
        <x:v>Hidrogrúa</x:v>
      </x:c>
      <x:c r="B5" s="62" t="str">
        <x:v>Carga/descarga y posicionamiento en obra o cliente.</x:v>
      </x:c>
      <x:c r="C5" s="62" t="n">
        <x:f>COUNTIF(Prospectos!AG2:AG88,"*Hidrogrúa*")</x:f>
        <x:v>0</x:v>
      </x:c>
      <x:c r="D5" s="64" t="n">
        <x:f>C5/COUNTA(Prospectos!H2:H88)</x:f>
        <x:v>0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62" t="str">
        <x:v>Malacate</x:v>
      </x:c>
      <x:c r="B6" s="62" t="str">
        <x:v>Carga/descarga de equipos sin autonomía o averiados.</x:v>
      </x:c>
      <x:c r="C6" s="62" t="n">
        <x:f>COUNTIF(Prospectos!AG2:AG88,"*Malacate*")</x:f>
        <x:v>0</x:v>
      </x:c>
      <x:c r="D6" s="64" t="n">
        <x:f>C6/COUNTA(Prospectos!H2:H88)</x:f>
        <x:v>0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62" t="str">
        <x:v>Percha para pallets</x:v>
      </x:c>
      <x:c r="B7" s="62" t="str">
        <x:v>Manipulación de pallets/cargas compatibles.</x:v>
      </x:c>
      <x:c r="C7" s="62" t="n">
        <x:f>COUNTIF(Prospectos!AG2:AG88,"*Percha*")</x:f>
        <x:v>0</x:v>
      </x:c>
      <x:c r="D7" s="64" t="n">
        <x:f>C7/COUNTA(Prospectos!H2:H88)</x:f>
        <x:v>0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62" t="str">
        <x:v>Entrega/retiro equipos</x:v>
      </x:c>
      <x:c r="B8" s="62" t="str">
        <x:v>Servicio recurrente para rental, dealers y service.</x:v>
      </x:c>
      <x:c r="C8" s="62" t="n">
        <x:f>COUNTIF(Prospectos!AG2:AG88,"*Entrega/retiro*")</x:f>
        <x:v>0</x:v>
      </x:c>
      <x:c r="D8" s="64" t="n">
        <x:f>C8/COUNTA(Prospectos!H2:H88)</x:f>
        <x:v>0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62" t="str">
        <x:v>Traslados interobra</x:v>
      </x:c>
      <x:c r="B9" s="62" t="str">
        <x:v>Movimiento programado entre frentes de obra.</x:v>
      </x:c>
      <x:c r="C9" s="62" t="n">
        <x:f>COUNTIF(Prospectos!AG2:AG88,"*Traslados*")</x:f>
        <x:v>0</x:v>
      </x:c>
      <x:c r="D9" s="64" t="n">
        <x:f>C9/COUNTA(Prospectos!H2:H88)</x:f>
        <x:v>0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62" t="str">
        <x:v>Seguro/GPS</x:v>
      </x:c>
      <x:c r="B10" s="62" t="str">
        <x:v>Trazabilidad y respaldo para equipos de alto valor.</x:v>
      </x:c>
      <x:c r="C10" s="62" t="n">
        <x:f>COUNTIF(Prospectos!AG2:AG88,"*Seguro/GPS*")</x:f>
        <x:v>0</x:v>
      </x:c>
      <x:c r="D10" s="64" t="n">
        <x:f>C10/COUNTA(Prospectos!H2:H88)</x:f>
        <x:v>0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62" t="str">
        <x:v>Subcontratación</x:v>
      </x:c>
      <x:c r="B11" s="62" t="str">
        <x:v>Capacidad complementaria para transportistas/logísticos.</x:v>
      </x:c>
      <x:c r="C11" s="62" t="n">
        <x:f>COUNTIF(Prospectos!AG2:AG88,"*Subcontratación*")</x:f>
        <x:v>0</x:v>
      </x:c>
      <x:c r="D11" s="64" t="n">
        <x:f>C11/COUNTA(Prospectos!H2:H88)</x:f>
        <x:v>0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0" hidden="0" customWidth="1"/>
    <x:col min="5" max="5" width="34" hidden="0" customWidth="1"/>
    <x:col min="6" max="6" width="28" hidden="0" customWidth="1"/>
    <x:col min="7" max="7" width="22" hidden="0" customWidth="1"/>
    <x:col min="8" max="8" width="35" hidden="0" customWidth="1"/>
    <x:col min="9" max="9" width="25" hidden="0" customWidth="1"/>
    <x:col min="10" max="10" width="42" hidden="0" customWidth="1"/>
    <x:col min="11" max="11" width="38" hidden="0" customWidth="1"/>
    <x:col min="12" max="12" width="24" hidden="0" customWidth="1"/>
    <x:col min="13" max="13" width="46" hidden="0" customWidth="1"/>
  </x:cols>
  <x:sheetData>
    <x:row r="1">
      <x:c r="A1" s="68" t="str">
        <x:v>ID</x:v>
      </x:c>
      <x:c r="B1" s="68" t="str">
        <x:v>Clase</x:v>
      </x:c>
      <x:c r="C1" s="68" t="str">
        <x:v>Score</x:v>
      </x:c>
      <x:c r="D1" s="68" t="str">
        <x:v>Empresa</x:v>
      </x:c>
      <x:c r="E1" s="68" t="str">
        <x:v>Sector</x:v>
      </x:c>
      <x:c r="F1" s="68" t="str">
        <x:v>Categoría</x:v>
      </x:c>
      <x:c r="G1" s="68" t="str">
        <x:v>Teléfonos</x:v>
      </x:c>
      <x:c r="H1" s="68" t="str">
        <x:v>Dirección</x:v>
      </x:c>
      <x:c r="I1" s="68" t="str">
        <x:v>Zona</x:v>
      </x:c>
      <x:c r="J1" s="68" t="str">
        <x:v>Necesidad probable</x:v>
      </x:c>
      <x:c r="K1" s="68" t="str">
        <x:v>Acción sugerida</x:v>
      </x:c>
      <x:c r="L1" s="68" t="str">
        <x:v>Fuente</x:v>
      </x:c>
      <x:c r="M1" s="68" t="str">
        <x:v>URL</x:v>
      </x:c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62" t="str">
        <x:v>RC-001</x:v>
      </x:c>
      <x:c r="B2" s="62" t="str">
        <x:v>A+</x:v>
      </x:c>
      <x:c r="C2" s="62" t="n">
        <x:v>100</x:v>
      </x:c>
      <x:c r="D2" s="62" t="str">
        <x:v>Casale Maquinarias - Movimientos Agro Vial S.A.</x:v>
      </x:c>
      <x:c r="E2" s="62" t="str">
        <x:v>Movimiento de suelos, excavaciones y alquiler de maquinaria vial/agro</x:v>
      </x:c>
      <x:c r="F2" s="62" t="str">
        <x:v>Construcción vial / movimiento de suelo</x:v>
      </x:c>
      <x:c r="G2" s="62" t="str">
        <x:v>+54 358 5094615</x:v>
      </x:c>
      <x:c r="H2" s="62" t="str">
        <x:v>RN36 606, X5800 Río Cuarto, Córdoba</x:v>
      </x:c>
      <x:c r="I2" s="62" t="str">
        <x:v>Corredor RN36</x:v>
      </x:c>
      <x:c r="J2" s="62" t="str">
        <x:v>Traslados interobra de excavadoras, retroexcavadoras, minicargadoras, rodillos y equipos viales.</x:v>
      </x:c>
      <x:c r="K2" s="62" t="str">
        <x:v>Pedir jefe de equipos/obras; relevar flota, pesos y frecuencia de movimientos.</x:v>
      </x:c>
      <x:c r="L2" s="62" t="str">
        <x:v>Agrositio + Google Business</x:v>
      </x:c>
      <x:c r="M2" s="62" t="str">
        <x:v>https://www.agrositio.com.ar/clasificados/tiendas_detalle.php?id=91599</x:v>
      </x:c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62" t="str">
        <x:v>RC-002</x:v>
      </x:c>
      <x:c r="B3" s="62" t="str">
        <x:v>A+</x:v>
      </x:c>
      <x:c r="C3" s="62" t="n">
        <x:v>100</x:v>
      </x:c>
      <x:c r="D3" s="62" t="str">
        <x:v>Geoqom</x:v>
      </x:c>
      <x:c r="E3" s="62" t="str">
        <x:v>Ingeniería civil, movimiento de suelos y alquiler de equipos viales</x:v>
      </x:c>
      <x:c r="F3" s="62" t="str">
        <x:v>Construcción vial / movimiento de suelo</x:v>
      </x:c>
      <x:c r="G3" s="62" t="str">
        <x:v>0358 154850006</x:v>
      </x:c>
      <x:c r="H3" s="62" t="str">
        <x:v>Ruta A005 km 1,5, Río Cuarto, Córdoba</x:v>
      </x:c>
      <x:c r="I3" s="62" t="str">
        <x:v>Corredor A005 / Circunvalación</x:v>
      </x:c>
      <x:c r="J3" s="62" t="str">
        <x:v>Traslados interobra de excavadoras, retroexcavadoras, minicargadoras, rodillos y equipos viales.</x:v>
      </x:c>
      <x:c r="K3" s="62" t="str">
        <x:v>Pedir jefe de equipos/obras; relevar flota, pesos y frecuencia de movimientos.</x:v>
      </x:c>
      <x:c r="L3" s="62" t="str">
        <x:v>Web oficial Geoqom</x:v>
      </x:c>
      <x:c r="M3" s="62" t="str">
        <x:v>https://www.geoqom.com/</x:v>
      </x:c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>
      <x:c r="A4" s="62" t="str">
        <x:v>RC-003</x:v>
      </x:c>
      <x:c r="B4" s="62" t="str">
        <x:v>A+</x:v>
      </x:c>
      <x:c r="C4" s="62" t="n">
        <x:v>100</x:v>
      </x:c>
      <x:c r="D4" s="62" t="str">
        <x:v>INCISA S.A.</x:v>
      </x:c>
      <x:c r="E4" s="62" t="str">
        <x:v>Constructora vial; hormigón, asfalto, áridos y movimiento de suelo</x:v>
      </x:c>
      <x:c r="F4" s="62" t="str">
        <x:v>Construcción vial / movimiento de suelo</x:v>
      </x:c>
      <x:c r="G4" s="62" t="str">
        <x:v>0358 4182680 / 3584 389870</x:v>
      </x:c>
      <x:c r="H4" s="62" t="str">
        <x:v>Estado de Palestina 2720, X5800 Río Cuarto, Córdoba</x:v>
      </x:c>
      <x:c r="I4" s="62" t="str">
        <x:v>Área urbana Río Cuarto</x:v>
      </x:c>
      <x:c r="J4" s="62" t="str">
        <x:v>Traslados interobra de excavadoras, retroexcavadoras, minicargadoras, rodillos y equipos viales.</x:v>
      </x:c>
      <x:c r="K4" s="62" t="str">
        <x:v>Pedir jefe de equipos/obras; relevar flota, pesos y frecuencia de movimientos.</x:v>
      </x:c>
      <x:c r="L4" s="62" t="str">
        <x:v>Web oficial INCISA</x:v>
      </x:c>
      <x:c r="M4" s="62" t="str">
        <x:v>https://incisa-sa.com/</x:v>
      </x:c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>
      <x:c r="A5" s="62" t="str">
        <x:v>RC-004</x:v>
      </x:c>
      <x:c r="B5" s="62" t="str">
        <x:v>A+</x:v>
      </x:c>
      <x:c r="C5" s="62" t="n">
        <x:v>100</x:v>
      </x:c>
      <x:c r="D5" s="62" t="str">
        <x:v>Metalfor S.A. - Río Cuarto</x:v>
      </x:c>
      <x:c r="E5" s="62" t="str">
        <x:v>Fabricación y servicio de maquinaria agrícola; equipos de gran porte</x:v>
      </x:c>
      <x:c r="F5" s="62" t="str">
        <x:v>Maquinaria agrícola</x:v>
      </x:c>
      <x:c r="G5" s="62" t="str">
        <x:v>0358 4655642 / 358 6011697</x:v>
      </x:c>
      <x:c r="H5" s="62" t="str">
        <x:v>Ruta Prov. A005 km 3, X5800 Río Cuarto, Córdoba</x:v>
      </x:c>
      <x:c r="I5" s="62" t="str">
        <x:v>Corredor A005 / Circunvalación</x:v>
      </x:c>
      <x:c r="J5" s="62" t="str">
        <x:v>Entrega/retiro de tractores, cosechadoras, pulverizadoras e implementos; usados y service.</x:v>
      </x:c>
      <x:c r="K5" s="62" t="str">
        <x:v>Pedir logística/expedición/posventa; relevar campañas, usados y picos de entregas.</x:v>
      </x:c>
      <x:c r="L5" s="62" t="str">
        <x:v>Waze + Cummins Service Locator</x:v>
      </x:c>
      <x:c r="M5" s="62" t="str">
        <x:v>https://www.cummins.com/en-na/locations/argentina/cordoba/rio-cuarto/servicap-metalfor-rio-cuarto</x:v>
      </x:c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>
      <x:c r="A6" s="62" t="str">
        <x:v>RC-005</x:v>
      </x:c>
      <x:c r="B6" s="62" t="str">
        <x:v>A+</x:v>
      </x:c>
      <x:c r="C6" s="62" t="n">
        <x:v>100</x:v>
      </x:c>
      <x:c r="D6" s="62" t="str">
        <x:v>Pallotti Maquinarias</x:v>
      </x:c>
      <x:c r="E6" s="62" t="str">
        <x:v>Concesionario LiuGong, Crucianelli, TBeH, De Grande y otras marcas</x:v>
      </x:c>
      <x:c r="F6" s="62" t="str">
        <x:v>Alquiler / dealer maquinaria pesada</x:v>
      </x:c>
      <x:c r="G6" s="62" t="str">
        <x:v>+54 358 5713137 / 5091218</x:v>
      </x:c>
      <x:c r="H6" s="62" t="str">
        <x:v>RN A005 km 3,5, X5800 Río Cuarto, Córdoba</x:v>
      </x:c>
      <x:c r="I6" s="62" t="str">
        <x:v>Corredor A005 / Circunvalación</x:v>
      </x:c>
      <x:c r="J6" s="62" t="str">
        <x:v>Entrega, retiro y traslado de maquinaria pesada entre sucursal, clientes, taller y obras.</x:v>
      </x:c>
      <x:c r="K6" s="62" t="str">
        <x:v>Llamar y visitar; pedir logística/alquileres/posventa y relevar movimientos mensuales.</x:v>
      </x:c>
      <x:c r="L6" s="62" t="str">
        <x:v>Web oficial Pallotti</x:v>
      </x:c>
      <x:c r="M6" s="62" t="str">
        <x:v>https://pallottimaquinarias.ar/contacto</x:v>
      </x:c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>
      <x:c r="A7" s="62" t="str">
        <x:v>RC-006</x:v>
      </x:c>
      <x:c r="B7" s="62" t="str">
        <x:v>A+</x:v>
      </x:c>
      <x:c r="C7" s="62" t="n">
        <x:v>100</x:v>
      </x:c>
      <x:c r="D7" s="62" t="str">
        <x:v>Semtraco S.A. - CASE IH / JCB</x:v>
      </x:c>
      <x:c r="E7" s="62" t="str">
        <x:v>Concesionario CASE IH, ERCA, Piersanti y distribuidor JCB</x:v>
      </x:c>
      <x:c r="F7" s="62" t="str">
        <x:v>Alquiler / dealer maquinaria pesada</x:v>
      </x:c>
      <x:c r="G7" s="62" t="str">
        <x:v>0358 4158451</x:v>
      </x:c>
      <x:c r="H7" s="62" t="str">
        <x:v>Acceso 005 – Circunvalación, X5800 Río Cuarto, Córdoba</x:v>
      </x:c>
      <x:c r="I7" s="62" t="str">
        <x:v>Corredor A005 / Circunvalación</x:v>
      </x:c>
      <x:c r="J7" s="62" t="str">
        <x:v>Entrega, retiro y traslado de maquinaria pesada entre sucursal, clientes, taller y obras.</x:v>
      </x:c>
      <x:c r="K7" s="62" t="str">
        <x:v>Llamar y visitar; pedir logística/alquileres/posventa y relevar movimientos mensuales.</x:v>
      </x:c>
      <x:c r="L7" s="62" t="str">
        <x:v>Web oficial Semtraco</x:v>
      </x:c>
      <x:c r="M7" s="62" t="str">
        <x:v>https://www.semtraco.com.ar/productos/case.html</x:v>
      </x:c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>
      <x:c r="A8" s="62" t="str">
        <x:v>RC-007</x:v>
      </x:c>
      <x:c r="B8" s="62" t="str">
        <x:v>A+</x:v>
      </x:c>
      <x:c r="C8" s="62" t="n">
        <x:v>98</x:v>
      </x:c>
      <x:c r="D8" s="62" t="str">
        <x:v>Bio4 - Bioetanol Río Cuarto S.A.</x:v>
      </x:c>
      <x:c r="E8" s="62" t="str">
        <x:v>Biorrefinería / bioetanol / energía renovable</x:v>
      </x:c>
      <x:c r="F8" s="62" t="str">
        <x:v>Agroindustria / planta industrial</x:v>
      </x:c>
      <x:c r="G8" s="62" t="str">
        <x:v>+54 358 4768500</x:v>
      </x:c>
      <x:c r="H8" s="62" t="str">
        <x:v>Ruta Provincial 19 km 1,2 (altura RN8 km 609), Río Cuarto, Córdoba</x:v>
      </x:c>
      <x:c r="I8" s="62" t="str">
        <x:v>Corredor RN8</x:v>
      </x:c>
      <x:c r="J8" s="62" t="str">
        <x:v>Movimientos de mantenimiento, motores, bombas, equipos, subconjuntos y cargas especiales.</x:v>
      </x:c>
      <x:c r="K8" s="62" t="str">
        <x:v>Pedir mantenimiento/compras/planta; relevar equipos críticos y proveedores actuales.</x:v>
      </x:c>
      <x:c r="L8" s="62" t="str">
        <x:v>Web oficial Bio4</x:v>
      </x:c>
      <x:c r="M8" s="62" t="str">
        <x:v>https://bio4.com.ar/</x:v>
      </x:c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>
      <x:c r="A9" s="62" t="str">
        <x:v>RC-008</x:v>
      </x:c>
      <x:c r="B9" s="62" t="str">
        <x:v>A+</x:v>
      </x:c>
      <x:c r="C9" s="62" t="n">
        <x:v>98</x:v>
      </x:c>
      <x:c r="D9" s="62" t="str">
        <x:v>CATPRO Maquinarias</x:v>
      </x:c>
      <x:c r="E9" s="62" t="str">
        <x:v>Concesionario oficial New Holland Agriculture; usados y posventa</x:v>
      </x:c>
      <x:c r="F9" s="62" t="str">
        <x:v>Maquinaria agrícola</x:v>
      </x:c>
      <x:c r="G9" s="62" t="str">
        <x:v>0358 4650092 / 4632206</x:v>
      </x:c>
      <x:c r="H9" s="62" t="str">
        <x:v>Av. Godoy Cruz 564, X5800 Río Cuarto, Córdoba</x:v>
      </x:c>
      <x:c r="I9" s="62" t="str">
        <x:v>Área urbana Río Cuarto</x:v>
      </x:c>
      <x:c r="J9" s="62" t="str">
        <x:v>Entrega/retiro de tractores, cosechadoras, pulverizadoras e implementos; usados y service.</x:v>
      </x:c>
      <x:c r="K9" s="62" t="str">
        <x:v>Pedir logística/expedición/posventa; relevar campañas, usados y picos de entregas.</x:v>
      </x:c>
      <x:c r="L9" s="62" t="str">
        <x:v>Web oficial Catpro</x:v>
      </x:c>
      <x:c r="M9" s="62" t="str">
        <x:v>https://www.catprosa.com.ar/index.php/empresa</x:v>
      </x:c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>
      <x:c r="A10" s="62" t="str">
        <x:v>RC-009</x:v>
      </x:c>
      <x:c r="B10" s="62" t="str">
        <x:v>A+</x:v>
      </x:c>
      <x:c r="C10" s="62" t="n">
        <x:v>98</x:v>
      </x:c>
      <x:c r="D10" s="62" t="str">
        <x:v>Inelsa Ingeniería Eléctrica S.A.</x:v>
      </x:c>
      <x:c r="E10" s="62" t="str">
        <x:v>Alquiler de maquinaria, grúas, trabajos en altura e ingeniería eléctrica</x:v>
      </x:c>
      <x:c r="F10" s="62" t="str">
        <x:v>Autoelevadores y elevación</x:v>
      </x:c>
      <x:c r="G10" s="62" t="str">
        <x:v>+54 358 4750064 / +54 9 358 4183399</x:v>
      </x:c>
      <x:c r="H10" s="62" t="str">
        <x:v>Córdoba 780, X5800 Río Cuarto, Córdoba</x:v>
      </x:c>
      <x:c r="I10" s="62" t="str">
        <x:v>Área urbana Río Cuarto</x:v>
      </x:c>
      <x:c r="J10" s="62" t="str">
        <x:v>Entrega/retiro de autoelevadores, plataformas y equipos de elevación entre base y clientes.</x:v>
      </x:c>
      <x:c r="K10" s="62" t="str">
        <x:v>Pedir alquileres/logística/service y cotizar tarifa por viaje y acuerdo recurrente.</x:v>
      </x:c>
      <x:c r="L10" s="62" t="str">
        <x:v>Web oficial Inelsa</x:v>
      </x:c>
      <x:c r="M10" s="62" t="str">
        <x:v>https://www.inelsa.com.ar/</x:v>
      </x:c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>
      <x:c r="A11" s="62" t="str">
        <x:v>RC-010</x:v>
      </x:c>
      <x:c r="B11" s="62" t="str">
        <x:v>A+</x:v>
      </x:c>
      <x:c r="C11" s="62" t="n">
        <x:v>98</x:v>
      </x:c>
      <x:c r="D11" s="62" t="str">
        <x:v>Marinelli S.A.</x:v>
      </x:c>
      <x:c r="E11" s="62" t="str">
        <x:v>Hormigón elaborado, áridos y obras</x:v>
      </x:c>
      <x:c r="F11" s="62" t="str">
        <x:v>Hormigón, áridos y materiales</x:v>
      </x:c>
      <x:c r="G11" s="62" t="str">
        <x:v>0358 4647058</x:v>
      </x:c>
      <x:c r="H11" s="62" t="str">
        <x:v>Córdoba 961, Banda Norte / Planta en Ruta A005, Río Cuarto</x:v>
      </x:c>
      <x:c r="I11" s="62" t="str">
        <x:v>Corredor A005 / Circunvalación</x:v>
      </x:c>
      <x:c r="J11" s="62" t="str">
        <x:v>Movimiento de equipos de planta, bombas, moldes, premoldeados, maquinaria y cargas pesadas.</x:v>
      </x:c>
      <x:c r="K11" s="62" t="str">
        <x:v>Pedir planta/mantenimiento/logística; relevar equipos y movimientos no cubiertos por mixer/camión.</x:v>
      </x:c>
      <x:c r="L11" s="62" t="str">
        <x:v>Web oficial Marinelli</x:v>
      </x:c>
      <x:c r="M11" s="62" t="str">
        <x:v>https://www.marinellisa.com/</x:v>
      </x:c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>
      <x:c r="A12" s="62" t="str">
        <x:v>RC-011</x:v>
      </x:c>
      <x:c r="B12" s="62" t="str">
        <x:v>A+</x:v>
      </x:c>
      <x:c r="C12" s="62" t="n">
        <x:v>98</x:v>
      </x:c>
      <x:c r="D12" s="62" t="str">
        <x:v>SALA</x:v>
      </x:c>
      <x:c r="E12" s="62" t="str">
        <x:v>Concesionario John Deere</x:v>
      </x:c>
      <x:c r="F12" s="62" t="str">
        <x:v>Maquinaria agrícola</x:v>
      </x:c>
      <x:c r="G12" s="62" t="str">
        <x:v>+54 9 358 2409477</x:v>
      </x:c>
      <x:c r="H12" s="62" t="str">
        <x:v>RN36 km 609, X5800 Río Cuarto, Córdoba</x:v>
      </x:c>
      <x:c r="I12" s="62" t="str">
        <x:v>Corredor RN36</x:v>
      </x:c>
      <x:c r="J12" s="62" t="str">
        <x:v>Entrega/retiro de tractores, cosechadoras, pulverizadoras e implementos; usados y service.</x:v>
      </x:c>
      <x:c r="K12" s="62" t="str">
        <x:v>Pedir logística/expedición/posventa; relevar campañas, usados y picos de entregas.</x:v>
      </x:c>
      <x:c r="L12" s="62" t="str">
        <x:v>Google Business Profile + John Deere</x:v>
      </x:c>
      <x:c r="M12" s="62" t="str">
        <x:v>https://www.google.com/maps/search/?api=1&amp;query=SALA+John+Deere+Rio+Cuarto</x:v>
      </x:c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>
      <x:c r="A13" s="62" t="str">
        <x:v>RC-012</x:v>
      </x:c>
      <x:c r="B13" s="62" t="str">
        <x:v>A+</x:v>
      </x:c>
      <x:c r="C13" s="62" t="n">
        <x:v>98</x:v>
      </x:c>
      <x:c r="D13" s="62" t="str">
        <x:v>Simonassi Maquinarias Agrícolas</x:v>
      </x:c>
      <x:c r="E13" s="62" t="str">
        <x:v>Concesionario oficial de maquinaria agrícola; CASE IH / PLA</x:v>
      </x:c>
      <x:c r="F13" s="62" t="str">
        <x:v>Maquinaria agrícola</x:v>
      </x:c>
      <x:c r="G13" s="62" t="str">
        <x:v>+54 358 5062964</x:v>
      </x:c>
      <x:c r="H13" s="62" t="str">
        <x:v>Av. Amadeo Sabattini 2950, X5800 Río Cuarto, Córdoba</x:v>
      </x:c>
      <x:c r="I13" s="62" t="str">
        <x:v>Av. Sabattini / Este</x:v>
      </x:c>
      <x:c r="J13" s="62" t="str">
        <x:v>Entrega/retiro de tractores, cosechadoras, pulverizadoras e implementos; usados y service.</x:v>
      </x:c>
      <x:c r="K13" s="62" t="str">
        <x:v>Pedir logística/expedición/posventa; relevar campañas, usados y picos de entregas.</x:v>
      </x:c>
      <x:c r="L13" s="62" t="str">
        <x:v>Google Business Profile + LinkedIn</x:v>
      </x:c>
      <x:c r="M13" s="62" t="str">
        <x:v>https://www.google.com/maps/search/?api=1&amp;query=Simonassi+Maquinarias+Agricolas+Rio+Cuarto</x:v>
      </x:c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>
      <x:c r="A14" s="62" t="str">
        <x:v>RC-013</x:v>
      </x:c>
      <x:c r="B14" s="62" t="str">
        <x:v>A+</x:v>
      </x:c>
      <x:c r="C14" s="62" t="n">
        <x:v>98</x:v>
      </x:c>
      <x:c r="D14" s="62" t="str">
        <x:v>TECNAC S.R.L.</x:v>
      </x:c>
      <x:c r="E14" s="62" t="str">
        <x:v>Construcción e ingeniería; obras viales, naves y movimiento de suelos</x:v>
      </x:c>
      <x:c r="F14" s="62" t="str">
        <x:v>Construcción vial / movimiento de suelo</x:v>
      </x:c>
      <x:c r="G14" s="62" t="str">
        <x:v>0358 4642965</x:v>
      </x:c>
      <x:c r="H14" s="62" t="str">
        <x:v>De las Postas 2435, Río Cuarto, Córdoba</x:v>
      </x:c>
      <x:c r="I14" s="62" t="str">
        <x:v>Área urbana Río Cuarto</x:v>
      </x:c>
      <x:c r="J14" s="62" t="str">
        <x:v>Traslados interobra de excavadoras, retroexcavadoras, minicargadoras, rodillos y equipos viales.</x:v>
      </x:c>
      <x:c r="K14" s="62" t="str">
        <x:v>Pedir jefe de equipos/obras; relevar flota, pesos y frecuencia de movimientos.</x:v>
      </x:c>
      <x:c r="L14" s="62" t="str">
        <x:v>Web oficial TECNAC</x:v>
      </x:c>
      <x:c r="M14" s="62" t="str">
        <x:v>https://tecnac.com.ar/</x:v>
      </x:c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62" t="str">
        <x:v>RC-014</x:v>
      </x:c>
      <x:c r="B15" s="62" t="str">
        <x:v>A+</x:v>
      </x:c>
      <x:c r="C15" s="62" t="n">
        <x:v>98</x:v>
      </x:c>
      <x:c r="D15" s="62" t="str">
        <x:v>Terramobil - Alquiler de maquinaria vial</x:v>
      </x:c>
      <x:c r="E15" s="62" t="str">
        <x:v>Alquiler de maquinaria vial</x:v>
      </x:c>
      <x:c r="F15" s="62" t="str">
        <x:v>Alquiler / dealer maquinaria pesada</x:v>
      </x:c>
      <x:c r="G15" s="62" t="str">
        <x:v>+54 358 5180190</x:v>
      </x:c>
      <x:c r="H15" s="62" t="str">
        <x:v>Pirovano 613, X5808 Río Cuarto, Córdoba</x:v>
      </x:c>
      <x:c r="I15" s="62" t="str">
        <x:v>Área urbana Río Cuarto</x:v>
      </x:c>
      <x:c r="J15" s="62" t="str">
        <x:v>Entrega, retiro y traslado de maquinaria pesada entre sucursal, clientes, taller y obras.</x:v>
      </x:c>
      <x:c r="K15" s="62" t="str">
        <x:v>Llamar y visitar; pedir logística/alquileres/posventa y relevar movimientos mensuales.</x:v>
      </x:c>
      <x:c r="L15" s="62" t="str">
        <x:v>Google Business Profile</x:v>
      </x:c>
      <x:c r="M15" s="62" t="str">
        <x:v>https://www.google.com/maps/search/?api=1&amp;query=Terramobil+Alquiler+Maquinaria+Vial+Rio+Cuarto</x:v>
      </x:c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62" t="str">
        <x:v>RC-015</x:v>
      </x:c>
      <x:c r="B16" s="62" t="str">
        <x:v>A+</x:v>
      </x:c>
      <x:c r="C16" s="62" t="n">
        <x:v>96</x:v>
      </x:c>
      <x:c r="D16" s="62" t="str">
        <x:v>Autoelevadores Río Cuarto Alquiler</x:v>
      </x:c>
      <x:c r="E16" s="62" t="str">
        <x:v>Alquiler de montacargas / autoelevadores</x:v>
      </x:c>
      <x:c r="F16" s="62" t="str">
        <x:v>Autoelevadores y elevación</x:v>
      </x:c>
      <x:c r="G16" s="62" t="str">
        <x:v>+54 358 5703111</x:v>
      </x:c>
      <x:c r="H16" s="62" t="str">
        <x:v>Pje. Magallanes 2415, Río Cuarto, Córdoba</x:v>
      </x:c>
      <x:c r="I16" s="62" t="str">
        <x:v>Área urbana Río Cuarto</x:v>
      </x:c>
      <x:c r="J16" s="62" t="str">
        <x:v>Entrega/retiro de autoelevadores, plataformas y equipos de elevación entre base y clientes.</x:v>
      </x:c>
      <x:c r="K16" s="62" t="str">
        <x:v>Pedir alquileres/logística/service y cotizar tarifa por viaje y acuerdo recurrente.</x:v>
      </x:c>
      <x:c r="L16" s="62" t="str">
        <x:v>Google Business Profile</x:v>
      </x:c>
      <x:c r="M16" s="62" t="str">
        <x:v>https://www.google.com/maps/search/?api=1&amp;query=Autoelevadores+Rio+Cuarto+Alquiler</x:v>
      </x:c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62" t="str">
        <x:v>RC-016</x:v>
      </x:c>
      <x:c r="B17" s="62" t="str">
        <x:v>A+</x:v>
      </x:c>
      <x:c r="C17" s="62" t="n">
        <x:v>96</x:v>
      </x:c>
      <x:c r="D17" s="62" t="str">
        <x:v>PONCE Movimientos de Suelo</x:v>
      </x:c>
      <x:c r="E17" s="62" t="str">
        <x:v>Movimiento de suelo y preparación de terrenos</x:v>
      </x:c>
      <x:c r="F17" s="62" t="str">
        <x:v>Construcción vial / movimiento de suelo</x:v>
      </x:c>
      <x:c r="G17" s="62" t="str">
        <x:v>+54 358 5180198</x:v>
      </x:c>
      <x:c r="H17" s="62" t="str">
        <x:v>Alvear 455, X5800 Río Cuarto, Córdoba</x:v>
      </x:c>
      <x:c r="I17" s="62" t="str">
        <x:v>Área urbana Río Cuarto</x:v>
      </x:c>
      <x:c r="J17" s="62" t="str">
        <x:v>Traslados interobra de excavadoras, retroexcavadoras, minicargadoras, rodillos y equipos viales.</x:v>
      </x:c>
      <x:c r="K17" s="62" t="str">
        <x:v>Pedir jefe de equipos/obras; relevar flota, pesos y frecuencia de movimientos.</x:v>
      </x:c>
      <x:c r="L17" s="62" t="str">
        <x:v>Google Business Profile</x:v>
      </x:c>
      <x:c r="M17" s="62" t="str">
        <x:v>https://www.google.com/maps/search/?api=1&amp;query=PONCE+movimientos+de+suelo+Rio+Cuarto</x:v>
      </x:c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62" t="str">
        <x:v>RC-017</x:v>
      </x:c>
      <x:c r="B18" s="62" t="str">
        <x:v>A+</x:v>
      </x:c>
      <x:c r="C18" s="62" t="n">
        <x:v>96</x:v>
      </x:c>
      <x:c r="D18" s="62" t="str">
        <x:v>RINO Pauny</x:v>
      </x:c>
      <x:c r="E18" s="62" t="str">
        <x:v>Concesionario / comercio de tractores Pauny</x:v>
      </x:c>
      <x:c r="F18" s="62" t="str">
        <x:v>Maquinaria agrícola</x:v>
      </x:c>
      <x:c r="G18" s="62" t="str">
        <x:v>+54 358 5091232</x:v>
      </x:c>
      <x:c r="H18" s="62" t="str">
        <x:v>RN A005 km 10,5, X5804 Río Cuarto, Córdoba</x:v>
      </x:c>
      <x:c r="I18" s="62" t="str">
        <x:v>Corredor A005 / Circunvalación</x:v>
      </x:c>
      <x:c r="J18" s="62" t="str">
        <x:v>Entrega/retiro de tractores, cosechadoras, pulverizadoras e implementos; usados y service.</x:v>
      </x:c>
      <x:c r="K18" s="62" t="str">
        <x:v>Pedir logística/expedición/posventa; relevar campañas, usados y picos de entregas.</x:v>
      </x:c>
      <x:c r="L18" s="62" t="str">
        <x:v>Google Business Profile</x:v>
      </x:c>
      <x:c r="M18" s="62" t="str">
        <x:v>https://www.google.com/maps/search/?api=1&amp;query=RINO+Pauny+Rio+Cuarto</x:v>
      </x:c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62" t="str">
        <x:v>RC-018</x:v>
      </x:c>
      <x:c r="B19" s="62" t="str">
        <x:v>A+</x:v>
      </x:c>
      <x:c r="C19" s="62" t="n">
        <x:v>96</x:v>
      </x:c>
      <x:c r="D19" s="62" t="str">
        <x:v>SAV Autoelevadores y Máquinas Viales</x:v>
      </x:c>
      <x:c r="E19" s="62" t="str">
        <x:v>Servicio y taller de autoelevadores y maquinaria vial</x:v>
      </x:c>
      <x:c r="F19" s="62" t="str">
        <x:v>Autoelevadores y elevación</x:v>
      </x:c>
      <x:c r="G19" s="62" t="str">
        <x:v>+54 358 5092695</x:v>
      </x:c>
      <x:c r="H19" s="62" t="str">
        <x:v>Lope de Vega 946, X5804 Río Cuarto, Córdoba</x:v>
      </x:c>
      <x:c r="I19" s="62" t="str">
        <x:v>Área urbana Río Cuarto</x:v>
      </x:c>
      <x:c r="J19" s="62" t="str">
        <x:v>Entrega/retiro de autoelevadores, plataformas y equipos de elevación entre base y clientes.</x:v>
      </x:c>
      <x:c r="K19" s="62" t="str">
        <x:v>Pedir alquileres/logística/service y cotizar tarifa por viaje y acuerdo recurrente.</x:v>
      </x:c>
      <x:c r="L19" s="62" t="str">
        <x:v>Google Business Profile</x:v>
      </x:c>
      <x:c r="M19" s="62" t="str">
        <x:v>https://www.google.com/maps/search/?api=1&amp;query=SAV+Autoelevadores+y+Maquinas+Viales+Rio+Cuarto</x:v>
      </x:c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62" t="str">
        <x:v>RC-019</x:v>
      </x:c>
      <x:c r="B20" s="62" t="str">
        <x:v>A+</x:v>
      </x:c>
      <x:c r="C20" s="62" t="n">
        <x:v>95</x:v>
      </x:c>
      <x:c r="D20" s="62" t="str">
        <x:v>Agecer - Volvo Trucks &amp; Buses Río Cuarto</x:v>
      </x:c>
      <x:c r="E20" s="62" t="str">
        <x:v>Concesionario oficial Volvo Trucks; usados y semirremolques</x:v>
      </x:c>
      <x:c r="F20" s="62" t="str">
        <x:v>Transporte / camiones / izajes</x:v>
      </x:c>
      <x:c r="G20" s="62" t="str">
        <x:v>+54 9 358 4013892</x:v>
      </x:c>
      <x:c r="H20" s="62" t="str">
        <x:v>Ruta A005 km 9,5, X5800 Río Cuarto, Córdoba</x:v>
      </x:c>
      <x:c r="I20" s="62" t="str">
        <x:v>Corredor A005 / Circunvalación</x:v>
      </x:c>
      <x:c r="J20" s="62" t="str">
        <x:v>Traslado de camiones, semirremolques, equipos averiados o apoyo de flota en contingencias.</x:v>
      </x:c>
      <x:c r="K20" s="62" t="str">
        <x:v>Pedir taller/flota/logística; ofrecer soporte de contingencia y tarifa por movilización.</x:v>
      </x:c>
      <x:c r="L20" s="62" t="str">
        <x:v>Web oficial Volvo/Agecer</x:v>
      </x:c>
      <x:c r="M20" s="62" t="str">
        <x:v>https://www.dealer.volvotrucks.com.ar/agecer/es-ar/nuestras-sucursales/rio-cuarto.html</x:v>
      </x:c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62" t="str">
        <x:v>RC-020</x:v>
      </x:c>
      <x:c r="B21" s="62" t="str">
        <x:v>A+</x:v>
      </x:c>
      <x:c r="C21" s="62" t="n">
        <x:v>95</x:v>
      </x:c>
      <x:c r="D21" s="62" t="str">
        <x:v>AGRO VIAL FERNANDEZ</x:v>
      </x:c>
      <x:c r="E21" s="62" t="str">
        <x:v>Fábrica y comercialización de maquinaria agrícola/vial</x:v>
      </x:c>
      <x:c r="F21" s="62" t="str">
        <x:v>Alquiler / dealer maquinaria pesada</x:v>
      </x:c>
      <x:c r="G21" s="62" t="str">
        <x:v>+54 9 351 6077077</x:v>
      </x:c>
      <x:c r="H21" s="62" t="str">
        <x:v>Ruta A005 y Arturo M. Bas, X5800 Río Cuarto, Córdoba</x:v>
      </x:c>
      <x:c r="I21" s="62" t="str">
        <x:v>Corredor A005 / Circunvalación</x:v>
      </x:c>
      <x:c r="J21" s="62" t="str">
        <x:v>Entrega, retiro y traslado de maquinaria pesada entre sucursal, clientes, taller y obras.</x:v>
      </x:c>
      <x:c r="K21" s="62" t="str">
        <x:v>Llamar y visitar; pedir logística/alquileres/posventa y relevar movimientos mensuales.</x:v>
      </x:c>
      <x:c r="L21" s="62" t="str">
        <x:v>Google Business Profile</x:v>
      </x:c>
      <x:c r="M21" s="62" t="str">
        <x:v>https://www.google.com/maps/search/?api=1&amp;query=Agro+Vial+Fernandez+Rio+Cuarto</x:v>
      </x:c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62" t="str">
        <x:v>RC-021</x:v>
      </x:c>
      <x:c r="B22" s="62" t="str">
        <x:v>A+</x:v>
      </x:c>
      <x:c r="C22" s="62" t="n">
        <x:v>95</x:v>
      </x:c>
      <x:c r="D22" s="62" t="str">
        <x:v>Agrokeegan Maquinarias</x:v>
      </x:c>
      <x:c r="E22" s="62" t="str">
        <x:v>Comercialización de maquinaria agrícola e implementos</x:v>
      </x:c>
      <x:c r="F22" s="62" t="str">
        <x:v>Maquinaria agrícola</x:v>
      </x:c>
      <x:c r="G22" s="62" t="str">
        <x:v>+54 358 6014848</x:v>
      </x:c>
      <x:c r="H22" s="62" t="str">
        <x:v>RN A005 km 0,5, X5800 Río Cuarto, Córdoba</x:v>
      </x:c>
      <x:c r="I22" s="62" t="str">
        <x:v>Corredor A005 / Circunvalación</x:v>
      </x:c>
      <x:c r="J22" s="62" t="str">
        <x:v>Entrega/retiro de tractores, cosechadoras, pulverizadoras e implementos; usados y service.</x:v>
      </x:c>
      <x:c r="K22" s="62" t="str">
        <x:v>Pedir logística/expedición/posventa; relevar campañas, usados y picos de entregas.</x:v>
      </x:c>
      <x:c r="L22" s="62" t="str">
        <x:v>Web oficial Agrokeegan</x:v>
      </x:c>
      <x:c r="M22" s="62" t="str">
        <x:v>https://agrokeegan.com.ar/about-us</x:v>
      </x:c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62" t="str">
        <x:v>RC-022</x:v>
      </x:c>
      <x:c r="B23" s="62" t="str">
        <x:v>A+</x:v>
      </x:c>
      <x:c r="C23" s="62" t="n">
        <x:v>95</x:v>
      </x:c>
      <x:c r="D23" s="62" t="str">
        <x:v>Bricchi Hnos. S.A.</x:v>
      </x:c>
      <x:c r="E23" s="62" t="str">
        <x:v>Maquinaria agrícola, vial y agro</x:v>
      </x:c>
      <x:c r="F23" s="62" t="str">
        <x:v>Maquinaria agrícola</x:v>
      </x:c>
      <x:c r="G23" s="62" t="str">
        <x:v>+54 9 358 4854418</x:v>
      </x:c>
      <x:c r="H23" s="62" t="str">
        <x:v>Ruta A005 km 1,2, Río Cuarto, Córdoba</x:v>
      </x:c>
      <x:c r="I23" s="62" t="str">
        <x:v>Corredor A005 / Circunvalación</x:v>
      </x:c>
      <x:c r="J23" s="62" t="str">
        <x:v>Entrega/retiro de tractores, cosechadoras, pulverizadoras e implementos; usados y service.</x:v>
      </x:c>
      <x:c r="K23" s="62" t="str">
        <x:v>Pedir logística/expedición/posventa; relevar campañas, usados y picos de entregas.</x:v>
      </x:c>
      <x:c r="L23" s="62" t="str">
        <x:v>Web oficial Bricchi</x:v>
      </x:c>
      <x:c r="M23" s="62" t="str">
        <x:v>https://www.bricchihnos.com/</x:v>
      </x:c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62" t="str">
        <x:v>RC-023</x:v>
      </x:c>
      <x:c r="B24" s="62" t="str">
        <x:v>A+</x:v>
      </x:c>
      <x:c r="C24" s="62" t="n">
        <x:v>95</x:v>
      </x:c>
      <x:c r="D24" s="62" t="str">
        <x:v>Caon Maquinarias</x:v>
      </x:c>
      <x:c r="E24" s="62" t="str">
        <x:v>Proveedor de equipos agrícolas</x:v>
      </x:c>
      <x:c r="F24" s="62" t="str">
        <x:v>Maquinaria agrícola</x:v>
      </x:c>
      <x:c r="G24" s="62" t="str">
        <x:v>+54 358 4117162</x:v>
      </x:c>
      <x:c r="H24" s="62" t="str">
        <x:v>RN8 km 608, X5800 Río Cuarto, Córdoba</x:v>
      </x:c>
      <x:c r="I24" s="62" t="str">
        <x:v>Corredor RN8</x:v>
      </x:c>
      <x:c r="J24" s="62" t="str">
        <x:v>Entrega/retiro de tractores, cosechadoras, pulverizadoras e implementos; usados y service.</x:v>
      </x:c>
      <x:c r="K24" s="62" t="str">
        <x:v>Pedir logística/expedición/posventa; relevar campañas, usados y picos de entregas.</x:v>
      </x:c>
      <x:c r="L24" s="62" t="str">
        <x:v>Google Business Profile</x:v>
      </x:c>
      <x:c r="M24" s="62" t="str">
        <x:v>https://www.google.com/maps/search/?api=1&amp;query=Caon+Maquinarias+Rio+Cuarto</x:v>
      </x:c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62" t="str">
        <x:v>RC-024</x:v>
      </x:c>
      <x:c r="B25" s="62" t="str">
        <x:v>A</x:v>
      </x:c>
      <x:c r="C25" s="62" t="n">
        <x:v>94</x:v>
      </x:c>
      <x:c r="D25" s="62" t="str">
        <x:v>Attus</x:v>
      </x:c>
      <x:c r="E25" s="62" t="str">
        <x:v>Ingeniería civil; estructuras metálicas, hormigón y movimiento de suelos</x:v>
      </x:c>
      <x:c r="F25" s="62" t="str">
        <x:v>Construcción y obra industrial</x:v>
      </x:c>
      <x:c r="G25" s="62" t="str">
        <x:v>+54 9 358 4629741</x:v>
      </x:c>
      <x:c r="H25" s="62" t="str">
        <x:v>Av. Presidente Perón Centro 448, Río Cuarto, Córdoba</x:v>
      </x:c>
      <x:c r="I25" s="62" t="str">
        <x:v>Av. Perón / Oeste</x:v>
      </x:c>
      <x:c r="J25" s="62" t="str">
        <x:v>Movimientos de equipos, cargas especiales o apoyo logístico asociados a su operación.</x:v>
      </x:c>
      <x:c r="K25" s="62" t="str">
        <x:v>Contactar operaciones/logística y relevar movimientos actuales.</x:v>
      </x:c>
      <x:c r="L25" s="62" t="str">
        <x:v>Web oficial Attus</x:v>
      </x:c>
      <x:c r="M25" s="62" t="str">
        <x:v>https://attus.com.ar/servicios/</x:v>
      </x:c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62" t="str">
        <x:v>RC-025</x:v>
      </x:c>
      <x:c r="B26" s="62" t="str">
        <x:v>A</x:v>
      </x:c>
      <x:c r="C26" s="62" t="n">
        <x:v>94</x:v>
      </x:c>
      <x:c r="D26" s="62" t="str">
        <x:v>Cantera La Helena</x:v>
      </x:c>
      <x:c r="E26" s="62" t="str">
        <x:v>Extracción, procesamiento y comercialización de áridos</x:v>
      </x:c>
      <x:c r="F26" s="62" t="str">
        <x:v>Hormigón, áridos y materiales</x:v>
      </x:c>
      <x:c r="G26" s="62" t="str">
        <x:v>+54 358 4309507</x:v>
      </x:c>
      <x:c r="H26" s="62" t="str">
        <x:v>Ex Ruta 36 km 610, X5800 Río Cuarto, Córdoba</x:v>
      </x:c>
      <x:c r="I26" s="62" t="str">
        <x:v>Corredor RN36</x:v>
      </x:c>
      <x:c r="J26" s="62" t="str">
        <x:v>Movimiento de equipos de planta, bombas, moldes, premoldeados, maquinaria y cargas pesadas.</x:v>
      </x:c>
      <x:c r="K26" s="62" t="str">
        <x:v>Pedir planta/mantenimiento/logística; relevar equipos y movimientos no cubiertos por mixer/camión.</x:v>
      </x:c>
      <x:c r="L26" s="62" t="str">
        <x:v>Web oficial La Helena</x:v>
      </x:c>
      <x:c r="M26" s="62" t="str">
        <x:v>https://lahelena.com.ar/about/</x:v>
      </x:c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62" t="str">
        <x:v>RC-026</x:v>
      </x:c>
      <x:c r="B27" s="62" t="str">
        <x:v>A</x:v>
      </x:c>
      <x:c r="C27" s="62" t="n">
        <x:v>94</x:v>
      </x:c>
      <x:c r="D27" s="62" t="str">
        <x:v>Carrocerías El Tero S.A.</x:v>
      </x:c>
      <x:c r="E27" s="62" t="str">
        <x:v>Carrocerías, acoplados y semirremolques</x:v>
      </x:c>
      <x:c r="F27" s="62" t="str">
        <x:v>Metalúrgica y fabricación</x:v>
      </x:c>
      <x:c r="G27" s="62" t="str">
        <x:v>0358 4155555 / +54 9 358 5077725</x:v>
      </x:c>
      <x:c r="H27" s="62" t="str">
        <x:v>Ruta A005 km 2,5, X5800 Río Cuarto, Córdoba</x:v>
      </x:c>
      <x:c r="I27" s="62" t="str">
        <x:v>Corredor A005 / Circunvalación</x:v>
      </x:c>
      <x:c r="J27" s="62" t="str">
        <x:v>Despacho/traslado de estructuras, piezas, implementos, acoplados o conjuntos metálicos.</x:v>
      </x:c>
      <x:c r="K27" s="62" t="str">
        <x:v>Pedir expedición/logística/producción; relevar piezas máximas y destinos habituales.</x:v>
      </x:c>
      <x:c r="L27" s="62" t="str">
        <x:v>Web oficial Carrocerías El Tero</x:v>
      </x:c>
      <x:c r="M27" s="62" t="str">
        <x:v>https://www.carroceriaseltero.com/</x:v>
      </x:c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62" t="str">
        <x:v>RC-027</x:v>
      </x:c>
      <x:c r="B28" s="62" t="str">
        <x:v>A</x:v>
      </x:c>
      <x:c r="C28" s="62" t="n">
        <x:v>94</x:v>
      </x:c>
      <x:c r="D28" s="62" t="str">
        <x:v>Cisar Piscinas y Cúpulas</x:v>
      </x:c>
      <x:c r="E28" s="62" t="str">
        <x:v>Fábrica de piscinas de fibra y cúpulas</x:v>
      </x:c>
      <x:c r="F28" s="62" t="str">
        <x:v>Piscinas / fibra de vidrio</x:v>
      </x:c>
      <x:c r="G28" s="62" t="str">
        <x:v>0358 4640586 / +54 9 358 4818472</x:v>
      </x:c>
      <x:c r="H28" s="62" t="str">
        <x:v>Ruta 8 km 605,5, Río Cuarto, Córdoba</x:v>
      </x:c>
      <x:c r="I28" s="62" t="str">
        <x:v>Corredor RN8</x:v>
      </x:c>
      <x:c r="J28" s="62" t="str">
        <x:v>Traslado de piscinas/cúpulas desde fábrica o depósito hasta obra y apoyo de descarga.</x:v>
      </x:c>
      <x:c r="K28" s="62" t="str">
        <x:v>Pedir logística/colocación; relevar medidas máximas y volumen mensual en temporada.</x:v>
      </x:c>
      <x:c r="L28" s="62" t="str">
        <x:v>Web oficial Cisar</x:v>
      </x:c>
      <x:c r="M28" s="62" t="str">
        <x:v>https://cisarpiscinasycupulas.com.ar/about/</x:v>
      </x:c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62" t="str">
        <x:v>RC-028</x:v>
      </x:c>
      <x:c r="B29" s="62" t="str">
        <x:v>A</x:v>
      </x:c>
      <x:c r="C29" s="62" t="n">
        <x:v>94</x:v>
      </x:c>
      <x:c r="D29" s="62" t="str">
        <x:v>Löchel Industria Metalúrgica</x:v>
      </x:c>
      <x:c r="E29" s="62" t="str">
        <x:v>Fabricación de maquinaria e implementos agrícolas</x:v>
      </x:c>
      <x:c r="F29" s="62" t="str">
        <x:v>Metalúrgica y fabricación</x:v>
      </x:c>
      <x:c r="G29" s="62" t="str">
        <x:v>+54 358 5605339 / 4018967</x:v>
      </x:c>
      <x:c r="H29" s="62" t="str">
        <x:v>Int. Daguerre 1550, X5800 Río Cuarto, Córdoba</x:v>
      </x:c>
      <x:c r="I29" s="62" t="str">
        <x:v>Área urbana Río Cuarto</x:v>
      </x:c>
      <x:c r="J29" s="62" t="str">
        <x:v>Despacho/traslado de estructuras, piezas, implementos, acoplados o conjuntos metálicos.</x:v>
      </x:c>
      <x:c r="K29" s="62" t="str">
        <x:v>Pedir expedición/logística/producción; relevar piezas máximas y destinos habituales.</x:v>
      </x:c>
      <x:c r="L29" s="62" t="str">
        <x:v>Web oficial Löchel</x:v>
      </x:c>
      <x:c r="M29" s="62" t="str">
        <x:v>https://lochel.com.ar/contacto/</x:v>
      </x:c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62" t="str">
        <x:v>RC-029</x:v>
      </x:c>
      <x:c r="B30" s="62" t="str">
        <x:v>A</x:v>
      </x:c>
      <x:c r="C30" s="62" t="n">
        <x:v>94</x:v>
      </x:c>
      <x:c r="D30" s="62" t="str">
        <x:v>MG Autoelevadores</x:v>
      </x:c>
      <x:c r="E30" s="62" t="str">
        <x:v>Autoelevadores; servicio y reparación</x:v>
      </x:c>
      <x:c r="F30" s="62" t="str">
        <x:v>Autoelevadores y elevación</x:v>
      </x:c>
      <x:c r="G30" s="62" t="str">
        <x:v>+54 358 4017219</x:v>
      </x:c>
      <x:c r="H30" s="62" t="str">
        <x:v>Av. Marcelo T. de Alvear 1334, X5800 Río Cuarto, Córdoba</x:v>
      </x:c>
      <x:c r="I30" s="62" t="str">
        <x:v>Área urbana Río Cuarto</x:v>
      </x:c>
      <x:c r="J30" s="62" t="str">
        <x:v>Entrega/retiro de autoelevadores, plataformas y equipos de elevación entre base y clientes.</x:v>
      </x:c>
      <x:c r="K30" s="62" t="str">
        <x:v>Pedir alquileres/logística/service y cotizar tarifa por viaje y acuerdo recurrente.</x:v>
      </x:c>
      <x:c r="L30" s="62" t="str">
        <x:v>Google Business Profile</x:v>
      </x:c>
      <x:c r="M30" s="62" t="str">
        <x:v>https://www.google.com/maps/search/?api=1&amp;query=MG+Autoelevadores+Rio+Cuarto</x:v>
      </x:c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62" t="str">
        <x:v>RC-030</x:v>
      </x:c>
      <x:c r="B31" s="62" t="str">
        <x:v>A</x:v>
      </x:c>
      <x:c r="C31" s="62" t="n">
        <x:v>94</x:v>
      </x:c>
      <x:c r="D31" s="62" t="str">
        <x:v>R.C Movimiento de Suelos</x:v>
      </x:c>
      <x:c r="E31" s="62" t="str">
        <x:v>Movimiento de tierras</x:v>
      </x:c>
      <x:c r="F31" s="62" t="str">
        <x:v>Construcción vial / movimiento de suelo</x:v>
      </x:c>
      <x:c r="G31" s="62" t="str">
        <x:v>+54 358 4289293</x:v>
      </x:c>
      <x:c r="H31" s="62" t="str">
        <x:v>Río Cuarto, Córdoba</x:v>
      </x:c>
      <x:c r="I31" s="62" t="str">
        <x:v>Área urbana Río Cuarto</x:v>
      </x:c>
      <x:c r="J31" s="62" t="str">
        <x:v>Traslados interobra de excavadoras, retroexcavadoras, minicargadoras, rodillos y equipos viales.</x:v>
      </x:c>
      <x:c r="K31" s="62" t="str">
        <x:v>Pedir jefe de equipos/obras; relevar flota, pesos y frecuencia de movimientos.</x:v>
      </x:c>
      <x:c r="L31" s="62" t="str">
        <x:v>Google Business Profile</x:v>
      </x:c>
      <x:c r="M31" s="62" t="str">
        <x:v>https://www.google.com/maps/search/?api=1&amp;query=RC+Movimiento+de+Suelos+Rio+Cuarto</x:v>
      </x:c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62" t="str">
        <x:v>RC-031</x:v>
      </x:c>
      <x:c r="B32" s="62" t="str">
        <x:v>A</x:v>
      </x:c>
      <x:c r="C32" s="62" t="n">
        <x:v>92</x:v>
      </x:c>
      <x:c r="D32" s="62" t="str">
        <x:v>Alquilo Todo Río Cuarto</x:v>
      </x:c>
      <x:c r="E32" s="62" t="str">
        <x:v>Alquiler de herramientas y maquinaria para construcción</x:v>
      </x:c>
      <x:c r="F32" s="62" t="str">
        <x:v>Alquiler / dealer maquinaria pesada</x:v>
      </x:c>
      <x:c r="G32" s="62" t="str">
        <x:v>+54 3546 490403</x:v>
      </x:c>
      <x:c r="H32" s="62" t="str">
        <x:v>Reverendo Padre Geniale Silvi 273, colectora A005, X5806 Río Cuarto</x:v>
      </x:c>
      <x:c r="I32" s="62" t="str">
        <x:v>Corredor A005 / Circunvalación</x:v>
      </x:c>
      <x:c r="J32" s="62" t="str">
        <x:v>Entrega, retiro y traslado de maquinaria pesada entre sucursal, clientes, taller y obras.</x:v>
      </x:c>
      <x:c r="K32" s="62" t="str">
        <x:v>Llamar y visitar; pedir logística/alquileres/posventa y relevar movimientos mensuales.</x:v>
      </x:c>
      <x:c r="L32" s="62" t="str">
        <x:v>Google Business Profile</x:v>
      </x:c>
      <x:c r="M32" s="62" t="str">
        <x:v>https://www.google.com/maps/search/?api=1&amp;query=Alquilo+Todo+Rio+Cuarto</x:v>
      </x:c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62" t="str">
        <x:v>RC-032</x:v>
      </x:c>
      <x:c r="B33" s="62" t="str">
        <x:v>A</x:v>
      </x:c>
      <x:c r="C33" s="62" t="n">
        <x:v>92</x:v>
      </x:c>
      <x:c r="D33" s="62" t="str">
        <x:v>Concesionario Rubén Marconi</x:v>
      </x:c>
      <x:c r="E33" s="62" t="str">
        <x:v>Proveedor de equipos agrícolas</x:v>
      </x:c>
      <x:c r="F33" s="62" t="str">
        <x:v>Maquinaria agrícola</x:v>
      </x:c>
      <x:c r="G33" s="62" t="str">
        <x:v>+54 358 4700452</x:v>
      </x:c>
      <x:c r="H33" s="62" t="str">
        <x:v>RN A005 2708, X5800 Río Cuarto, Córdoba</x:v>
      </x:c>
      <x:c r="I33" s="62" t="str">
        <x:v>Corredor A005 / Circunvalación</x:v>
      </x:c>
      <x:c r="J33" s="62" t="str">
        <x:v>Entrega/retiro de tractores, cosechadoras, pulverizadoras e implementos; usados y service.</x:v>
      </x:c>
      <x:c r="K33" s="62" t="str">
        <x:v>Pedir logística/expedición/posventa; relevar campañas, usados y picos de entregas.</x:v>
      </x:c>
      <x:c r="L33" s="62" t="str">
        <x:v>Google Business Profile</x:v>
      </x:c>
      <x:c r="M33" s="62" t="str">
        <x:v>https://www.google.com/maps/search/?api=1&amp;query=Concesionario+Ruben+Marconi+Rio+Cuarto</x:v>
      </x:c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62" t="str">
        <x:v>RC-033</x:v>
      </x:c>
      <x:c r="B34" s="62" t="str">
        <x:v>A</x:v>
      </x:c>
      <x:c r="C34" s="62" t="n">
        <x:v>92</x:v>
      </x:c>
      <x:c r="D34" s="62" t="str">
        <x:v>DEXCO Constructora</x:v>
      </x:c>
      <x:c r="E34" s="62" t="str">
        <x:v>Obras civiles, industriales, infraestructura y vial</x:v>
      </x:c>
      <x:c r="F34" s="62" t="str">
        <x:v>Construcción y obra industrial</x:v>
      </x:c>
      <x:c r="G34" s="62" t="str">
        <x:v>A verificar</x:v>
      </x:c>
      <x:c r="H34" s="62" t="str">
        <x:v>Río Cuarto, Córdoba</x:v>
      </x:c>
      <x:c r="I34" s="62" t="str">
        <x:v>Área urbana Río Cuarto</x:v>
      </x:c>
      <x:c r="J34" s="62" t="str">
        <x:v>Movimientos de equipos, cargas especiales o apoyo logístico asociados a su operación.</x:v>
      </x:c>
      <x:c r="K34" s="62" t="str">
        <x:v>Contactar operaciones/logística y relevar movimientos actuales.</x:v>
      </x:c>
      <x:c r="L34" s="62" t="str">
        <x:v>Web oficial DEXCO</x:v>
      </x:c>
      <x:c r="M34" s="62" t="str">
        <x:v>https://www.constructoradexco.com/</x:v>
      </x:c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62" t="str">
        <x:v>RC-034</x:v>
      </x:c>
      <x:c r="B35" s="62" t="str">
        <x:v>A</x:v>
      </x:c>
      <x:c r="C35" s="62" t="n">
        <x:v>92</x:v>
      </x:c>
      <x:c r="D35" s="62" t="str">
        <x:v>FymSA Vial</x:v>
      </x:c>
      <x:c r="E35" s="62" t="str">
        <x:v>Constructora / obra vial</x:v>
      </x:c>
      <x:c r="F35" s="62" t="str">
        <x:v>Construcción vial / movimiento de suelo</x:v>
      </x:c>
      <x:c r="G35" s="62" t="str">
        <x:v>+54 351 6669860</x:v>
      </x:c>
      <x:c r="H35" s="62" t="str">
        <x:v>Paraná 226, X5800 Río Cuarto, Córdoba</x:v>
      </x:c>
      <x:c r="I35" s="62" t="str">
        <x:v>Área urbana Río Cuarto</x:v>
      </x:c>
      <x:c r="J35" s="62" t="str">
        <x:v>Traslados interobra de excavadoras, retroexcavadoras, minicargadoras, rodillos y equipos viales.</x:v>
      </x:c>
      <x:c r="K35" s="62" t="str">
        <x:v>Pedir jefe de equipos/obras; relevar flota, pesos y frecuencia de movimientos.</x:v>
      </x:c>
      <x:c r="L35" s="62" t="str">
        <x:v>Google Business Profile</x:v>
      </x:c>
      <x:c r="M35" s="62" t="str">
        <x:v>https://www.google.com/maps/search/?api=1&amp;query=Fymsa+Vial+Rio+Cuarto</x:v>
      </x:c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62" t="str">
        <x:v>RC-035</x:v>
      </x:c>
      <x:c r="B36" s="62" t="str">
        <x:v>A</x:v>
      </x:c>
      <x:c r="C36" s="62" t="n">
        <x:v>92</x:v>
      </x:c>
      <x:c r="D36" s="62" t="str">
        <x:v>Metalúrgica Praga</x:v>
      </x:c>
      <x:c r="E36" s="62" t="str">
        <x:v>Fábrica de maquinaria</x:v>
      </x:c>
      <x:c r="F36" s="62" t="str">
        <x:v>Metalúrgica y fabricación</x:v>
      </x:c>
      <x:c r="G36" s="62" t="str">
        <x:v>+54 358 4644658</x:v>
      </x:c>
      <x:c r="H36" s="62" t="str">
        <x:v>RN A005 km 2, X5800 Río Cuarto, Córdoba</x:v>
      </x:c>
      <x:c r="I36" s="62" t="str">
        <x:v>Corredor A005 / Circunvalación</x:v>
      </x:c>
      <x:c r="J36" s="62" t="str">
        <x:v>Despacho/traslado de estructuras, piezas, implementos, acoplados o conjuntos metálicos.</x:v>
      </x:c>
      <x:c r="K36" s="62" t="str">
        <x:v>Pedir expedición/logística/producción; relevar piezas máximas y destinos habituales.</x:v>
      </x:c>
      <x:c r="L36" s="62" t="str">
        <x:v>Google Business Profile</x:v>
      </x:c>
      <x:c r="M36" s="62" t="str">
        <x:v>https://www.google.com/maps/search/?api=1&amp;query=Metalurgica+Praga+Rio+Cuarto</x:v>
      </x:c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62" t="str">
        <x:v>RC-036</x:v>
      </x:c>
      <x:c r="B37" s="62" t="str">
        <x:v>A</x:v>
      </x:c>
      <x:c r="C37" s="62" t="n">
        <x:v>92</x:v>
      </x:c>
      <x:c r="D37" s="62" t="str">
        <x:v>Oleohidráulica L&amp;M</x:v>
      </x:c>
      <x:c r="E37" s="62" t="str">
        <x:v>Servicio técnico oficial Hidro-Grubert / Palfinger; sistemas hidráulicos</x:v>
      </x:c>
      <x:c r="F37" s="62" t="str">
        <x:v>Autoelevadores y elevación</x:v>
      </x:c>
      <x:c r="G37" s="62" t="str">
        <x:v>+54 9 358 5709985 / 6015300</x:v>
      </x:c>
      <x:c r="H37" s="62" t="str">
        <x:v>Av. Godoy Cruz 251, Río Cuarto, Córdoba</x:v>
      </x:c>
      <x:c r="I37" s="62" t="str">
        <x:v>Área urbana Río Cuarto</x:v>
      </x:c>
      <x:c r="J37" s="62" t="str">
        <x:v>Entrega/retiro de autoelevadores, plataformas y equipos de elevación entre base y clientes.</x:v>
      </x:c>
      <x:c r="K37" s="62" t="str">
        <x:v>Pedir alquileres/logística/service y cotizar tarifa por viaje y acuerdo recurrente.</x:v>
      </x:c>
      <x:c r="L37" s="62" t="str">
        <x:v>Web oficial Oleohidráulica L&amp;M</x:v>
      </x:c>
      <x:c r="M37" s="62" t="str">
        <x:v>https://www.oleohidraulicalym.com/servicios/</x:v>
      </x:c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62" t="str">
        <x:v>RC-037</x:v>
      </x:c>
      <x:c r="B38" s="62" t="str">
        <x:v>A</x:v>
      </x:c>
      <x:c r="C38" s="62" t="n">
        <x:v>92</x:v>
      </x:c>
      <x:c r="D38" s="62" t="str">
        <x:v>Perforaciones Fundarc Pilotes</x:v>
      </x:c>
      <x:c r="E38" s="62" t="str">
        <x:v>Perforaciones y pilotes</x:v>
      </x:c>
      <x:c r="F38" s="62" t="str">
        <x:v>Perforaciones / fundaciones</x:v>
      </x:c>
      <x:c r="G38" s="62" t="str">
        <x:v>0358 4636866</x:v>
      </x:c>
      <x:c r="H38" s="62" t="str">
        <x:v>Lateral A005, X5800 Río Cuarto, Córdoba</x:v>
      </x:c>
      <x:c r="I38" s="62" t="str">
        <x:v>Corredor A005 / Circunvalación</x:v>
      </x:c>
      <x:c r="J38" s="62" t="str">
        <x:v>Movilización de perforadoras, herramientas y equipos entre obras y base.</x:v>
      </x:c>
      <x:c r="K38" s="62" t="str">
        <x:v>Pedir obras/equipos; consultar pesos, dimensiones y cronograma de movilizaciones.</x:v>
      </x:c>
      <x:c r="L38" s="62" t="str">
        <x:v>Páginas Amarillas</x:v>
      </x:c>
      <x:c r="M38" s="62" t="str">
        <x:v>https://www.paginasamarillas.com.ar/b/pilotes/rio-cuarto-cordoba</x:v>
      </x:c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62" t="str">
        <x:v>RC-038</x:v>
      </x:c>
      <x:c r="B39" s="62" t="str">
        <x:v>A</x:v>
      </x:c>
      <x:c r="C39" s="62" t="n">
        <x:v>90</x:v>
      </x:c>
      <x:c r="D39" s="62" t="str">
        <x:v>AGRORANCHO Maquinarias</x:v>
      </x:c>
      <x:c r="E39" s="62" t="str">
        <x:v>Proveedor de equipos agrícolas</x:v>
      </x:c>
      <x:c r="F39" s="62" t="str">
        <x:v>Maquinaria agrícola</x:v>
      </x:c>
      <x:c r="G39" s="62" t="str">
        <x:v>+54 358 4652174</x:v>
      </x:c>
      <x:c r="H39" s="62" t="str">
        <x:v>Ruta A005 km 3,5, Río Cuarto, Córdoba</x:v>
      </x:c>
      <x:c r="I39" s="62" t="str">
        <x:v>Corredor A005 / Circunvalación</x:v>
      </x:c>
      <x:c r="J39" s="62" t="str">
        <x:v>Entrega/retiro de tractores, cosechadoras, pulverizadoras e implementos; usados y service.</x:v>
      </x:c>
      <x:c r="K39" s="62" t="str">
        <x:v>Pedir logística/expedición/posventa; relevar campañas, usados y picos de entregas.</x:v>
      </x:c>
      <x:c r="L39" s="62" t="str">
        <x:v>Google Business Profile</x:v>
      </x:c>
      <x:c r="M39" s="62" t="str">
        <x:v>https://www.google.com/maps/search/?api=1&amp;query=Agrorancho+Maquinarias+Rio+Cuarto</x:v>
      </x:c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62" t="str">
        <x:v>RC-039</x:v>
      </x:c>
      <x:c r="B40" s="62" t="str">
        <x:v>A</x:v>
      </x:c>
      <x:c r="C40" s="62" t="n">
        <x:v>90</x:v>
      </x:c>
      <x:c r="D40" s="62" t="str">
        <x:v>Bombassei Argentina S.A.</x:v>
      </x:c>
      <x:c r="E40" s="62" t="str">
        <x:v>Equipos agrícolas / componentes industriales</x:v>
      </x:c>
      <x:c r="F40" s="62" t="str">
        <x:v>Metalúrgica y fabricación</x:v>
      </x:c>
      <x:c r="G40" s="62" t="str">
        <x:v>+54 358 4194375</x:v>
      </x:c>
      <x:c r="H40" s="62" t="str">
        <x:v>X5806 Río Cuarto, Córdoba</x:v>
      </x:c>
      <x:c r="I40" s="62" t="str">
        <x:v>Área urbana Río Cuarto</x:v>
      </x:c>
      <x:c r="J40" s="62" t="str">
        <x:v>Despacho/traslado de estructuras, piezas, implementos, acoplados o conjuntos metálicos.</x:v>
      </x:c>
      <x:c r="K40" s="62" t="str">
        <x:v>Pedir expedición/logística/producción; relevar piezas máximas y destinos habituales.</x:v>
      </x:c>
      <x:c r="L40" s="62" t="str">
        <x:v>Google Business Profile</x:v>
      </x:c>
      <x:c r="M40" s="62" t="str">
        <x:v>https://www.google.com/maps/search/?api=1&amp;query=Bombassei+Argentina+Rio+Cuarto</x:v>
      </x:c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62" t="str">
        <x:v>RC-040</x:v>
      </x:c>
      <x:c r="B41" s="62" t="str">
        <x:v>A</x:v>
      </x:c>
      <x:c r="C41" s="62" t="n">
        <x:v>90</x:v>
      </x:c>
      <x:c r="D41" s="62" t="str">
        <x:v>Construcciones Eléctricas Zorzán S.A. (CEZSA)</x:v>
      </x:c>
      <x:c r="E41" s="62" t="str">
        <x:v>Montajes industriales, grupos electrógenos y obras eléctricas</x:v>
      </x:c>
      <x:c r="F41" s="62" t="str">
        <x:v>Equipos industriales / energía</x:v>
      </x:c>
      <x:c r="G41" s="62" t="str">
        <x:v>0358 156001564 / 154317980</x:v>
      </x:c>
      <x:c r="H41" s="62" t="str">
        <x:v>Vicente López y Planes 857, Río Cuarto, Córdoba</x:v>
      </x:c>
      <x:c r="I41" s="62" t="str">
        <x:v>Área urbana Río Cuarto</x:v>
      </x:c>
      <x:c r="J41" s="62" t="str">
        <x:v>Movimiento de grupos, tableros, motores, módulos y equipos industriales para obra o mantenimiento.</x:v>
      </x:c>
      <x:c r="K41" s="62" t="str">
        <x:v>Pedir proyectos/mantenimiento/logística; consultar pesos, obras activas y montajes.</x:v>
      </x:c>
      <x:c r="L41" s="62" t="str">
        <x:v>Web oficial CEZSA</x:v>
      </x:c>
      <x:c r="M41" s="62" t="str">
        <x:v>https://www.cezsa.com/</x:v>
      </x:c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62" t="str">
        <x:v>RC-041</x:v>
      </x:c>
      <x:c r="B42" s="62" t="str">
        <x:v>A</x:v>
      </x:c>
      <x:c r="C42" s="62" t="n">
        <x:v>90</x:v>
      </x:c>
      <x:c r="D42" s="62" t="str">
        <x:v>Da Ros Premoldeados</x:v>
      </x:c>
      <x:c r="E42" s="62" t="str">
        <x:v>Premoldeados de hormigón</x:v>
      </x:c>
      <x:c r="F42" s="62" t="str">
        <x:v>Hormigón, áridos y materiales</x:v>
      </x:c>
      <x:c r="G42" s="62" t="str">
        <x:v>+54 358 6009812 / 5089009</x:v>
      </x:c>
      <x:c r="H42" s="62" t="str">
        <x:v>Sobremonte 2960 / Río Deseado 306, Río Cuarto, Córdoba</x:v>
      </x:c>
      <x:c r="I42" s="62" t="str">
        <x:v>Área urbana Río Cuarto</x:v>
      </x:c>
      <x:c r="J42" s="62" t="str">
        <x:v>Movimiento de equipos de planta, bombas, moldes, premoldeados, maquinaria y cargas pesadas.</x:v>
      </x:c>
      <x:c r="K42" s="62" t="str">
        <x:v>Pedir planta/mantenimiento/logística; relevar equipos y movimientos no cubiertos por mixer/camión.</x:v>
      </x:c>
      <x:c r="L42" s="62" t="str">
        <x:v>Web oficial Da Ros</x:v>
      </x:c>
      <x:c r="M42" s="62" t="str">
        <x:v>https://www.darospremoldeados.com.ar/products/paredon-premoldeado</x:v>
      </x:c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62" t="str">
        <x:v>RC-042</x:v>
      </x:c>
      <x:c r="B43" s="62" t="str">
        <x:v>A</x:v>
      </x:c>
      <x:c r="C43" s="62" t="n">
        <x:v>90</x:v>
      </x:c>
      <x:c r="D43" s="62" t="str">
        <x:v>Demarchi S.A.</x:v>
      </x:c>
      <x:c r="E43" s="62" t="str">
        <x:v>Concesionario de tractores</x:v>
      </x:c>
      <x:c r="F43" s="62" t="str">
        <x:v>Maquinaria agrícola</x:v>
      </x:c>
      <x:c r="G43" s="62" t="str">
        <x:v>+54 358 4010714</x:v>
      </x:c>
      <x:c r="H43" s="62" t="str">
        <x:v>Av. Godoy Cruz 485, X5800 Río Cuarto, Córdoba</x:v>
      </x:c>
      <x:c r="I43" s="62" t="str">
        <x:v>Área urbana Río Cuarto</x:v>
      </x:c>
      <x:c r="J43" s="62" t="str">
        <x:v>Entrega/retiro de tractores, cosechadoras, pulverizadoras e implementos; usados y service.</x:v>
      </x:c>
      <x:c r="K43" s="62" t="str">
        <x:v>Pedir logística/expedición/posventa; relevar campañas, usados y picos de entregas.</x:v>
      </x:c>
      <x:c r="L43" s="62" t="str">
        <x:v>Google Business Profile</x:v>
      </x:c>
      <x:c r="M43" s="62" t="str">
        <x:v>https://www.google.com/maps/search/?api=1&amp;query=Demarchi+SA+Rio+Cuarto</x:v>
      </x:c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62" t="str">
        <x:v>RC-043</x:v>
      </x:c>
      <x:c r="B44" s="62" t="str">
        <x:v>A</x:v>
      </x:c>
      <x:c r="C44" s="62" t="n">
        <x:v>90</x:v>
      </x:c>
      <x:c r="D44" s="62" t="str">
        <x:v>El Colono S.A.</x:v>
      </x:c>
      <x:c r="E44" s="62" t="str">
        <x:v>Fabricación de estructuras metálicas</x:v>
      </x:c>
      <x:c r="F44" s="62" t="str">
        <x:v>Metalúrgica y fabricación</x:v>
      </x:c>
      <x:c r="G44" s="62" t="str">
        <x:v>+54 358 4628525</x:v>
      </x:c>
      <x:c r="H44" s="62" t="str">
        <x:v>Julio Borda 86, X5800 Río Cuarto, Córdoba</x:v>
      </x:c>
      <x:c r="I44" s="62" t="str">
        <x:v>Área urbana Río Cuarto</x:v>
      </x:c>
      <x:c r="J44" s="62" t="str">
        <x:v>Despacho/traslado de estructuras, piezas, implementos, acoplados o conjuntos metálicos.</x:v>
      </x:c>
      <x:c r="K44" s="62" t="str">
        <x:v>Pedir expedición/logística/producción; relevar piezas máximas y destinos habituales.</x:v>
      </x:c>
      <x:c r="L44" s="62" t="str">
        <x:v>Google Business Profile</x:v>
      </x:c>
      <x:c r="M44" s="62" t="str">
        <x:v>https://www.google.com/maps/search/?api=1&amp;query=El+Colono+SA+Rio+Cuarto</x:v>
      </x:c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62" t="str">
        <x:v>RC-044</x:v>
      </x:c>
      <x:c r="B45" s="62" t="str">
        <x:v>A</x:v>
      </x:c>
      <x:c r="C45" s="62" t="n">
        <x:v>90</x:v>
      </x:c>
      <x:c r="D45" s="62" t="str">
        <x:v>Establecimiento Industrial Rattini S.A.</x:v>
      </x:c>
      <x:c r="E45" s="62" t="str">
        <x:v>Reductores y componentes agroindustriales</x:v>
      </x:c>
      <x:c r="F45" s="62" t="str">
        <x:v>Metalúrgica y fabricación</x:v>
      </x:c>
      <x:c r="G45" s="62" t="str">
        <x:v>+54 358 4621480</x:v>
      </x:c>
      <x:c r="H45" s="62" t="str">
        <x:v>Av. Presidente Perón Oeste 2231, X5800 Río Cuarto, Córdoba</x:v>
      </x:c>
      <x:c r="I45" s="62" t="str">
        <x:v>Av. Perón / Oeste</x:v>
      </x:c>
      <x:c r="J45" s="62" t="str">
        <x:v>Despacho/traslado de estructuras, piezas, implementos, acoplados o conjuntos metálicos.</x:v>
      </x:c>
      <x:c r="K45" s="62" t="str">
        <x:v>Pedir expedición/logística/producción; relevar piezas máximas y destinos habituales.</x:v>
      </x:c>
      <x:c r="L45" s="62" t="str">
        <x:v>Web oficial Rattini</x:v>
      </x:c>
      <x:c r="M45" s="62" t="str">
        <x:v>https://rattini.com.ar/nosotros/</x:v>
      </x:c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62" t="str">
        <x:v>RC-045</x:v>
      </x:c>
      <x:c r="B46" s="62" t="str">
        <x:v>A</x:v>
      </x:c>
      <x:c r="C46" s="62" t="n">
        <x:v>90</x:v>
      </x:c>
      <x:c r="D46" s="62" t="str">
        <x:v>Minimetal</x:v>
      </x:c>
      <x:c r="E46" s="62" t="str">
        <x:v>Fabricante de acoplados, trailers y semirremolques homologados</x:v>
      </x:c>
      <x:c r="F46" s="62" t="str">
        <x:v>Metalúrgica y fabricación</x:v>
      </x:c>
      <x:c r="G46" s="62" t="str">
        <x:v>+54 9 358 4323321</x:v>
      </x:c>
      <x:c r="H46" s="62" t="str">
        <x:v>Av. Amadeo Sabattini 3120, X5800 Río Cuarto, Córdoba</x:v>
      </x:c>
      <x:c r="I46" s="62" t="str">
        <x:v>Av. Sabattini / Este</x:v>
      </x:c>
      <x:c r="J46" s="62" t="str">
        <x:v>Despacho/traslado de estructuras, piezas, implementos, acoplados o conjuntos metálicos.</x:v>
      </x:c>
      <x:c r="K46" s="62" t="str">
        <x:v>Pedir expedición/logística/producción; relevar piezas máximas y destinos habituales.</x:v>
      </x:c>
      <x:c r="L46" s="62" t="str">
        <x:v>Web oficial Minimetal</x:v>
      </x:c>
      <x:c r="M46" s="62" t="str">
        <x:v>https://minimetal.com.ar/</x:v>
      </x:c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62" t="str">
        <x:v>RC-046</x:v>
      </x:c>
      <x:c r="B47" s="62" t="str">
        <x:v>A</x:v>
      </x:c>
      <x:c r="C47" s="62" t="n">
        <x:v>90</x:v>
      </x:c>
      <x:c r="D47" s="62" t="str">
        <x:v>MIXON - Planta de Hormigón Elaborado</x:v>
      </x:c>
      <x:c r="E47" s="62" t="str">
        <x:v>Hormigón elaborado</x:v>
      </x:c>
      <x:c r="F47" s="62" t="str">
        <x:v>Hormigón, áridos y materiales</x:v>
      </x:c>
      <x:c r="G47" s="62" t="str">
        <x:v>+54 358 5729680</x:v>
      </x:c>
      <x:c r="H47" s="62" t="str">
        <x:v>Dr. Julián Maidana 2351, X5800 Río Cuarto, Córdoba</x:v>
      </x:c>
      <x:c r="I47" s="62" t="str">
        <x:v>Área urbana Río Cuarto</x:v>
      </x:c>
      <x:c r="J47" s="62" t="str">
        <x:v>Movimiento de equipos de planta, bombas, moldes, premoldeados, maquinaria y cargas pesadas.</x:v>
      </x:c>
      <x:c r="K47" s="62" t="str">
        <x:v>Pedir planta/mantenimiento/logística; relevar equipos y movimientos no cubiertos por mixer/camión.</x:v>
      </x:c>
      <x:c r="L47" s="62" t="str">
        <x:v>Google Business Profile + Cámara del Hormigón</x:v>
      </x:c>
      <x:c r="M47" s="62" t="str">
        <x:v>https://www.google.com/maps/search/?api=1&amp;query=MIXON+Hormigon+Rio+Cuarto</x:v>
      </x:c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62" t="str">
        <x:v>RC-047</x:v>
      </x:c>
      <x:c r="B48" s="62" t="str">
        <x:v>A</x:v>
      </x:c>
      <x:c r="C48" s="62" t="n">
        <x:v>90</x:v>
      </x:c>
      <x:c r="D48" s="62" t="str">
        <x:v>Scania Región Centro - Río IV</x:v>
      </x:c>
      <x:c r="E48" s="62" t="str">
        <x:v>Concesionario y servicio de camiones</x:v>
      </x:c>
      <x:c r="F48" s="62" t="str">
        <x:v>Transporte / camiones / izajes</x:v>
      </x:c>
      <x:c r="G48" s="62" t="str">
        <x:v>+54 358 4755600</x:v>
      </x:c>
      <x:c r="H48" s="62" t="str">
        <x:v>RN8, X5800 Río Cuarto, Córdoba</x:v>
      </x:c>
      <x:c r="I48" s="62" t="str">
        <x:v>Corredor RN8</x:v>
      </x:c>
      <x:c r="J48" s="62" t="str">
        <x:v>Traslado de camiones, semirremolques, equipos averiados o apoyo de flota en contingencias.</x:v>
      </x:c>
      <x:c r="K48" s="62" t="str">
        <x:v>Pedir taller/flota/logística; ofrecer soporte de contingencia y tarifa por movilización.</x:v>
      </x:c>
      <x:c r="L48" s="62" t="str">
        <x:v>Google Business Profile</x:v>
      </x:c>
      <x:c r="M48" s="62" t="str">
        <x:v>https://www.google.com/maps/search/?api=1&amp;query=Scania+Region+Centro+Rio+Cuarto</x:v>
      </x:c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62" t="str">
        <x:v>RC-048</x:v>
      </x:c>
      <x:c r="B49" s="62" t="str">
        <x:v>A</x:v>
      </x:c>
      <x:c r="C49" s="62" t="n">
        <x:v>90</x:v>
      </x:c>
      <x:c r="D49" s="62" t="str">
        <x:v>SEIERO Metalúrgica</x:v>
      </x:c>
      <x:c r="E49" s="62" t="str">
        <x:v>Corte láser, plegado, soldadura y fabricación industrial</x:v>
      </x:c>
      <x:c r="F49" s="62" t="str">
        <x:v>Metalúrgica y fabricación</x:v>
      </x:c>
      <x:c r="G49" s="62" t="str">
        <x:v>+54 358 4328815</x:v>
      </x:c>
      <x:c r="H49" s="62" t="str">
        <x:v>Juan de Garay 1250, X5800 Río Cuarto, Córdoba</x:v>
      </x:c>
      <x:c r="I49" s="62" t="str">
        <x:v>Área urbana Río Cuarto</x:v>
      </x:c>
      <x:c r="J49" s="62" t="str">
        <x:v>Despacho/traslado de estructuras, piezas, implementos, acoplados o conjuntos metálicos.</x:v>
      </x:c>
      <x:c r="K49" s="62" t="str">
        <x:v>Pedir expedición/logística/producción; relevar piezas máximas y destinos habituales.</x:v>
      </x:c>
      <x:c r="L49" s="62" t="str">
        <x:v>Web oficial SEIERO</x:v>
      </x:c>
      <x:c r="M49" s="62" t="str">
        <x:v>https://www.seiero.com.ar/</x:v>
      </x:c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62" t="str">
        <x:v>RC-049</x:v>
      </x:c>
      <x:c r="B50" s="62" t="str">
        <x:v>A</x:v>
      </x:c>
      <x:c r="C50" s="62" t="n">
        <x:v>90</x:v>
      </x:c>
      <x:c r="D50" s="62" t="str">
        <x:v>TARDITI S.R.L.</x:v>
      </x:c>
      <x:c r="E50" s="62" t="str">
        <x:v>Fabricación y distribución de repuestos agrícolas</x:v>
      </x:c>
      <x:c r="F50" s="62" t="str">
        <x:v>Metalúrgica y fabricación</x:v>
      </x:c>
      <x:c r="G50" s="62" t="str">
        <x:v>+54 358 4848482 / 4653399</x:v>
      </x:c>
      <x:c r="H50" s="62" t="str">
        <x:v>Río Deseado 150, X5800 Río Cuarto, Córdoba</x:v>
      </x:c>
      <x:c r="I50" s="62" t="str">
        <x:v>Área urbana Río Cuarto</x:v>
      </x:c>
      <x:c r="J50" s="62" t="str">
        <x:v>Despacho/traslado de estructuras, piezas, implementos, acoplados o conjuntos metálicos.</x:v>
      </x:c>
      <x:c r="K50" s="62" t="str">
        <x:v>Pedir expedición/logística/producción; relevar piezas máximas y destinos habituales.</x:v>
      </x:c>
      <x:c r="L50" s="62" t="str">
        <x:v>Web oficial Tarditi</x:v>
      </x:c>
      <x:c r="M50" s="62" t="str">
        <x:v>https://www.tarditisrl.com.ar/</x:v>
      </x:c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62" t="str">
        <x:v>RC-050</x:v>
      </x:c>
      <x:c r="B51" s="62" t="str">
        <x:v>A</x:v>
      </x:c>
      <x:c r="C51" s="62" t="n">
        <x:v>90</x:v>
      </x:c>
      <x:c r="D51" s="62" t="str">
        <x:v>Vasquetto Nutrición Animal</x:v>
      </x:c>
      <x:c r="E51" s="62" t="str">
        <x:v>Fábrica de alimentos balanceados y pellets</x:v>
      </x:c>
      <x:c r="F51" s="62" t="str">
        <x:v>Agroindustria / planta industrial</x:v>
      </x:c>
      <x:c r="G51" s="62" t="str">
        <x:v>+54 9 358 4831420</x:v>
      </x:c>
      <x:c r="H51" s="62" t="str">
        <x:v>Ruta A005 km 10,5, X5800 Río Cuarto, Córdoba</x:v>
      </x:c>
      <x:c r="I51" s="62" t="str">
        <x:v>Corredor A005 / Circunvalación</x:v>
      </x:c>
      <x:c r="J51" s="62" t="str">
        <x:v>Movimientos de mantenimiento, motores, bombas, equipos, subconjuntos y cargas especiales.</x:v>
      </x:c>
      <x:c r="K51" s="62" t="str">
        <x:v>Pedir mantenimiento/compras/planta; relevar equipos críticos y proveedores actuales.</x:v>
      </x:c>
      <x:c r="L51" s="62" t="str">
        <x:v>Web oficial Vasquetto</x:v>
      </x:c>
      <x:c r="M51" s="62" t="str">
        <x:v>https://vasquetto.com.ar/es/contacto</x:v>
      </x:c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62" t="str">
        <x:v>RC-051</x:v>
      </x:c>
      <x:c r="B52" s="62" t="str">
        <x:v>A</x:v>
      </x:c>
      <x:c r="C52" s="62" t="n">
        <x:v>88</x:v>
      </x:c>
      <x:c r="D52" s="62" t="str">
        <x:v>Diesel Lange - Río Cuarto</x:v>
      </x:c>
      <x:c r="E52" s="62" t="str">
        <x:v>Servicio/comercialización vinculada a maquinaria y motores diésel</x:v>
      </x:c>
      <x:c r="F52" s="62" t="str">
        <x:v>Maquinaria agrícola</x:v>
      </x:c>
      <x:c r="G52" s="62" t="str">
        <x:v>+54 358 4334218</x:v>
      </x:c>
      <x:c r="H52" s="62" t="str">
        <x:v>Río Cuarto, Córdoba</x:v>
      </x:c>
      <x:c r="I52" s="62" t="str">
        <x:v>Área urbana Río Cuarto</x:v>
      </x:c>
      <x:c r="J52" s="62" t="str">
        <x:v>Entrega/retiro de tractores, cosechadoras, pulverizadoras e implementos; usados y service.</x:v>
      </x:c>
      <x:c r="K52" s="62" t="str">
        <x:v>Pedir logística/expedición/posventa; relevar campañas, usados y picos de entregas.</x:v>
      </x:c>
      <x:c r="L52" s="62" t="str">
        <x:v>Google Business Profile</x:v>
      </x:c>
      <x:c r="M52" s="62" t="str">
        <x:v>https://www.google.com/maps/search/?api=1&amp;query=Diesel+Lange+Rio+Cuarto</x:v>
      </x:c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62" t="str">
        <x:v>RC-052</x:v>
      </x:c>
      <x:c r="B53" s="62" t="str">
        <x:v>A</x:v>
      </x:c>
      <x:c r="C53" s="62" t="n">
        <x:v>88</x:v>
      </x:c>
      <x:c r="D53" s="62" t="str">
        <x:v>Metalúrgica R. Haller</x:v>
      </x:c>
      <x:c r="E53" s="62" t="str">
        <x:v>Fabricación metalúrgica</x:v>
      </x:c>
      <x:c r="F53" s="62" t="str">
        <x:v>Metalúrgica y fabricación</x:v>
      </x:c>
      <x:c r="G53" s="62" t="str">
        <x:v>+54 358 4643209</x:v>
      </x:c>
      <x:c r="H53" s="62" t="str">
        <x:v>RN8 km 607,5, X5800 Río Cuarto, Córdoba</x:v>
      </x:c>
      <x:c r="I53" s="62" t="str">
        <x:v>Corredor RN8</x:v>
      </x:c>
      <x:c r="J53" s="62" t="str">
        <x:v>Despacho/traslado de estructuras, piezas, implementos, acoplados o conjuntos metálicos.</x:v>
      </x:c>
      <x:c r="K53" s="62" t="str">
        <x:v>Pedir expedición/logística/producción; relevar piezas máximas y destinos habituales.</x:v>
      </x:c>
      <x:c r="L53" s="62" t="str">
        <x:v>Google Business Profile</x:v>
      </x:c>
      <x:c r="M53" s="62" t="str">
        <x:v>https://www.google.com/maps/search/?api=1&amp;query=Metalurgica+R+Haller+Rio+Cuarto</x:v>
      </x:c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62" t="str">
        <x:v>RC-053</x:v>
      </x:c>
      <x:c r="B54" s="62" t="str">
        <x:v>A</x:v>
      </x:c>
      <x:c r="C54" s="62" t="n">
        <x:v>86</x:v>
      </x:c>
      <x:c r="D54" s="62" t="str">
        <x:v>Indusplast Piscinas Río Cuarto</x:v>
      </x:c>
      <x:c r="E54" s="62" t="str">
        <x:v>Piscinas / contratista de piscinas</x:v>
      </x:c>
      <x:c r="F54" s="62" t="str">
        <x:v>Piscinas / fibra de vidrio</x:v>
      </x:c>
      <x:c r="G54" s="62" t="str">
        <x:v>+54 358 6028628</x:v>
      </x:c>
      <x:c r="H54" s="62" t="str">
        <x:v>Colectora A005 y José Mármol, X5800 Río Cuarto, Córdoba</x:v>
      </x:c>
      <x:c r="I54" s="62" t="str">
        <x:v>Corredor A005 / Circunvalación</x:v>
      </x:c>
      <x:c r="J54" s="62" t="str">
        <x:v>Traslado de piscinas/cúpulas desde fábrica o depósito hasta obra y apoyo de descarga.</x:v>
      </x:c>
      <x:c r="K54" s="62" t="str">
        <x:v>Pedir logística/colocación; relevar medidas máximas y volumen mensual en temporada.</x:v>
      </x:c>
      <x:c r="L54" s="62" t="str">
        <x:v>Google Business Profile</x:v>
      </x:c>
      <x:c r="M54" s="62" t="str">
        <x:v>https://www.google.com/maps/search/?api=1&amp;query=Indusplast+Piscinas+Rio+Cuarto</x:v>
      </x:c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62" t="str">
        <x:v>RC-054</x:v>
      </x:c>
      <x:c r="B55" s="62" t="str">
        <x:v>A</x:v>
      </x:c>
      <x:c r="C55" s="62" t="n">
        <x:v>86</x:v>
      </x:c>
      <x:c r="D55" s="62" t="str">
        <x:v>Metalúrgica NF Ingeniería y Fabricación</x:v>
      </x:c>
      <x:c r="E55" s="62" t="str">
        <x:v>Ingeniería y fabricación metalúrgica</x:v>
      </x:c>
      <x:c r="F55" s="62" t="str">
        <x:v>Metalúrgica y fabricación</x:v>
      </x:c>
      <x:c r="G55" s="62" t="str">
        <x:v>+54 358 6020520</x:v>
      </x:c>
      <x:c r="H55" s="62" t="str">
        <x:v>Av. Godoy Cruz 563, Río Cuarto, Córdoba</x:v>
      </x:c>
      <x:c r="I55" s="62" t="str">
        <x:v>Área urbana Río Cuarto</x:v>
      </x:c>
      <x:c r="J55" s="62" t="str">
        <x:v>Despacho/traslado de estructuras, piezas, implementos, acoplados o conjuntos metálicos.</x:v>
      </x:c>
      <x:c r="K55" s="62" t="str">
        <x:v>Pedir expedición/logística/producción; relevar piezas máximas y destinos habituales.</x:v>
      </x:c>
      <x:c r="L55" s="62" t="str">
        <x:v>Google Business Profile</x:v>
      </x:c>
      <x:c r="M55" s="62" t="str">
        <x:v>https://www.google.com/maps/search/?api=1&amp;query=Metalurgica+NF+Ingenieria+Rio+Cuarto</x:v>
      </x:c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62" t="str">
        <x:v>RC-055</x:v>
      </x:c>
      <x:c r="B56" s="62" t="str">
        <x:v>A</x:v>
      </x:c>
      <x:c r="C56" s="62" t="n">
        <x:v>84</x:v>
      </x:c>
      <x:c r="D56" s="62" t="str">
        <x:v>Canteras Bringas</x:v>
      </x:c>
      <x:c r="E56" s="62" t="str">
        <x:v>Áridos / cantera</x:v>
      </x:c>
      <x:c r="F56" s="62" t="str">
        <x:v>Hormigón, áridos y materiales</x:v>
      </x:c>
      <x:c r="G56" s="62" t="str">
        <x:v>+54 358 4906010</x:v>
      </x:c>
      <x:c r="H56" s="62" t="str">
        <x:v>RN A005 km 5,2, X5800 Río Cuarto, Córdoba</x:v>
      </x:c>
      <x:c r="I56" s="62" t="str">
        <x:v>Corredor A005 / Circunvalación</x:v>
      </x:c>
      <x:c r="J56" s="62" t="str">
        <x:v>Movimiento de equipos de planta, bombas, moldes, premoldeados, maquinaria y cargas pesadas.</x:v>
      </x:c>
      <x:c r="K56" s="62" t="str">
        <x:v>Pedir planta/mantenimiento/logística; relevar equipos y movimientos no cubiertos por mixer/camión.</x:v>
      </x:c>
      <x:c r="L56" s="62" t="str">
        <x:v>Google Business Profile</x:v>
      </x:c>
      <x:c r="M56" s="62" t="str">
        <x:v>https://www.google.com/maps/search/?api=1&amp;query=Canteras+Bringas+Rio+Cuarto</x:v>
      </x:c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62" t="str">
        <x:v>RC-056</x:v>
      </x:c>
      <x:c r="B57" s="62" t="str">
        <x:v>A</x:v>
      </x:c>
      <x:c r="C57" s="62" t="n">
        <x:v>84</x:v>
      </x:c>
      <x:c r="D57" s="62" t="str">
        <x:v>La Elenense - Showroom Río Cuarto</x:v>
      </x:c>
      <x:c r="E57" s="62" t="str">
        <x:v>Premoldeados de hormigón</x:v>
      </x:c>
      <x:c r="F57" s="62" t="str">
        <x:v>Hormigón, áridos y materiales</x:v>
      </x:c>
      <x:c r="G57" s="62" t="str">
        <x:v>0358 4647090</x:v>
      </x:c>
      <x:c r="H57" s="62" t="str">
        <x:v>Av. Sabattini 2794, Río Cuarto, Córdoba</x:v>
      </x:c>
      <x:c r="I57" s="62" t="str">
        <x:v>Av. Sabattini / Este</x:v>
      </x:c>
      <x:c r="J57" s="62" t="str">
        <x:v>Movimiento de equipos de planta, bombas, moldes, premoldeados, maquinaria y cargas pesadas.</x:v>
      </x:c>
      <x:c r="K57" s="62" t="str">
        <x:v>Pedir planta/mantenimiento/logística; relevar equipos y movimientos no cubiertos por mixer/camión.</x:v>
      </x:c>
      <x:c r="L57" s="62" t="str">
        <x:v>Web oficial La Elenense</x:v>
      </x:c>
      <x:c r="M57" s="62" t="str">
        <x:v>https://laelenense.com/premoldeados/</x:v>
      </x:c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62" t="str">
        <x:v>RC-057</x:v>
      </x:c>
      <x:c r="B58" s="62" t="str">
        <x:v>A</x:v>
      </x:c>
      <x:c r="C58" s="62" t="n">
        <x:v>84</x:v>
      </x:c>
      <x:c r="D58" s="62" t="str">
        <x:v>Lencinas Constructora</x:v>
      </x:c>
      <x:c r="E58" s="62" t="str">
        <x:v>Construcción</x:v>
      </x:c>
      <x:c r="F58" s="62" t="str">
        <x:v>Construcción y obra industrial</x:v>
      </x:c>
      <x:c r="G58" s="62" t="str">
        <x:v>+54 358 4640597</x:v>
      </x:c>
      <x:c r="H58" s="62" t="str">
        <x:v>Av. Adán Quiroga 698, Banda Norte, X5804 Río Cuarto</x:v>
      </x:c>
      <x:c r="I58" s="62" t="str">
        <x:v>Banda Norte</x:v>
      </x:c>
      <x:c r="J58" s="62" t="str">
        <x:v>Movimientos de equipos, cargas especiales o apoyo logístico asociados a su operación.</x:v>
      </x:c>
      <x:c r="K58" s="62" t="str">
        <x:v>Contactar operaciones/logística y relevar movimientos actuales.</x:v>
      </x:c>
      <x:c r="L58" s="62" t="str">
        <x:v>Google Business Profile</x:v>
      </x:c>
      <x:c r="M58" s="62" t="str">
        <x:v>https://www.google.com/maps/search/?api=1&amp;query=Lencinas+Constructora+Rio+Cuarto</x:v>
      </x:c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62" t="str">
        <x:v>RC-058</x:v>
      </x:c>
      <x:c r="B59" s="62" t="str">
        <x:v>A</x:v>
      </x:c>
      <x:c r="C59" s="62" t="n">
        <x:v>84</x:v>
      </x:c>
      <x:c r="D59" s="62" t="str">
        <x:v>Pedrueza S.A.</x:v>
      </x:c>
      <x:c r="E59" s="62" t="str">
        <x:v>Desarrollos y construcción</x:v>
      </x:c>
      <x:c r="F59" s="62" t="str">
        <x:v>Construcción y obra industrial</x:v>
      </x:c>
      <x:c r="G59" s="62" t="str">
        <x:v>0358 154110370 / 154114368</x:v>
      </x:c>
      <x:c r="H59" s="62" t="str">
        <x:v>Arroyo Piedras Blancas 760, Río Cuarto, Córdoba</x:v>
      </x:c>
      <x:c r="I59" s="62" t="str">
        <x:v>Área urbana Río Cuarto</x:v>
      </x:c>
      <x:c r="J59" s="62" t="str">
        <x:v>Movimientos de equipos, cargas especiales o apoyo logístico asociados a su operación.</x:v>
      </x:c>
      <x:c r="K59" s="62" t="str">
        <x:v>Contactar operaciones/logística y relevar movimientos actuales.</x:v>
      </x:c>
      <x:c r="L59" s="62" t="str">
        <x:v>Web oficial Pedrueza</x:v>
      </x:c>
      <x:c r="M59" s="62" t="str">
        <x:v>https://www.pedrueza.com.ar/nosotros</x:v>
      </x:c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62" t="str">
        <x:v>RC-059</x:v>
      </x:c>
      <x:c r="B60" s="62" t="str">
        <x:v>A</x:v>
      </x:c>
      <x:c r="C60" s="62" t="n">
        <x:v>84</x:v>
      </x:c>
      <x:c r="D60" s="62" t="str">
        <x:v>Perforaciones Kraemer</x:v>
      </x:c>
      <x:c r="E60" s="62" t="str">
        <x:v>Perforación de pozos</x:v>
      </x:c>
      <x:c r="F60" s="62" t="str">
        <x:v>Perforaciones / fundaciones</x:v>
      </x:c>
      <x:c r="G60" s="62" t="str">
        <x:v>+54 358 5621022</x:v>
      </x:c>
      <x:c r="H60" s="62" t="str">
        <x:v>Río Cuarto, Córdoba</x:v>
      </x:c>
      <x:c r="I60" s="62" t="str">
        <x:v>Área urbana Río Cuarto</x:v>
      </x:c>
      <x:c r="J60" s="62" t="str">
        <x:v>Movilización de perforadoras, herramientas y equipos entre obras y base.</x:v>
      </x:c>
      <x:c r="K60" s="62" t="str">
        <x:v>Pedir obras/equipos; consultar pesos, dimensiones y cronograma de movilizaciones.</x:v>
      </x:c>
      <x:c r="L60" s="62" t="str">
        <x:v>Google Business Profile</x:v>
      </x:c>
      <x:c r="M60" s="62" t="str">
        <x:v>https://www.google.com/maps/search/?api=1&amp;query=Perforaciones+Kraemer+Rio+Cuarto</x:v>
      </x:c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62" t="str">
        <x:v>RC-060</x:v>
      </x:c>
      <x:c r="B61" s="62" t="str">
        <x:v>A</x:v>
      </x:c>
      <x:c r="C61" s="62" t="n">
        <x:v>82</x:v>
      </x:c>
      <x:c r="D61" s="62" t="str">
        <x:v>ACO-PLAR</x:v>
      </x:c>
      <x:c r="E61" s="62" t="str">
        <x:v>Taller y servicios para camiones</x:v>
      </x:c>
      <x:c r="F61" s="62" t="str">
        <x:v>Transporte / camiones / izajes</x:v>
      </x:c>
      <x:c r="G61" s="62" t="str">
        <x:v>+54 358 4205681</x:v>
      </x:c>
      <x:c r="H61" s="62" t="str">
        <x:v>Pcia. de La Rioja 2600, X5800 Río Cuarto, Córdoba</x:v>
      </x:c>
      <x:c r="I61" s="62" t="str">
        <x:v>Área urbana Río Cuarto</x:v>
      </x:c>
      <x:c r="J61" s="62" t="str">
        <x:v>Traslado de camiones, semirremolques, equipos averiados o apoyo de flota en contingencias.</x:v>
      </x:c>
      <x:c r="K61" s="62" t="str">
        <x:v>Pedir taller/flota/logística; ofrecer soporte de contingencia y tarifa por movilización.</x:v>
      </x:c>
      <x:c r="L61" s="62" t="str">
        <x:v>Google Business Profile</x:v>
      </x:c>
      <x:c r="M61" s="62" t="str">
        <x:v>https://www.google.com/maps/search/?api=1&amp;query=ACO+PLAR+Rio+Cuarto</x:v>
      </x:c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62" t="str">
        <x:v>RC-061</x:v>
      </x:c>
      <x:c r="B62" s="62" t="str">
        <x:v>A</x:v>
      </x:c>
      <x:c r="C62" s="62" t="n">
        <x:v>82</x:v>
      </x:c>
      <x:c r="D62" s="62" t="str">
        <x:v>Arbro S.A. - Steel Tiger</x:v>
      </x:c>
      <x:c r="E62" s="62" t="str">
        <x:v>Planta industrial / accesorios automotrices</x:v>
      </x:c>
      <x:c r="F62" s="62" t="str">
        <x:v>Metalúrgica y fabricación</x:v>
      </x:c>
      <x:c r="G62" s="62" t="str">
        <x:v>0800 7777833</x:v>
      </x:c>
      <x:c r="H62" s="62" t="str">
        <x:v>Patricias Mendocinas 1070 – Ruta 8 km 604, X5808 Río Cuarto</x:v>
      </x:c>
      <x:c r="I62" s="62" t="str">
        <x:v>Corredor RN8</x:v>
      </x:c>
      <x:c r="J62" s="62" t="str">
        <x:v>Despacho/traslado de estructuras, piezas, implementos, acoplados o conjuntos metálicos.</x:v>
      </x:c>
      <x:c r="K62" s="62" t="str">
        <x:v>Pedir expedición/logística/producción; relevar piezas máximas y destinos habituales.</x:v>
      </x:c>
      <x:c r="L62" s="62" t="str">
        <x:v>Google Business Profile</x:v>
      </x:c>
      <x:c r="M62" s="62" t="str">
        <x:v>https://www.google.com/maps/search/?api=1&amp;query=Arbro+Steel+Tiger+Rio+Cuarto</x:v>
      </x:c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62" t="str">
        <x:v>RC-062</x:v>
      </x:c>
      <x:c r="B63" s="62" t="str">
        <x:v>A</x:v>
      </x:c>
      <x:c r="C63" s="62" t="n">
        <x:v>82</x:v>
      </x:c>
      <x:c r="D63" s="62" t="str">
        <x:v>Carranza Perforaciones</x:v>
      </x:c>
      <x:c r="E63" s="62" t="str">
        <x:v>Perforaciones / servicios geológicos</x:v>
      </x:c>
      <x:c r="F63" s="62" t="str">
        <x:v>Perforaciones / fundaciones</x:v>
      </x:c>
      <x:c r="G63" s="62" t="str">
        <x:v>+54 9 358 5604320</x:v>
      </x:c>
      <x:c r="H63" s="62" t="str">
        <x:v>Laguna Leuvuco 4399, X5800 Río Cuarto, Córdoba</x:v>
      </x:c>
      <x:c r="I63" s="62" t="str">
        <x:v>Área urbana Río Cuarto</x:v>
      </x:c>
      <x:c r="J63" s="62" t="str">
        <x:v>Movilización de perforadoras, herramientas y equipos entre obras y base.</x:v>
      </x:c>
      <x:c r="K63" s="62" t="str">
        <x:v>Pedir obras/equipos; consultar pesos, dimensiones y cronograma de movilizaciones.</x:v>
      </x:c>
      <x:c r="L63" s="62" t="str">
        <x:v>Google Business Profile</x:v>
      </x:c>
      <x:c r="M63" s="62" t="str">
        <x:v>https://www.google.com/maps/search/?api=1&amp;query=Carranza+Perforaciones+Rio+Cuarto</x:v>
      </x:c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62" t="str">
        <x:v>RC-063</x:v>
      </x:c>
      <x:c r="B64" s="62" t="str">
        <x:v>A</x:v>
      </x:c>
      <x:c r="C64" s="62" t="n">
        <x:v>82</x:v>
      </x:c>
      <x:c r="D64" s="62" t="str">
        <x:v>Columbia Elevadores - Río Cuarto</x:v>
      </x:c>
      <x:c r="E64" s="62" t="str">
        <x:v>Fabricación, montaje y mantenimiento de elevadores</x:v>
      </x:c>
      <x:c r="F64" s="62" t="str">
        <x:v>Autoelevadores y elevación</x:v>
      </x:c>
      <x:c r="G64" s="62" t="str">
        <x:v>+54 9 358 5093820</x:v>
      </x:c>
      <x:c r="H64" s="62" t="str">
        <x:v>Río Cuarto, Córdoba</x:v>
      </x:c>
      <x:c r="I64" s="62" t="str">
        <x:v>Área urbana Río Cuarto</x:v>
      </x:c>
      <x:c r="J64" s="62" t="str">
        <x:v>Entrega/retiro de autoelevadores, plataformas y equipos de elevación entre base y clientes.</x:v>
      </x:c>
      <x:c r="K64" s="62" t="str">
        <x:v>Pedir alquileres/logística/service y cotizar tarifa por viaje y acuerdo recurrente.</x:v>
      </x:c>
      <x:c r="L64" s="62" t="str">
        <x:v>Web oficial Columbia Elevadores</x:v>
      </x:c>
      <x:c r="M64" s="62" t="str">
        <x:v>https://columbiaelevadores.com/</x:v>
      </x:c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62" t="str">
        <x:v>RC-064</x:v>
      </x:c>
      <x:c r="B65" s="62" t="str">
        <x:v>A</x:v>
      </x:c>
      <x:c r="C65" s="62" t="n">
        <x:v>82</x:v>
      </x:c>
      <x:c r="D65" s="62" t="str">
        <x:v>Da Natureza Piscinas y Riegos</x:v>
      </x:c>
      <x:c r="E65" s="62" t="str">
        <x:v>Punto de venta de piscinas y casillas de fibra</x:v>
      </x:c>
      <x:c r="F65" s="62" t="str">
        <x:v>Piscinas / fibra de vidrio</x:v>
      </x:c>
      <x:c r="G65" s="62" t="str">
        <x:v>+54 9 358 4287330</x:v>
      </x:c>
      <x:c r="H65" s="62" t="str">
        <x:v>Reverendo Padre Silvi 551, X5806 Río Cuarto, Córdoba</x:v>
      </x:c>
      <x:c r="I65" s="62" t="str">
        <x:v>Área urbana Río Cuarto</x:v>
      </x:c>
      <x:c r="J65" s="62" t="str">
        <x:v>Traslado de piscinas/cúpulas desde fábrica o depósito hasta obra y apoyo de descarga.</x:v>
      </x:c>
      <x:c r="K65" s="62" t="str">
        <x:v>Pedir logística/colocación; relevar medidas máximas y volumen mensual en temporada.</x:v>
      </x:c>
      <x:c r="L65" s="62" t="str">
        <x:v>Moldear - punto de venta</x:v>
      </x:c>
      <x:c r="M65" s="62" t="str">
        <x:v>https://www.moldear.com.ar/cordoba/rio-cuarto/danatureza/</x:v>
      </x:c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62" t="str">
        <x:v>RC-065</x:v>
      </x:c>
      <x:c r="B66" s="62" t="str">
        <x:v>A</x:v>
      </x:c>
      <x:c r="C66" s="62" t="n">
        <x:v>82</x:v>
      </x:c>
      <x:c r="D66" s="62" t="str">
        <x:v>GUIAR Constructora</x:v>
      </x:c>
      <x:c r="E66" s="62" t="str">
        <x:v>Construcción</x:v>
      </x:c>
      <x:c r="F66" s="62" t="str">
        <x:v>Construcción y obra industrial</x:v>
      </x:c>
      <x:c r="G66" s="62" t="str">
        <x:v>+54 358 3434555</x:v>
      </x:c>
      <x:c r="H66" s="62" t="str">
        <x:v>9 de Julio 170, X5800 Río Cuarto, Córdoba</x:v>
      </x:c>
      <x:c r="I66" s="62" t="str">
        <x:v>Área urbana Río Cuarto</x:v>
      </x:c>
      <x:c r="J66" s="62" t="str">
        <x:v>Movimientos de equipos, cargas especiales o apoyo logístico asociados a su operación.</x:v>
      </x:c>
      <x:c r="K66" s="62" t="str">
        <x:v>Contactar operaciones/logística y relevar movimientos actuales.</x:v>
      </x:c>
      <x:c r="L66" s="62" t="str">
        <x:v>Google Business Profile</x:v>
      </x:c>
      <x:c r="M66" s="62" t="str">
        <x:v>https://www.google.com/maps/search/?api=1&amp;query=GUIAR+Constructora+Rio+Cuarto</x:v>
      </x:c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62" t="str">
        <x:v>RC-066</x:v>
      </x:c>
      <x:c r="B67" s="62" t="str">
        <x:v>A</x:v>
      </x:c>
      <x:c r="C67" s="62" t="n">
        <x:v>82</x:v>
      </x:c>
      <x:c r="D67" s="62" t="str">
        <x:v>Metalúrgica Tsuji</x:v>
      </x:c>
      <x:c r="E67" s="62" t="str">
        <x:v>Taller metalúrgico</x:v>
      </x:c>
      <x:c r="F67" s="62" t="str">
        <x:v>Metalúrgica y fabricación</x:v>
      </x:c>
      <x:c r="G67" s="62" t="str">
        <x:v>+54 358 4663867</x:v>
      </x:c>
      <x:c r="H67" s="62" t="str">
        <x:v>Joaquín Crisol 878, X5800 Río Cuarto, Córdoba</x:v>
      </x:c>
      <x:c r="I67" s="62" t="str">
        <x:v>Área urbana Río Cuarto</x:v>
      </x:c>
      <x:c r="J67" s="62" t="str">
        <x:v>Despacho/traslado de estructuras, piezas, implementos, acoplados o conjuntos metálicos.</x:v>
      </x:c>
      <x:c r="K67" s="62" t="str">
        <x:v>Pedir expedición/logística/producción; relevar piezas máximas y destinos habituales.</x:v>
      </x:c>
      <x:c r="L67" s="62" t="str">
        <x:v>Google Business Profile</x:v>
      </x:c>
      <x:c r="M67" s="62" t="str">
        <x:v>https://www.google.com/maps/search/?api=1&amp;query=Metalurgica+Tsuji+Rio+Cuarto</x:v>
      </x:c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62" t="str">
        <x:v>RC-067</x:v>
      </x:c>
      <x:c r="B68" s="62" t="str">
        <x:v>A</x:v>
      </x:c>
      <x:c r="C68" s="62" t="n">
        <x:v>80</x:v>
      </x:c>
      <x:c r="D68" s="62" t="str">
        <x:v>Cantera La Negrita</x:v>
      </x:c>
      <x:c r="E68" s="62" t="str">
        <x:v>Cantera / áridos</x:v>
      </x:c>
      <x:c r="F68" s="62" t="str">
        <x:v>Hormigón, áridos y materiales</x:v>
      </x:c>
      <x:c r="G68" s="62" t="str">
        <x:v>+54 358 4116778</x:v>
      </x:c>
      <x:c r="H68" s="62" t="str">
        <x:v>Río Cuarto, Córdoba</x:v>
      </x:c>
      <x:c r="I68" s="62" t="str">
        <x:v>Área urbana Río Cuarto</x:v>
      </x:c>
      <x:c r="J68" s="62" t="str">
        <x:v>Movimiento de equipos de planta, bombas, moldes, premoldeados, maquinaria y cargas pesadas.</x:v>
      </x:c>
      <x:c r="K68" s="62" t="str">
        <x:v>Pedir planta/mantenimiento/logística; relevar equipos y movimientos no cubiertos por mixer/camión.</x:v>
      </x:c>
      <x:c r="L68" s="62" t="str">
        <x:v>Google Business Profile</x:v>
      </x:c>
      <x:c r="M68" s="62" t="str">
        <x:v>https://www.google.com/maps/search/?api=1&amp;query=Cantera+La+Negrita+Rio+Cuarto</x:v>
      </x:c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62" t="str">
        <x:v>RC-068</x:v>
      </x:c>
      <x:c r="B69" s="62" t="str">
        <x:v>A</x:v>
      </x:c>
      <x:c r="C69" s="62" t="n">
        <x:v>80</x:v>
      </x:c>
      <x:c r="D69" s="62" t="str">
        <x:v>Carmix Hormigón Elaborado</x:v>
      </x:c>
      <x:c r="E69" s="62" t="str">
        <x:v>Hormigón elaborado</x:v>
      </x:c>
      <x:c r="F69" s="62" t="str">
        <x:v>Hormigón, áridos y materiales</x:v>
      </x:c>
      <x:c r="G69" s="62" t="str">
        <x:v>A verificar</x:v>
      </x:c>
      <x:c r="H69" s="62" t="str">
        <x:v>Vélez Sarsfield 260, X5800 Río Cuarto, Córdoba</x:v>
      </x:c>
      <x:c r="I69" s="62" t="str">
        <x:v>Área urbana Río Cuarto</x:v>
      </x:c>
      <x:c r="J69" s="62" t="str">
        <x:v>Movimiento de equipos de planta, bombas, moldes, premoldeados, maquinaria y cargas pesadas.</x:v>
      </x:c>
      <x:c r="K69" s="62" t="str">
        <x:v>Pedir planta/mantenimiento/logística; relevar equipos y movimientos no cubiertos por mixer/camión.</x:v>
      </x:c>
      <x:c r="L69" s="62" t="str">
        <x:v>Google Business Profile</x:v>
      </x:c>
      <x:c r="M69" s="62" t="str">
        <x:v>https://www.google.com/maps/search/?api=1&amp;query=Carmix+Hormigon+Elaborado+Rio+Cuarto</x:v>
      </x:c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62" t="str">
        <x:v>RC-069</x:v>
      </x:c>
      <x:c r="B70" s="62" t="str">
        <x:v>A</x:v>
      </x:c>
      <x:c r="C70" s="62" t="n">
        <x:v>80</x:v>
      </x:c>
      <x:c r="D70" s="62" t="str">
        <x:v>Cassel Argentina</x:v>
      </x:c>
      <x:c r="E70" s="62" t="str">
        <x:v>Equipos industriales de inspección</x:v>
      </x:c>
      <x:c r="F70" s="62" t="str">
        <x:v>Equipos industriales / energía</x:v>
      </x:c>
      <x:c r="G70" s="62" t="str">
        <x:v>+54 358 4646141 / 4326611</x:v>
      </x:c>
      <x:c r="H70" s="62" t="str">
        <x:v>Av. Marcelo T. de Alvear 1889, X5800 Río Cuarto, Córdoba</x:v>
      </x:c>
      <x:c r="I70" s="62" t="str">
        <x:v>Área urbana Río Cuarto</x:v>
      </x:c>
      <x:c r="J70" s="62" t="str">
        <x:v>Movimiento de grupos, tableros, motores, módulos y equipos industriales para obra o mantenimiento.</x:v>
      </x:c>
      <x:c r="K70" s="62" t="str">
        <x:v>Pedir proyectos/mantenimiento/logística; consultar pesos, obras activas y montajes.</x:v>
      </x:c>
      <x:c r="L70" s="62" t="str">
        <x:v>Web oficial Cassel Argentina</x:v>
      </x:c>
      <x:c r="M70" s="62" t="str">
        <x:v>https://casselargentina.com.ar/</x:v>
      </x:c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62" t="str">
        <x:v>RC-070</x:v>
      </x:c>
      <x:c r="B71" s="62" t="str">
        <x:v>A</x:v>
      </x:c>
      <x:c r="C71" s="62" t="n">
        <x:v>80</x:v>
      </x:c>
      <x:c r="D71" s="62" t="str">
        <x:v>Fábrica de Cabinas I.M.S.A.</x:v>
      </x:c>
      <x:c r="E71" s="62" t="str">
        <x:v>Fabricación de cabinas / componentes</x:v>
      </x:c>
      <x:c r="F71" s="62" t="str">
        <x:v>Metalúrgica y fabricación</x:v>
      </x:c>
      <x:c r="G71" s="62" t="str">
        <x:v>+54 358 4375447</x:v>
      </x:c>
      <x:c r="H71" s="62" t="str">
        <x:v>Río Deseado 634, X5800 Río Cuarto, Córdoba</x:v>
      </x:c>
      <x:c r="I71" s="62" t="str">
        <x:v>Área urbana Río Cuarto</x:v>
      </x:c>
      <x:c r="J71" s="62" t="str">
        <x:v>Despacho/traslado de estructuras, piezas, implementos, acoplados o conjuntos metálicos.</x:v>
      </x:c>
      <x:c r="K71" s="62" t="str">
        <x:v>Pedir expedición/logística/producción; relevar piezas máximas y destinos habituales.</x:v>
      </x:c>
      <x:c r="L71" s="62" t="str">
        <x:v>Google Business Profile</x:v>
      </x:c>
      <x:c r="M71" s="62" t="str">
        <x:v>https://www.google.com/maps/search/?api=1&amp;query=Fabrica+de+Cabinas+IMSA+Rio+Cuarto</x:v>
      </x:c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62" t="str">
        <x:v>RC-071</x:v>
      </x:c>
      <x:c r="B72" s="62" t="str">
        <x:v>A</x:v>
      </x:c>
      <x:c r="C72" s="62" t="n">
        <x:v>80</x:v>
      </x:c>
      <x:c r="D72" s="62" t="str">
        <x:v>Grandes Carteles</x:v>
      </x:c>
      <x:c r="E72" s="62" t="str">
        <x:v>Cartelería y cálculo/diseño de estructuras metálicas</x:v>
      </x:c>
      <x:c r="F72" s="62" t="str">
        <x:v>Metalúrgica y fabricación</x:v>
      </x:c>
      <x:c r="G72" s="62" t="str">
        <x:v>+54 358 4220799 / 4220795</x:v>
      </x:c>
      <x:c r="H72" s="62" t="str">
        <x:v>San Martín 1533, Río Cuarto, Córdoba</x:v>
      </x:c>
      <x:c r="I72" s="62" t="str">
        <x:v>Área urbana Río Cuarto</x:v>
      </x:c>
      <x:c r="J72" s="62" t="str">
        <x:v>Despacho/traslado de estructuras, piezas, implementos, acoplados o conjuntos metálicos.</x:v>
      </x:c>
      <x:c r="K72" s="62" t="str">
        <x:v>Pedir expedición/logística/producción; relevar piezas máximas y destinos habituales.</x:v>
      </x:c>
      <x:c r="L72" s="62" t="str">
        <x:v>Web oficial Grandes Carteles</x:v>
      </x:c>
      <x:c r="M72" s="62" t="str">
        <x:v>https://www.grandescarteles.com.ar/contacto.html</x:v>
      </x:c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62" t="str">
        <x:v>RC-072</x:v>
      </x:c>
      <x:c r="B73" s="62" t="str">
        <x:v>A</x:v>
      </x:c>
      <x:c r="C73" s="62" t="n">
        <x:v>80</x:v>
      </x:c>
      <x:c r="D73" s="62" t="str">
        <x:v>Lunardi Desarrollista</x:v>
      </x:c>
      <x:c r="E73" s="62" t="str">
        <x:v>Desarrollos y construcción</x:v>
      </x:c>
      <x:c r="F73" s="62" t="str">
        <x:v>Construcción y obra industrial</x:v>
      </x:c>
      <x:c r="G73" s="62" t="str">
        <x:v>+54 358 4629741</x:v>
      </x:c>
      <x:c r="H73" s="62" t="str">
        <x:v>Av. Presidente Perón Centro 448, X5800 Río Cuarto, Córdoba</x:v>
      </x:c>
      <x:c r="I73" s="62" t="str">
        <x:v>Av. Perón / Oeste</x:v>
      </x:c>
      <x:c r="J73" s="62" t="str">
        <x:v>Movimientos de equipos, cargas especiales o apoyo logístico asociados a su operación.</x:v>
      </x:c>
      <x:c r="K73" s="62" t="str">
        <x:v>Contactar operaciones/logística y relevar movimientos actuales.</x:v>
      </x:c>
      <x:c r="L73" s="62" t="str">
        <x:v>Google Business Profile</x:v>
      </x:c>
      <x:c r="M73" s="62" t="str">
        <x:v>https://www.google.com/maps/search/?api=1&amp;query=Lunardi+Desarrollista+Rio+Cuarto</x:v>
      </x:c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62" t="str">
        <x:v>RC-073</x:v>
      </x:c>
      <x:c r="B74" s="62" t="str">
        <x:v>A</x:v>
      </x:c>
      <x:c r="C74" s="62" t="n">
        <x:v>80</x:v>
      </x:c>
      <x:c r="D74" s="62" t="str">
        <x:v>Luvi Piscinas</x:v>
      </x:c>
      <x:c r="E74" s="62" t="str">
        <x:v>Piscinas / instalación</x:v>
      </x:c>
      <x:c r="F74" s="62" t="str">
        <x:v>Piscinas / fibra de vidrio</x:v>
      </x:c>
      <x:c r="G74" s="62" t="str">
        <x:v>+54 358 4826734</x:v>
      </x:c>
      <x:c r="H74" s="62" t="str">
        <x:v>Ruta A005 y Av. Presidente Perón Oeste, Río Cuarto, Córdoba</x:v>
      </x:c>
      <x:c r="I74" s="62" t="str">
        <x:v>Corredor A005 / Circunvalación</x:v>
      </x:c>
      <x:c r="J74" s="62" t="str">
        <x:v>Traslado de piscinas/cúpulas desde fábrica o depósito hasta obra y apoyo de descarga.</x:v>
      </x:c>
      <x:c r="K74" s="62" t="str">
        <x:v>Pedir logística/colocación; relevar medidas máximas y volumen mensual en temporada.</x:v>
      </x:c>
      <x:c r="L74" s="62" t="str">
        <x:v>Google Business Profile</x:v>
      </x:c>
      <x:c r="M74" s="62" t="str">
        <x:v>https://www.google.com/maps/search/?api=1&amp;query=Luvi+Piscinas+Rio+Cuarto</x:v>
      </x:c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62" t="str">
        <x:v>RC-074</x:v>
      </x:c>
      <x:c r="B75" s="62" t="str">
        <x:v>A</x:v>
      </x:c>
      <x:c r="C75" s="62" t="n">
        <x:v>80</x:v>
      </x:c>
      <x:c r="D75" s="62" t="str">
        <x:v>Osvaldo González - Sucursal Río Cuarto</x:v>
      </x:c>
      <x:c r="E75" s="62" t="str">
        <x:v>Materiales de construcción y hormigón</x:v>
      </x:c>
      <x:c r="F75" s="62" t="str">
        <x:v>Hormigón, áridos y materiales</x:v>
      </x:c>
      <x:c r="G75" s="62" t="str">
        <x:v>+54 358 4237037</x:v>
      </x:c>
      <x:c r="H75" s="62" t="str">
        <x:v>Av. Amadeo Sabattini 2700, Río Cuarto, Córdoba</x:v>
      </x:c>
      <x:c r="I75" s="62" t="str">
        <x:v>Av. Sabattini / Este</x:v>
      </x:c>
      <x:c r="J75" s="62" t="str">
        <x:v>Movimiento de equipos de planta, bombas, moldes, premoldeados, maquinaria y cargas pesadas.</x:v>
      </x:c>
      <x:c r="K75" s="62" t="str">
        <x:v>Pedir planta/mantenimiento/logística; relevar equipos y movimientos no cubiertos por mixer/camión.</x:v>
      </x:c>
      <x:c r="L75" s="62" t="str">
        <x:v>Web oficial Corralón González</x:v>
      </x:c>
      <x:c r="M75" s="62" t="str">
        <x:v>https://www.corralongonzalez.com.ar/nosotros</x:v>
      </x:c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62" t="str">
        <x:v>RC-075</x:v>
      </x:c>
      <x:c r="B76" s="62" t="str">
        <x:v>A</x:v>
      </x:c>
      <x:c r="C76" s="62" t="n">
        <x:v>80</x:v>
      </x:c>
      <x:c r="D76" s="62" t="str">
        <x:v>Piscinas iGUi Río Cuarto</x:v>
      </x:c>
      <x:c r="E76" s="62" t="str">
        <x:v>Piscinas de fibra / instalación</x:v>
      </x:c>
      <x:c r="F76" s="62" t="str">
        <x:v>Piscinas / fibra de vidrio</x:v>
      </x:c>
      <x:c r="G76" s="62" t="str">
        <x:v>0800 2224484</x:v>
      </x:c>
      <x:c r="H76" s="62" t="str">
        <x:v>RN A005 y Tejerina, Río Cuarto, Córdoba</x:v>
      </x:c>
      <x:c r="I76" s="62" t="str">
        <x:v>Corredor A005 / Circunvalación</x:v>
      </x:c>
      <x:c r="J76" s="62" t="str">
        <x:v>Traslado de piscinas/cúpulas desde fábrica o depósito hasta obra y apoyo de descarga.</x:v>
      </x:c>
      <x:c r="K76" s="62" t="str">
        <x:v>Pedir logística/colocación; relevar medidas máximas y volumen mensual en temporada.</x:v>
      </x:c>
      <x:c r="L76" s="62" t="str">
        <x:v>Google Business Profile</x:v>
      </x:c>
      <x:c r="M76" s="62" t="str">
        <x:v>https://www.google.com/maps/search/?api=1&amp;query=Piscinas+iGUi+Rio+Cuarto</x:v>
      </x:c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62" t="str">
        <x:v>RC-076</x:v>
      </x:c>
      <x:c r="B77" s="62" t="str">
        <x:v>B</x:v>
      </x:c>
      <x:c r="C77" s="62" t="n">
        <x:v>78</x:v>
      </x:c>
      <x:c r="D77" s="62" t="str">
        <x:v>Auxilios Río Cuarto</x:v>
      </x:c>
      <x:c r="E77" s="62" t="str">
        <x:v>Servicio de grúa 24 h</x:v>
      </x:c>
      <x:c r="F77" s="62" t="str">
        <x:v>Transporte / camiones / izajes</x:v>
      </x:c>
      <x:c r="G77" s="62" t="str">
        <x:v>+54 358 5092541</x:v>
      </x:c>
      <x:c r="H77" s="62" t="str">
        <x:v>Luis Reinaudi 1114, X5800 Río Cuarto, Córdoba</x:v>
      </x:c>
      <x:c r="I77" s="62" t="str">
        <x:v>Área urbana Río Cuarto</x:v>
      </x:c>
      <x:c r="J77" s="62" t="str">
        <x:v>Traslado de camiones, semirremolques, equipos averiados o apoyo de flota en contingencias.</x:v>
      </x:c>
      <x:c r="K77" s="62" t="str">
        <x:v>Pedir taller/flota/logística; ofrecer soporte de contingencia y tarifa por movilización.</x:v>
      </x:c>
      <x:c r="L77" s="62" t="str">
        <x:v>Google Business Profile</x:v>
      </x:c>
      <x:c r="M77" s="62" t="str">
        <x:v>https://www.google.com/maps/search/?api=1&amp;query=Auxilios+Rio+Cuarto</x:v>
      </x:c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62" t="str">
        <x:v>RC-077</x:v>
      </x:c>
      <x:c r="B78" s="62" t="str">
        <x:v>B</x:v>
      </x:c>
      <x:c r="C78" s="62" t="n">
        <x:v>78</x:v>
      </x:c>
      <x:c r="D78" s="62" t="str">
        <x:v>Grúa y Auxilio J&amp;L Río Cuarto</x:v>
      </x:c>
      <x:c r="E78" s="62" t="str">
        <x:v>Servicio de grúa 24 h</x:v>
      </x:c>
      <x:c r="F78" s="62" t="str">
        <x:v>Transporte / camiones / izajes</x:v>
      </x:c>
      <x:c r="G78" s="62" t="str">
        <x:v>+54 358 4118092</x:v>
      </x:c>
      <x:c r="H78" s="62" t="str">
        <x:v>Dr. Víctor Guillet 731, X5800 Río Cuarto, Córdoba</x:v>
      </x:c>
      <x:c r="I78" s="62" t="str">
        <x:v>Área urbana Río Cuarto</x:v>
      </x:c>
      <x:c r="J78" s="62" t="str">
        <x:v>Traslado de camiones, semirremolques, equipos averiados o apoyo de flota en contingencias.</x:v>
      </x:c>
      <x:c r="K78" s="62" t="str">
        <x:v>Pedir taller/flota/logística; ofrecer soporte de contingencia y tarifa por movilización.</x:v>
      </x:c>
      <x:c r="L78" s="62" t="str">
        <x:v>Google Business Profile</x:v>
      </x:c>
      <x:c r="M78" s="62" t="str">
        <x:v>https://www.google.com/maps/search/?api=1&amp;query=Grua+y+Auxilio+JL+Rio+Cuarto</x:v>
      </x:c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62" t="str">
        <x:v>RC-078</x:v>
      </x:c>
      <x:c r="B79" s="62" t="str">
        <x:v>B</x:v>
      </x:c>
      <x:c r="C79" s="62" t="n">
        <x:v>78</x:v>
      </x:c>
      <x:c r="D79" s="62" t="str">
        <x:v>ONC Infraestructura</x:v>
      </x:c>
      <x:c r="E79" s="62" t="str">
        <x:v>Infraestructura eléctrica industrial</x:v>
      </x:c>
      <x:c r="F79" s="62" t="str">
        <x:v>Equipos industriales / energía</x:v>
      </x:c>
      <x:c r="G79" s="62" t="str">
        <x:v>+54 358 4310383</x:v>
      </x:c>
      <x:c r="H79" s="62" t="str">
        <x:v>Rioja 754, Río Cuarto, Córdoba</x:v>
      </x:c>
      <x:c r="I79" s="62" t="str">
        <x:v>Área urbana Río Cuarto</x:v>
      </x:c>
      <x:c r="J79" s="62" t="str">
        <x:v>Movimiento de grupos, tableros, motores, módulos y equipos industriales para obra o mantenimiento.</x:v>
      </x:c>
      <x:c r="K79" s="62" t="str">
        <x:v>Pedir proyectos/mantenimiento/logística; consultar pesos, obras activas y montajes.</x:v>
      </x:c>
      <x:c r="L79" s="62" t="str">
        <x:v>Web oficial ONC</x:v>
      </x:c>
      <x:c r="M79" s="62" t="str">
        <x:v>https://oncinfraestructura.com/</x:v>
      </x:c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62" t="str">
        <x:v>RC-079</x:v>
      </x:c>
      <x:c r="B80" s="62" t="str">
        <x:v>B</x:v>
      </x:c>
      <x:c r="C80" s="62" t="n">
        <x:v>76</x:v>
      </x:c>
      <x:c r="D80" s="62" t="str">
        <x:v>Corralón Rolotti - Moldear Piscinas</x:v>
      </x:c>
      <x:c r="E80" s="62" t="str">
        <x:v>Punto de venta de piscinas/casillas de fibra</x:v>
      </x:c>
      <x:c r="F80" s="62" t="str">
        <x:v>Piscinas / fibra de vidrio</x:v>
      </x:c>
      <x:c r="G80" s="62" t="str">
        <x:v>+54 9 358 5091698</x:v>
      </x:c>
      <x:c r="H80" s="62" t="str">
        <x:v>Sarmiento 2849, X5800 Río Cuarto, Córdoba</x:v>
      </x:c>
      <x:c r="I80" s="62" t="str">
        <x:v>Área urbana Río Cuarto</x:v>
      </x:c>
      <x:c r="J80" s="62" t="str">
        <x:v>Traslado de piscinas/cúpulas desde fábrica o depósito hasta obra y apoyo de descarga.</x:v>
      </x:c>
      <x:c r="K80" s="62" t="str">
        <x:v>Pedir logística/colocación; relevar medidas máximas y volumen mensual en temporada.</x:v>
      </x:c>
      <x:c r="L80" s="62" t="str">
        <x:v>Moldear - punto de venta</x:v>
      </x:c>
      <x:c r="M80" s="62" t="str">
        <x:v>https://www.moldear.com.ar/cordoba/rio-cuarto/corralon-rolotti/</x:v>
      </x:c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62" t="str">
        <x:v>RC-080</x:v>
      </x:c>
      <x:c r="B81" s="62" t="str">
        <x:v>B</x:v>
      </x:c>
      <x:c r="C81" s="62" t="n">
        <x:v>72</x:v>
      </x:c>
      <x:c r="D81" s="62" t="str">
        <x:v>Auxilio Isidoro 24 hs</x:v>
      </x:c>
      <x:c r="E81" s="62" t="str">
        <x:v>Servicio de grúa y auxilio</x:v>
      </x:c>
      <x:c r="F81" s="62" t="str">
        <x:v>Transporte / camiones / izajes</x:v>
      </x:c>
      <x:c r="G81" s="62" t="str">
        <x:v>+54 3385 449902</x:v>
      </x:c>
      <x:c r="H81" s="62" t="str">
        <x:v>Hipólito Yrigoyen 563, X5800 Río Cuarto, Córdoba</x:v>
      </x:c>
      <x:c r="I81" s="62" t="str">
        <x:v>Área urbana Río Cuarto</x:v>
      </x:c>
      <x:c r="J81" s="62" t="str">
        <x:v>Traslado de camiones, semirremolques, equipos averiados o apoyo de flota en contingencias.</x:v>
      </x:c>
      <x:c r="K81" s="62" t="str">
        <x:v>Pedir taller/flota/logística; ofrecer soporte de contingencia y tarifa por movilización.</x:v>
      </x:c>
      <x:c r="L81" s="62" t="str">
        <x:v>Google Business Profile</x:v>
      </x:c>
      <x:c r="M81" s="62" t="str">
        <x:v>https://www.google.com/maps/search/?api=1&amp;query=Auxilio+Isidoro+Rio+Cuarto</x:v>
      </x:c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62" t="str">
        <x:v>RC-081</x:v>
      </x:c>
      <x:c r="B82" s="62" t="str">
        <x:v>B</x:v>
      </x:c>
      <x:c r="C82" s="62" t="n">
        <x:v>72</x:v>
      </x:c>
      <x:c r="D82" s="62" t="str">
        <x:v>IMEGA Ingeniería y Montajes Eléctricos</x:v>
      </x:c>
      <x:c r="E82" s="62" t="str">
        <x:v>Ingeniería eléctrica y montajes</x:v>
      </x:c>
      <x:c r="F82" s="62" t="str">
        <x:v>Equipos industriales / energía</x:v>
      </x:c>
      <x:c r="G82" s="62" t="str">
        <x:v>A verificar</x:v>
      </x:c>
      <x:c r="H82" s="62" t="str">
        <x:v>Río Cuarto, Córdoba</x:v>
      </x:c>
      <x:c r="I82" s="62" t="str">
        <x:v>Área urbana Río Cuarto</x:v>
      </x:c>
      <x:c r="J82" s="62" t="str">
        <x:v>Movimiento de grupos, tableros, motores, módulos y equipos industriales para obra o mantenimiento.</x:v>
      </x:c>
      <x:c r="K82" s="62" t="str">
        <x:v>Pedir proyectos/mantenimiento/logística; consultar pesos, obras activas y montajes.</x:v>
      </x:c>
      <x:c r="L82" s="62" t="str">
        <x:v>Web oficial IMEGA</x:v>
      </x:c>
      <x:c r="M82" s="62" t="str">
        <x:v>https://imegaingenieria.com.ar/</x:v>
      </x:c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62" t="str">
        <x:v>RC-082</x:v>
      </x:c>
      <x:c r="B83" s="62" t="str">
        <x:v>B</x:v>
      </x:c>
      <x:c r="C83" s="62" t="n">
        <x:v>72</x:v>
      </x:c>
      <x:c r="D83" s="62" t="str">
        <x:v>Murray Transportes y Servicios</x:v>
      </x:c>
      <x:c r="E83" s="62" t="str">
        <x:v>Transporte y servicios</x:v>
      </x:c>
      <x:c r="F83" s="62" t="str">
        <x:v>Transporte / logística / alianza</x:v>
      </x:c>
      <x:c r="G83" s="62" t="str">
        <x:v>+54 358 6540752</x:v>
      </x:c>
      <x:c r="H83" s="62" t="str">
        <x:v>RN8 km 608, Río Cuarto, Córdoba</x:v>
      </x:c>
      <x:c r="I83" s="62" t="str">
        <x:v>Corredor RN8</x:v>
      </x:c>
      <x:c r="J83" s="62" t="str">
        <x:v>Overflow, subcontratación o derivación de cargas/equipos que requieran plataforma, malacate o hidrogrúa.</x:v>
      </x:c>
      <x:c r="K83" s="62" t="str">
        <x:v>Pedir tráfico/operaciones; presentar capacidad y acuerdo de derivaciones.</x:v>
      </x:c>
      <x:c r="L83" s="62" t="str">
        <x:v>Google Business Profile</x:v>
      </x:c>
      <x:c r="M83" s="62" t="str">
        <x:v>https://www.google.com/maps/search/?api=1&amp;query=Murray+Transportes+Rio+Cuarto</x:v>
      </x:c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62" t="str">
        <x:v>RC-083</x:v>
      </x:c>
      <x:c r="B84" s="62" t="str">
        <x:v>B</x:v>
      </x:c>
      <x:c r="C84" s="62" t="n">
        <x:v>72</x:v>
      </x:c>
      <x:c r="D84" s="62" t="str">
        <x:v>Skimmer Piscinas</x:v>
      </x:c>
      <x:c r="E84" s="62" t="str">
        <x:v>Construcción e instalación de piscinas</x:v>
      </x:c>
      <x:c r="F84" s="62" t="str">
        <x:v>Piscinas / fibra de vidrio</x:v>
      </x:c>
      <x:c r="G84" s="62" t="str">
        <x:v>+54 358 4182518</x:v>
      </x:c>
      <x:c r="H84" s="62" t="str">
        <x:v>Brasil 1006, X5800 Río Cuarto, Córdoba</x:v>
      </x:c>
      <x:c r="I84" s="62" t="str">
        <x:v>Área urbana Río Cuarto</x:v>
      </x:c>
      <x:c r="J84" s="62" t="str">
        <x:v>Traslado de piscinas/cúpulas desde fábrica o depósito hasta obra y apoyo de descarga.</x:v>
      </x:c>
      <x:c r="K84" s="62" t="str">
        <x:v>Pedir logística/colocación; relevar medidas máximas y volumen mensual en temporada.</x:v>
      </x:c>
      <x:c r="L84" s="62" t="str">
        <x:v>Google Business Profile</x:v>
      </x:c>
      <x:c r="M84" s="62" t="str">
        <x:v>https://www.google.com/maps/search/?api=1&amp;query=Skimmer+Piscinas+Rio+Cuarto</x:v>
      </x:c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62" t="str">
        <x:v>RC-084</x:v>
      </x:c>
      <x:c r="B85" s="62" t="str">
        <x:v>B</x:v>
      </x:c>
      <x:c r="C85" s="62" t="n">
        <x:v>72</x:v>
      </x:c>
      <x:c r="D85" s="62" t="str">
        <x:v>Transporte MD</x:v>
      </x:c>
      <x:c r="E85" s="62" t="str">
        <x:v>Transporte por camión</x:v>
      </x:c>
      <x:c r="F85" s="62" t="str">
        <x:v>Transporte / logística / alianza</x:v>
      </x:c>
      <x:c r="G85" s="62" t="str">
        <x:v>+54 358 4182687</x:v>
      </x:c>
      <x:c r="H85" s="62" t="str">
        <x:v>Bv. Circunvalación Oeste 2701-2799, Río Cuarto, Córdoba</x:v>
      </x:c>
      <x:c r="I85" s="62" t="str">
        <x:v>Corredor A005 / Circunvalación</x:v>
      </x:c>
      <x:c r="J85" s="62" t="str">
        <x:v>Overflow, subcontratación o derivación de cargas/equipos que requieran plataforma, malacate o hidrogrúa.</x:v>
      </x:c>
      <x:c r="K85" s="62" t="str">
        <x:v>Pedir tráfico/operaciones; presentar capacidad y acuerdo de derivaciones.</x:v>
      </x:c>
      <x:c r="L85" s="62" t="str">
        <x:v>Google Business Profile</x:v>
      </x:c>
      <x:c r="M85" s="62" t="str">
        <x:v>https://www.google.com/maps/search/?api=1&amp;query=Transporte+MD+Rio+Cuarto</x:v>
      </x:c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62" t="str">
        <x:v>RC-085</x:v>
      </x:c>
      <x:c r="B86" s="62" t="str">
        <x:v>B</x:v>
      </x:c>
      <x:c r="C86" s="62" t="n">
        <x:v>68</x:v>
      </x:c>
      <x:c r="D86" s="62" t="str">
        <x:v>Logística Río Cuarto S.A.</x:v>
      </x:c>
      <x:c r="E86" s="62" t="str">
        <x:v>Distribución y logística</x:v>
      </x:c>
      <x:c r="F86" s="62" t="str">
        <x:v>Transporte / logística / alianza</x:v>
      </x:c>
      <x:c r="G86" s="62" t="str">
        <x:v>+54 9 358 4293916</x:v>
      </x:c>
      <x:c r="H86" s="62" t="str">
        <x:v>Roberto Payró 558, X5804 Río Cuarto, Córdoba</x:v>
      </x:c>
      <x:c r="I86" s="62" t="str">
        <x:v>Área urbana Río Cuarto</x:v>
      </x:c>
      <x:c r="J86" s="62" t="str">
        <x:v>Overflow, subcontratación o derivación de cargas/equipos que requieran plataforma, malacate o hidrogrúa.</x:v>
      </x:c>
      <x:c r="K86" s="62" t="str">
        <x:v>Pedir tráfico/operaciones; presentar capacidad y acuerdo de derivaciones.</x:v>
      </x:c>
      <x:c r="L86" s="62" t="str">
        <x:v>Google Business Profile</x:v>
      </x:c>
      <x:c r="M86" s="62" t="str">
        <x:v>https://www.google.com/maps/search/?api=1&amp;query=Logistica+Rio+Cuarto+SA</x:v>
      </x:c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62" t="str">
        <x:v>RC-086</x:v>
      </x:c>
      <x:c r="B87" s="62" t="str">
        <x:v>B</x:v>
      </x:c>
      <x:c r="C87" s="62" t="n">
        <x:v>68</x:v>
      </x:c>
      <x:c r="D87" s="62" t="str">
        <x:v>SendBox / Transporte Jorge Godoy</x:v>
      </x:c>
      <x:c r="E87" s="62" t="str">
        <x:v>Transporte por camión</x:v>
      </x:c>
      <x:c r="F87" s="62" t="str">
        <x:v>Transporte / logística / alianza</x:v>
      </x:c>
      <x:c r="G87" s="62" t="str">
        <x:v>+54 358 4701790</x:v>
      </x:c>
      <x:c r="H87" s="62" t="str">
        <x:v>Alberdi 2925, X5802 Río Cuarto, Córdoba</x:v>
      </x:c>
      <x:c r="I87" s="62" t="str">
        <x:v>Área urbana Río Cuarto</x:v>
      </x:c>
      <x:c r="J87" s="62" t="str">
        <x:v>Overflow, subcontratación o derivación de cargas/equipos que requieran plataforma, malacate o hidrogrúa.</x:v>
      </x:c>
      <x:c r="K87" s="62" t="str">
        <x:v>Pedir tráfico/operaciones; presentar capacidad y acuerdo de derivaciones.</x:v>
      </x:c>
      <x:c r="L87" s="62" t="str">
        <x:v>Google Business Profile</x:v>
      </x:c>
      <x:c r="M87" s="62" t="str">
        <x:v>https://www.google.com/maps/search/?api=1&amp;query=SendBox+Transporte+Jorge+Godoy+Rio+Cuarto</x:v>
      </x:c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62" t="str">
        <x:v>RC-087</x:v>
      </x:c>
      <x:c r="B88" s="62" t="str">
        <x:v>B</x:v>
      </x:c>
      <x:c r="C88" s="62" t="n">
        <x:v>64</x:v>
      </x:c>
      <x:c r="D88" s="62" t="str">
        <x:v>Transporte Imperio</x:v>
      </x:c>
      <x:c r="E88" s="62" t="str">
        <x:v>Envíos y transporte</x:v>
      </x:c>
      <x:c r="F88" s="62" t="str">
        <x:v>Transporte / logística / alianza</x:v>
      </x:c>
      <x:c r="G88" s="62" t="str">
        <x:v>+54 358 4820975</x:v>
      </x:c>
      <x:c r="H88" s="62" t="str">
        <x:v>Av. Presidente Perón Centro 145, X5802 Río Cuarto</x:v>
      </x:c>
      <x:c r="I88" s="62" t="str">
        <x:v>Av. Perón / Oeste</x:v>
      </x:c>
      <x:c r="J88" s="62" t="str">
        <x:v>Overflow, subcontratación o derivación de cargas/equipos que requieran plataforma, malacate o hidrogrúa.</x:v>
      </x:c>
      <x:c r="K88" s="62" t="str">
        <x:v>Pedir tráfico/operaciones; presentar capacidad y acuerdo de derivaciones.</x:v>
      </x:c>
      <x:c r="L88" s="62" t="str">
        <x:v>Google Business Profile</x:v>
      </x:c>
      <x:c r="M88" s="62" t="str">
        <x:v>https://www.google.com/maps/search/?api=1&amp;query=Transporte+Imperio+Rio+Cuarto</x:v>
      </x:c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pageMargins left="0.7" right="0.7" top="0.75" bottom="0.75" header="0.3" footer="0.3"/>
  <x:tableParts count="1">
    <x:tablePart xmlns:r="http://schemas.openxmlformats.org/officeDocument/2006/relationships" r:id="Rb3d18e6d098147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70" t="str">
        <x:v>GUÍA DE USO · PROSPECTOS RÍO CUARTO</x:v>
      </x:c>
      <x:c r="B1" s="70"/>
      <x:c r="C1" s="70"/>
      <x:c r="D1" s="70"/>
      <x:c r="E1" s="70"/>
      <x:c r="F1" s="70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</x:row>
    <x:row r="3">
      <x:c r="A3" s="68" t="str">
        <x:v>Tema</x:v>
      </x:c>
      <x:c r="B3" s="68" t="str">
        <x:v>Criterio / uso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</x:row>
    <x:row r="4" ht="42" customHeight="1">
      <x:c r="A4" s="66" t="str">
        <x:v>OBJETIVO</x:v>
      </x:c>
      <x:c r="B4" s="62" t="str">
        <x:v>Priorizar empresas de Río Cuarto con necesidad potencial de transporte pesado, carretones, hidrogrúa, malacate y movimientos especiales.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</x:row>
    <x:row r="5" ht="42" customHeight="1">
      <x:c r="A5" s="66" t="str">
        <x:v>ALCANCE</x:v>
      </x:c>
      <x:c r="B5" s="62" t="str">
        <x:v>Río Cuarto ciudad y corredores inmediatos A005, RN8 y RN36 asociados operativamente a la ciudad.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  <x:c r="AD5" s="45"/>
      <x:c r="AE5" s="45"/>
      <x:c r="AF5" s="45"/>
      <x:c r="AG5" s="45"/>
      <x:c r="AH5" s="45"/>
      <x:c r="AI5" s="45"/>
      <x:c r="AJ5" s="45"/>
      <x:c r="AK5" s="45"/>
      <x:c r="AL5" s="45"/>
      <x:c r="AM5" s="45"/>
    </x:row>
    <x:row r="6" ht="42" customHeight="1">
      <x:c r="A6" s="66" t="str">
        <x:v>CLASE A+</x:v>
      </x:c>
      <x:c r="B6" s="62" t="str">
        <x:v>Necesidad muy directa o recurrente: dealers/rental, maquinaria pesada, grandes fabricantes, movimiento de suelo, flotas y equipos.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</x:row>
    <x:row r="7" ht="42" customHeight="1">
      <x:c r="A7" s="66" t="str">
        <x:v>CLASE A</x:v>
      </x:c>
      <x:c r="B7" s="62" t="str">
        <x:v>Alta afinidad operativa: industria, construcción, agro, metalúrgica, hormigón, elevación y equipos.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</x:row>
    <x:row r="8" ht="42" customHeight="1">
      <x:c r="A8" s="66" t="str">
        <x:v>CLASE B</x:v>
      </x:c>
      <x:c r="B8" s="62" t="str">
        <x:v>Potencial complementario o de menor frecuencia; requiere calificación antes de visita.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</x:row>
    <x:row r="9" ht="42" customHeight="1">
      <x:c r="A9" s="66" t="str">
        <x:v>RUTA A+</x:v>
      </x:c>
      <x:c r="B9" s="62" t="str">
        <x:v>Hoja pensada para visita comercial. Está ordenada por zona; confirmar cita y responsable antes de salir.</x:v>
      </x:c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45"/>
      <x:c r="AD9" s="45"/>
      <x:c r="AE9" s="45"/>
      <x:c r="AF9" s="45"/>
      <x:c r="AG9" s="45"/>
      <x:c r="AH9" s="45"/>
      <x:c r="AI9" s="45"/>
      <x:c r="AJ9" s="45"/>
      <x:c r="AK9" s="45"/>
      <x:c r="AL9" s="45"/>
      <x:c r="AM9" s="45"/>
    </x:row>
    <x:row r="10" ht="42" customHeight="1">
      <x:c r="A10" s="66" t="str">
        <x:v>PROSPECTOS</x:v>
      </x:c>
      <x:c r="B10" s="62" t="str">
        <x:v>Base maestra editable. Usar Estado de contacto, Responsable, Resultado, Próximo paso y Notas de campo.</x:v>
      </x:c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  <x:c r="AJ10" s="45"/>
      <x:c r="AK10" s="45"/>
      <x:c r="AL10" s="45"/>
      <x:c r="AM10" s="45"/>
    </x:row>
    <x:row r="11" ht="42" customHeight="1">
      <x:c r="A11" s="66" t="str">
        <x:v>CONTACTOS A VERIFICAR</x:v>
      </x:c>
      <x:c r="B11" s="62" t="str">
        <x:v>Cola para confirmar decisor/teléfono/frecuencia. Incluye los A+/A para enriquecer antes de contacto.</x:v>
      </x:c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  <x:c r="AI11" s="45"/>
      <x:c r="AJ11" s="45"/>
      <x:c r="AK11" s="45"/>
      <x:c r="AL11" s="45"/>
      <x:c r="AM11" s="45"/>
    </x:row>
    <x:row r="12" ht="42" customHeight="1">
      <x:c r="A12" s="66" t="str">
        <x:v>FUENTES</x:v>
      </x:c>
      <x:c r="B12" s="62" t="str">
        <x:v>Cada registro incluye fuente y URL. Los datos deben verificarse antes de una visita o campaña masiva.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</x:row>
    <x:row r="13" ht="42" customHeight="1">
      <x:c r="A13" s="66" t="str">
        <x:v>CRITERIO COMERCIAL</x:v>
      </x:c>
      <x:c r="B13" s="62" t="str">
        <x:v>El score prioriza recurrencia probable, peso/tamaño de equipos, necesidad de interobra y afinidad con servicios PRESOL.</x:v>
      </x:c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  <x:c r="AI13" s="45"/>
      <x:c r="AJ13" s="45"/>
      <x:c r="AK13" s="45"/>
      <x:c r="AL13" s="45"/>
      <x:c r="AM13" s="45"/>
    </x:row>
    <x:row r="14" ht="42" customHeight="1">
      <x:c r="A14" s="66" t="str">
        <x:v>SIGUIENTE PASO</x:v>
      </x:c>
      <x:c r="B14" s="62" t="str">
        <x:v>Contactar primero A+, registrar resultado y recalibrar score según frecuencia real, pesos, distancias y proveedor actual.</x:v>
      </x:c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45"/>
      <x:c r="AG14" s="45"/>
      <x:c r="AH14" s="45"/>
      <x:c r="AI14" s="45"/>
      <x:c r="AJ14" s="45"/>
      <x:c r="AK14" s="45"/>
      <x:c r="AL14" s="45"/>
      <x:c r="AM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  <x:c r="AD16" s="45"/>
      <x:c r="AE16" s="45"/>
      <x:c r="AF16" s="45"/>
      <x:c r="AG16" s="45"/>
      <x:c r="AH16" s="45"/>
      <x:c r="AI16" s="45"/>
      <x:c r="AJ16" s="45"/>
      <x:c r="AK16" s="45"/>
      <x:c r="AL16" s="45"/>
      <x:c r="AM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  <x:c r="AD17" s="45"/>
      <x:c r="AE17" s="45"/>
      <x:c r="AF17" s="45"/>
      <x:c r="AG17" s="45"/>
      <x:c r="AH17" s="45"/>
      <x:c r="AI17" s="45"/>
      <x:c r="AJ17" s="45"/>
      <x:c r="AK17" s="45"/>
      <x:c r="AL17" s="45"/>
      <x:c r="AM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  <x:c r="AD18" s="45"/>
      <x:c r="AE18" s="45"/>
      <x:c r="AF18" s="45"/>
      <x:c r="AG18" s="45"/>
      <x:c r="AH18" s="45"/>
      <x:c r="AI18" s="45"/>
      <x:c r="AJ18" s="45"/>
      <x:c r="AK18" s="45"/>
      <x:c r="AL18" s="45"/>
      <x:c r="AM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  <x:c r="AD19" s="45"/>
      <x:c r="AE19" s="45"/>
      <x:c r="AF19" s="45"/>
      <x:c r="AG19" s="45"/>
      <x:c r="AH19" s="45"/>
      <x:c r="AI19" s="45"/>
      <x:c r="AJ19" s="45"/>
      <x:c r="AK19" s="45"/>
      <x:c r="AL19" s="45"/>
      <x:c r="AM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5"/>
      <x:c r="AD21" s="45"/>
      <x:c r="AE21" s="45"/>
      <x:c r="AF21" s="45"/>
      <x:c r="AG21" s="45"/>
      <x:c r="AH21" s="45"/>
      <x:c r="AI21" s="45"/>
      <x:c r="AJ21" s="45"/>
      <x:c r="AK21" s="45"/>
      <x:c r="AL21" s="45"/>
      <x:c r="AM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5"/>
      <x:c r="AD22" s="45"/>
      <x:c r="AE22" s="45"/>
      <x:c r="AF22" s="45"/>
      <x:c r="AG22" s="45"/>
      <x:c r="AH22" s="45"/>
      <x:c r="AI22" s="45"/>
      <x:c r="AJ22" s="45"/>
      <x:c r="AK22" s="45"/>
      <x:c r="AL22" s="45"/>
      <x:c r="AM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  <x:c r="AK23" s="45"/>
      <x:c r="AL23" s="45"/>
      <x:c r="AM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45"/>
      <x:c r="AJ26" s="45"/>
      <x:c r="AK26" s="45"/>
      <x:c r="AL26" s="45"/>
      <x:c r="AM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45"/>
      <x:c r="AD27" s="45"/>
      <x:c r="AE27" s="45"/>
      <x:c r="AF27" s="45"/>
      <x:c r="AG27" s="45"/>
      <x:c r="AH27" s="45"/>
      <x:c r="AI27" s="45"/>
      <x:c r="AJ27" s="45"/>
      <x:c r="AK27" s="45"/>
      <x:c r="AL27" s="45"/>
      <x:c r="AM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45"/>
      <x:c r="AD29" s="45"/>
      <x:c r="AE29" s="45"/>
      <x:c r="AF29" s="45"/>
      <x:c r="AG29" s="45"/>
      <x:c r="AH29" s="45"/>
      <x:c r="AI29" s="45"/>
      <x:c r="AJ29" s="45"/>
      <x:c r="AK29" s="45"/>
      <x:c r="AL29" s="45"/>
      <x:c r="AM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45"/>
      <x:c r="AD30" s="45"/>
      <x:c r="AE30" s="45"/>
      <x:c r="AF30" s="45"/>
      <x:c r="AG30" s="45"/>
      <x:c r="AH30" s="45"/>
      <x:c r="AI30" s="45"/>
      <x:c r="AJ30" s="45"/>
      <x:c r="AK30" s="45"/>
      <x:c r="AL30" s="45"/>
      <x:c r="AM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45"/>
      <x:c r="AD31" s="45"/>
      <x:c r="AE31" s="45"/>
      <x:c r="AF31" s="45"/>
      <x:c r="AG31" s="45"/>
      <x:c r="AH31" s="45"/>
      <x:c r="AI31" s="45"/>
      <x:c r="AJ31" s="45"/>
      <x:c r="AK31" s="45"/>
      <x:c r="AL31" s="45"/>
      <x:c r="AM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45"/>
      <x:c r="AD32" s="45"/>
      <x:c r="AE32" s="45"/>
      <x:c r="AF32" s="45"/>
      <x:c r="AG32" s="45"/>
      <x:c r="AH32" s="45"/>
      <x:c r="AI32" s="45"/>
      <x:c r="AJ32" s="45"/>
      <x:c r="AK32" s="45"/>
      <x:c r="AL32" s="45"/>
      <x:c r="AM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45"/>
      <x:c r="AD33" s="45"/>
      <x:c r="AE33" s="45"/>
      <x:c r="AF33" s="45"/>
      <x:c r="AG33" s="45"/>
      <x:c r="AH33" s="45"/>
      <x:c r="AI33" s="45"/>
      <x:c r="AJ33" s="45"/>
      <x:c r="AK33" s="45"/>
      <x:c r="AL33" s="45"/>
      <x:c r="AM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45"/>
      <x:c r="AD34" s="45"/>
      <x:c r="AE34" s="45"/>
      <x:c r="AF34" s="45"/>
      <x:c r="AG34" s="45"/>
      <x:c r="AH34" s="45"/>
      <x:c r="AI34" s="45"/>
      <x:c r="AJ34" s="45"/>
      <x:c r="AK34" s="45"/>
      <x:c r="AL34" s="45"/>
      <x:c r="AM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45"/>
      <x:c r="AD35" s="45"/>
      <x:c r="AE35" s="45"/>
      <x:c r="AF35" s="45"/>
      <x:c r="AG35" s="45"/>
      <x:c r="AH35" s="45"/>
      <x:c r="AI35" s="45"/>
      <x:c r="AJ35" s="45"/>
      <x:c r="AK35" s="45"/>
      <x:c r="AL35" s="45"/>
      <x:c r="AM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45"/>
      <x:c r="AD36" s="45"/>
      <x:c r="AE36" s="45"/>
      <x:c r="AF36" s="45"/>
      <x:c r="AG36" s="45"/>
      <x:c r="AH36" s="45"/>
      <x:c r="AI36" s="45"/>
      <x:c r="AJ36" s="45"/>
      <x:c r="AK36" s="45"/>
      <x:c r="AL36" s="45"/>
      <x:c r="AM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45"/>
      <x:c r="AD37" s="45"/>
      <x:c r="AE37" s="45"/>
      <x:c r="AF37" s="45"/>
      <x:c r="AG37" s="45"/>
      <x:c r="AH37" s="45"/>
      <x:c r="AI37" s="45"/>
      <x:c r="AJ37" s="45"/>
      <x:c r="AK37" s="45"/>
      <x:c r="AL37" s="45"/>
      <x:c r="AM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45"/>
      <x:c r="AD39" s="45"/>
      <x:c r="AE39" s="45"/>
      <x:c r="AF39" s="45"/>
      <x:c r="AG39" s="45"/>
      <x:c r="AH39" s="45"/>
      <x:c r="AI39" s="45"/>
      <x:c r="AJ39" s="45"/>
      <x:c r="AK39" s="45"/>
      <x:c r="AL39" s="45"/>
      <x:c r="AM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45"/>
      <x:c r="AD40" s="45"/>
      <x:c r="AE40" s="45"/>
      <x:c r="AF40" s="45"/>
      <x:c r="AG40" s="45"/>
      <x:c r="AH40" s="45"/>
      <x:c r="AI40" s="45"/>
      <x:c r="AJ40" s="45"/>
      <x:c r="AK40" s="45"/>
      <x:c r="AL40" s="45"/>
      <x:c r="AM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45"/>
      <x:c r="AD42" s="45"/>
      <x:c r="AE42" s="45"/>
      <x:c r="AF42" s="45"/>
      <x:c r="AG42" s="45"/>
      <x:c r="AH42" s="45"/>
      <x:c r="AI42" s="45"/>
      <x:c r="AJ42" s="45"/>
      <x:c r="AK42" s="45"/>
      <x:c r="AL42" s="45"/>
      <x:c r="AM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45"/>
      <x:c r="AD43" s="45"/>
      <x:c r="AE43" s="45"/>
      <x:c r="AF43" s="45"/>
      <x:c r="AG43" s="45"/>
      <x:c r="AH43" s="45"/>
      <x:c r="AI43" s="45"/>
      <x:c r="AJ43" s="45"/>
      <x:c r="AK43" s="45"/>
      <x:c r="AL43" s="45"/>
      <x:c r="AM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45"/>
      <x:c r="AD44" s="45"/>
      <x:c r="AE44" s="45"/>
      <x:c r="AF44" s="45"/>
      <x:c r="AG44" s="45"/>
      <x:c r="AH44" s="45"/>
      <x:c r="AI44" s="45"/>
      <x:c r="AJ44" s="45"/>
      <x:c r="AK44" s="45"/>
      <x:c r="AL44" s="45"/>
      <x:c r="AM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45"/>
      <x:c r="AD45" s="45"/>
      <x:c r="AE45" s="45"/>
      <x:c r="AF45" s="45"/>
      <x:c r="AG45" s="45"/>
      <x:c r="AH45" s="45"/>
      <x:c r="AI45" s="45"/>
      <x:c r="AJ45" s="45"/>
      <x:c r="AK45" s="45"/>
      <x:c r="AL45" s="45"/>
      <x:c r="AM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45"/>
      <x:c r="AD46" s="45"/>
      <x:c r="AE46" s="45"/>
      <x:c r="AF46" s="45"/>
      <x:c r="AG46" s="45"/>
      <x:c r="AH46" s="45"/>
      <x:c r="AI46" s="45"/>
      <x:c r="AJ46" s="45"/>
      <x:c r="AK46" s="45"/>
      <x:c r="AL46" s="45"/>
      <x:c r="AM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45"/>
      <x:c r="AD48" s="45"/>
      <x:c r="AE48" s="45"/>
      <x:c r="AF48" s="45"/>
      <x:c r="AG48" s="45"/>
      <x:c r="AH48" s="45"/>
      <x:c r="AI48" s="45"/>
      <x:c r="AJ48" s="45"/>
      <x:c r="AK48" s="45"/>
      <x:c r="AL48" s="45"/>
      <x:c r="AM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45"/>
      <x:c r="AD49" s="45"/>
      <x:c r="AE49" s="45"/>
      <x:c r="AF49" s="45"/>
      <x:c r="AG49" s="45"/>
      <x:c r="AH49" s="45"/>
      <x:c r="AI49" s="45"/>
      <x:c r="AJ49" s="45"/>
      <x:c r="AK49" s="45"/>
      <x:c r="AL49" s="45"/>
      <x:c r="AM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45"/>
      <x:c r="AD50" s="45"/>
      <x:c r="AE50" s="45"/>
      <x:c r="AF50" s="45"/>
      <x:c r="AG50" s="45"/>
      <x:c r="AH50" s="45"/>
      <x:c r="AI50" s="45"/>
      <x:c r="AJ50" s="45"/>
      <x:c r="AK50" s="45"/>
      <x:c r="AL50" s="45"/>
      <x:c r="AM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45"/>
      <x:c r="AD51" s="45"/>
      <x:c r="AE51" s="45"/>
      <x:c r="AF51" s="45"/>
      <x:c r="AG51" s="45"/>
      <x:c r="AH51" s="45"/>
      <x:c r="AI51" s="45"/>
      <x:c r="AJ51" s="45"/>
      <x:c r="AK51" s="45"/>
      <x:c r="AL51" s="45"/>
      <x:c r="AM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45"/>
      <x:c r="AD52" s="45"/>
      <x:c r="AE52" s="45"/>
      <x:c r="AF52" s="45"/>
      <x:c r="AG52" s="45"/>
      <x:c r="AH52" s="45"/>
      <x:c r="AI52" s="45"/>
      <x:c r="AJ52" s="45"/>
      <x:c r="AK52" s="45"/>
      <x:c r="AL52" s="45"/>
      <x:c r="AM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45"/>
      <x:c r="AD53" s="45"/>
      <x:c r="AE53" s="45"/>
      <x:c r="AF53" s="45"/>
      <x:c r="AG53" s="45"/>
      <x:c r="AH53" s="45"/>
      <x:c r="AI53" s="45"/>
      <x:c r="AJ53" s="45"/>
      <x:c r="AK53" s="45"/>
      <x:c r="AL53" s="45"/>
      <x:c r="AM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45"/>
      <x:c r="AD54" s="45"/>
      <x:c r="AE54" s="45"/>
      <x:c r="AF54" s="45"/>
      <x:c r="AG54" s="45"/>
      <x:c r="AH54" s="45"/>
      <x:c r="AI54" s="45"/>
      <x:c r="AJ54" s="45"/>
      <x:c r="AK54" s="45"/>
      <x:c r="AL54" s="45"/>
      <x:c r="AM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45"/>
      <x:c r="AD55" s="45"/>
      <x:c r="AE55" s="45"/>
      <x:c r="AF55" s="45"/>
      <x:c r="AG55" s="45"/>
      <x:c r="AH55" s="45"/>
      <x:c r="AI55" s="45"/>
      <x:c r="AJ55" s="45"/>
      <x:c r="AK55" s="45"/>
      <x:c r="AL55" s="45"/>
      <x:c r="AM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45"/>
      <x:c r="AD56" s="45"/>
      <x:c r="AE56" s="45"/>
      <x:c r="AF56" s="45"/>
      <x:c r="AG56" s="45"/>
      <x:c r="AH56" s="45"/>
      <x:c r="AI56" s="45"/>
      <x:c r="AJ56" s="45"/>
      <x:c r="AK56" s="45"/>
      <x:c r="AL56" s="45"/>
      <x:c r="AM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45"/>
      <x:c r="AD57" s="45"/>
      <x:c r="AE57" s="45"/>
      <x:c r="AF57" s="45"/>
      <x:c r="AG57" s="45"/>
      <x:c r="AH57" s="45"/>
      <x:c r="AI57" s="45"/>
      <x:c r="AJ57" s="45"/>
      <x:c r="AK57" s="45"/>
      <x:c r="AL57" s="45"/>
      <x:c r="AM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45"/>
      <x:c r="AD58" s="45"/>
      <x:c r="AE58" s="45"/>
      <x:c r="AF58" s="45"/>
      <x:c r="AG58" s="45"/>
      <x:c r="AH58" s="45"/>
      <x:c r="AI58" s="45"/>
      <x:c r="AJ58" s="45"/>
      <x:c r="AK58" s="45"/>
      <x:c r="AL58" s="45"/>
      <x:c r="AM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45"/>
      <x:c r="AD61" s="45"/>
      <x:c r="AE61" s="45"/>
      <x:c r="AF61" s="45"/>
      <x:c r="AG61" s="45"/>
      <x:c r="AH61" s="45"/>
      <x:c r="AI61" s="45"/>
      <x:c r="AJ61" s="45"/>
      <x:c r="AK61" s="45"/>
      <x:c r="AL61" s="45"/>
      <x:c r="AM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45"/>
      <x:c r="AD62" s="45"/>
      <x:c r="AE62" s="45"/>
      <x:c r="AF62" s="45"/>
      <x:c r="AG62" s="45"/>
      <x:c r="AH62" s="45"/>
      <x:c r="AI62" s="45"/>
      <x:c r="AJ62" s="45"/>
      <x:c r="AK62" s="45"/>
      <x:c r="AL62" s="45"/>
      <x:c r="AM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45"/>
      <x:c r="AD63" s="45"/>
      <x:c r="AE63" s="45"/>
      <x:c r="AF63" s="45"/>
      <x:c r="AG63" s="45"/>
      <x:c r="AH63" s="45"/>
      <x:c r="AI63" s="45"/>
      <x:c r="AJ63" s="45"/>
      <x:c r="AK63" s="45"/>
      <x:c r="AL63" s="45"/>
      <x:c r="AM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45"/>
      <x:c r="AD64" s="45"/>
      <x:c r="AE64" s="45"/>
      <x:c r="AF64" s="45"/>
      <x:c r="AG64" s="45"/>
      <x:c r="AH64" s="45"/>
      <x:c r="AI64" s="45"/>
      <x:c r="AJ64" s="45"/>
      <x:c r="AK64" s="45"/>
      <x:c r="AL64" s="45"/>
      <x:c r="AM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45"/>
      <x:c r="AD65" s="45"/>
      <x:c r="AE65" s="45"/>
      <x:c r="AF65" s="45"/>
      <x:c r="AG65" s="45"/>
      <x:c r="AH65" s="45"/>
      <x:c r="AI65" s="45"/>
      <x:c r="AJ65" s="45"/>
      <x:c r="AK65" s="45"/>
      <x:c r="AL65" s="45"/>
      <x:c r="AM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45"/>
      <x:c r="AD68" s="45"/>
      <x:c r="AE68" s="45"/>
      <x:c r="AF68" s="45"/>
      <x:c r="AG68" s="45"/>
      <x:c r="AH68" s="45"/>
      <x:c r="AI68" s="45"/>
      <x:c r="AJ68" s="45"/>
      <x:c r="AK68" s="45"/>
      <x:c r="AL68" s="45"/>
      <x:c r="AM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45"/>
      <x:c r="AD69" s="45"/>
      <x:c r="AE69" s="45"/>
      <x:c r="AF69" s="45"/>
      <x:c r="AG69" s="45"/>
      <x:c r="AH69" s="45"/>
      <x:c r="AI69" s="45"/>
      <x:c r="AJ69" s="45"/>
      <x:c r="AK69" s="45"/>
      <x:c r="AL69" s="45"/>
      <x:c r="AM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45"/>
      <x:c r="AD70" s="45"/>
      <x:c r="AE70" s="45"/>
      <x:c r="AF70" s="45"/>
      <x:c r="AG70" s="45"/>
      <x:c r="AH70" s="45"/>
      <x:c r="AI70" s="45"/>
      <x:c r="AJ70" s="45"/>
      <x:c r="AK70" s="45"/>
      <x:c r="AL70" s="45"/>
      <x:c r="AM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45"/>
      <x:c r="AD72" s="45"/>
      <x:c r="AE72" s="45"/>
      <x:c r="AF72" s="45"/>
      <x:c r="AG72" s="45"/>
      <x:c r="AH72" s="45"/>
      <x:c r="AI72" s="45"/>
      <x:c r="AJ72" s="45"/>
      <x:c r="AK72" s="45"/>
      <x:c r="AL72" s="45"/>
      <x:c r="AM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45"/>
      <x:c r="AD73" s="45"/>
      <x:c r="AE73" s="45"/>
      <x:c r="AF73" s="45"/>
      <x:c r="AG73" s="45"/>
      <x:c r="AH73" s="45"/>
      <x:c r="AI73" s="45"/>
      <x:c r="AJ73" s="45"/>
      <x:c r="AK73" s="45"/>
      <x:c r="AL73" s="45"/>
      <x:c r="AM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45"/>
      <x:c r="AD74" s="45"/>
      <x:c r="AE74" s="45"/>
      <x:c r="AF74" s="45"/>
      <x:c r="AG74" s="45"/>
      <x:c r="AH74" s="45"/>
      <x:c r="AI74" s="45"/>
      <x:c r="AJ74" s="45"/>
      <x:c r="AK74" s="45"/>
      <x:c r="AL74" s="45"/>
      <x:c r="AM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45"/>
      <x:c r="AD75" s="45"/>
      <x:c r="AE75" s="45"/>
      <x:c r="AF75" s="45"/>
      <x:c r="AG75" s="45"/>
      <x:c r="AH75" s="45"/>
      <x:c r="AI75" s="45"/>
      <x:c r="AJ75" s="45"/>
      <x:c r="AK75" s="45"/>
      <x:c r="AL75" s="45"/>
      <x:c r="AM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45"/>
      <x:c r="AD76" s="45"/>
      <x:c r="AE76" s="45"/>
      <x:c r="AF76" s="45"/>
      <x:c r="AG76" s="45"/>
      <x:c r="AH76" s="45"/>
      <x:c r="AI76" s="45"/>
      <x:c r="AJ76" s="45"/>
      <x:c r="AK76" s="45"/>
      <x:c r="AL76" s="45"/>
      <x:c r="AM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45"/>
      <x:c r="AD77" s="45"/>
      <x:c r="AE77" s="45"/>
      <x:c r="AF77" s="45"/>
      <x:c r="AG77" s="45"/>
      <x:c r="AH77" s="45"/>
      <x:c r="AI77" s="45"/>
      <x:c r="AJ77" s="45"/>
      <x:c r="AK77" s="45"/>
      <x:c r="AL77" s="45"/>
      <x:c r="AM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45"/>
      <x:c r="AD78" s="45"/>
      <x:c r="AE78" s="45"/>
      <x:c r="AF78" s="45"/>
      <x:c r="AG78" s="45"/>
      <x:c r="AH78" s="45"/>
      <x:c r="AI78" s="45"/>
      <x:c r="AJ78" s="45"/>
      <x:c r="AK78" s="45"/>
      <x:c r="AL78" s="45"/>
      <x:c r="AM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45"/>
      <x:c r="AD79" s="45"/>
      <x:c r="AE79" s="45"/>
      <x:c r="AF79" s="45"/>
      <x:c r="AG79" s="45"/>
      <x:c r="AH79" s="45"/>
      <x:c r="AI79" s="45"/>
      <x:c r="AJ79" s="45"/>
      <x:c r="AK79" s="45"/>
      <x:c r="AL79" s="45"/>
      <x:c r="AM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45"/>
      <x:c r="AD80" s="45"/>
      <x:c r="AE80" s="45"/>
      <x:c r="AF80" s="45"/>
      <x:c r="AG80" s="45"/>
      <x:c r="AH80" s="45"/>
      <x:c r="AI80" s="45"/>
      <x:c r="AJ80" s="45"/>
      <x:c r="AK80" s="45"/>
      <x:c r="AL80" s="45"/>
      <x:c r="AM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45"/>
      <x:c r="AD81" s="45"/>
      <x:c r="AE81" s="45"/>
      <x:c r="AF81" s="45"/>
      <x:c r="AG81" s="45"/>
      <x:c r="AH81" s="45"/>
      <x:c r="AI81" s="45"/>
      <x:c r="AJ81" s="45"/>
      <x:c r="AK81" s="45"/>
      <x:c r="AL81" s="45"/>
      <x:c r="AM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45"/>
      <x:c r="AD82" s="45"/>
      <x:c r="AE82" s="45"/>
      <x:c r="AF82" s="45"/>
      <x:c r="AG82" s="45"/>
      <x:c r="AH82" s="45"/>
      <x:c r="AI82" s="45"/>
      <x:c r="AJ82" s="45"/>
      <x:c r="AK82" s="45"/>
      <x:c r="AL82" s="45"/>
      <x:c r="AM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45"/>
      <x:c r="AD83" s="45"/>
      <x:c r="AE83" s="45"/>
      <x:c r="AF83" s="45"/>
      <x:c r="AG83" s="45"/>
      <x:c r="AH83" s="45"/>
      <x:c r="AI83" s="45"/>
      <x:c r="AJ83" s="45"/>
      <x:c r="AK83" s="45"/>
      <x:c r="AL83" s="45"/>
      <x:c r="AM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45"/>
      <x:c r="AD84" s="45"/>
      <x:c r="AE84" s="45"/>
      <x:c r="AF84" s="45"/>
      <x:c r="AG84" s="45"/>
      <x:c r="AH84" s="45"/>
      <x:c r="AI84" s="45"/>
      <x:c r="AJ84" s="45"/>
      <x:c r="AK84" s="45"/>
      <x:c r="AL84" s="45"/>
      <x:c r="AM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45"/>
      <x:c r="AD86" s="45"/>
      <x:c r="AE86" s="45"/>
      <x:c r="AF86" s="45"/>
      <x:c r="AG86" s="45"/>
      <x:c r="AH86" s="45"/>
      <x:c r="AI86" s="45"/>
      <x:c r="AJ86" s="45"/>
      <x:c r="AK86" s="45"/>
      <x:c r="AL86" s="45"/>
      <x:c r="AM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45"/>
      <x:c r="AD88" s="45"/>
      <x:c r="AE88" s="45"/>
      <x:c r="AF88" s="45"/>
      <x:c r="AG88" s="45"/>
      <x:c r="AH88" s="45"/>
      <x:c r="AI88" s="45"/>
      <x:c r="AJ88" s="45"/>
      <x:c r="AK88" s="45"/>
      <x:c r="AL88" s="45"/>
      <x:c r="AM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45"/>
      <x:c r="AD89" s="45"/>
      <x:c r="AE89" s="45"/>
      <x:c r="AF89" s="45"/>
      <x:c r="AG89" s="45"/>
      <x:c r="AH89" s="45"/>
      <x:c r="AI89" s="45"/>
      <x:c r="AJ89" s="45"/>
      <x:c r="AK89" s="45"/>
      <x:c r="AL89" s="45"/>
      <x:c r="AM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45"/>
      <x:c r="AD90" s="45"/>
      <x:c r="AE90" s="45"/>
      <x:c r="AF90" s="45"/>
      <x:c r="AG90" s="45"/>
      <x:c r="AH90" s="45"/>
      <x:c r="AI90" s="45"/>
      <x:c r="AJ90" s="45"/>
      <x:c r="AK90" s="45"/>
      <x:c r="AL90" s="45"/>
      <x:c r="AM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45"/>
      <x:c r="AD91" s="45"/>
      <x:c r="AE91" s="45"/>
      <x:c r="AF91" s="45"/>
      <x:c r="AG91" s="45"/>
      <x:c r="AH91" s="45"/>
      <x:c r="AI91" s="45"/>
      <x:c r="AJ91" s="45"/>
      <x:c r="AK91" s="45"/>
      <x:c r="AL91" s="45"/>
      <x:c r="AM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45"/>
      <x:c r="AD92" s="45"/>
      <x:c r="AE92" s="45"/>
      <x:c r="AF92" s="45"/>
      <x:c r="AG92" s="45"/>
      <x:c r="AH92" s="45"/>
      <x:c r="AI92" s="45"/>
      <x:c r="AJ92" s="45"/>
      <x:c r="AK92" s="45"/>
      <x:c r="AL92" s="45"/>
      <x:c r="AM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45"/>
      <x:c r="AD93" s="45"/>
      <x:c r="AE93" s="45"/>
      <x:c r="AF93" s="45"/>
      <x:c r="AG93" s="45"/>
      <x:c r="AH93" s="45"/>
      <x:c r="AI93" s="45"/>
      <x:c r="AJ93" s="45"/>
      <x:c r="AK93" s="45"/>
      <x:c r="AL93" s="45"/>
      <x:c r="AM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45"/>
      <x:c r="AD94" s="45"/>
      <x:c r="AE94" s="45"/>
      <x:c r="AF94" s="45"/>
      <x:c r="AG94" s="45"/>
      <x:c r="AH94" s="45"/>
      <x:c r="AI94" s="45"/>
      <x:c r="AJ94" s="45"/>
      <x:c r="AK94" s="45"/>
      <x:c r="AL94" s="45"/>
      <x:c r="AM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45"/>
      <x:c r="AD96" s="45"/>
      <x:c r="AE96" s="45"/>
      <x:c r="AF96" s="45"/>
      <x:c r="AG96" s="45"/>
      <x:c r="AH96" s="45"/>
      <x:c r="AI96" s="45"/>
      <x:c r="AJ96" s="45"/>
      <x:c r="AK96" s="45"/>
      <x:c r="AL96" s="45"/>
      <x:c r="AM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45"/>
      <x:c r="AD97" s="45"/>
      <x:c r="AE97" s="45"/>
      <x:c r="AF97" s="45"/>
      <x:c r="AG97" s="45"/>
      <x:c r="AH97" s="45"/>
      <x:c r="AI97" s="45"/>
      <x:c r="AJ97" s="45"/>
      <x:c r="AK97" s="45"/>
      <x:c r="AL97" s="45"/>
      <x:c r="AM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45"/>
      <x:c r="AD99" s="45"/>
      <x:c r="AE99" s="45"/>
      <x:c r="AF99" s="45"/>
      <x:c r="AG99" s="45"/>
      <x:c r="AH99" s="45"/>
      <x:c r="AI99" s="45"/>
      <x:c r="AJ99" s="45"/>
      <x:c r="AK99" s="45"/>
      <x:c r="AL99" s="45"/>
      <x:c r="AM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45"/>
      <x:c r="AD100" s="45"/>
      <x:c r="AE100" s="45"/>
      <x:c r="AF100" s="45"/>
      <x:c r="AG100" s="45"/>
      <x:c r="AH100" s="45"/>
      <x:c r="AI100" s="45"/>
      <x:c r="AJ100" s="45"/>
      <x:c r="AK100" s="45"/>
      <x:c r="AL100" s="45"/>
      <x:c r="AM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45"/>
      <x:c r="AD102" s="45"/>
      <x:c r="AE102" s="45"/>
      <x:c r="AF102" s="45"/>
      <x:c r="AG102" s="45"/>
      <x:c r="AH102" s="45"/>
      <x:c r="AI102" s="45"/>
      <x:c r="AJ102" s="45"/>
      <x:c r="AK102" s="45"/>
      <x:c r="AL102" s="45"/>
      <x:c r="AM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45"/>
      <x:c r="AD103" s="45"/>
      <x:c r="AE103" s="45"/>
      <x:c r="AF103" s="45"/>
      <x:c r="AG103" s="45"/>
      <x:c r="AH103" s="45"/>
      <x:c r="AI103" s="45"/>
      <x:c r="AJ103" s="45"/>
      <x:c r="AK103" s="45"/>
      <x:c r="AL103" s="45"/>
      <x:c r="AM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45"/>
      <x:c r="AD104" s="45"/>
      <x:c r="AE104" s="45"/>
      <x:c r="AF104" s="45"/>
      <x:c r="AG104" s="45"/>
      <x:c r="AH104" s="45"/>
      <x:c r="AI104" s="45"/>
      <x:c r="AJ104" s="45"/>
      <x:c r="AK104" s="45"/>
      <x:c r="AL104" s="45"/>
      <x:c r="AM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45"/>
      <x:c r="AD105" s="45"/>
      <x:c r="AE105" s="45"/>
      <x:c r="AF105" s="45"/>
      <x:c r="AG105" s="45"/>
      <x:c r="AH105" s="45"/>
      <x:c r="AI105" s="45"/>
      <x:c r="AJ105" s="45"/>
      <x:c r="AK105" s="45"/>
      <x:c r="AL105" s="45"/>
      <x:c r="AM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45"/>
      <x:c r="AD106" s="45"/>
      <x:c r="AE106" s="45"/>
      <x:c r="AF106" s="45"/>
      <x:c r="AG106" s="45"/>
      <x:c r="AH106" s="45"/>
      <x:c r="AI106" s="45"/>
      <x:c r="AJ106" s="45"/>
      <x:c r="AK106" s="45"/>
      <x:c r="AL106" s="45"/>
      <x:c r="AM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45"/>
      <x:c r="AD107" s="45"/>
      <x:c r="AE107" s="45"/>
      <x:c r="AF107" s="45"/>
      <x:c r="AG107" s="45"/>
      <x:c r="AH107" s="45"/>
      <x:c r="AI107" s="45"/>
      <x:c r="AJ107" s="45"/>
      <x:c r="AK107" s="45"/>
      <x:c r="AL107" s="45"/>
      <x:c r="AM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45"/>
      <x:c r="AD108" s="45"/>
      <x:c r="AE108" s="45"/>
      <x:c r="AF108" s="45"/>
      <x:c r="AG108" s="45"/>
      <x:c r="AH108" s="45"/>
      <x:c r="AI108" s="45"/>
      <x:c r="AJ108" s="45"/>
      <x:c r="AK108" s="45"/>
      <x:c r="AL108" s="45"/>
      <x:c r="AM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45"/>
      <x:c r="AD109" s="45"/>
      <x:c r="AE109" s="45"/>
      <x:c r="AF109" s="45"/>
      <x:c r="AG109" s="45"/>
      <x:c r="AH109" s="45"/>
      <x:c r="AI109" s="45"/>
      <x:c r="AJ109" s="45"/>
      <x:c r="AK109" s="45"/>
      <x:c r="AL109" s="45"/>
      <x:c r="AM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45"/>
      <x:c r="AD111" s="45"/>
      <x:c r="AE111" s="45"/>
      <x:c r="AF111" s="45"/>
      <x:c r="AG111" s="45"/>
      <x:c r="AH111" s="45"/>
      <x:c r="AI111" s="45"/>
      <x:c r="AJ111" s="45"/>
      <x:c r="AK111" s="45"/>
      <x:c r="AL111" s="45"/>
      <x:c r="AM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45"/>
      <x:c r="AD112" s="45"/>
      <x:c r="AE112" s="45"/>
      <x:c r="AF112" s="45"/>
      <x:c r="AG112" s="45"/>
      <x:c r="AH112" s="45"/>
      <x:c r="AI112" s="45"/>
      <x:c r="AJ112" s="45"/>
      <x:c r="AK112" s="45"/>
      <x:c r="AL112" s="45"/>
      <x:c r="AM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45"/>
      <x:c r="AD113" s="45"/>
      <x:c r="AE113" s="45"/>
      <x:c r="AF113" s="45"/>
      <x:c r="AG113" s="45"/>
      <x:c r="AH113" s="45"/>
      <x:c r="AI113" s="45"/>
      <x:c r="AJ113" s="45"/>
      <x:c r="AK113" s="45"/>
      <x:c r="AL113" s="45"/>
      <x:c r="AM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45"/>
      <x:c r="AD114" s="45"/>
      <x:c r="AE114" s="45"/>
      <x:c r="AF114" s="45"/>
      <x:c r="AG114" s="45"/>
      <x:c r="AH114" s="45"/>
      <x:c r="AI114" s="45"/>
      <x:c r="AJ114" s="45"/>
      <x:c r="AK114" s="45"/>
      <x:c r="AL114" s="45"/>
      <x:c r="AM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  <x:c r="AA115" s="45"/>
      <x:c r="AB115" s="45"/>
      <x:c r="AC115" s="45"/>
      <x:c r="AD115" s="45"/>
      <x:c r="AE115" s="45"/>
      <x:c r="AF115" s="45"/>
      <x:c r="AG115" s="45"/>
      <x:c r="AH115" s="45"/>
      <x:c r="AI115" s="45"/>
      <x:c r="AJ115" s="45"/>
      <x:c r="AK115" s="45"/>
      <x:c r="AL115" s="45"/>
      <x:c r="AM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45"/>
      <x:c r="AD117" s="45"/>
      <x:c r="AE117" s="45"/>
      <x:c r="AF117" s="45"/>
      <x:c r="AG117" s="45"/>
      <x:c r="AH117" s="45"/>
      <x:c r="AI117" s="45"/>
      <x:c r="AJ117" s="45"/>
      <x:c r="AK117" s="45"/>
      <x:c r="AL117" s="45"/>
      <x:c r="AM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  <x:c r="AA118" s="45"/>
      <x:c r="AB118" s="45"/>
      <x:c r="AC118" s="45"/>
      <x:c r="AD118" s="45"/>
      <x:c r="AE118" s="45"/>
      <x:c r="AF118" s="45"/>
      <x:c r="AG118" s="45"/>
      <x:c r="AH118" s="45"/>
      <x:c r="AI118" s="45"/>
      <x:c r="AJ118" s="45"/>
      <x:c r="AK118" s="45"/>
      <x:c r="AL118" s="45"/>
      <x:c r="AM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  <x:c r="AA120" s="45"/>
      <x:c r="AB120" s="45"/>
      <x:c r="AC120" s="45"/>
      <x:c r="AD120" s="45"/>
      <x:c r="AE120" s="45"/>
      <x:c r="AF120" s="45"/>
      <x:c r="AG120" s="45"/>
      <x:c r="AH120" s="45"/>
      <x:c r="AI120" s="45"/>
      <x:c r="AJ120" s="45"/>
      <x:c r="AK120" s="45"/>
      <x:c r="AL120" s="45"/>
      <x:c r="AM120" s="45"/>
    </x:row>
  </x:sheetData>
  <x:mergeCells>
    <x:mergeCell ref="A1:F1"/>
  </x:mergeCells>
  <x:pageMargins left="0.7" right="0.7" top="0.75" bottom="0.75" header="0.3" footer="0.3"/>
</x:worksheet>
</file>