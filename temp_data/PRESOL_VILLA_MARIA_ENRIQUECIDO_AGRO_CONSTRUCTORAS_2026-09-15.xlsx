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aedf63d95048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spectos Resumen" sheetId="1" r:id="R171e0e4cf4c74689"/>
    <x:sheet xmlns:r="http://schemas.openxmlformats.org/officeDocument/2006/relationships" name="Prospectos" sheetId="2" r:id="R73778fd7c58d40f3"/>
    <x:sheet xmlns:r="http://schemas.openxmlformats.org/officeDocument/2006/relationships" name="Indicadores" sheetId="3" r:id="Rded0630d12f34bb7"/>
    <x:sheet xmlns:r="http://schemas.openxmlformats.org/officeDocument/2006/relationships" name="Ruta A+" sheetId="4" r:id="Rf045f06dc05a43fa"/>
    <x:sheet xmlns:r="http://schemas.openxmlformats.org/officeDocument/2006/relationships" name="Rutas Google Maps" sheetId="5" r:id="Rdd17f5727736496d"/>
    <x:sheet xmlns:r="http://schemas.openxmlformats.org/officeDocument/2006/relationships" name="Contactos a verificar" sheetId="6" r:id="R7beba1c2ec6d4998"/>
    <x:sheet xmlns:r="http://schemas.openxmlformats.org/officeDocument/2006/relationships" name="Servicios PRESOL" sheetId="7" r:id="R1cadf97595ac49da"/>
    <x:sheet xmlns:r="http://schemas.openxmlformats.org/officeDocument/2006/relationships" name="Rastrillaje PILT" sheetId="8" r:id="Rc43ecdf704a445ee"/>
    <x:sheet xmlns:r="http://schemas.openxmlformats.org/officeDocument/2006/relationships" name="Guía de uso" sheetId="9" r:id="R0c97e01b73ba4c85"/>
    <x:sheet xmlns:r="http://schemas.openxmlformats.org/officeDocument/2006/relationships" name="Foco agro + construcción" sheetId="10" r:id="Rd0349626fe6244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8">
    <x:font>
      <x:sz val="11"/>
      <x:name val="Carlito"/>
    </x:font>
    <x:font>
      <x:b/>
      <x:sz val="10"/>
      <x:color rgb="FFFFFFFF"/>
      <x:name val="Carlito"/>
    </x:font>
    <x:font>
      <x:b/>
      <x:sz val="18"/>
      <x:color rgb="FFFFFFFF"/>
      <x:name val="Carlito"/>
    </x:font>
    <x:font>
      <x:i/>
      <x:sz val="11"/>
      <x:color rgb="FF5B6573"/>
      <x:name val="Carlito"/>
    </x:font>
    <x:font>
      <x:b/>
      <x:sz val="11"/>
      <x:color rgb="FF12263A"/>
      <x:name val="Carlito"/>
    </x:font>
    <x:font>
      <x:b/>
      <x:sz val="14"/>
      <x:color rgb="FF12263A"/>
      <x:name val="Carlito"/>
    </x:font>
    <x:font>
      <x:sz val="11"/>
      <x:color rgb="FF1D4ED8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263A"/>
      </x:patternFill>
    </x:fill>
    <x:fill>
      <x:patternFill patternType="solid">
        <x:fgColor rgb="FFEAF0F6"/>
      </x:patternFill>
    </x:fill>
    <x:fill>
      <x:patternFill patternType="solid">
        <x:fgColor rgb="FFFFFFFF"/>
      </x:patternFill>
    </x:fill>
    <x:fill>
      <x:patternFill patternType="solid">
        <x:fgColor rgb="FF12263A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12">
    <x:dxf>
      <x:font>
        <x:b/>
        <x:color rgb="FF166534"/>
      </x:font>
      <x:fill>
        <x:patternFill>
          <x:bgColor rgb="FFDDF4E4"/>
        </x:patternFill>
      </x:fill>
    </x:dxf>
    <x:dxf>
      <x:font>
        <x:b/>
        <x:color rgb="FF7C5B00"/>
      </x:font>
      <x:fill>
        <x:patternFill>
          <x:bgColor rgb="FFFFF2CC"/>
        </x:patternFill>
      </x:fill>
    </x:dxf>
    <x:dxf>
      <x:fill>
        <x:patternFill>
          <x:bgColor rgb="FFE8EDF3"/>
        </x:patternFill>
      </x:fill>
    </x:dxf>
    <x:dxf>
      <x:font>
        <x:b/>
        <x:color rgb="FFB91C1C"/>
      </x:font>
      <x:fill>
        <x:patternFill>
          <x:bgColor rgb="FFFDE2E2"/>
        </x:patternFill>
      </x:fill>
    </x:dxf>
    <x:dxf>
      <x:font>
        <x:b/>
        <x:color rgb="FFB91C1C"/>
      </x:font>
      <x:fill>
        <x:patternFill>
          <x:bgColor rgb="FFFDE2E2"/>
        </x:patternFill>
      </x:fill>
    </x:dxf>
    <x:dxf>
      <x:font>
        <x:b/>
        <x:color rgb="FF166534"/>
      </x:font>
      <x:fill>
        <x:patternFill patternType="solid">
          <x:bgColor rgb="FFDDF4E4"/>
        </x:patternFill>
      </x:fill>
    </x:dxf>
    <x:dxf>
      <x:font>
        <x:b/>
        <x:color rgb="FF7C5B00"/>
      </x:font>
      <x:fill>
        <x:patternFill patternType="solid">
          <x:bgColor rgb="FFFFF2CC"/>
        </x:patternFill>
      </x:fill>
    </x:dxf>
    <x:dxf>
      <x:fill>
        <x:patternFill patternType="solid">
          <x:bgColor rgb="FFE8EDF3"/>
        </x:patternFill>
      </x:fill>
    </x:dxf>
    <x:dxf>
      <x:font>
        <x:b/>
        <x:color rgb="FFB91C1C"/>
      </x:font>
      <x:fill>
        <x:patternFill patternType="solid">
          <x:bgColor rgb="FFFDE2E2"/>
        </x:patternFill>
      </x:fill>
    </x:dxf>
    <x:dxf>
      <x:font>
        <x:b/>
        <x:color rgb="FF166534"/>
      </x:font>
      <x:fill>
        <x:patternFill patternType="solid">
          <x:bgColor rgb="FFDDF4E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8ED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a02e5ba2e74d5f" /><Relationship Type="http://schemas.openxmlformats.org/officeDocument/2006/relationships/theme" Target="/xl/theme/theme1.xml" Id="R33605e3bd4164690" /><Relationship Type="http://schemas.openxmlformats.org/officeDocument/2006/relationships/sharedStrings" Target="/xl/sharedStrings.xml" Id="R73eb6aea5e17434a" /><Relationship Type="http://schemas.openxmlformats.org/officeDocument/2006/relationships/worksheet" Target="/xl/worksheets/sheet1.xml" Id="R171e0e4cf4c74689" /><Relationship Type="http://schemas.openxmlformats.org/officeDocument/2006/relationships/worksheet" Target="/xl/worksheets/sheet2.xml" Id="R73778fd7c58d40f3" /><Relationship Type="http://schemas.openxmlformats.org/officeDocument/2006/relationships/worksheet" Target="/xl/worksheets/sheet3.xml" Id="Rded0630d12f34bb7" /><Relationship Type="http://schemas.openxmlformats.org/officeDocument/2006/relationships/worksheet" Target="/xl/worksheets/sheet4.xml" Id="Rf045f06dc05a43fa" /><Relationship Type="http://schemas.openxmlformats.org/officeDocument/2006/relationships/worksheet" Target="/xl/worksheets/sheet5.xml" Id="Rdd17f5727736496d" /><Relationship Type="http://schemas.openxmlformats.org/officeDocument/2006/relationships/worksheet" Target="/xl/worksheets/sheet6.xml" Id="R7beba1c2ec6d4998" /><Relationship Type="http://schemas.openxmlformats.org/officeDocument/2006/relationships/worksheet" Target="/xl/worksheets/sheet7.xml" Id="R1cadf97595ac49da" /><Relationship Type="http://schemas.openxmlformats.org/officeDocument/2006/relationships/worksheet" Target="/xl/worksheets/sheet8.xml" Id="Rc43ecdf704a445ee" /><Relationship Type="http://schemas.openxmlformats.org/officeDocument/2006/relationships/worksheet" Target="/xl/worksheets/sheet9.xml" Id="R0c97e01b73ba4c85" /><Relationship Type="http://schemas.openxmlformats.org/officeDocument/2006/relationships/worksheet" Target="/xl/worksheets/sheet10.xml" Id="Rd0349626fe62441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64c488e1a514e9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Prospectos por prioridad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Prospectos</c:v>
          </c:tx>
          <c:cat>
            <c:strRef>
              <c:f>'Indicadores'!$A$4:$A$6</c:f>
              <c:strCache>
                <c:ptCount val="0"/>
              </c:strCache>
            </c:strRef>
          </c:cat>
          <c:val>
            <c:numRef>
              <c:f>'Indicadores'!$B$4:$B$6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64c488e1a514e9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ResumenVillaMaria" displayName="ResumenVillaMaria" ref="A11:K120" headerRowCount="1" totalsRowCount="0" totalsRowShown="0">
  <x:tableColumns count="11">
    <x:tableColumn id="1" name="ID"/>
    <x:tableColumn id="2" name="Clase"/>
    <x:tableColumn id="3" name="Score"/>
    <x:tableColumn id="4" name="Empresa"/>
    <x:tableColumn id="5" name="Categoría"/>
    <x:tableColumn id="6" name="Teléfonos"/>
    <x:tableColumn id="7" name="Microzona"/>
    <x:tableColumn id="8" name="Necesidad probable"/>
    <x:tableColumn id="9" name="Oferta PRESOL"/>
    <x:tableColumn id="10" name="Acción sugerida"/>
    <x:tableColumn id="11" name="Google Map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ProspectosVillaMaria" displayName="ProspectosVillaMaria" ref="A1:AF110" headerRowCount="1" totalsRowCount="0" totalsRowShown="0">
  <x:tableColumns count="32">
    <x:tableColumn id="1" name="ID"/>
    <x:tableColumn id="2" name="Estado de contacto"/>
    <x:tableColumn id="3" name="Corredor"/>
    <x:tableColumn id="4" name="Microzona"/>
    <x:tableColumn id="5" name="Ciudad"/>
    <x:tableColumn id="6" name="Clase"/>
    <x:tableColumn id="7" name="Puntaje operativo"/>
    <x:tableColumn id="8" name="Empresa"/>
    <x:tableColumn id="9" name="Sector"/>
    <x:tableColumn id="10" name="Categoría comercial"/>
    <x:tableColumn id="11" name="Teléfonos"/>
    <x:tableColumn id="12" name="Calidad del teléfono"/>
    <x:tableColumn id="13" name="Preguntar por"/>
    <x:tableColumn id="14" name="Necesidad probable"/>
    <x:tableColumn id="15" name="Oferta PRESOL"/>
    <x:tableColumn id="16" name="Gancho comercial"/>
    <x:tableColumn id="17" name="Acción sugerida"/>
    <x:tableColumn id="18" name="Responsable"/>
    <x:tableColumn id="19" name="Dirección"/>
    <x:tableColumn id="20" name="Resultado"/>
    <x:tableColumn id="21" name="Fecha de visita"/>
    <x:tableColumn id="22" name="Próximo paso"/>
    <x:tableColumn id="23" name="Notas de campo"/>
    <x:tableColumn id="24" name="Teléfono principal"/>
    <x:tableColumn id="25" name="Google Maps"/>
    <x:tableColumn id="26" name="Fuente"/>
    <x:tableColumn id="27" name="URL fuente"/>
    <x:tableColumn id="28" name="Evidencia"/>
    <x:tableColumn id="29" name="Calidad del dato"/>
    <x:tableColumn id="30" name="Origen del registro"/>
    <x:tableColumn id="31" name="Servicios PRESOL a ofrecer"/>
    <x:tableColumn id="32" name="Prioridad visita sugerid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utaAPlusVillaMaria" displayName="RutaAPlusVillaMaria" ref="A4:L32" headerRowCount="1" totalsRowCount="0" totalsRowShown="0">
  <x:tableColumns count="12">
    <x:tableColumn id="1" name="Orden"/>
    <x:tableColumn id="2" name="Zona"/>
    <x:tableColumn id="3" name="Empresa"/>
    <x:tableColumn id="4" name="Score"/>
    <x:tableColumn id="5" name="Teléfono"/>
    <x:tableColumn id="6" name="Dirección"/>
    <x:tableColumn id="7" name="Preguntar por"/>
    <x:tableColumn id="8" name="Necesidad"/>
    <x:tableColumn id="9" name="Oferta PRESOL"/>
    <x:tableColumn id="10" name="Acción"/>
    <x:tableColumn id="11" name="Google Maps"/>
    <x:tableColumn id="12" name="Fuen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utasMapsVillaMaria" displayName="RutasMapsVillaMaria" ref="A9:I29" headerRowCount="1" totalsRowCount="0" totalsRowShown="0">
  <x:tableColumns count="9">
    <x:tableColumn id="1" name="Circuito"/>
    <x:tableColumn id="2" name="Orden"/>
    <x:tableColumn id="3" name="Empresa"/>
    <x:tableColumn id="4" name="Dirección"/>
    <x:tableColumn id="5" name="Mapa individual"/>
    <x:tableColumn id="6" name="Ruta completa"/>
    <x:tableColumn id="7" name="Estado visita"/>
    <x:tableColumn id="8" name="Teléfono"/>
    <x:tableColumn id="9" name="Preguntar po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tactosVerificarVillaMaria" displayName="ContactosVerificarVillaMaria" ref="A1:I107" headerRowCount="1" totalsRowCount="0" totalsRowShown="0">
  <x:tableColumns count="9">
    <x:tableColumn id="1" name="ID"/>
    <x:tableColumn id="2" name="Clase"/>
    <x:tableColumn id="3" name="Empresa"/>
    <x:tableColumn id="4" name="Teléfonos"/>
    <x:tableColumn id="5" name="Calidad"/>
    <x:tableColumn id="6" name="Preguntar por"/>
    <x:tableColumn id="7" name="Dirección"/>
    <x:tableColumn id="8" name="Fuente"/>
    <x:tableColumn id="9" name="URL fuen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ILTVillaMaria" displayName="PILTVillaMaria" ref="A4:L47" headerRowCount="1" totalsRowCount="0" totalsRowShown="0">
  <x:tableColumns count="12">
    <x:tableColumn id="1" name="Clase"/>
    <x:tableColumn id="2" name="Score"/>
    <x:tableColumn id="3" name="Empresa"/>
    <x:tableColumn id="4" name="Categoría"/>
    <x:tableColumn id="5" name="Teléfono"/>
    <x:tableColumn id="6" name="Dirección"/>
    <x:tableColumn id="7" name="Preguntar por"/>
    <x:tableColumn id="8" name="Evidencia"/>
    <x:tableColumn id="9" name="Calidad"/>
    <x:tableColumn id="10" name="Fuente"/>
    <x:tableColumn id="11" name="URL"/>
    <x:tableColumn id="12" name="Google Map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ocoAgroConstruccionVM" displayName="FocoAgroConstruccionVM" ref="A1:K23" headerRowCount="1" totalsRowCount="0" totalsRowShown="0">
  <x:tableColumns count="11">
    <x:tableColumn id="1" name="Tipo"/>
    <x:tableColumn id="2" name="ID"/>
    <x:tableColumn id="3" name="Clase"/>
    <x:tableColumn id="4" name="Score"/>
    <x:tableColumn id="5" name="Empresa"/>
    <x:tableColumn id="6" name="Rubro"/>
    <x:tableColumn id="7" name="Teléfono"/>
    <x:tableColumn id="8" name="Dirección"/>
    <x:tableColumn id="9" name="Preguntar por"/>
    <x:tableColumn id="10" name="Por qué interesa a PRESOL"/>
    <x:tableColumn id="11" name="Fu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78c6b022164c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82cddfed7e245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84bb7fdcc9e43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5e3e26c33242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6774dfed4741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295d35a7e749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3f72ab8a9ac42b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9a9aeb66fc04476c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8" hidden="0" customWidth="1"/>
    <x:col min="3" max="3" width="8" hidden="0" customWidth="1"/>
    <x:col min="4" max="4" width="31" hidden="0" customWidth="1"/>
    <x:col min="5" max="5" width="28" hidden="0" customWidth="1"/>
    <x:col min="6" max="6" width="22" hidden="0" customWidth="1"/>
    <x:col min="7" max="7" width="26" hidden="0" customWidth="1"/>
    <x:col min="8" max="8" width="42" hidden="0" customWidth="1"/>
    <x:col min="9" max="9" width="40" hidden="0" customWidth="1"/>
    <x:col min="10" max="10" width="40" hidden="0" customWidth="1"/>
    <x:col min="11" max="11" width="38" hidden="0" customWidth="1"/>
  </x:cols>
  <x:sheetData>
    <x:row r="1">
      <x:c r="A1" s="17" t="str">
        <x:v>PRESOL · PROSPECTOS VILLA MARÍA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</x:row>
    <x:row r="2">
      <x:c r="A2" s="21" t="str">
        <x:v>Barrido integral · PILT + AU9/RN9 + RN158 + corredores industriales · 15/09/2026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</x:row>
    <x:row r="4">
      <x:c r="A4" s="24" t="str">
        <x:v>TOTAL</x:v>
      </x:c>
      <x:c r="B4" s="28" t="n">
        <x:f>COUNTA(Prospectos!H:H)-1</x:f>
        <x:v>109</x:v>
      </x:c>
    </x:row>
    <x:row r="5">
      <x:c r="A5" s="24" t="str">
        <x:v>A+</x:v>
      </x:c>
      <x:c r="B5" s="28" t="n">
        <x:f>COUNTIF(Prospectos!F:F,"A+")</x:f>
        <x:v>49</x:v>
      </x:c>
    </x:row>
    <x:row r="6">
      <x:c r="A6" s="24" t="str">
        <x:v>A</x:v>
      </x:c>
      <x:c r="B6" s="28" t="n">
        <x:f>COUNTIF(Prospectos!F:F,"A")</x:f>
        <x:v>47</x:v>
      </x:c>
    </x:row>
    <x:row r="7">
      <x:c r="A7" s="24" t="str">
        <x:v>B</x:v>
      </x:c>
      <x:c r="B7" s="28" t="n">
        <x:f>COUNTIF(Prospectos!F:F,"B")</x:f>
        <x:v>13</x:v>
      </x:c>
    </x:row>
    <x:row r="8">
      <x:c r="A8" s="24" t="str">
        <x:v>TELÉFONOS OK</x:v>
      </x:c>
      <x:c r="B8" s="28" t="n">
        <x:f>COUNTIF(Prospectos!L:L,"OK")</x:f>
        <x:v>72</x:v>
      </x:c>
    </x:row>
    <x:row r="11">
      <x:c r="A11" s="6" t="str">
        <x:v>ID</x:v>
      </x:c>
      <x:c r="B11" s="6" t="str">
        <x:v>Clase</x:v>
      </x:c>
      <x:c r="C11" s="6" t="str">
        <x:v>Score</x:v>
      </x:c>
      <x:c r="D11" s="6" t="str">
        <x:v>Empresa</x:v>
      </x:c>
      <x:c r="E11" s="6" t="str">
        <x:v>Categoría</x:v>
      </x:c>
      <x:c r="F11" s="6" t="str">
        <x:v>Teléfonos</x:v>
      </x:c>
      <x:c r="G11" s="6" t="str">
        <x:v>Microzona</x:v>
      </x:c>
      <x:c r="H11" s="6" t="str">
        <x:v>Necesidad probable</x:v>
      </x:c>
      <x:c r="I11" s="6" t="str">
        <x:v>Oferta PRESOL</x:v>
      </x:c>
      <x:c r="J11" s="6" t="str">
        <x:v>Acción sugerida</x:v>
      </x:c>
      <x:c r="K11" s="6" t="str">
        <x:v>Google Maps</x:v>
      </x:c>
    </x:row>
    <x:row r="12">
      <x:c r="A12" s="12" t="str">
        <x:v>VM-001</x:v>
      </x:c>
      <x:c r="B12" s="12" t="str">
        <x:v>A+</x:v>
      </x:c>
      <x:c r="C12" s="12" t="n">
        <x:v>100</x:v>
      </x:c>
      <x:c r="D12" s="12" t="str">
        <x:v>BAUMAR SAS</x:v>
      </x:c>
      <x:c r="E12" s="12" t="str">
        <x:v>Dealer / alquiler maquinaria vial y agrícola</x:v>
      </x:c>
      <x:c r="F12" s="12" t="str">
        <x:v>+54 353 4014200</x:v>
      </x:c>
      <x:c r="G12" s="12" t="str">
        <x:v>AU9 km 560–563</x:v>
      </x:c>
      <x:c r="H12" s="12" t="str">
        <x:v>Entrega/retiro de maquinaria, usados, service y traslados entre cliente, taller y campo/obra.</x:v>
      </x:c>
      <x:c r="I12" s="12" t="str">
        <x:v>Plataforma 20 tn + malacate + hidrogrúa de apoyo + seguro/GPS.</x:v>
      </x:c>
      <x:c r="J12" s="12" t="str">
        <x:v>Pedir logística/posventa; relevar equipos, pesos y frecuencia mensual.</x:v>
      </x:c>
      <x:c r="K12" s="12" t="str">
        <x:v>https://www.google.com/maps/search/?api=1&amp;query=BAUMAR+SAS%2C+Colectora+AU9+km+561%2C+Villa+Mar%C3%ADa%2C+C%C3%B3rdoba</x:v>
      </x:c>
    </x:row>
    <x:row r="13">
      <x:c r="A13" s="12" t="str">
        <x:v>VM-002</x:v>
      </x:c>
      <x:c r="B13" s="12" t="str">
        <x:v>A+</x:v>
      </x:c>
      <x:c r="C13" s="12" t="n">
        <x:v>100</x:v>
      </x:c>
      <x:c r="D13" s="12" t="str">
        <x:v>Caon - Concesionario Oficial CASE IH</x:v>
      </x:c>
      <x:c r="E13" s="12" t="str">
        <x:v>Dealer maquinaria agrícola</x:v>
      </x:c>
      <x:c r="F13" s="12" t="str">
        <x:v>+54 353 6560791</x:v>
      </x:c>
      <x:c r="G13" s="12" t="str">
        <x:v>AU9 km 560–563</x:v>
      </x:c>
      <x:c r="H13" s="12" t="str">
        <x:v>Entrega/retiro de maquinaria, usados, service y traslados entre cliente, taller y campo/obra.</x:v>
      </x:c>
      <x:c r="I13" s="12" t="str">
        <x:v>Plataforma 20 tn + malacate + hidrogrúa de apoyo + seguro/GPS.</x:v>
      </x:c>
      <x:c r="J13" s="12" t="str">
        <x:v>Pedir logística/posventa; relevar equipos, pesos y frecuencia mensual.</x:v>
      </x:c>
      <x:c r="K13" s="12" t="str">
        <x:v>https://www.google.com/maps/search/?api=1&amp;query=Caon+-+Concesionario+Oficial+CASE+IH%2C+Au+C%C3%B3rdoba+-+Rosario+km+560%2C+Villa+Mar%C3%ADa%2C+C%C3%B3rdoba</x:v>
      </x:c>
    </x:row>
    <x:row r="14">
      <x:c r="A14" s="12" t="str">
        <x:v>VM-003</x:v>
      </x:c>
      <x:c r="B14" s="12" t="str">
        <x:v>A+</x:v>
      </x:c>
      <x:c r="C14" s="12" t="n">
        <x:v>100</x:v>
      </x:c>
      <x:c r="D14" s="12" t="str">
        <x:v>Industrias Cormetal S.A.</x:v>
      </x:c>
      <x:c r="E14" s="12" t="str">
        <x:v>Metalúrgica / acoplados / semirremolques</x:v>
      </x:c>
      <x:c r="F14" s="12" t="str">
        <x:v>0353 4610900</x:v>
      </x:c>
      <x:c r="G14" s="12" t="str">
        <x:v>RN9 km 551–556</x:v>
      </x:c>
      <x:c r="H14" s="12" t="str">
        <x:v>Movilización de camiones, acoplados, semirremolques o unidades que no pueden circular; despachos de fábrica.</x:v>
      </x:c>
      <x:c r="I14" s="12" t="str">
        <x:v>Plataforma 20 tn + malacate + hidrogrúa según maniobra.</x:v>
      </x:c>
      <x:c r="J14" s="12" t="str">
        <x:v>Pedir expedición/taller/logística; consultar movimientos mensuales y pesos.</x:v>
      </x:c>
      <x:c r="K14" s="12" t="str">
        <x:v>https://www.google.com/maps/search/?api=1&amp;query=Industrias+Cormetal+S.A.%2C+RN9+km+556%2C+Villa+Mar%C3%ADa%2C+C%C3%B3rdoba</x:v>
      </x:c>
    </x:row>
    <x:row r="15">
      <x:c r="A15" s="12" t="str">
        <x:v>VM-004</x:v>
      </x:c>
      <x:c r="B15" s="12" t="str">
        <x:v>A+</x:v>
      </x:c>
      <x:c r="C15" s="12" t="n">
        <x:v>100</x:v>
      </x:c>
      <x:c r="D15" s="12" t="str">
        <x:v>Pedrolga</x:v>
      </x:c>
      <x:c r="E15" s="12" t="str">
        <x:v>Logística / almacenamiento / transporte</x:v>
      </x:c>
      <x:c r="F15" s="12" t="str">
        <x:v>+54 353 4252853</x:v>
      </x:c>
      <x:c r="G15" s="12" t="str">
        <x:v>PILT / RN9 km 551,5</x:v>
      </x:c>
      <x:c r="H15" s="12" t="str">
        <x:v>Overflow y derivación de cargas/equipos que requieren plataforma, malacate o hidrogrúa.</x:v>
      </x:c>
      <x:c r="I15" s="12" t="str">
        <x:v>Capacidad complementaria: plataforma 20 tn + hidrogrúa + malacate.</x:v>
      </x:c>
      <x:c r="J15" s="12" t="str">
        <x:v>Pedir tráfico/operaciones; ofrecer acuerdo de derivaciones y contingencias.</x:v>
      </x:c>
      <x:c r="K15" s="12" t="str">
        <x:v>https://www.google.com/maps/search/?api=1&amp;query=Pedrolga%2C+PILT%2C+RN9+km+551%2C5%2C+Villa+Mar%C3%ADa%2C+C%C3%B3rdoba</x:v>
      </x:c>
    </x:row>
    <x:row r="16">
      <x:c r="A16" s="12" t="str">
        <x:v>VM-005</x:v>
      </x:c>
      <x:c r="B16" s="12" t="str">
        <x:v>A+</x:v>
      </x:c>
      <x:c r="C16" s="12" t="n">
        <x:v>100</x:v>
      </x:c>
      <x:c r="D16" s="12" t="str">
        <x:v>Terramar Logística - Villa María</x:v>
      </x:c>
      <x:c r="E16" s="12" t="str">
        <x:v>Logística / contenedores / depósito fiscal</x:v>
      </x:c>
      <x:c r="F16" s="12" t="str">
        <x:v>0353 4236807</x:v>
      </x:c>
      <x:c r="G16" s="12" t="str">
        <x:v>PILT / RN9 km 551,5</x:v>
      </x:c>
      <x:c r="H16" s="12" t="str">
        <x:v>Overflow y derivación de cargas/equipos que requieren plataforma, malacate o hidrogrúa.</x:v>
      </x:c>
      <x:c r="I16" s="12" t="str">
        <x:v>Capacidad complementaria: plataforma 20 tn + hidrogrúa + malacate.</x:v>
      </x:c>
      <x:c r="J16" s="12" t="str">
        <x:v>Pedir tráfico/operaciones; ofrecer acuerdo de derivaciones y contingencias.</x:v>
      </x:c>
      <x:c r="K16" s="12" t="str">
        <x:v>https://www.google.com/maps/search/?api=1&amp;query=Terramar+Log%C3%ADstica+-+Villa+Mar%C3%ADa%2C+RN9+km+551%2C5%2C+PILT%2C+Villa+Mar%C3%ADa%2C+C%C3%B3rdoba</x:v>
      </x:c>
    </x:row>
    <x:row r="17">
      <x:c r="A17" s="12" t="str">
        <x:v>VM-006</x:v>
      </x:c>
      <x:c r="B17" s="12" t="str">
        <x:v>A+</x:v>
      </x:c>
      <x:c r="C17" s="12" t="n">
        <x:v>100</x:v>
      </x:c>
      <x:c r="D17" s="12" t="str">
        <x:v>Terranova Movimiento de Suelo</x:v>
      </x:c>
      <x:c r="E17" s="12" t="str">
        <x:v>Movimiento de suelo</x:v>
      </x:c>
      <x:c r="F17" s="12" t="str">
        <x:v>+54 353 4065207</x:v>
      </x:c>
      <x:c r="G17" s="12" t="str">
        <x:v>Urbano</x:v>
      </x:c>
      <x:c r="H17" s="12" t="str">
        <x:v>Traslados interobra de excavadoras, retroexcavadoras, minicargadoras, rodillos y equipos viales.</x:v>
      </x:c>
      <x:c r="I17" s="12" t="str">
        <x:v>Plataforma 20 tn + malacate + seguro/GPS.</x:v>
      </x:c>
      <x:c r="J17" s="12" t="str">
        <x:v>Pedir dueño/jefe de equipos; relevar flota, pesos y frecuencia interobra.</x:v>
      </x:c>
      <x:c r="K17" s="12" t="str">
        <x:v>https://www.google.com/maps/search/?api=1&amp;query=Terranova+Movimiento+de+Suelo%2C+Ascasubi+577%2C+Villa+Mar%C3%ADa%2C+C%C3%B3rdoba</x:v>
      </x:c>
    </x:row>
    <x:row r="18">
      <x:c r="A18" s="12" t="str">
        <x:v>VM-007</x:v>
      </x:c>
      <x:c r="B18" s="12" t="str">
        <x:v>A+</x:v>
      </x:c>
      <x:c r="C18" s="12" t="n">
        <x:v>100</x:v>
      </x:c>
      <x:c r="D18" s="12" t="str">
        <x:v>Bartolomé Cerutti SRL - New Holland</x:v>
      </x:c>
      <x:c r="E18" s="12" t="str">
        <x:v>Concesionario New Holland: tractores, cosechadoras y maquinaria agrícola/construcción</x:v>
      </x:c>
      <x:c r="F18" s="12" t="str">
        <x:v>0353 4522560 / 0353 154208761</x:v>
      </x:c>
      <x:c r="G18" s="12" t="str">
        <x:v>Urbano industrial</x:v>
      </x:c>
      <x:c r="H18" s="12" t="str">
        <x:v>Entrega/retiro de maquinaria, usados, service y traslados entre cliente, taller y campo/obra.</x:v>
      </x:c>
      <x:c r="I18" s="12" t="str">
        <x:v>Plataforma 20 tn + malacate + hidrogrúa de apoyo + seguro/GPS.</x:v>
      </x:c>
      <x:c r="J18" s="12" t="str">
        <x:v>Pedir logística/posventa; relevar equipos, pesos y frecuencia mensual.</x:v>
      </x:c>
      <x:c r="K18" s="12" t="str">
        <x:v>https://www.google.com/maps/search/?api=1&amp;query=Bartolom%C3%A9+Cerutti+SRL+-+New+Holland%2C+Larrabure+1100%2C+Villa+Mar%C3%ADa%2C+C%C3%B3rdoba</x:v>
      </x:c>
    </x:row>
    <x:row r="19">
      <x:c r="A19" s="12" t="str">
        <x:v>VM-008</x:v>
      </x:c>
      <x:c r="B19" s="12" t="str">
        <x:v>A+</x:v>
      </x:c>
      <x:c r="C19" s="12" t="n">
        <x:v>99</x:v>
      </x:c>
      <x:c r="D19" s="12" t="str">
        <x:v>Metalúrgica JAP</x:v>
      </x:c>
      <x:c r="E19" s="12" t="str">
        <x:v>Carrocerías / trailers / estructuras</x:v>
      </x:c>
      <x:c r="F19" s="12" t="str">
        <x:v>+54 353 6563732 / +54 353 5657977</x:v>
      </x:c>
      <x:c r="G19" s="12" t="str">
        <x:v>PILT / acceso industrial</x:v>
      </x:c>
      <x:c r="H19" s="12" t="str">
        <x:v>Movilización de camiones, acoplados, semirremolques o unidades que no pueden circular; despachos de fábrica.</x:v>
      </x:c>
      <x:c r="I19" s="12" t="str">
        <x:v>Plataforma 20 tn + malacate + hidrogrúa según maniobra.</x:v>
      </x:c>
      <x:c r="J19" s="12" t="str">
        <x:v>Pedir expedición/taller/logística; consultar movimientos mensuales y pesos.</x:v>
      </x:c>
      <x:c r="K19" s="12" t="str">
        <x:v>https://www.google.com/maps/search/?api=1&amp;query=Metal%C3%BArgica+JAP%2C+J.+Carlos+Avalle+6058%2C+Villa+Mar%C3%ADa%2C+C%C3%B3rdoba</x:v>
      </x:c>
    </x:row>
    <x:row r="20">
      <x:c r="A20" s="12" t="str">
        <x:v>VM-009</x:v>
      </x:c>
      <x:c r="B20" s="12" t="str">
        <x:v>A+</x:v>
      </x:c>
      <x:c r="C20" s="12" t="n">
        <x:v>99</x:v>
      </x:c>
      <x:c r="D20" s="12" t="str">
        <x:v>Pauny - Comercializadora Pauny</x:v>
      </x:c>
      <x:c r="E20" s="12" t="str">
        <x:v>Dealer maquinaria agrícola</x:v>
      </x:c>
      <x:c r="F20" s="12" t="str">
        <x:v>+54 353 5002145</x:v>
      </x:c>
      <x:c r="G20" s="12" t="str">
        <x:v>AU9 / Colectora Sur</x:v>
      </x:c>
      <x:c r="H20" s="12" t="str">
        <x:v>Entrega/retiro de maquinaria, usados, service y traslados entre cliente, taller y campo/obra.</x:v>
      </x:c>
      <x:c r="I20" s="12" t="str">
        <x:v>Plataforma 20 tn + malacate + hidrogrúa de apoyo + seguro/GPS.</x:v>
      </x:c>
      <x:c r="J20" s="12" t="str">
        <x:v>Pedir logística/posventa; relevar equipos, pesos y frecuencia mensual.</x:v>
      </x:c>
      <x:c r="K20" s="12" t="str">
        <x:v>https://www.google.com/maps/search/?api=1&amp;query=Pauny+-+Comercializadora+Pauny%2C+Colectora+Sur+esq.+Francisco+Garc%C3%ADa%2C+AU+C%C3%B3rdoba-Rosario%2C+Villa+Mar%C3%ADa%2C+C%C3%B3rdoba</x:v>
      </x:c>
    </x:row>
    <x:row r="21">
      <x:c r="A21" s="12" t="str">
        <x:v>VM-010</x:v>
      </x:c>
      <x:c r="B21" s="12" t="str">
        <x:v>A+</x:v>
      </x:c>
      <x:c r="C21" s="12" t="n">
        <x:v>99</x:v>
      </x:c>
      <x:c r="D21" s="12" t="str">
        <x:v>SCANIA Región Centro Villa María</x:v>
      </x:c>
      <x:c r="E21" s="12" t="str">
        <x:v>Dealer camiones pesados</x:v>
      </x:c>
      <x:c r="F21" s="12" t="str">
        <x:v>+54 353 4783255</x:v>
      </x:c>
      <x:c r="G21" s="12" t="str">
        <x:v>AU9 km 560–563</x:v>
      </x:c>
      <x:c r="H21" s="12" t="str">
        <x:v>Entrega/retiro de maquinaria, usados, service y traslados entre cliente, taller y campo/obra.</x:v>
      </x:c>
      <x:c r="I21" s="12" t="str">
        <x:v>Plataforma 20 tn + malacate + hidrogrúa de apoyo + seguro/GPS.</x:v>
      </x:c>
      <x:c r="J21" s="12" t="str">
        <x:v>Pedir logística/posventa; relevar equipos, pesos y frecuencia mensual.</x:v>
      </x:c>
      <x:c r="K21" s="12" t="str">
        <x:v>https://www.google.com/maps/search/?api=1&amp;query=SCANIA+Regi%C3%B3n+Centro+Villa+Mar%C3%ADa%2C+Colectora+AU+C%C3%B3rdoba-Rosario+km+562%2C+Villa+Mar%C3%ADa%2C+C%C3%B3rdoba</x:v>
      </x:c>
    </x:row>
    <x:row r="22">
      <x:c r="A22" s="12" t="str">
        <x:v>VM-011</x:v>
      </x:c>
      <x:c r="B22" s="12" t="str">
        <x:v>A+</x:v>
      </x:c>
      <x:c r="C22" s="12" t="n">
        <x:v>98</x:v>
      </x:c>
      <x:c r="D22" s="12" t="str">
        <x:v>Agro GM Sucursal Villa María</x:v>
      </x:c>
      <x:c r="E22" s="12" t="str">
        <x:v>Dealer maquinaria agrícola</x:v>
      </x:c>
      <x:c r="F22" s="12" t="str">
        <x:v>+54 353 6560055</x:v>
      </x:c>
      <x:c r="G22" s="12" t="str">
        <x:v>RN158 / Área 158</x:v>
      </x:c>
      <x:c r="H22" s="12" t="str">
        <x:v>Entrega/retiro de maquinaria, usados, service y traslados entre cliente, taller y campo/obra.</x:v>
      </x:c>
      <x:c r="I22" s="12" t="str">
        <x:v>Plataforma 20 tn + malacate + hidrogrúa de apoyo + seguro/GPS.</x:v>
      </x:c>
      <x:c r="J22" s="12" t="str">
        <x:v>Pedir logística/posventa; relevar equipos, pesos y frecuencia mensual.</x:v>
      </x:c>
      <x:c r="K22" s="12" t="str">
        <x:v>https://www.google.com/maps/search/?api=1&amp;query=Agro+GM+Sucursal+Villa+Mar%C3%ADa%2C+%C3%81rea+158+km+154%2C5%2C+Villa+Mar%C3%ADa%2C+C%C3%B3rdoba</x:v>
      </x:c>
    </x:row>
    <x:row r="23">
      <x:c r="A23" s="12" t="str">
        <x:v>VM-012</x:v>
      </x:c>
      <x:c r="B23" s="12" t="str">
        <x:v>A+</x:v>
      </x:c>
      <x:c r="C23" s="12" t="n">
        <x:v>98</x:v>
      </x:c>
      <x:c r="D23" s="12" t="str">
        <x:v>GEMA ARGENTINA</x:v>
      </x:c>
      <x:c r="E23" s="12" t="str">
        <x:v>Fabricante de maquinaria agrícola</x:v>
      </x:c>
      <x:c r="F23" s="12" t="str">
        <x:v>+54 353 4257703</x:v>
      </x:c>
      <x:c r="G23" s="12" t="str">
        <x:v>Av. Perón / Industrial</x:v>
      </x:c>
      <x:c r="H23" s="12" t="str">
        <x:v>Entrega/retiro de maquinaria, usados, service y traslados entre cliente, taller y campo/obra.</x:v>
      </x:c>
      <x:c r="I23" s="12" t="str">
        <x:v>Plataforma 20 tn + malacate + hidrogrúa de apoyo + seguro/GPS.</x:v>
      </x:c>
      <x:c r="J23" s="12" t="str">
        <x:v>Pedir logística/posventa; relevar equipos, pesos y frecuencia mensual.</x:v>
      </x:c>
      <x:c r="K23" s="12" t="str">
        <x:v>https://www.google.com/maps/search/?api=1&amp;query=GEMA+ARGENTINA%2C+Av.+Presidente+Per%C3%B3n+y+Paso+de+la+Patria%2C+Villa+Mar%C3%ADa%2C+C%C3%B3rdoba</x:v>
      </x:c>
    </x:row>
    <x:row r="24">
      <x:c r="A24" s="12" t="str">
        <x:v>VM-013</x:v>
      </x:c>
      <x:c r="B24" s="12" t="str">
        <x:v>A+</x:v>
      </x:c>
      <x:c r="C24" s="12" t="n">
        <x:v>98</x:v>
      </x:c>
      <x:c r="D24" s="12" t="str">
        <x:v>GEMELO MAQUINARIAS</x:v>
      </x:c>
      <x:c r="E24" s="12" t="str">
        <x:v>Fabricante de maquinaria agrícola</x:v>
      </x:c>
      <x:c r="F24" s="12" t="str">
        <x:v>+54 353 6573496</x:v>
      </x:c>
      <x:c r="G24" s="12" t="str">
        <x:v>RN158 / Área 158</x:v>
      </x:c>
      <x:c r="H24" s="12" t="str">
        <x:v>Entrega/retiro de maquinaria, usados, service y traslados entre cliente, taller y campo/obra.</x:v>
      </x:c>
      <x:c r="I24" s="12" t="str">
        <x:v>Plataforma 20 tn + malacate + hidrogrúa de apoyo + seguro/GPS.</x:v>
      </x:c>
      <x:c r="J24" s="12" t="str">
        <x:v>Pedir logística/posventa; relevar equipos, pesos y frecuencia mensual.</x:v>
      </x:c>
      <x:c r="K24" s="12" t="str">
        <x:v>https://www.google.com/maps/search/?api=1&amp;query=GEMELO+MAQUINARIAS%2C+RN158+km+156%2C+Villa+Mar%C3%ADa%2C+C%C3%B3rdoba</x:v>
      </x:c>
    </x:row>
    <x:row r="25">
      <x:c r="A25" s="12" t="str">
        <x:v>VM-014</x:v>
      </x:c>
      <x:c r="B25" s="12" t="str">
        <x:v>A+</x:v>
      </x:c>
      <x:c r="C25" s="12" t="n">
        <x:v>97</x:v>
      </x:c>
      <x:c r="D25" s="12" t="str">
        <x:v>LatinaCam Villa María - Volvo Trucks &amp; Buses</x:v>
      </x:c>
      <x:c r="E25" s="12" t="str">
        <x:v>Dealer camiones pesados</x:v>
      </x:c>
      <x:c r="F25" s="12" t="str">
        <x:v>+54 351 4928750</x:v>
      </x:c>
      <x:c r="G25" s="12" t="str">
        <x:v>AU9</x:v>
      </x:c>
      <x:c r="H25" s="12" t="str">
        <x:v>Entrega/retiro de maquinaria, usados, service y traslados entre cliente, taller y campo/obra.</x:v>
      </x:c>
      <x:c r="I25" s="12" t="str">
        <x:v>Plataforma 20 tn + malacate + hidrogrúa de apoyo + seguro/GPS.</x:v>
      </x:c>
      <x:c r="J25" s="12" t="str">
        <x:v>Pedir logística/posventa; relevar equipos, pesos y frecuencia mensual.</x:v>
      </x:c>
      <x:c r="K25" s="12" t="str">
        <x:v>https://www.google.com/maps/search/?api=1&amp;query=LatinaCam+Villa+Mar%C3%ADa+-+Volvo+Trucks+%26+Buses%2C+Autopista+C%C3%B3rdoba-Rosario%2C+Villa+Mar%C3%ADa%2C+C%C3%B3rdoba</x:v>
      </x:c>
    </x:row>
    <x:row r="26">
      <x:c r="A26" s="12" t="str">
        <x:v>VM-015</x:v>
      </x:c>
      <x:c r="B26" s="12" t="str">
        <x:v>A+</x:v>
      </x:c>
      <x:c r="C26" s="12" t="n">
        <x:v>97</x:v>
      </x:c>
      <x:c r="D26" s="12" t="str">
        <x:v>MB Logística - Autoelevadores</x:v>
      </x:c>
      <x:c r="E26" s="12" t="str">
        <x:v>Alquiler autoelevadores / logística</x:v>
      </x:c>
      <x:c r="F26" s="12" t="str">
        <x:v>0353 4065634</x:v>
      </x:c>
      <x:c r="G26" s="12" t="str">
        <x:v>Porfirio Seppey / Industrial</x:v>
      </x:c>
      <x:c r="H26" s="12" t="str">
        <x:v>Entrega/retiro de equipos de elevación y apoyo en maniobras o posicionamiento.</x:v>
      </x:c>
      <x:c r="I26" s="12" t="str">
        <x:v>Plataforma 20 tn + malacate + hidrogrúa.</x:v>
      </x:c>
      <x:c r="J26" s="12" t="str">
        <x:v>Pedir operaciones/alquileres; relevar flota, pesos y zonas de servicio.</x:v>
      </x:c>
      <x:c r="K26" s="12" t="str">
        <x:v>https://www.google.com/maps/search/?api=1&amp;query=MB+Log%C3%ADstica+-+Autoelevadores%2C+Porfirio+Seppey+1807%2C+Villa+Mar%C3%ADa%2C+C%C3%B3rdoba</x:v>
      </x:c>
    </x:row>
    <x:row r="27">
      <x:c r="A27" s="12" t="str">
        <x:v>VM-016</x:v>
      </x:c>
      <x:c r="B27" s="12" t="str">
        <x:v>A+</x:v>
      </x:c>
      <x:c r="C27" s="12" t="n">
        <x:v>96</x:v>
      </x:c>
      <x:c r="D27" s="12" t="str">
        <x:v>Cristante Hnos. - Sucursal Villa María</x:v>
      </x:c>
      <x:c r="E27" s="12" t="str">
        <x:v>Dealer maquinaria agrícola</x:v>
      </x:c>
      <x:c r="F27" s="12" t="str">
        <x:v>0353 4203132</x:v>
      </x:c>
      <x:c r="G27" s="12" t="str">
        <x:v>Av. Perón / Ruta 9</x:v>
      </x:c>
      <x:c r="H27" s="12" t="str">
        <x:v>Entrega/retiro de maquinaria, usados, service y traslados entre cliente, taller y campo/obra.</x:v>
      </x:c>
      <x:c r="I27" s="12" t="str">
        <x:v>Plataforma 20 tn + malacate + hidrogrúa de apoyo + seguro/GPS.</x:v>
      </x:c>
      <x:c r="J27" s="12" t="str">
        <x:v>Pedir logística/posventa; relevar equipos, pesos y frecuencia mensual.</x:v>
      </x:c>
      <x:c r="K27" s="12" t="str">
        <x:v>https://www.google.com/maps/search/?api=1&amp;query=Cristante+Hnos.+-+Sucursal+Villa+Mar%C3%ADa%2C+Av.+Presidente+Per%C3%B3n+2370%2C+Villa+Mar%C3%ADa%2C+C%C3%B3rdoba</x:v>
      </x:c>
    </x:row>
    <x:row r="28">
      <x:c r="A28" s="12" t="str">
        <x:v>VM-017</x:v>
      </x:c>
      <x:c r="B28" s="12" t="str">
        <x:v>A+</x:v>
      </x:c>
      <x:c r="C28" s="12" t="n">
        <x:v>96</x:v>
      </x:c>
      <x:c r="D28" s="12" t="str">
        <x:v>Delpino Implementos Agrícolas</x:v>
      </x:c>
      <x:c r="E28" s="12" t="str">
        <x:v>Fabricante de implementos agrícolas</x:v>
      </x:c>
      <x:c r="F28" s="12" t="str">
        <x:v>+54 353 4238829</x:v>
      </x:c>
      <x:c r="G28" s="12" t="str">
        <x:v>RN158 / Área 158</x:v>
      </x:c>
      <x:c r="H28" s="12" t="str">
        <x:v>Entrega/retiro de maquinaria, usados, service y traslados entre cliente, taller y campo/obra.</x:v>
      </x:c>
      <x:c r="I28" s="12" t="str">
        <x:v>Plataforma 20 tn + malacate + hidrogrúa de apoyo + seguro/GPS.</x:v>
      </x:c>
      <x:c r="J28" s="12" t="str">
        <x:v>Pedir logística/posventa; relevar equipos, pesos y frecuencia mensual.</x:v>
      </x:c>
      <x:c r="K28" s="12" t="str">
        <x:v>https://www.google.com/maps/search/?api=1&amp;query=Delpino+Implementos+Agr%C3%ADcolas%2C+RN158+151%2C+Villa+Mar%C3%ADa%2C+C%C3%B3rdoba</x:v>
      </x:c>
    </x:row>
    <x:row r="29">
      <x:c r="A29" s="12" t="str">
        <x:v>VM-018</x:v>
      </x:c>
      <x:c r="B29" s="12" t="str">
        <x:v>A+</x:v>
      </x:c>
      <x:c r="C29" s="12" t="n">
        <x:v>96</x:v>
      </x:c>
      <x:c r="D29" s="12" t="str">
        <x:v>GRÚAS VILLA MARÍA S.R.L.</x:v>
      </x:c>
      <x:c r="E29" s="12" t="str">
        <x:v>Alquiler de grúas</x:v>
      </x:c>
      <x:c r="F29" s="12" t="str">
        <x:v>+54 9 353 4294901</x:v>
      </x:c>
      <x:c r="G29" s="12" t="str">
        <x:v>Porfirio Seppey / Industrial</x:v>
      </x:c>
      <x:c r="H29" s="12" t="str">
        <x:v>Entrega/retiro de equipos de elevación y apoyo en maniobras o posicionamiento.</x:v>
      </x:c>
      <x:c r="I29" s="12" t="str">
        <x:v>Plataforma 20 tn + malacate + hidrogrúa.</x:v>
      </x:c>
      <x:c r="J29" s="12" t="str">
        <x:v>Pedir operaciones/alquileres; relevar flota, pesos y zonas de servicio.</x:v>
      </x:c>
      <x:c r="K29" s="12" t="str">
        <x:v>https://www.google.com/maps/search/?api=1&amp;query=GR%C3%9AAS+VILLA+MAR%C3%8DA+S.R.L.%2C+Porfirio+Seppey+595%2C+Villa+Mar%C3%ADa%2C+C%C3%B3rdoba</x:v>
      </x:c>
    </x:row>
    <x:row r="30">
      <x:c r="A30" s="12" t="str">
        <x:v>VM-019</x:v>
      </x:c>
      <x:c r="B30" s="12" t="str">
        <x:v>A+</x:v>
      </x:c>
      <x:c r="C30" s="12" t="n">
        <x:v>99</x:v>
      </x:c>
      <x:c r="D30" s="12" t="str">
        <x:v>Managro Autopista</x:v>
      </x:c>
      <x:c r="E30" s="12" t="str">
        <x:v>Compraventa de maquinaria agrícola y vial</x:v>
      </x:c>
      <x:c r="F30" s="12" t="str">
        <x:v>+54 353 6572882</x:v>
      </x:c>
      <x:c r="G30" s="12" t="str">
        <x:v>Av. Perón / Industrial</x:v>
      </x:c>
      <x:c r="H30" s="12" t="str">
        <x:v>Entrega/retiro de tractores, cosechadoras, pulverizadoras, sembradoras, usados y equipos de service.</x:v>
      </x:c>
      <x:c r="I30" s="12" t="str">
        <x:v>Plataforma 20 tn + malacate + hidrogrúa de apoyo + seguro/GPS.</x:v>
      </x:c>
      <x:c r="J30" s="12" t="str">
        <x:v>Pedir gerente de ventas/logística/posventa; relevar equipos, pesos y movimientos mensuales.</x:v>
      </x:c>
      <x:c r="K30" s="12" t="str">
        <x:v>https://www.google.com/maps/search/?api=1&amp;query=MANAGRO+Implementos+Agr%C3%ADcolas%2C+Av.+Juan+Domingo+Per%C3%B3n+y+Panam%C3%A1%2C+Villa+Mar%C3%ADa%2C+C%C3%B3rdoba</x:v>
      </x:c>
    </x:row>
    <x:row r="31">
      <x:c r="A31" s="12" t="str">
        <x:v>VM-020</x:v>
      </x:c>
      <x:c r="B31" s="12" t="str">
        <x:v>A+</x:v>
      </x:c>
      <x:c r="C31" s="12" t="n">
        <x:v>95</x:v>
      </x:c>
      <x:c r="D31" s="12" t="str">
        <x:v>SALA - Villa María</x:v>
      </x:c>
      <x:c r="E31" s="12" t="str">
        <x:v>Maquinaria / equipos pesados</x:v>
      </x:c>
      <x:c r="F31" s="12" t="str">
        <x:v>+54 9 358 4870793</x:v>
      </x:c>
      <x:c r="G31" s="12" t="str">
        <x:v>AU9 km 560–563</x:v>
      </x:c>
      <x:c r="H31" s="12" t="str">
        <x:v>Entrega/retiro de maquinaria, usados, service y traslados entre cliente, taller y campo/obra.</x:v>
      </x:c>
      <x:c r="I31" s="12" t="str">
        <x:v>Plataforma 20 tn + malacate + hidrogrúa de apoyo + seguro/GPS.</x:v>
      </x:c>
      <x:c r="J31" s="12" t="str">
        <x:v>Pedir logística/posventa; relevar equipos, pesos y frecuencia mensual.</x:v>
      </x:c>
      <x:c r="K31" s="12" t="str">
        <x:v>https://www.google.com/maps/search/?api=1&amp;query=SALA+-+Villa+Mar%C3%ADa%2C+Av.+Colectora%2C+AU9+km+563%2C+Villa+Mar%C3%ADa%2C+C%C3%B3rdoba</x:v>
      </x:c>
    </x:row>
    <x:row r="32">
      <x:c r="A32" s="12" t="str">
        <x:v>VM-021</x:v>
      </x:c>
      <x:c r="B32" s="12" t="str">
        <x:v>A+</x:v>
      </x:c>
      <x:c r="C32" s="12" t="n">
        <x:v>94</x:v>
      </x:c>
      <x:c r="D32" s="12" t="str">
        <x:v>Izajes Villa María S.R.L.</x:v>
      </x:c>
      <x:c r="E32" s="12" t="str">
        <x:v>Izajes / equipos de elevación</x:v>
      </x:c>
      <x:c r="F32" s="12" t="str">
        <x:v>+54 353 5668799</x:v>
      </x:c>
      <x:c r="G32" s="12" t="str">
        <x:v>Porfirio Seppey / Industrial</x:v>
      </x:c>
      <x:c r="H32" s="12" t="str">
        <x:v>Entrega/retiro de equipos de elevación y apoyo en maniobras o posicionamiento.</x:v>
      </x:c>
      <x:c r="I32" s="12" t="str">
        <x:v>Plataforma 20 tn + malacate + hidrogrúa.</x:v>
      </x:c>
      <x:c r="J32" s="12" t="str">
        <x:v>Pedir operaciones/alquileres; relevar flota, pesos y zonas de servicio.</x:v>
      </x:c>
      <x:c r="K32" s="12" t="str">
        <x:v>https://www.google.com/maps/search/?api=1&amp;query=Izajes+Villa+Mar%C3%ADa+S.R.L.%2C+Porfirio+Seppey+585%2C+Villa+Mar%C3%ADa%2C+C%C3%B3rdoba</x:v>
      </x:c>
    </x:row>
    <x:row r="33">
      <x:c r="A33" s="12" t="str">
        <x:v>VM-022</x:v>
      </x:c>
      <x:c r="B33" s="12" t="str">
        <x:v>A+</x:v>
      </x:c>
      <x:c r="C33" s="12" t="n">
        <x:v>94</x:v>
      </x:c>
      <x:c r="D33" s="12" t="str">
        <x:v>Moray Precision Planting</x:v>
      </x:c>
      <x:c r="E33" s="12" t="str">
        <x:v>Agricultura de precisión / sembradoras</x:v>
      </x:c>
      <x:c r="F33" s="12" t="str">
        <x:v>A verificar</x:v>
      </x:c>
      <x:c r="G33" s="12" t="str">
        <x:v>PILT</x:v>
      </x:c>
      <x:c r="H33" s="12" t="str">
        <x:v>Movimientos de equipos o cargas especiales asociados a la operación.</x:v>
      </x:c>
      <x:c r="I33" s="12" t="str">
        <x:v>Plataforma 20 tn + hidrogrúa + malacate según necesidad.</x:v>
      </x:c>
      <x:c r="J33" s="12" t="str">
        <x:v>Contactar operaciones/logística y relevar movimientos actuales.</x:v>
      </x:c>
      <x:c r="K33" s="12" t="str">
        <x:v>https://www.google.com/maps/search/?api=1&amp;query=Moray+Precision+Planting%2C+Parque+Industrial%2C+Log%C3%ADstico+y+Tecnol%C3%B3gico+%28PILT%29%2C+RN9+km+551%2C5%2C+Villa+Mar%C3%ADa%2C+C%C3%B3rdoba</x:v>
      </x:c>
    </x:row>
    <x:row r="34">
      <x:c r="A34" s="12" t="str">
        <x:v>VM-023</x:v>
      </x:c>
      <x:c r="B34" s="12" t="str">
        <x:v>A+</x:v>
      </x:c>
      <x:c r="C34" s="12" t="n">
        <x:v>94</x:v>
      </x:c>
      <x:c r="D34" s="12" t="str">
        <x:v>Nuevo Remolques Trailer S.A.</x:v>
      </x:c>
      <x:c r="E34" s="12" t="str">
        <x:v>Remolques / semirremolques</x:v>
      </x:c>
      <x:c r="F34" s="12" t="str">
        <x:v>A verificar</x:v>
      </x:c>
      <x:c r="G34" s="12" t="str">
        <x:v>PILT</x:v>
      </x:c>
      <x:c r="H34" s="12" t="str">
        <x:v>Movilización de camiones, acoplados, semirremolques o unidades que no pueden circular; despachos de fábrica.</x:v>
      </x:c>
      <x:c r="I34" s="12" t="str">
        <x:v>Plataforma 20 tn + malacate + hidrogrúa según maniobra.</x:v>
      </x:c>
      <x:c r="J34" s="12" t="str">
        <x:v>Pedir expedición/taller/logística; consultar movimientos mensuales y pesos.</x:v>
      </x:c>
      <x:c r="K34" s="12" t="str">
        <x:v>https://www.google.com/maps/search/?api=1&amp;query=Nuevo+Remolques+Trailer+S.A.%2C+Parque+Industrial%2C+Log%C3%ADstico+y+Tecnol%C3%B3gico+%28PILT%29%2C+RN9+km+551%2C5%2C+Villa+Mar%C3%ADa%2C+C%C3%B3rdoba</x:v>
      </x:c>
    </x:row>
    <x:row r="35">
      <x:c r="A35" s="12" t="str">
        <x:v>VM-024</x:v>
      </x:c>
      <x:c r="B35" s="12" t="str">
        <x:v>A+</x:v>
      </x:c>
      <x:c r="C35" s="12" t="n">
        <x:v>94</x:v>
      </x:c>
      <x:c r="D35" s="12" t="str">
        <x:v>SURCAR SRL</x:v>
      </x:c>
      <x:c r="E35" s="12" t="str">
        <x:v>Proveedor de equipos agrícolas</x:v>
      </x:c>
      <x:c r="F35" s="12" t="str">
        <x:v>+54 351 7002987</x:v>
      </x:c>
      <x:c r="G35" s="12" t="str">
        <x:v>Av. Perón / Industrial</x:v>
      </x:c>
      <x:c r="H35" s="12" t="str">
        <x:v>Movimientos de equipos o cargas especiales asociados a la operación.</x:v>
      </x:c>
      <x:c r="I35" s="12" t="str">
        <x:v>Plataforma 20 tn + hidrogrúa + malacate según necesidad.</x:v>
      </x:c>
      <x:c r="J35" s="12" t="str">
        <x:v>Contactar operaciones/logística y relevar movimientos actuales.</x:v>
      </x:c>
      <x:c r="K35" s="12" t="str">
        <x:v>https://www.google.com/maps/search/?api=1&amp;query=SURCAR+SRL%2C+Av.+Presidente+Per%C3%B3n+2987%2C+Villa+Mar%C3%ADa%2C+C%C3%B3rdoba</x:v>
      </x:c>
    </x:row>
    <x:row r="36">
      <x:c r="A36" s="12" t="str">
        <x:v>VM-025</x:v>
      </x:c>
      <x:c r="B36" s="12" t="str">
        <x:v>A+</x:v>
      </x:c>
      <x:c r="C36" s="12" t="n">
        <x:v>100</x:v>
      </x:c>
      <x:c r="D36" s="12" t="str">
        <x:v>VM Agrícola</x:v>
      </x:c>
      <x:c r="E36" s="12" t="str">
        <x:v>Concesionaria multimarca: tractores, cosechadoras, sembradoras y pulverizadoras</x:v>
      </x:c>
      <x:c r="F36" s="12" t="str">
        <x:v>+54 353 5695760</x:v>
      </x:c>
      <x:c r="G36" s="12" t="str">
        <x:v>Centro / urbano</x:v>
      </x:c>
      <x:c r="H36" s="12" t="str">
        <x:v>Entrega/retiro de maquinaria, usados, service y traslados entre cliente, taller y campo/obra.</x:v>
      </x:c>
      <x:c r="I36" s="12" t="str">
        <x:v>Plataforma 20 tn + malacate + hidrogrúa de apoyo + seguro/GPS.</x:v>
      </x:c>
      <x:c r="J36" s="12" t="str">
        <x:v>Pedir logística/posventa; relevar equipos, pesos y frecuencia mensual.</x:v>
      </x:c>
      <x:c r="K36" s="12" t="str">
        <x:v>https://www.google.com/maps/search/?api=1&amp;query=VM+Agr%C3%ADcola%2C+Salta+270%2C+Villa+Mar%C3%ADa%2C+C%C3%B3rdoba</x:v>
      </x:c>
    </x:row>
    <x:row r="37">
      <x:c r="A37" s="12" t="str">
        <x:v>VM-026</x:v>
      </x:c>
      <x:c r="B37" s="12" t="str">
        <x:v>A+</x:v>
      </x:c>
      <x:c r="C37" s="12" t="n">
        <x:v>93</x:v>
      </x:c>
      <x:c r="D37" s="12" t="str">
        <x:v>COATA Córdoba</x:v>
      </x:c>
      <x:c r="E37" s="12" t="str">
        <x:v>Logística / transporte</x:v>
      </x:c>
      <x:c r="F37" s="12" t="str">
        <x:v>0351 4557919 / 4553311</x:v>
      </x:c>
      <x:c r="G37" s="12" t="str">
        <x:v>PILT</x:v>
      </x:c>
      <x:c r="H37" s="12" t="str">
        <x:v>Overflow y derivación de cargas/equipos que requieren plataforma, malacate o hidrogrúa.</x:v>
      </x:c>
      <x:c r="I37" s="12" t="str">
        <x:v>Capacidad complementaria: plataforma 20 tn + hidrogrúa + malacate.</x:v>
      </x:c>
      <x:c r="J37" s="12" t="str">
        <x:v>Pedir tráfico/operaciones; ofrecer acuerdo de derivaciones y contingencias.</x:v>
      </x:c>
      <x:c r="K37" s="12" t="str">
        <x:v>https://www.google.com/maps/search/?api=1&amp;query=COATA+C%C3%B3rdoba%2C+Parque+Industrial%2C+Log%C3%ADstico+y+Tecnol%C3%B3gico+%28PILT%29%2C+RN9+km+551%2C5%2C+Villa+Mar%C3%ADa%2C+C%C3%B3rdoba</x:v>
      </x:c>
    </x:row>
    <x:row r="38">
      <x:c r="A38" s="12" t="str">
        <x:v>VM-027</x:v>
      </x:c>
      <x:c r="B38" s="12" t="str">
        <x:v>A+</x:v>
      </x:c>
      <x:c r="C38" s="12" t="n">
        <x:v>92</x:v>
      </x:c>
      <x:c r="D38" s="12" t="str">
        <x:v>Gastón López Autoelevadores</x:v>
      </x:c>
      <x:c r="E38" s="12" t="str">
        <x:v>Autoelevadores / reparación</x:v>
      </x:c>
      <x:c r="F38" s="12" t="str">
        <x:v>+54 353 5105452</x:v>
      </x:c>
      <x:c r="G38" s="12" t="str">
        <x:v>Av. Perón / Industrial</x:v>
      </x:c>
      <x:c r="H38" s="12" t="str">
        <x:v>Entrega/retiro de equipos de elevación y apoyo en maniobras o posicionamiento.</x:v>
      </x:c>
      <x:c r="I38" s="12" t="str">
        <x:v>Plataforma 20 tn + malacate + hidrogrúa.</x:v>
      </x:c>
      <x:c r="J38" s="12" t="str">
        <x:v>Pedir operaciones/alquileres; relevar flota, pesos y zonas de servicio.</x:v>
      </x:c>
      <x:c r="K38" s="12" t="str">
        <x:v>https://www.google.com/maps/search/?api=1&amp;query=Gast%C3%B3n+L%C3%B3pez+Autoelevadores%2C+Av.+Presidente+Per%C3%B3n+3183%2C+Villa+Mar%C3%ADa%2C+C%C3%B3rdoba</x:v>
      </x:c>
    </x:row>
    <x:row r="39">
      <x:c r="A39" s="12" t="str">
        <x:v>VM-028</x:v>
      </x:c>
      <x:c r="B39" s="12" t="str">
        <x:v>A+</x:v>
      </x:c>
      <x:c r="C39" s="12" t="n">
        <x:v>92</x:v>
      </x:c>
      <x:c r="D39" s="12" t="str">
        <x:v>INDUTAMB SRL</x:v>
      </x:c>
      <x:c r="E39" s="12" t="str">
        <x:v>Equipos e implementos agropecuarios</x:v>
      </x:c>
      <x:c r="F39" s="12" t="str">
        <x:v>0353 5657870</x:v>
      </x:c>
      <x:c r="G39" s="12" t="str">
        <x:v>PILT</x:v>
      </x:c>
      <x:c r="H39" s="12" t="str">
        <x:v>Entrega/retiro de maquinaria, usados, service y traslados entre cliente, taller y campo/obra.</x:v>
      </x:c>
      <x:c r="I39" s="12" t="str">
        <x:v>Plataforma 20 tn + malacate + hidrogrúa de apoyo + seguro/GPS.</x:v>
      </x:c>
      <x:c r="J39" s="12" t="str">
        <x:v>Pedir logística/posventa; relevar equipos, pesos y frecuencia mensual.</x:v>
      </x:c>
      <x:c r="K39" s="12" t="str">
        <x:v>https://www.google.com/maps/search/?api=1&amp;query=INDUTAMB+SRL%2C+Parque+Industrial%2C+Log%C3%ADstico+y+Tecnol%C3%B3gico+%28PILT%29%2C+RN9+km+551%2C5%2C+Villa+Mar%C3%ADa%2C+C%C3%B3rdoba</x:v>
      </x:c>
    </x:row>
    <x:row r="40">
      <x:c r="A40" s="12" t="str">
        <x:v>VM-029</x:v>
      </x:c>
      <x:c r="B40" s="12" t="str">
        <x:v>A+</x:v>
      </x:c>
      <x:c r="C40" s="12" t="n">
        <x:v>92</x:v>
      </x:c>
      <x:c r="D40" s="12" t="str">
        <x:v>Metalquímica Banchio Hnos. S.A.</x:v>
      </x:c>
      <x:c r="E40" s="12" t="str">
        <x:v>Furgones térmicos / metalmecánica</x:v>
      </x:c>
      <x:c r="F40" s="12" t="str">
        <x:v>A verificar</x:v>
      </x:c>
      <x:c r="G40" s="12" t="str">
        <x:v>PILT</x:v>
      </x:c>
      <x:c r="H40" s="12" t="str">
        <x:v>Despacho de estructuras, conjuntos metálicos, piezas pesadas o equipos de producción.</x:v>
      </x:c>
      <x:c r="I40" s="12" t="str">
        <x:v>Plataforma + hidrogrúa + malacate; percha según carga.</x:v>
      </x:c>
      <x:c r="J40" s="12" t="str">
        <x:v>Pedir producción/expedición; relevar piezas máximas y destinos habituales.</x:v>
      </x:c>
      <x:c r="K40" s="12" t="str">
        <x:v>https://www.google.com/maps/search/?api=1&amp;query=Metalqu%C3%ADmica+Banchio+Hnos.+S.A.%2C+Parque+Industrial%2C+Log%C3%ADstico+y+Tecnol%C3%B3gico+%28PILT%29%2C+RN9+km+551%2C5%2C+Villa+Mar%C3%ADa%2C+C%C3%B3rdoba</x:v>
      </x:c>
    </x:row>
    <x:row r="41">
      <x:c r="A41" s="12" t="str">
        <x:v>VM-030</x:v>
      </x:c>
      <x:c r="B41" s="12" t="str">
        <x:v>A+</x:v>
      </x:c>
      <x:c r="C41" s="12" t="n">
        <x:v>92</x:v>
      </x:c>
      <x:c r="D41" s="12" t="str">
        <x:v>MW Agropartes</x:v>
      </x:c>
      <x:c r="E41" s="12" t="str">
        <x:v>Fabricación / agropartes</x:v>
      </x:c>
      <x:c r="F41" s="12" t="str">
        <x:v>+54 9 353 4232403</x:v>
      </x:c>
      <x:c r="G41" s="12" t="str">
        <x:v>Porfirio Seppey / Industrial</x:v>
      </x:c>
      <x:c r="H41" s="12" t="str">
        <x:v>Entrega/retiro de maquinaria, usados, service y traslados entre cliente, taller y campo/obra.</x:v>
      </x:c>
      <x:c r="I41" s="12" t="str">
        <x:v>Plataforma 20 tn + malacate + hidrogrúa de apoyo + seguro/GPS.</x:v>
      </x:c>
      <x:c r="J41" s="12" t="str">
        <x:v>Pedir logística/posventa; relevar equipos, pesos y frecuencia mensual.</x:v>
      </x:c>
      <x:c r="K41" s="12" t="str">
        <x:v>https://www.google.com/maps/search/?api=1&amp;query=MW+Agropartes%2C+Porfirio+Seppey+1300%2C+Villa+Mar%C3%ADa%2C+C%C3%B3rdoba</x:v>
      </x:c>
    </x:row>
    <x:row r="42">
      <x:c r="A42" s="12" t="str">
        <x:v>VM-031</x:v>
      </x:c>
      <x:c r="B42" s="12" t="str">
        <x:v>A+</x:v>
      </x:c>
      <x:c r="C42" s="12" t="n">
        <x:v>91</x:v>
      </x:c>
      <x:c r="D42" s="12" t="str">
        <x:v>Fábrica de Carrocerías Remolques Trailers</x:v>
      </x:c>
      <x:c r="E42" s="12" t="str">
        <x:v>Carrocerías / remolques</x:v>
      </x:c>
      <x:c r="F42" s="12" t="str">
        <x:v>+54 353 5657975</x:v>
      </x:c>
      <x:c r="G42" s="12" t="str">
        <x:v>Porfirio Seppey / Industrial</x:v>
      </x:c>
      <x:c r="H42" s="12" t="str">
        <x:v>Movilización de camiones, acoplados, semirremolques o unidades que no pueden circular; despachos de fábrica.</x:v>
      </x:c>
      <x:c r="I42" s="12" t="str">
        <x:v>Plataforma 20 tn + malacate + hidrogrúa según maniobra.</x:v>
      </x:c>
      <x:c r="J42" s="12" t="str">
        <x:v>Pedir expedición/taller/logística; consultar movimientos mensuales y pesos.</x:v>
      </x:c>
      <x:c r="K42" s="12" t="str">
        <x:v>https://www.google.com/maps/search/?api=1&amp;query=F%C3%A1brica+de+Carrocer%C3%ADas+Remolques+Trailers%2C+Porfirio+Seppey+1389%2C+Villa+Mar%C3%ADa%2C+C%C3%B3rdoba</x:v>
      </x:c>
    </x:row>
    <x:row r="43">
      <x:c r="A43" s="12" t="str">
        <x:v>VM-032</x:v>
      </x:c>
      <x:c r="B43" s="12" t="str">
        <x:v>A+</x:v>
      </x:c>
      <x:c r="C43" s="12" t="n">
        <x:v>91</x:v>
      </x:c>
      <x:c r="D43" s="12" t="str">
        <x:v>Tallone Esteban</x:v>
      </x:c>
      <x:c r="E43" s="12" t="str">
        <x:v>Piezas para maquinaria agrícola</x:v>
      </x:c>
      <x:c r="F43" s="12" t="str">
        <x:v>0353 5083578 / 4880252</x:v>
      </x:c>
      <x:c r="G43" s="12" t="str">
        <x:v>PILT</x:v>
      </x:c>
      <x:c r="H43" s="12" t="str">
        <x:v>Entrega/retiro de maquinaria, usados, service y traslados entre cliente, taller y campo/obra.</x:v>
      </x:c>
      <x:c r="I43" s="12" t="str">
        <x:v>Plataforma 20 tn + malacate + hidrogrúa de apoyo + seguro/GPS.</x:v>
      </x:c>
      <x:c r="J43" s="12" t="str">
        <x:v>Pedir logística/posventa; relevar equipos, pesos y frecuencia mensual.</x:v>
      </x:c>
      <x:c r="K43" s="12" t="str">
        <x:v>https://www.google.com/maps/search/?api=1&amp;query=Tallone+Esteban%2C+Parque+Industrial%2C+Log%C3%ADstico+y+Tecnol%C3%B3gico+%28PILT%29%2C+RN9+km+551%2C5%2C+Villa+Mar%C3%ADa%2C+C%C3%B3rdoba</x:v>
      </x:c>
    </x:row>
    <x:row r="44">
      <x:c r="A44" s="12" t="str">
        <x:v>VM-033</x:v>
      </x:c>
      <x:c r="B44" s="12" t="str">
        <x:v>A+</x:v>
      </x:c>
      <x:c r="C44" s="12" t="n">
        <x:v>90</x:v>
      </x:c>
      <x:c r="D44" s="12" t="str">
        <x:v>Larrosa Camiones</x:v>
      </x:c>
      <x:c r="E44" s="12" t="str">
        <x:v>Camiones usados / flota</x:v>
      </x:c>
      <x:c r="F44" s="12" t="str">
        <x:v>0353 4531301</x:v>
      </x:c>
      <x:c r="G44" s="12" t="str">
        <x:v>Urbano industrial</x:v>
      </x:c>
      <x:c r="H44" s="12" t="str">
        <x:v>Movilización de camiones, acoplados, semirremolques o unidades que no pueden circular; despachos de fábrica.</x:v>
      </x:c>
      <x:c r="I44" s="12" t="str">
        <x:v>Plataforma 20 tn + malacate + hidrogrúa según maniobra.</x:v>
      </x:c>
      <x:c r="J44" s="12" t="str">
        <x:v>Pedir expedición/taller/logística; consultar movimientos mensuales y pesos.</x:v>
      </x:c>
      <x:c r="K44" s="12" t="str">
        <x:v>https://www.google.com/maps/search/?api=1&amp;query=Larrosa+Camiones%2C+Chiclana+y+Larrabure%2C+Villa+Mar%C3%ADa%2C+C%C3%B3rdoba</x:v>
      </x:c>
    </x:row>
    <x:row r="45">
      <x:c r="A45" s="12" t="str">
        <x:v>VM-034</x:v>
      </x:c>
      <x:c r="B45" s="12" t="str">
        <x:v>A+</x:v>
      </x:c>
      <x:c r="C45" s="12" t="n">
        <x:v>90</x:v>
      </x:c>
      <x:c r="D45" s="12" t="str">
        <x:v>MR Logística</x:v>
      </x:c>
      <x:c r="E45" s="12" t="str">
        <x:v>Logística / servicios</x:v>
      </x:c>
      <x:c r="F45" s="12" t="str">
        <x:v>A verificar</x:v>
      </x:c>
      <x:c r="G45" s="12" t="str">
        <x:v>PILT</x:v>
      </x:c>
      <x:c r="H45" s="12" t="str">
        <x:v>Overflow y derivación de cargas/equipos que requieren plataforma, malacate o hidrogrúa.</x:v>
      </x:c>
      <x:c r="I45" s="12" t="str">
        <x:v>Capacidad complementaria: plataforma 20 tn + hidrogrúa + malacate.</x:v>
      </x:c>
      <x:c r="J45" s="12" t="str">
        <x:v>Pedir tráfico/operaciones; ofrecer acuerdo de derivaciones y contingencias.</x:v>
      </x:c>
      <x:c r="K45" s="12" t="str">
        <x:v>https://www.google.com/maps/search/?api=1&amp;query=MR+Log%C3%ADstica%2C+Parque+Industrial%2C+Log%C3%ADstico+y+Tecnol%C3%B3gico+%28PILT%29%2C+RN9+km+551%2C5%2C+Villa+Mar%C3%ADa%2C+C%C3%B3rdoba</x:v>
      </x:c>
    </x:row>
    <x:row r="46">
      <x:c r="A46" s="12" t="str">
        <x:v>VM-035</x:v>
      </x:c>
      <x:c r="B46" s="12" t="str">
        <x:v>A+</x:v>
      </x:c>
      <x:c r="C46" s="12" t="n">
        <x:v>90</x:v>
      </x:c>
      <x:c r="D46" s="12" t="str">
        <x:v>Stainless Steel Manufacturers SRL</x:v>
      </x:c>
      <x:c r="E46" s="12" t="str">
        <x:v>Maquinaria industrial / automatización</x:v>
      </x:c>
      <x:c r="F46" s="12" t="str">
        <x:v>A verificar</x:v>
      </x:c>
      <x:c r="G46" s="12" t="str">
        <x:v>PILT</x:v>
      </x:c>
      <x:c r="H46" s="12" t="str">
        <x:v>Movimientos de equipos o cargas especiales asociados a la operación.</x:v>
      </x:c>
      <x:c r="I46" s="12" t="str">
        <x:v>Plataforma 20 tn + hidrogrúa + malacate según necesidad.</x:v>
      </x:c>
      <x:c r="J46" s="12" t="str">
        <x:v>Contactar operaciones/logística y relevar movimientos actuales.</x:v>
      </x:c>
      <x:c r="K46" s="12" t="str">
        <x:v>https://www.google.com/maps/search/?api=1&amp;query=Stainless+Steel+Manufacturers+SRL%2C+Parque+Industrial%2C+Log%C3%ADstico+y+Tecnol%C3%B3gico+%28PILT%29%2C+RN9+km+551%2C5%2C+Villa+Mar%C3%ADa%2C+C%C3%B3rdoba</x:v>
      </x:c>
    </x:row>
    <x:row r="47">
      <x:c r="A47" s="12" t="str">
        <x:v>VM-036</x:v>
      </x:c>
      <x:c r="B47" s="12" t="str">
        <x:v>A+</x:v>
      </x:c>
      <x:c r="C47" s="12" t="n">
        <x:v>89</x:v>
      </x:c>
      <x:c r="D47" s="12" t="str">
        <x:v>Villa María Camiones</x:v>
      </x:c>
      <x:c r="E47" s="12" t="str">
        <x:v>Camiones usados / flota</x:v>
      </x:c>
      <x:c r="F47" s="12" t="str">
        <x:v>+54 353 6570697</x:v>
      </x:c>
      <x:c r="G47" s="12" t="str">
        <x:v>Av. Colón</x:v>
      </x:c>
      <x:c r="H47" s="12" t="str">
        <x:v>Movilización de camiones, acoplados, semirremolques o unidades que no pueden circular; despachos de fábrica.</x:v>
      </x:c>
      <x:c r="I47" s="12" t="str">
        <x:v>Plataforma 20 tn + malacate + hidrogrúa según maniobra.</x:v>
      </x:c>
      <x:c r="J47" s="12" t="str">
        <x:v>Pedir expedición/taller/logística; consultar movimientos mensuales y pesos.</x:v>
      </x:c>
      <x:c r="K47" s="12" t="str">
        <x:v>https://www.google.com/maps/search/?api=1&amp;query=Villa+Mar%C3%ADa+Camiones%2C+Av.+Col%C3%B3n+1600%2C+Villa+Mar%C3%ADa%2C+C%C3%B3rdoba</x:v>
      </x:c>
    </x:row>
    <x:row r="48">
      <x:c r="A48" s="12" t="str">
        <x:v>VM-037</x:v>
      </x:c>
      <x:c r="B48" s="12" t="str">
        <x:v>A</x:v>
      </x:c>
      <x:c r="C48" s="12" t="n">
        <x:v>88</x:v>
      </x:c>
      <x:c r="D48" s="12" t="str">
        <x:v>Coterra Hormigones</x:v>
      </x:c>
      <x:c r="E48" s="12" t="str">
        <x:v>Hormigón elaborado</x:v>
      </x:c>
      <x:c r="F48" s="12" t="str">
        <x:v>0353 4610900</x:v>
      </x:c>
      <x:c r="G48" s="12" t="str">
        <x:v>RN9 km 551–556</x:v>
      </x:c>
      <x:c r="H48" s="12" t="str">
        <x:v>Movimiento de equipos de planta, moldes, bombas, premoldeados y cargas pesadas especiales.</x:v>
      </x:c>
      <x:c r="I48" s="12" t="str">
        <x:v>Plataforma + hidrogrúa + percha para pallets.</x:v>
      </x:c>
      <x:c r="J48" s="12" t="str">
        <x:v>Pedir planta/logística/mantenimiento; relevar equipos y movimientos no cubiertos.</x:v>
      </x:c>
      <x:c r="K48" s="12" t="str">
        <x:v>https://www.google.com/maps/search/?api=1&amp;query=Coterra+Hormigones%2C+RN9+km+556%2C+Villa+Mar%C3%ADa%2C+C%C3%B3rdoba</x:v>
      </x:c>
    </x:row>
    <x:row r="49">
      <x:c r="A49" s="12" t="str">
        <x:v>VM-038</x:v>
      </x:c>
      <x:c r="B49" s="12" t="str">
        <x:v>A</x:v>
      </x:c>
      <x:c r="C49" s="12" t="n">
        <x:v>87</x:v>
      </x:c>
      <x:c r="D49" s="12" t="str">
        <x:v>La Marchesina</x:v>
      </x:c>
      <x:c r="E49" s="12" t="str">
        <x:v>Hormigón elaborado</x:v>
      </x:c>
      <x:c r="F49" s="12" t="str">
        <x:v>0353 4530967</x:v>
      </x:c>
      <x:c r="G49" s="12" t="str">
        <x:v>Urbano / industrial</x:v>
      </x:c>
      <x:c r="H49" s="12" t="str">
        <x:v>Movimiento de equipos de planta, moldes, bombas, premoldeados y cargas pesadas especiales.</x:v>
      </x:c>
      <x:c r="I49" s="12" t="str">
        <x:v>Plataforma + hidrogrúa + percha para pallets.</x:v>
      </x:c>
      <x:c r="J49" s="12" t="str">
        <x:v>Pedir planta/logística/mantenimiento; relevar equipos y movimientos no cubiertos.</x:v>
      </x:c>
      <x:c r="K49" s="12" t="str">
        <x:v>https://www.google.com/maps/search/?api=1&amp;query=La+Marchesina%2C+Calafate+1255%2C+Villa+Mar%C3%ADa%2C+C%C3%B3rdoba</x:v>
      </x:c>
    </x:row>
    <x:row r="50">
      <x:c r="A50" s="12" t="str">
        <x:v>VM-039</x:v>
      </x:c>
      <x:c r="B50" s="12" t="str">
        <x:v>A</x:v>
      </x:c>
      <x:c r="C50" s="12" t="n">
        <x:v>86</x:v>
      </x:c>
      <x:c r="D50" s="12" t="str">
        <x:v>Estructuras Metálicas "Brazo Fuerte"</x:v>
      </x:c>
      <x:c r="E50" s="12" t="str">
        <x:v>Estructuras metálicas</x:v>
      </x:c>
      <x:c r="F50" s="12" t="str">
        <x:v>0353 4213479</x:v>
      </x:c>
      <x:c r="G50" s="12" t="str">
        <x:v>Porfirio Seppey / Industrial</x:v>
      </x:c>
      <x:c r="H50" s="12" t="str">
        <x:v>Despacho de estructuras, conjuntos metálicos, piezas pesadas o equipos de producción.</x:v>
      </x:c>
      <x:c r="I50" s="12" t="str">
        <x:v>Plataforma + hidrogrúa + malacate; percha según carga.</x:v>
      </x:c>
      <x:c r="J50" s="12" t="str">
        <x:v>Pedir producción/expedición; relevar piezas máximas y destinos habituales.</x:v>
      </x:c>
      <x:c r="K50" s="12" t="str">
        <x:v>https://www.google.com/maps/search/?api=1&amp;query=Estructuras+Met%C3%A1licas+%22Brazo+Fuerte%22%2C+Porfirio+Seppey+1213%2C+Villa+Mar%C3%ADa%2C+C%C3%B3rdoba</x:v>
      </x:c>
    </x:row>
    <x:row r="51">
      <x:c r="A51" s="12" t="str">
        <x:v>VM-040</x:v>
      </x:c>
      <x:c r="B51" s="12" t="str">
        <x:v>A</x:v>
      </x:c>
      <x:c r="C51" s="12" t="n">
        <x:v>86</x:v>
      </x:c>
      <x:c r="D51" s="12" t="str">
        <x:v>Magno</x:v>
      </x:c>
      <x:c r="E51" s="12" t="str">
        <x:v>Equipos agroindustriales / tecnología</x:v>
      </x:c>
      <x:c r="F51" s="12" t="str">
        <x:v>A verificar</x:v>
      </x:c>
      <x:c r="G51" s="12" t="str">
        <x:v>PILT</x:v>
      </x:c>
      <x:c r="H51" s="12" t="str">
        <x:v>Movimientos de mantenimiento, motores, bombas, equipos, racks y cargas extraordinarias.</x:v>
      </x:c>
      <x:c r="I51" s="12" t="str">
        <x:v>Plataforma + hidrogrúa + percha + seguro/GPS.</x:v>
      </x:c>
      <x:c r="J51" s="12" t="str">
        <x:v>Pedir mantenimiento/compras/planta; relevar equipos críticos y proveedores actuales.</x:v>
      </x:c>
      <x:c r="K51" s="12" t="str">
        <x:v>https://www.google.com/maps/search/?api=1&amp;query=Magno%2C+Parque+Industrial%2C+Log%C3%ADstico+y+Tecnol%C3%B3gico+%28PILT%29%2C+RN9+km+551%2C5%2C+Villa+Mar%C3%ADa%2C+C%C3%B3rdoba</x:v>
      </x:c>
    </x:row>
    <x:row r="52">
      <x:c r="A52" s="12" t="str">
        <x:v>VM-041</x:v>
      </x:c>
      <x:c r="B52" s="12" t="str">
        <x:v>A</x:v>
      </x:c>
      <x:c r="C52" s="12" t="n">
        <x:v>85</x:v>
      </x:c>
      <x:c r="D52" s="12" t="str">
        <x:v>Hidrocentro Servicios S.R.L.</x:v>
      </x:c>
      <x:c r="E52" s="12" t="str">
        <x:v>Bombas / estaciones de bombeo</x:v>
      </x:c>
      <x:c r="F52" s="12" t="str">
        <x:v>A verificar</x:v>
      </x:c>
      <x:c r="G52" s="12" t="str">
        <x:v>PILT</x:v>
      </x:c>
      <x:c r="H52" s="12" t="str">
        <x:v>Movimiento de tableros, transformadores, bombas, módulos y equipos industriales.</x:v>
      </x:c>
      <x:c r="I52" s="12" t="str">
        <x:v>Plataforma + hidrogrúa + percha según carga.</x:v>
      </x:c>
      <x:c r="J52" s="12" t="str">
        <x:v>Pedir proyectos/mantenimiento/logística; consultar pesos y obras activas.</x:v>
      </x:c>
      <x:c r="K52" s="12" t="str">
        <x:v>https://www.google.com/maps/search/?api=1&amp;query=Hidrocentro+Servicios+S.R.L.%2C+Parque+Industrial%2C+Log%C3%ADstico+y+Tecnol%C3%B3gico+%28PILT%29%2C+RN9+km+551%2C5%2C+Villa+Mar%C3%ADa%2C+C%C3%B3rdoba</x:v>
      </x:c>
    </x:row>
    <x:row r="53">
      <x:c r="A53" s="12" t="str">
        <x:v>VM-042</x:v>
      </x:c>
      <x:c r="B53" s="12" t="str">
        <x:v>A</x:v>
      </x:c>
      <x:c r="C53" s="12" t="n">
        <x:v>84</x:v>
      </x:c>
      <x:c r="D53" s="12" t="str">
        <x:v>Lácteos La Cristina S.A.</x:v>
      </x:c>
      <x:c r="E53" s="12" t="str">
        <x:v>Planta láctea / agroindustria</x:v>
      </x:c>
      <x:c r="F53" s="12" t="str">
        <x:v>0353 4548043</x:v>
      </x:c>
      <x:c r="G53" s="12" t="str">
        <x:v>Av. Savio / Industrial</x:v>
      </x:c>
      <x:c r="H53" s="12" t="str">
        <x:v>Movimientos de mantenimiento, motores, bombas, equipos, racks y cargas extraordinarias.</x:v>
      </x:c>
      <x:c r="I53" s="12" t="str">
        <x:v>Plataforma + hidrogrúa + percha + seguro/GPS.</x:v>
      </x:c>
      <x:c r="J53" s="12" t="str">
        <x:v>Pedir mantenimiento/compras/planta; relevar equipos críticos y proveedores actuales.</x:v>
      </x:c>
      <x:c r="K53" s="12" t="str">
        <x:v>https://www.google.com/maps/search/?api=1&amp;query=L%C3%A1cteos+La+Cristina+S.A.%2C+Av.+General+Savio+3500%2C+Villa+Mar%C3%ADa%2C+C%C3%B3rdoba</x:v>
      </x:c>
    </x:row>
    <x:row r="54">
      <x:c r="A54" s="12" t="str">
        <x:v>VM-043</x:v>
      </x:c>
      <x:c r="B54" s="12" t="str">
        <x:v>A</x:v>
      </x:c>
      <x:c r="C54" s="12" t="n">
        <x:v>84</x:v>
      </x:c>
      <x:c r="D54" s="12" t="str">
        <x:v>TALLER METALÚRGICO VM S.A. (TAL-MET)</x:v>
      </x:c>
      <x:c r="E54" s="12" t="str">
        <x:v>Metalúrgica</x:v>
      </x:c>
      <x:c r="F54" s="12" t="str">
        <x:v>0353 6563274</x:v>
      </x:c>
      <x:c r="G54" s="12" t="str">
        <x:v>Bv. Argentino / RN158</x:v>
      </x:c>
      <x:c r="H54" s="12" t="str">
        <x:v>Despacho de estructuras, conjuntos metálicos, piezas pesadas o equipos de producción.</x:v>
      </x:c>
      <x:c r="I54" s="12" t="str">
        <x:v>Plataforma + hidrogrúa + malacate; percha según carga.</x:v>
      </x:c>
      <x:c r="J54" s="12" t="str">
        <x:v>Pedir producción/expedición; relevar piezas máximas y destinos habituales.</x:v>
      </x:c>
      <x:c r="K54" s="12" t="str">
        <x:v>https://www.google.com/maps/search/?api=1&amp;query=TALLER+METAL%C3%9ARGICO+VM+S.A.+%28TAL-MET%29%2C+Bv.+Argentino+2010%2C+Villa+Mar%C3%ADa%2C+C%C3%B3rdoba</x:v>
      </x:c>
    </x:row>
    <x:row r="55">
      <x:c r="A55" s="12" t="str">
        <x:v>VM-044</x:v>
      </x:c>
      <x:c r="B55" s="12" t="str">
        <x:v>A</x:v>
      </x:c>
      <x:c r="C55" s="12" t="n">
        <x:v>83</x:v>
      </x:c>
      <x:c r="D55" s="12" t="str">
        <x:v>Gas Carbónico Chiantore SAI</x:v>
      </x:c>
      <x:c r="E55" s="12" t="str">
        <x:v>Equipos industriales / CO2</x:v>
      </x:c>
      <x:c r="F55" s="12" t="str">
        <x:v>A verificar</x:v>
      </x:c>
      <x:c r="G55" s="12" t="str">
        <x:v>PILT</x:v>
      </x:c>
      <x:c r="H55" s="12" t="str">
        <x:v>Movimiento de tableros, transformadores, bombas, módulos y equipos industriales.</x:v>
      </x:c>
      <x:c r="I55" s="12" t="str">
        <x:v>Plataforma + hidrogrúa + percha según carga.</x:v>
      </x:c>
      <x:c r="J55" s="12" t="str">
        <x:v>Pedir proyectos/mantenimiento/logística; consultar pesos y obras activas.</x:v>
      </x:c>
      <x:c r="K55" s="12" t="str">
        <x:v>https://www.google.com/maps/search/?api=1&amp;query=Gas+Carb%C3%B3nico+Chiantore+SAI%2C+Parque+Industrial%2C+Log%C3%ADstico+y+Tecnol%C3%B3gico+%28PILT%29%2C+RN9+km+551%2C5%2C+Villa+Mar%C3%ADa%2C+C%C3%B3rdoba</x:v>
      </x:c>
    </x:row>
    <x:row r="56">
      <x:c r="A56" s="12" t="str">
        <x:v>VM-045</x:v>
      </x:c>
      <x:c r="B56" s="12" t="str">
        <x:v>A</x:v>
      </x:c>
      <x:c r="C56" s="12" t="n">
        <x:v>83</x:v>
      </x:c>
      <x:c r="D56" s="12" t="str">
        <x:v>Metalúrgica Técnica Estructuras Toro</x:v>
      </x:c>
      <x:c r="E56" s="12" t="str">
        <x:v>Estructuras metálicas</x:v>
      </x:c>
      <x:c r="F56" s="12" t="str">
        <x:v>A verificar</x:v>
      </x:c>
      <x:c r="G56" s="12" t="str">
        <x:v>PILT</x:v>
      </x:c>
      <x:c r="H56" s="12" t="str">
        <x:v>Despacho de estructuras, conjuntos metálicos, piezas pesadas o equipos de producción.</x:v>
      </x:c>
      <x:c r="I56" s="12" t="str">
        <x:v>Plataforma + hidrogrúa + malacate; percha según carga.</x:v>
      </x:c>
      <x:c r="J56" s="12" t="str">
        <x:v>Pedir producción/expedición; relevar piezas máximas y destinos habituales.</x:v>
      </x:c>
      <x:c r="K56" s="12" t="str">
        <x:v>https://www.google.com/maps/search/?api=1&amp;query=Metal%C3%BArgica+T%C3%A9cnica+Estructuras+Toro%2C+Parque+Industrial%2C+Log%C3%ADstico+y+Tecnol%C3%B3gico+%28PILT%29%2C+RN9+km+551%2C5%2C+Villa+Mar%C3%ADa%2C+C%C3%B3rdoba</x:v>
      </x:c>
    </x:row>
    <x:row r="57">
      <x:c r="A57" s="12" t="str">
        <x:v>VM-046</x:v>
      </x:c>
      <x:c r="B57" s="12" t="str">
        <x:v>A</x:v>
      </x:c>
      <x:c r="C57" s="12" t="n">
        <x:v>82</x:v>
      </x:c>
      <x:c r="D57" s="12" t="str">
        <x:v>Abastecimientos S.A.</x:v>
      </x:c>
      <x:c r="E57" s="12" t="str">
        <x:v>Insumos industriales / logística</x:v>
      </x:c>
      <x:c r="F57" s="12" t="str">
        <x:v>A verificar</x:v>
      </x:c>
      <x:c r="G57" s="12" t="str">
        <x:v>PILT</x:v>
      </x:c>
      <x:c r="H57" s="12" t="str">
        <x:v>Overflow y derivación de cargas/equipos que requieren plataforma, malacate o hidrogrúa.</x:v>
      </x:c>
      <x:c r="I57" s="12" t="str">
        <x:v>Capacidad complementaria: plataforma 20 tn + hidrogrúa + malacate.</x:v>
      </x:c>
      <x:c r="J57" s="12" t="str">
        <x:v>Pedir tráfico/operaciones; ofrecer acuerdo de derivaciones y contingencias.</x:v>
      </x:c>
      <x:c r="K57" s="12" t="str">
        <x:v>https://www.google.com/maps/search/?api=1&amp;query=Abastecimientos+S.A.%2C+Parque+Industrial%2C+Log%C3%ADstico+y+Tecnol%C3%B3gico+%28PILT%29%2C+RN9+km+551%2C5%2C+Villa+Mar%C3%ADa%2C+C%C3%B3rdoba</x:v>
      </x:c>
    </x:row>
    <x:row r="58">
      <x:c r="A58" s="12" t="str">
        <x:v>VM-047</x:v>
      </x:c>
      <x:c r="B58" s="12" t="str">
        <x:v>A</x:v>
      </x:c>
      <x:c r="C58" s="12" t="n">
        <x:v>82</x:v>
      </x:c>
      <x:c r="D58" s="12" t="str">
        <x:v>Insumos SAR SRL</x:v>
      </x:c>
      <x:c r="E58" s="12" t="str">
        <x:v>Químicos / industria láctea</x:v>
      </x:c>
      <x:c r="F58" s="12" t="str">
        <x:v>0353 5101460</x:v>
      </x:c>
      <x:c r="G58" s="12" t="str">
        <x:v>PILT</x:v>
      </x:c>
      <x:c r="H58" s="12" t="str">
        <x:v>Movimientos de mantenimiento, motores, bombas, equipos, racks y cargas extraordinarias.</x:v>
      </x:c>
      <x:c r="I58" s="12" t="str">
        <x:v>Plataforma + hidrogrúa + percha + seguro/GPS.</x:v>
      </x:c>
      <x:c r="J58" s="12" t="str">
        <x:v>Pedir mantenimiento/compras/planta; relevar equipos críticos y proveedores actuales.</x:v>
      </x:c>
      <x:c r="K58" s="12" t="str">
        <x:v>https://www.google.com/maps/search/?api=1&amp;query=Insumos+SAR+SRL%2C+%C3%81ngel+Ayassa+6248%2C+PILT%2C+Villa+Mar%C3%ADa%2C+C%C3%B3rdoba</x:v>
      </x:c>
    </x:row>
    <x:row r="59">
      <x:c r="A59" s="12" t="str">
        <x:v>VM-048</x:v>
      </x:c>
      <x:c r="B59" s="12" t="str">
        <x:v>A</x:v>
      </x:c>
      <x:c r="C59" s="12" t="n">
        <x:v>82</x:v>
      </x:c>
      <x:c r="D59" s="12" t="str">
        <x:v>Jover Berruti José</x:v>
      </x:c>
      <x:c r="E59" s="12" t="str">
        <x:v>Estructuras metálicas</x:v>
      </x:c>
      <x:c r="F59" s="12" t="str">
        <x:v>A verificar</x:v>
      </x:c>
      <x:c r="G59" s="12" t="str">
        <x:v>PILT</x:v>
      </x:c>
      <x:c r="H59" s="12" t="str">
        <x:v>Despacho de estructuras, conjuntos metálicos, piezas pesadas o equipos de producción.</x:v>
      </x:c>
      <x:c r="I59" s="12" t="str">
        <x:v>Plataforma + hidrogrúa + malacate; percha según carga.</x:v>
      </x:c>
      <x:c r="J59" s="12" t="str">
        <x:v>Pedir producción/expedición; relevar piezas máximas y destinos habituales.</x:v>
      </x:c>
      <x:c r="K59" s="12" t="str">
        <x:v>https://www.google.com/maps/search/?api=1&amp;query=Jover+Berruti+Jos%C3%A9%2C+Parque+Industrial%2C+Log%C3%ADstico+y+Tecnol%C3%B3gico+%28PILT%29%2C+RN9+km+551%2C5%2C+Villa+Mar%C3%ADa%2C+C%C3%B3rdoba</x:v>
      </x:c>
    </x:row>
    <x:row r="60">
      <x:c r="A60" s="12" t="str">
        <x:v>VM-049</x:v>
      </x:c>
      <x:c r="B60" s="12" t="str">
        <x:v>A</x:v>
      </x:c>
      <x:c r="C60" s="12" t="n">
        <x:v>82</x:v>
      </x:c>
      <x:c r="D60" s="12" t="str">
        <x:v>NOAL</x:v>
      </x:c>
      <x:c r="E60" s="12" t="str">
        <x:v>Planta industrial / alimentos</x:v>
      </x:c>
      <x:c r="F60" s="12" t="str">
        <x:v>0353 4531901</x:v>
      </x:c>
      <x:c r="G60" s="12" t="str">
        <x:v>Ruta 2 / industrial</x:v>
      </x:c>
      <x:c r="H60" s="12" t="str">
        <x:v>Movimientos de mantenimiento, motores, bombas, equipos, racks y cargas extraordinarias.</x:v>
      </x:c>
      <x:c r="I60" s="12" t="str">
        <x:v>Plataforma + hidrogrúa + percha + seguro/GPS.</x:v>
      </x:c>
      <x:c r="J60" s="12" t="str">
        <x:v>Pedir mantenimiento/compras/planta; relevar equipos críticos y proveedores actuales.</x:v>
      </x:c>
      <x:c r="K60" s="12" t="str">
        <x:v>https://www.google.com/maps/search/?api=1&amp;query=NOAL%2C+Ruta+Provincial+2%2C+Villa+Mar%C3%ADa%2C+C%C3%B3rdoba</x:v>
      </x:c>
    </x:row>
    <x:row r="61">
      <x:c r="A61" s="12" t="str">
        <x:v>VM-050</x:v>
      </x:c>
      <x:c r="B61" s="12" t="str">
        <x:v>A</x:v>
      </x:c>
      <x:c r="C61" s="12" t="n">
        <x:v>82</x:v>
      </x:c>
      <x:c r="D61" s="12" t="str">
        <x:v>Premoldeados San Martín</x:v>
      </x:c>
      <x:c r="E61" s="12" t="str">
        <x:v>Premoldeados / construcción</x:v>
      </x:c>
      <x:c r="F61" s="12" t="str">
        <x:v>+54 9 353 5083380</x:v>
      </x:c>
      <x:c r="G61" s="12" t="str">
        <x:v>Urbano</x:v>
      </x:c>
      <x:c r="H61" s="12" t="str">
        <x:v>Movimiento de equipos de planta, moldes, bombas, premoldeados y cargas pesadas especiales.</x:v>
      </x:c>
      <x:c r="I61" s="12" t="str">
        <x:v>Plataforma + hidrogrúa + percha para pallets.</x:v>
      </x:c>
      <x:c r="J61" s="12" t="str">
        <x:v>Pedir planta/logística/mantenimiento; relevar equipos y movimientos no cubiertos.</x:v>
      </x:c>
      <x:c r="K61" s="12" t="str">
        <x:v>https://www.google.com/maps/search/?api=1&amp;query=Premoldeados+San+Mart%C3%ADn%2C+Entre+R%C3%ADos+2236%2C+Villa+Mar%C3%ADa%2C+C%C3%B3rdoba</x:v>
      </x:c>
    </x:row>
    <x:row r="62">
      <x:c r="A62" s="12" t="str">
        <x:v>VM-051</x:v>
      </x:c>
      <x:c r="B62" s="12" t="str">
        <x:v>A</x:v>
      </x:c>
      <x:c r="C62" s="12" t="n">
        <x:v>82</x:v>
      </x:c>
      <x:c r="D62" s="12" t="str">
        <x:v>Todo Ingredientes S.A.</x:v>
      </x:c>
      <x:c r="E62" s="12" t="str">
        <x:v>Ingredientes / industria alimenticia</x:v>
      </x:c>
      <x:c r="F62" s="12" t="str">
        <x:v>0353 4780902</x:v>
      </x:c>
      <x:c r="G62" s="12" t="str">
        <x:v>PILT</x:v>
      </x:c>
      <x:c r="H62" s="12" t="str">
        <x:v>Movimientos de equipos o cargas especiales asociados a la operación.</x:v>
      </x:c>
      <x:c r="I62" s="12" t="str">
        <x:v>Plataforma 20 tn + hidrogrúa + malacate según necesidad.</x:v>
      </x:c>
      <x:c r="J62" s="12" t="str">
        <x:v>Contactar operaciones/logística y relevar movimientos actuales.</x:v>
      </x:c>
      <x:c r="K62" s="12" t="str">
        <x:v>https://www.google.com/maps/search/?api=1&amp;query=Todo+Ingredientes+S.A.%2C+Emilio+Werner+6441%2C+PILT%2C+Villa+Mar%C3%ADa%2C+C%C3%B3rdoba</x:v>
      </x:c>
    </x:row>
    <x:row r="63">
      <x:c r="A63" s="12" t="str">
        <x:v>VM-052</x:v>
      </x:c>
      <x:c r="B63" s="12" t="str">
        <x:v>A</x:v>
      </x:c>
      <x:c r="C63" s="12" t="n">
        <x:v>82</x:v>
      </x:c>
      <x:c r="D63" s="12" t="str">
        <x:v>Villa María Cereales SRL</x:v>
      </x:c>
      <x:c r="E63" s="12" t="str">
        <x:v>Cereales / agroindustria</x:v>
      </x:c>
      <x:c r="F63" s="12" t="str">
        <x:v>0353 4256404</x:v>
      </x:c>
      <x:c r="G63" s="12" t="str">
        <x:v>RN9 / PILT</x:v>
      </x:c>
      <x:c r="H63" s="12" t="str">
        <x:v>Movimientos de mantenimiento, motores, bombas, equipos, racks y cargas extraordinarias.</x:v>
      </x:c>
      <x:c r="I63" s="12" t="str">
        <x:v>Plataforma + hidrogrúa + percha + seguro/GPS.</x:v>
      </x:c>
      <x:c r="J63" s="12" t="str">
        <x:v>Pedir mantenimiento/compras/planta; relevar equipos críticos y proveedores actuales.</x:v>
      </x:c>
      <x:c r="K63" s="12" t="str">
        <x:v>https://www.google.com/maps/search/?api=1&amp;query=Villa+Mar%C3%ADa+Cereales+SRL%2C+RN9+km+553%2C+Villa+Mar%C3%ADa%2C+C%C3%B3rdoba</x:v>
      </x:c>
    </x:row>
    <x:row r="64">
      <x:c r="A64" s="12" t="str">
        <x:v>VM-053</x:v>
      </x:c>
      <x:c r="B64" s="12" t="str">
        <x:v>A</x:v>
      </x:c>
      <x:c r="C64" s="12" t="n">
        <x:v>81</x:v>
      </x:c>
      <x:c r="D64" s="12" t="str">
        <x:v>Mayo Transformadores S.R.L.</x:v>
      </x:c>
      <x:c r="E64" s="12" t="str">
        <x:v>Transformadores / equipos eléctricos</x:v>
      </x:c>
      <x:c r="F64" s="12" t="str">
        <x:v>A verificar</x:v>
      </x:c>
      <x:c r="G64" s="12" t="str">
        <x:v>PILT</x:v>
      </x:c>
      <x:c r="H64" s="12" t="str">
        <x:v>Movimiento de tableros, transformadores, bombas, módulos y equipos industriales.</x:v>
      </x:c>
      <x:c r="I64" s="12" t="str">
        <x:v>Plataforma + hidrogrúa + percha según carga.</x:v>
      </x:c>
      <x:c r="J64" s="12" t="str">
        <x:v>Pedir proyectos/mantenimiento/logística; consultar pesos y obras activas.</x:v>
      </x:c>
      <x:c r="K64" s="12" t="str">
        <x:v>https://www.google.com/maps/search/?api=1&amp;query=Mayo+Transformadores+S.R.L.%2C+Parque+Industrial%2C+Log%C3%ADstico+y+Tecnol%C3%B3gico+%28PILT%29%2C+RN9+km+551%2C5%2C+Villa+Mar%C3%ADa%2C+C%C3%B3rdoba</x:v>
      </x:c>
    </x:row>
    <x:row r="65">
      <x:c r="A65" s="12" t="str">
        <x:v>VM-054</x:v>
      </x:c>
      <x:c r="B65" s="12" t="str">
        <x:v>A</x:v>
      </x:c>
      <x:c r="C65" s="12" t="n">
        <x:v>81</x:v>
      </x:c>
      <x:c r="D65" s="12" t="str">
        <x:v>Raíces S.R.L.</x:v>
      </x:c>
      <x:c r="E65" s="12" t="str">
        <x:v>Galpones / estructuras</x:v>
      </x:c>
      <x:c r="F65" s="12" t="str">
        <x:v>A verificar</x:v>
      </x:c>
      <x:c r="G65" s="12" t="str">
        <x:v>PILT</x:v>
      </x:c>
      <x:c r="H65" s="12" t="str">
        <x:v>Despacho de estructuras, conjuntos metálicos, piezas pesadas o equipos de producción.</x:v>
      </x:c>
      <x:c r="I65" s="12" t="str">
        <x:v>Plataforma + hidrogrúa + malacate; percha según carga.</x:v>
      </x:c>
      <x:c r="J65" s="12" t="str">
        <x:v>Pedir producción/expedición; relevar piezas máximas y destinos habituales.</x:v>
      </x:c>
      <x:c r="K65" s="12" t="str">
        <x:v>https://www.google.com/maps/search/?api=1&amp;query=Ra%C3%ADces+S.R.L.%2C+Parque+Industrial%2C+Log%C3%ADstico+y+Tecnol%C3%B3gico+%28PILT%29%2C+RN9+km+551%2C5%2C+Villa+Mar%C3%ADa%2C+C%C3%B3rdoba</x:v>
      </x:c>
    </x:row>
    <x:row r="66">
      <x:c r="A66" s="12" t="str">
        <x:v>VM-055</x:v>
      </x:c>
      <x:c r="B66" s="12" t="str">
        <x:v>A</x:v>
      </x:c>
      <x:c r="C66" s="12" t="n">
        <x:v>81</x:v>
      </x:c>
      <x:c r="D66" s="12" t="str">
        <x:v>RJA Áridos</x:v>
      </x:c>
      <x:c r="E66" s="12" t="str">
        <x:v>Áridos / materiales</x:v>
      </x:c>
      <x:c r="F66" s="12" t="str">
        <x:v>+54 351 2433176</x:v>
      </x:c>
      <x:c r="G66" s="12" t="str">
        <x:v>Área Villa María</x:v>
      </x:c>
      <x:c r="H66" s="12" t="str">
        <x:v>Movimiento de equipos de planta, moldes, bombas, premoldeados y cargas pesadas especiales.</x:v>
      </x:c>
      <x:c r="I66" s="12" t="str">
        <x:v>Plataforma + hidrogrúa + percha para pallets.</x:v>
      </x:c>
      <x:c r="J66" s="12" t="str">
        <x:v>Pedir planta/logística/mantenimiento; relevar equipos y movimientos no cubiertos.</x:v>
      </x:c>
      <x:c r="K66" s="12" t="str">
        <x:v>https://www.google.com/maps/search/?api=1&amp;query=RJA+%C3%81ridos%2C+Villa+Mar%C3%ADa%2C+C%C3%B3rdoba</x:v>
      </x:c>
    </x:row>
    <x:row r="67">
      <x:c r="A67" s="12" t="str">
        <x:v>VM-056</x:v>
      </x:c>
      <x:c r="B67" s="12" t="str">
        <x:v>A</x:v>
      </x:c>
      <x:c r="C67" s="12" t="n">
        <x:v>80</x:v>
      </x:c>
      <x:c r="D67" s="12" t="str">
        <x:v>Frigorífico La Pequeña SRL</x:v>
      </x:c>
      <x:c r="E67" s="12" t="str">
        <x:v>Frigorífico / planta industrial</x:v>
      </x:c>
      <x:c r="F67" s="12" t="str">
        <x:v>0353 4197312</x:v>
      </x:c>
      <x:c r="G67" s="12" t="str">
        <x:v>Industrial / sur</x:v>
      </x:c>
      <x:c r="H67" s="12" t="str">
        <x:v>Movimientos de mantenimiento, motores, bombas, equipos, racks y cargas extraordinarias.</x:v>
      </x:c>
      <x:c r="I67" s="12" t="str">
        <x:v>Plataforma + hidrogrúa + percha + seguro/GPS.</x:v>
      </x:c>
      <x:c r="J67" s="12" t="str">
        <x:v>Pedir mantenimiento/compras/planta; relevar equipos críticos y proveedores actuales.</x:v>
      </x:c>
      <x:c r="K67" s="12" t="str">
        <x:v>https://www.google.com/maps/search/?api=1&amp;query=Frigor%C3%ADfico+La+Peque%C3%B1a+SRL%2C+Carlos+Avalle%2C+Villa+Mar%C3%ADa%2C+C%C3%B3rdoba</x:v>
      </x:c>
    </x:row>
    <x:row r="68">
      <x:c r="A68" s="12" t="str">
        <x:v>VM-057</x:v>
      </x:c>
      <x:c r="B68" s="12" t="str">
        <x:v>A</x:v>
      </x:c>
      <x:c r="C68" s="12" t="n">
        <x:v>80</x:v>
      </x:c>
      <x:c r="D68" s="12" t="str">
        <x:v>Industria Sudamericana de Botta</x:v>
      </x:c>
      <x:c r="E68" s="12" t="str">
        <x:v>Estructuras / equipamiento metálico</x:v>
      </x:c>
      <x:c r="F68" s="12" t="str">
        <x:v>0353 4520259 / 4527451</x:v>
      </x:c>
      <x:c r="G68" s="12" t="str">
        <x:v>PILT</x:v>
      </x:c>
      <x:c r="H68" s="12" t="str">
        <x:v>Despacho de estructuras, conjuntos metálicos, piezas pesadas o equipos de producción.</x:v>
      </x:c>
      <x:c r="I68" s="12" t="str">
        <x:v>Plataforma + hidrogrúa + malacate; percha según carga.</x:v>
      </x:c>
      <x:c r="J68" s="12" t="str">
        <x:v>Pedir producción/expedición; relevar piezas máximas y destinos habituales.</x:v>
      </x:c>
      <x:c r="K68" s="12" t="str">
        <x:v>https://www.google.com/maps/search/?api=1&amp;query=Industria+Sudamericana+de+Botta%2C+Parque+Industrial%2C+Log%C3%ADstico+y+Tecnol%C3%B3gico+%28PILT%29%2C+RN9+km+551%2C5%2C+Villa+Mar%C3%ADa%2C+C%C3%B3rdoba</x:v>
      </x:c>
    </x:row>
    <x:row r="69">
      <x:c r="A69" s="12" t="str">
        <x:v>VM-058</x:v>
      </x:c>
      <x:c r="B69" s="12" t="str">
        <x:v>A</x:v>
      </x:c>
      <x:c r="C69" s="12" t="n">
        <x:v>80</x:v>
      </x:c>
      <x:c r="D69" s="12" t="str">
        <x:v>Inoxidables Villa María SRL</x:v>
      </x:c>
      <x:c r="E69" s="12" t="str">
        <x:v>Metalúrgica / acero inoxidable</x:v>
      </x:c>
      <x:c r="F69" s="12" t="str">
        <x:v>A verificar</x:v>
      </x:c>
      <x:c r="G69" s="12" t="str">
        <x:v>PILT</x:v>
      </x:c>
      <x:c r="H69" s="12" t="str">
        <x:v>Despacho de estructuras, conjuntos metálicos, piezas pesadas o equipos de producción.</x:v>
      </x:c>
      <x:c r="I69" s="12" t="str">
        <x:v>Plataforma + hidrogrúa + malacate; percha según carga.</x:v>
      </x:c>
      <x:c r="J69" s="12" t="str">
        <x:v>Pedir producción/expedición; relevar piezas máximas y destinos habituales.</x:v>
      </x:c>
      <x:c r="K69" s="12" t="str">
        <x:v>https://www.google.com/maps/search/?api=1&amp;query=Inoxidables+Villa+Mar%C3%ADa+SRL%2C+Parque+Industrial%2C+Log%C3%ADstico+y+Tecnol%C3%B3gico+%28PILT%29%2C+RN9+km+551%2C5%2C+Villa+Mar%C3%ADa%2C+C%C3%B3rdoba</x:v>
      </x:c>
    </x:row>
    <x:row r="70">
      <x:c r="A70" s="12" t="str">
        <x:v>VM-059</x:v>
      </x:c>
      <x:c r="B70" s="12" t="str">
        <x:v>A</x:v>
      </x:c>
      <x:c r="C70" s="12" t="n">
        <x:v>80</x:v>
      </x:c>
      <x:c r="D70" s="12" t="str">
        <x:v>Mercado Libre Centro Logístico Villa María</x:v>
      </x:c>
      <x:c r="E70" s="12" t="str">
        <x:v>Centro logístico</x:v>
      </x:c>
      <x:c r="F70" s="12" t="str">
        <x:v>A verificar</x:v>
      </x:c>
      <x:c r="G70" s="12" t="str">
        <x:v>AU9 km 563</x:v>
      </x:c>
      <x:c r="H70" s="12" t="str">
        <x:v>Movimientos de equipos o cargas especiales asociados a la operación.</x:v>
      </x:c>
      <x:c r="I70" s="12" t="str">
        <x:v>Plataforma 20 tn + hidrogrúa + malacate según necesidad.</x:v>
      </x:c>
      <x:c r="J70" s="12" t="str">
        <x:v>Contactar operaciones/logística y relevar movimientos actuales.</x:v>
      </x:c>
      <x:c r="K70" s="12" t="str">
        <x:v>https://www.google.com/maps/search/?api=1&amp;query=Mercado+Libre+Centro+Log%C3%ADstico+Villa+Mar%C3%ADa%2C+Colectora+Sur+km+563+N%C2%B01189%2C+Villa+Mar%C3%ADa%2C+C%C3%B3rdoba</x:v>
      </x:c>
    </x:row>
    <x:row r="71">
      <x:c r="A71" s="12" t="str">
        <x:v>VM-060</x:v>
      </x:c>
      <x:c r="B71" s="12" t="str">
        <x:v>A</x:v>
      </x:c>
      <x:c r="C71" s="12" t="n">
        <x:v>80</x:v>
      </x:c>
      <x:c r="D71" s="12" t="str">
        <x:v>Metalúrgica Pablo Bruno</x:v>
      </x:c>
      <x:c r="E71" s="12" t="str">
        <x:v>Metalúrgica / alquiler herramientas</x:v>
      </x:c>
      <x:c r="F71" s="12" t="str">
        <x:v>0353 4129025</x:v>
      </x:c>
      <x:c r="G71" s="12" t="str">
        <x:v>Urbano</x:v>
      </x:c>
      <x:c r="H71" s="12" t="str">
        <x:v>Despacho de estructuras, conjuntos metálicos, piezas pesadas o equipos de producción.</x:v>
      </x:c>
      <x:c r="I71" s="12" t="str">
        <x:v>Plataforma + hidrogrúa + malacate; percha según carga.</x:v>
      </x:c>
      <x:c r="J71" s="12" t="str">
        <x:v>Pedir producción/expedición; relevar piezas máximas y destinos habituales.</x:v>
      </x:c>
      <x:c r="K71" s="12" t="str">
        <x:v>https://www.google.com/maps/search/?api=1&amp;query=Metal%C3%BArgica+Pablo+Bruno%2C+Buenos+Aires+2424%2C+Villa+Mar%C3%ADa%2C+C%C3%B3rdoba</x:v>
      </x:c>
    </x:row>
    <x:row r="72">
      <x:c r="A72" s="12" t="str">
        <x:v>VM-061</x:v>
      </x:c>
      <x:c r="B72" s="12" t="str">
        <x:v>A</x:v>
      </x:c>
      <x:c r="C72" s="12" t="n">
        <x:v>80</x:v>
      </x:c>
      <x:c r="D72" s="12" t="str">
        <x:v>S.A. Molinos Fénix</x:v>
      </x:c>
      <x:c r="E72" s="12" t="str">
        <x:v>Molino / alimentos balanceados</x:v>
      </x:c>
      <x:c r="F72" s="12" t="str">
        <x:v>0353 4528107</x:v>
      </x:c>
      <x:c r="G72" s="12" t="str">
        <x:v>Centro / industrial</x:v>
      </x:c>
      <x:c r="H72" s="12" t="str">
        <x:v>Movimientos de mantenimiento, motores, bombas, equipos, racks y cargas extraordinarias.</x:v>
      </x:c>
      <x:c r="I72" s="12" t="str">
        <x:v>Plataforma + hidrogrúa + percha + seguro/GPS.</x:v>
      </x:c>
      <x:c r="J72" s="12" t="str">
        <x:v>Pedir mantenimiento/compras/planta; relevar equipos críticos y proveedores actuales.</x:v>
      </x:c>
      <x:c r="K72" s="12" t="str">
        <x:v>https://www.google.com/maps/search/?api=1&amp;query=S.A.+Molinos+F%C3%A9nix%2C+Leandro+N.+Alem+y+Salta%2C+Villa+Mar%C3%ADa%2C+C%C3%B3rdoba</x:v>
      </x:c>
    </x:row>
    <x:row r="73">
      <x:c r="A73" s="12" t="str">
        <x:v>VM-062</x:v>
      </x:c>
      <x:c r="B73" s="12" t="str">
        <x:v>A</x:v>
      </x:c>
      <x:c r="C73" s="12" t="n">
        <x:v>80</x:v>
      </x:c>
      <x:c r="D73" s="12" t="str">
        <x:v>Servicios Agroindustria SRL</x:v>
      </x:c>
      <x:c r="E73" s="12" t="str">
        <x:v>Motores eléctricos / agroindustria</x:v>
      </x:c>
      <x:c r="F73" s="12" t="str">
        <x:v>0353 4531126</x:v>
      </x:c>
      <x:c r="G73" s="12" t="str">
        <x:v>Urbano industrial</x:v>
      </x:c>
      <x:c r="H73" s="12" t="str">
        <x:v>Movimientos de mantenimiento, motores, bombas, equipos, racks y cargas extraordinarias.</x:v>
      </x:c>
      <x:c r="I73" s="12" t="str">
        <x:v>Plataforma + hidrogrúa + percha + seguro/GPS.</x:v>
      </x:c>
      <x:c r="J73" s="12" t="str">
        <x:v>Pedir mantenimiento/compras/planta; relevar equipos críticos y proveedores actuales.</x:v>
      </x:c>
      <x:c r="K73" s="12" t="str">
        <x:v>https://www.google.com/maps/search/?api=1&amp;query=Servicios+Agroindustria+SRL%2C+Bv.+V%C3%A9lez+Sarsfield+1243%2C+Villa+Mar%C3%ADa%2C+C%C3%B3rdoba</x:v>
      </x:c>
    </x:row>
    <x:row r="74">
      <x:c r="A74" s="12" t="str">
        <x:v>VM-063</x:v>
      </x:c>
      <x:c r="B74" s="12" t="str">
        <x:v>A</x:v>
      </x:c>
      <x:c r="C74" s="12" t="n">
        <x:v>80</x:v>
      </x:c>
      <x:c r="D74" s="12" t="str">
        <x:v>Transbus SRL</x:v>
      </x:c>
      <x:c r="E74" s="12" t="str">
        <x:v>Logística / transporte</x:v>
      </x:c>
      <x:c r="F74" s="12" t="str">
        <x:v>A verificar</x:v>
      </x:c>
      <x:c r="G74" s="12" t="str">
        <x:v>PILT</x:v>
      </x:c>
      <x:c r="H74" s="12" t="str">
        <x:v>Overflow y derivación de cargas/equipos que requieren plataforma, malacate o hidrogrúa.</x:v>
      </x:c>
      <x:c r="I74" s="12" t="str">
        <x:v>Capacidad complementaria: plataforma 20 tn + hidrogrúa + malacate.</x:v>
      </x:c>
      <x:c r="J74" s="12" t="str">
        <x:v>Pedir tráfico/operaciones; ofrecer acuerdo de derivaciones y contingencias.</x:v>
      </x:c>
      <x:c r="K74" s="12" t="str">
        <x:v>https://www.google.com/maps/search/?api=1&amp;query=Transbus+SRL%2C+Parque+Industrial%2C+Log%C3%ADstico+y+Tecnol%C3%B3gico+%28PILT%29%2C+RN9+km+551%2C5%2C+Villa+Mar%C3%ADa%2C+C%C3%B3rdoba</x:v>
      </x:c>
    </x:row>
    <x:row r="75">
      <x:c r="A75" s="12" t="str">
        <x:v>VM-064</x:v>
      </x:c>
      <x:c r="B75" s="12" t="str">
        <x:v>A</x:v>
      </x:c>
      <x:c r="C75" s="12" t="n">
        <x:v>79</x:v>
      </x:c>
      <x:c r="D75" s="12" t="str">
        <x:v>Abelcar</x:v>
      </x:c>
      <x:c r="E75" s="12" t="str">
        <x:v>Tableros eléctricos / industria</x:v>
      </x:c>
      <x:c r="F75" s="12" t="str">
        <x:v>0353 4538000</x:v>
      </x:c>
      <x:c r="G75" s="12" t="str">
        <x:v>Urbano industrial</x:v>
      </x:c>
      <x:c r="H75" s="12" t="str">
        <x:v>Movimiento de tableros, transformadores, bombas, módulos y equipos industriales.</x:v>
      </x:c>
      <x:c r="I75" s="12" t="str">
        <x:v>Plataforma + hidrogrúa + percha según carga.</x:v>
      </x:c>
      <x:c r="J75" s="12" t="str">
        <x:v>Pedir proyectos/mantenimiento/logística; consultar pesos y obras activas.</x:v>
      </x:c>
      <x:c r="K75" s="12" t="str">
        <x:v>https://www.google.com/maps/search/?api=1&amp;query=Abelcar%2C+Arenales+2220%2C+Villa+Mar%C3%ADa%2C+C%C3%B3rdoba</x:v>
      </x:c>
    </x:row>
    <x:row r="76">
      <x:c r="A76" s="12" t="str">
        <x:v>VM-065</x:v>
      </x:c>
      <x:c r="B76" s="12" t="str">
        <x:v>A</x:v>
      </x:c>
      <x:c r="C76" s="12" t="n">
        <x:v>79</x:v>
      </x:c>
      <x:c r="D76" s="12" t="str">
        <x:v>Don Primo S.A.</x:v>
      </x:c>
      <x:c r="E76" s="12" t="str">
        <x:v>Sistemas contra incendio</x:v>
      </x:c>
      <x:c r="F76" s="12" t="str">
        <x:v>A verificar</x:v>
      </x:c>
      <x:c r="G76" s="12" t="str">
        <x:v>PILT</x:v>
      </x:c>
      <x:c r="H76" s="12" t="str">
        <x:v>Movimientos de equipos o cargas especiales asociados a la operación.</x:v>
      </x:c>
      <x:c r="I76" s="12" t="str">
        <x:v>Plataforma 20 tn + hidrogrúa + malacate según necesidad.</x:v>
      </x:c>
      <x:c r="J76" s="12" t="str">
        <x:v>Contactar operaciones/logística y relevar movimientos actuales.</x:v>
      </x:c>
      <x:c r="K76" s="12" t="str">
        <x:v>https://www.google.com/maps/search/?api=1&amp;query=Don+Primo+S.A.%2C+Parque+Industrial%2C+Log%C3%ADstico+y+Tecnol%C3%B3gico+%28PILT%29%2C+RN9+km+551%2C5%2C+Villa+Mar%C3%ADa%2C+C%C3%B3rdoba</x:v>
      </x:c>
    </x:row>
    <x:row r="77">
      <x:c r="A77" s="12" t="str">
        <x:v>VM-066</x:v>
      </x:c>
      <x:c r="B77" s="12" t="str">
        <x:v>A</x:v>
      </x:c>
      <x:c r="C77" s="12" t="n">
        <x:v>79</x:v>
      </x:c>
      <x:c r="D77" s="12" t="str">
        <x:v>Radio Electrón S.A.</x:v>
      </x:c>
      <x:c r="E77" s="12" t="str">
        <x:v>Electromecánica / tableros</x:v>
      </x:c>
      <x:c r="F77" s="12" t="str">
        <x:v>A verificar</x:v>
      </x:c>
      <x:c r="G77" s="12" t="str">
        <x:v>PILT</x:v>
      </x:c>
      <x:c r="H77" s="12" t="str">
        <x:v>Movimiento de tableros, transformadores, bombas, módulos y equipos industriales.</x:v>
      </x:c>
      <x:c r="I77" s="12" t="str">
        <x:v>Plataforma + hidrogrúa + percha según carga.</x:v>
      </x:c>
      <x:c r="J77" s="12" t="str">
        <x:v>Pedir proyectos/mantenimiento/logística; consultar pesos y obras activas.</x:v>
      </x:c>
      <x:c r="K77" s="12" t="str">
        <x:v>https://www.google.com/maps/search/?api=1&amp;query=Radio+Electr%C3%B3n+S.A.%2C+Parque+Industrial%2C+Log%C3%ADstico+y+Tecnol%C3%B3gico+%28PILT%29%2C+RN9+km+551%2C5%2C+Villa+Mar%C3%ADa%2C+C%C3%B3rdoba</x:v>
      </x:c>
    </x:row>
    <x:row r="78">
      <x:c r="A78" s="12" t="str">
        <x:v>VM-067</x:v>
      </x:c>
      <x:c r="B78" s="12" t="str">
        <x:v>A</x:v>
      </x:c>
      <x:c r="C78" s="12" t="n">
        <x:v>78</x:v>
      </x:c>
      <x:c r="D78" s="12" t="str">
        <x:v>Centro Construcciones S.R.L.</x:v>
      </x:c>
      <x:c r="E78" s="12" t="str">
        <x:v>Materiales / obra</x:v>
      </x:c>
      <x:c r="F78" s="12" t="str">
        <x:v>0353 4282568</x:v>
      </x:c>
      <x:c r="G78" s="12" t="str">
        <x:v>Av. Perón / Industrial</x:v>
      </x:c>
      <x:c r="H78" s="12" t="str">
        <x:v>Movimiento de equipos de planta, moldes, bombas, premoldeados y cargas pesadas especiales.</x:v>
      </x:c>
      <x:c r="I78" s="12" t="str">
        <x:v>Plataforma + hidrogrúa + percha para pallets.</x:v>
      </x:c>
      <x:c r="J78" s="12" t="str">
        <x:v>Pedir planta/logística/mantenimiento; relevar equipos y movimientos no cubiertos.</x:v>
      </x:c>
      <x:c r="K78" s="12" t="str">
        <x:v>https://www.google.com/maps/search/?api=1&amp;query=Centro+Construcciones+S.R.L.%2C+Av.+Presidente+Per%C3%B3n+esq.+Fitz+Roy%2C+Villa+Mar%C3%ADa%2C+C%C3%B3rdoba</x:v>
      </x:c>
    </x:row>
    <x:row r="79">
      <x:c r="A79" s="12" t="str">
        <x:v>VM-068</x:v>
      </x:c>
      <x:c r="B79" s="12" t="str">
        <x:v>A</x:v>
      </x:c>
      <x:c r="C79" s="12" t="n">
        <x:v>78</x:v>
      </x:c>
      <x:c r="D79" s="12" t="str">
        <x:v>Ferrero y Mattio S.R.L.</x:v>
      </x:c>
      <x:c r="E79" s="12" t="str">
        <x:v>Tableros / columnas de alumbrado</x:v>
      </x:c>
      <x:c r="F79" s="12" t="str">
        <x:v>A verificar</x:v>
      </x:c>
      <x:c r="G79" s="12" t="str">
        <x:v>PILT</x:v>
      </x:c>
      <x:c r="H79" s="12" t="str">
        <x:v>Movimiento de tableros, transformadores, bombas, módulos y equipos industriales.</x:v>
      </x:c>
      <x:c r="I79" s="12" t="str">
        <x:v>Plataforma + hidrogrúa + percha según carga.</x:v>
      </x:c>
      <x:c r="J79" s="12" t="str">
        <x:v>Pedir proyectos/mantenimiento/logística; consultar pesos y obras activas.</x:v>
      </x:c>
      <x:c r="K79" s="12" t="str">
        <x:v>https://www.google.com/maps/search/?api=1&amp;query=Ferrero+y+Mattio+S.R.L.%2C+Parque+Industrial%2C+Log%C3%ADstico+y+Tecnol%C3%B3gico+%28PILT%29%2C+RN9+km+551%2C5%2C+Villa+Mar%C3%ADa%2C+C%C3%B3rdoba</x:v>
      </x:c>
    </x:row>
    <x:row r="80">
      <x:c r="A80" s="12" t="str">
        <x:v>VM-069</x:v>
      </x:c>
      <x:c r="B80" s="12" t="str">
        <x:v>A</x:v>
      </x:c>
      <x:c r="C80" s="12" t="n">
        <x:v>78</x:v>
      </x:c>
      <x:c r="D80" s="12" t="str">
        <x:v>Transporte TM</x:v>
      </x:c>
      <x:c r="E80" s="12" t="str">
        <x:v>Transporte / logística</x:v>
      </x:c>
      <x:c r="F80" s="12" t="str">
        <x:v>0353 4204210</x:v>
      </x:c>
      <x:c r="G80" s="12" t="str">
        <x:v>Porfirio Seppey / Industrial</x:v>
      </x:c>
      <x:c r="H80" s="12" t="str">
        <x:v>Overflow y derivación de cargas/equipos que requieren plataforma, malacate o hidrogrúa.</x:v>
      </x:c>
      <x:c r="I80" s="12" t="str">
        <x:v>Capacidad complementaria: plataforma 20 tn + hidrogrúa + malacate.</x:v>
      </x:c>
      <x:c r="J80" s="12" t="str">
        <x:v>Pedir tráfico/operaciones; ofrecer acuerdo de derivaciones y contingencias.</x:v>
      </x:c>
      <x:c r="K80" s="12" t="str">
        <x:v>https://www.google.com/maps/search/?api=1&amp;query=Transporte+TM%2C+Porfirio+Seppey+446%2C+Villa+Mar%C3%ADa%2C+C%C3%B3rdoba</x:v>
      </x:c>
    </x:row>
    <x:row r="81">
      <x:c r="A81" s="12" t="str">
        <x:v>VM-070</x:v>
      </x:c>
      <x:c r="B81" s="12" t="str">
        <x:v>A</x:v>
      </x:c>
      <x:c r="C81" s="12" t="n">
        <x:v>77</x:v>
      </x:c>
      <x:c r="D81" s="12" t="str">
        <x:v>Fuyana Rodrigo</x:v>
      </x:c>
      <x:c r="E81" s="12" t="str">
        <x:v>Tableros eléctricos / control</x:v>
      </x:c>
      <x:c r="F81" s="12" t="str">
        <x:v>A verificar</x:v>
      </x:c>
      <x:c r="G81" s="12" t="str">
        <x:v>PILT</x:v>
      </x:c>
      <x:c r="H81" s="12" t="str">
        <x:v>Movimiento de tableros, transformadores, bombas, módulos y equipos industriales.</x:v>
      </x:c>
      <x:c r="I81" s="12" t="str">
        <x:v>Plataforma + hidrogrúa + percha según carga.</x:v>
      </x:c>
      <x:c r="J81" s="12" t="str">
        <x:v>Pedir proyectos/mantenimiento/logística; consultar pesos y obras activas.</x:v>
      </x:c>
      <x:c r="K81" s="12" t="str">
        <x:v>https://www.google.com/maps/search/?api=1&amp;query=Fuyana+Rodrigo%2C+Parque+Industrial%2C+Log%C3%ADstico+y+Tecnol%C3%B3gico+%28PILT%29%2C+RN9+km+551%2C5%2C+Villa+Mar%C3%ADa%2C+C%C3%B3rdoba</x:v>
      </x:c>
    </x:row>
    <x:row r="82">
      <x:c r="A82" s="12" t="str">
        <x:v>VM-071</x:v>
      </x:c>
      <x:c r="B82" s="12" t="str">
        <x:v>A</x:v>
      </x:c>
      <x:c r="C82" s="12" t="n">
        <x:v>77</x:v>
      </x:c>
      <x:c r="D82" s="12" t="str">
        <x:v>Remolques del Centro</x:v>
      </x:c>
      <x:c r="E82" s="12" t="str">
        <x:v>Remolques / trailers</x:v>
      </x:c>
      <x:c r="F82" s="12" t="str">
        <x:v>+54 9 353 4175182</x:v>
      </x:c>
      <x:c r="G82" s="12" t="str">
        <x:v>Urbano</x:v>
      </x:c>
      <x:c r="H82" s="12" t="str">
        <x:v>Movilización de camiones, acoplados, semirremolques o unidades que no pueden circular; despachos de fábrica.</x:v>
      </x:c>
      <x:c r="I82" s="12" t="str">
        <x:v>Plataforma 20 tn + malacate + hidrogrúa según maniobra.</x:v>
      </x:c>
      <x:c r="J82" s="12" t="str">
        <x:v>Pedir expedición/taller/logística; consultar movimientos mensuales y pesos.</x:v>
      </x:c>
      <x:c r="K82" s="12" t="str">
        <x:v>https://www.google.com/maps/search/?api=1&amp;query=Remolques+del+Centro%2C+Catamarca+2190%2C+Villa+Mar%C3%ADa%2C+C%C3%B3rdoba</x:v>
      </x:c>
    </x:row>
    <x:row r="83">
      <x:c r="A83" s="12" t="str">
        <x:v>VM-072</x:v>
      </x:c>
      <x:c r="B83" s="12" t="str">
        <x:v>A</x:v>
      </x:c>
      <x:c r="C83" s="12" t="n">
        <x:v>77</x:v>
      </x:c>
      <x:c r="D83" s="12" t="str">
        <x:v>Valfre Sebastián Antonio</x:v>
      </x:c>
      <x:c r="E83" s="12" t="str">
        <x:v>Contenedores / embalajes</x:v>
      </x:c>
      <x:c r="F83" s="12" t="str">
        <x:v>A verificar</x:v>
      </x:c>
      <x:c r="G83" s="12" t="str">
        <x:v>PILT</x:v>
      </x:c>
      <x:c r="H83" s="12" t="str">
        <x:v>Movimientos de equipos o cargas especiales asociados a la operación.</x:v>
      </x:c>
      <x:c r="I83" s="12" t="str">
        <x:v>Plataforma 20 tn + hidrogrúa + malacate según necesidad.</x:v>
      </x:c>
      <x:c r="J83" s="12" t="str">
        <x:v>Contactar operaciones/logística y relevar movimientos actuales.</x:v>
      </x:c>
      <x:c r="K83" s="12" t="str">
        <x:v>https://www.google.com/maps/search/?api=1&amp;query=Valfre+Sebasti%C3%A1n+Antonio%2C+Parque+Industrial%2C+Log%C3%ADstico+y+Tecnol%C3%B3gico+%28PILT%29%2C+RN9+km+551%2C5%2C+Villa+Mar%C3%ADa%2C+C%C3%B3rdoba</x:v>
      </x:c>
    </x:row>
    <x:row r="84">
      <x:c r="A84" s="12" t="str">
        <x:v>VM-073</x:v>
      </x:c>
      <x:c r="B84" s="12" t="str">
        <x:v>A</x:v>
      </x:c>
      <x:c r="C84" s="12" t="n">
        <x:v>76</x:v>
      </x:c>
      <x:c r="D84" s="12" t="str">
        <x:v>Agro Repuestos Villa María</x:v>
      </x:c>
      <x:c r="E84" s="12" t="str">
        <x:v>Repuestos / maquinaria agrícola</x:v>
      </x:c>
      <x:c r="F84" s="12" t="str">
        <x:v>0353 4783991</x:v>
      </x:c>
      <x:c r="G84" s="12" t="str">
        <x:v>RN158 / Área 158</x:v>
      </x:c>
      <x:c r="H84" s="12" t="str">
        <x:v>Entrega/retiro de maquinaria, usados, service y traslados entre cliente, taller y campo/obra.</x:v>
      </x:c>
      <x:c r="I84" s="12" t="str">
        <x:v>Plataforma 20 tn + malacate + hidrogrúa de apoyo + seguro/GPS.</x:v>
      </x:c>
      <x:c r="J84" s="12" t="str">
        <x:v>Pedir logística/posventa; relevar equipos, pesos y frecuencia mensual.</x:v>
      </x:c>
      <x:c r="K84" s="12" t="str">
        <x:v>https://www.google.com/maps/search/?api=1&amp;query=Agro+Repuestos+Villa+Mar%C3%ADa%2C+%C3%81rea+158%2C+RN158%2C+Villa+Mar%C3%ADa%2C+C%C3%B3rdoba</x:v>
      </x:c>
    </x:row>
    <x:row r="85">
      <x:c r="A85" s="12" t="str">
        <x:v>VM-074</x:v>
      </x:c>
      <x:c r="B85" s="12" t="str">
        <x:v>A</x:v>
      </x:c>
      <x:c r="C85" s="12" t="n">
        <x:v>76</x:v>
      </x:c>
      <x:c r="D85" s="12" t="str">
        <x:v>Auxilios y Grúas MARPAT</x:v>
      </x:c>
      <x:c r="E85" s="12" t="str">
        <x:v>Grúa / auxilio</x:v>
      </x:c>
      <x:c r="F85" s="12" t="str">
        <x:v>+54 3468 642819</x:v>
      </x:c>
      <x:c r="G85" s="12" t="str">
        <x:v>Urbano</x:v>
      </x:c>
      <x:c r="H85" s="12" t="str">
        <x:v>Entrega/retiro de equipos de elevación y apoyo en maniobras o posicionamiento.</x:v>
      </x:c>
      <x:c r="I85" s="12" t="str">
        <x:v>Plataforma 20 tn + malacate + hidrogrúa.</x:v>
      </x:c>
      <x:c r="J85" s="12" t="str">
        <x:v>Pedir operaciones/alquileres; relevar flota, pesos y zonas de servicio.</x:v>
      </x:c>
      <x:c r="K85" s="12" t="str">
        <x:v>https://www.google.com/maps/search/?api=1&amp;query=Auxilios+y+Gr%C3%BAas+MARPAT%2C+Jos%C3%A9+Ingenieros+782%2C+Villa+Mar%C3%ADa%2C+C%C3%B3rdoba</x:v>
      </x:c>
    </x:row>
    <x:row r="86">
      <x:c r="A86" s="12" t="str">
        <x:v>VM-075</x:v>
      </x:c>
      <x:c r="B86" s="12" t="str">
        <x:v>A</x:v>
      </x:c>
      <x:c r="C86" s="12" t="n">
        <x:v>76</x:v>
      </x:c>
      <x:c r="D86" s="12" t="str">
        <x:v>Ranco Materiales - Villa María</x:v>
      </x:c>
      <x:c r="E86" s="12" t="str">
        <x:v>Materiales / construcción</x:v>
      </x:c>
      <x:c r="F86" s="12" t="str">
        <x:v>0353 4549200</x:v>
      </x:c>
      <x:c r="G86" s="12" t="str">
        <x:v>Urbano</x:v>
      </x:c>
      <x:c r="H86" s="12" t="str">
        <x:v>Movimiento de equipos de planta, moldes, bombas, premoldeados y cargas pesadas especiales.</x:v>
      </x:c>
      <x:c r="I86" s="12" t="str">
        <x:v>Plataforma + hidrogrúa + percha para pallets.</x:v>
      </x:c>
      <x:c r="J86" s="12" t="str">
        <x:v>Pedir planta/logística/mantenimiento; relevar equipos y movimientos no cubiertos.</x:v>
      </x:c>
      <x:c r="K86" s="12" t="str">
        <x:v>https://www.google.com/maps/search/?api=1&amp;query=Ranco+Materiales+-+Villa+Mar%C3%ADa%2C+Bv.+V%C3%A9lez+Sarsfield+659%2C+Villa+Mar%C3%ADa%2C+C%C3%B3rdoba</x:v>
      </x:c>
    </x:row>
    <x:row r="87">
      <x:c r="A87" s="12" t="str">
        <x:v>VM-076</x:v>
      </x:c>
      <x:c r="B87" s="12" t="str">
        <x:v>A</x:v>
      </x:c>
      <x:c r="C87" s="12" t="n">
        <x:v>75</x:v>
      </x:c>
      <x:c r="D87" s="12" t="str">
        <x:v>Mino Transporte</x:v>
      </x:c>
      <x:c r="E87" s="12" t="str">
        <x:v>Transporte de mercancías</x:v>
      </x:c>
      <x:c r="F87" s="12" t="str">
        <x:v>0353 4524207</x:v>
      </x:c>
      <x:c r="G87" s="12" t="str">
        <x:v>Urbano</x:v>
      </x:c>
      <x:c r="H87" s="12" t="str">
        <x:v>Overflow y derivación de cargas/equipos que requieren plataforma, malacate o hidrogrúa.</x:v>
      </x:c>
      <x:c r="I87" s="12" t="str">
        <x:v>Capacidad complementaria: plataforma 20 tn + hidrogrúa + malacate.</x:v>
      </x:c>
      <x:c r="J87" s="12" t="str">
        <x:v>Pedir tráfico/operaciones; ofrecer acuerdo de derivaciones y contingencias.</x:v>
      </x:c>
      <x:c r="K87" s="12" t="str">
        <x:v>https://www.google.com/maps/search/?api=1&amp;query=Mino+Transporte%2C+Catamarca+192%2C+Villa+Mar%C3%ADa%2C+C%C3%B3rdoba</x:v>
      </x:c>
    </x:row>
    <x:row r="88">
      <x:c r="A88" s="12" t="str">
        <x:v>VM-077</x:v>
      </x:c>
      <x:c r="B88" s="12" t="str">
        <x:v>A</x:v>
      </x:c>
      <x:c r="C88" s="12" t="n">
        <x:v>75</x:v>
      </x:c>
      <x:c r="D88" s="12" t="str">
        <x:v>Vetro SRL</x:v>
      </x:c>
      <x:c r="E88" s="12" t="str">
        <x:v>Procesamiento de vidrio</x:v>
      </x:c>
      <x:c r="F88" s="12" t="str">
        <x:v>A verificar</x:v>
      </x:c>
      <x:c r="G88" s="12" t="str">
        <x:v>PILT</x:v>
      </x:c>
      <x:c r="H88" s="12" t="str">
        <x:v>Movimientos de equipos o cargas especiales asociados a la operación.</x:v>
      </x:c>
      <x:c r="I88" s="12" t="str">
        <x:v>Plataforma 20 tn + hidrogrúa + malacate según necesidad.</x:v>
      </x:c>
      <x:c r="J88" s="12" t="str">
        <x:v>Contactar operaciones/logística y relevar movimientos actuales.</x:v>
      </x:c>
      <x:c r="K88" s="12" t="str">
        <x:v>https://www.google.com/maps/search/?api=1&amp;query=Vetro+SRL%2C+Parque+Industrial%2C+Log%C3%ADstico+y+Tecnol%C3%B3gico+%28PILT%29%2C+RN9+km+551%2C5%2C+Villa+Mar%C3%ADa%2C+C%C3%B3rdoba</x:v>
      </x:c>
    </x:row>
    <x:row r="89">
      <x:c r="A89" s="12" t="str">
        <x:v>VM-078</x:v>
      </x:c>
      <x:c r="B89" s="12" t="str">
        <x:v>A</x:v>
      </x:c>
      <x:c r="C89" s="12" t="n">
        <x:v>72</x:v>
      </x:c>
      <x:c r="D89" s="12" t="str">
        <x:v>Poligar S.R.L.</x:v>
      </x:c>
      <x:c r="E89" s="12" t="str">
        <x:v>Plásticos / embalaje</x:v>
      </x:c>
      <x:c r="F89" s="12" t="str">
        <x:v>A verificar</x:v>
      </x:c>
      <x:c r="G89" s="12" t="str">
        <x:v>PILT</x:v>
      </x:c>
      <x:c r="H89" s="12" t="str">
        <x:v>Movimientos de equipos o cargas especiales asociados a la operación.</x:v>
      </x:c>
      <x:c r="I89" s="12" t="str">
        <x:v>Plataforma 20 tn + hidrogrúa + malacate según necesidad.</x:v>
      </x:c>
      <x:c r="J89" s="12" t="str">
        <x:v>Contactar operaciones/logística y relevar movimientos actuales.</x:v>
      </x:c>
      <x:c r="K89" s="12" t="str">
        <x:v>https://www.google.com/maps/search/?api=1&amp;query=Poligar+S.R.L.%2C+Parque+Industrial%2C+Log%C3%ADstico+y+Tecnol%C3%B3gico+%28PILT%29%2C+RN9+km+551%2C5%2C+Villa+Mar%C3%ADa%2C+C%C3%B3rdoba</x:v>
      </x:c>
    </x:row>
    <x:row r="90">
      <x:c r="A90" s="12" t="str">
        <x:v>VM-079</x:v>
      </x:c>
      <x:c r="B90" s="12" t="str">
        <x:v>B</x:v>
      </x:c>
      <x:c r="C90" s="12" t="n">
        <x:v>69</x:v>
      </x:c>
      <x:c r="D90" s="12" t="str">
        <x:v>Don Emilio S.R.L.</x:v>
      </x:c>
      <x:c r="E90" s="12" t="str">
        <x:v>Lácteos / secado de leche</x:v>
      </x:c>
      <x:c r="F90" s="12" t="str">
        <x:v>A verificar</x:v>
      </x:c>
      <x:c r="G90" s="12" t="str">
        <x:v>PILT</x:v>
      </x:c>
      <x:c r="H90" s="12" t="str">
        <x:v>Movimientos de mantenimiento, motores, bombas, equipos, racks y cargas extraordinarias.</x:v>
      </x:c>
      <x:c r="I90" s="12" t="str">
        <x:v>Plataforma + hidrogrúa + percha + seguro/GPS.</x:v>
      </x:c>
      <x:c r="J90" s="12" t="str">
        <x:v>Pedir mantenimiento/compras/planta; relevar equipos críticos y proveedores actuales.</x:v>
      </x:c>
      <x:c r="K90" s="12" t="str">
        <x:v>https://www.google.com/maps/search/?api=1&amp;query=Don+Emilio+S.R.L.%2C+Parque+Industrial%2C+Log%C3%ADstico+y+Tecnol%C3%B3gico+%28PILT%29%2C+RN9+km+551%2C5%2C+Villa+Mar%C3%ADa%2C+C%C3%B3rdoba</x:v>
      </x:c>
    </x:row>
    <x:row r="91">
      <x:c r="A91" s="12" t="str">
        <x:v>VM-080</x:v>
      </x:c>
      <x:c r="B91" s="12" t="str">
        <x:v>B</x:v>
      </x:c>
      <x:c r="C91" s="12" t="n">
        <x:v>69</x:v>
      </x:c>
      <x:c r="D91" s="12" t="str">
        <x:v>Gigante Aquiles Domingo</x:v>
      </x:c>
      <x:c r="E91" s="12" t="str">
        <x:v>Transformadores / mantenimiento</x:v>
      </x:c>
      <x:c r="F91" s="12" t="str">
        <x:v>A verificar</x:v>
      </x:c>
      <x:c r="G91" s="12" t="str">
        <x:v>PILT</x:v>
      </x:c>
      <x:c r="H91" s="12" t="str">
        <x:v>Movimiento de tableros, transformadores, bombas, módulos y equipos industriales.</x:v>
      </x:c>
      <x:c r="I91" s="12" t="str">
        <x:v>Plataforma + hidrogrúa + percha según carga.</x:v>
      </x:c>
      <x:c r="J91" s="12" t="str">
        <x:v>Pedir proyectos/mantenimiento/logística; consultar pesos y obras activas.</x:v>
      </x:c>
      <x:c r="K91" s="12" t="str">
        <x:v>https://www.google.com/maps/search/?api=1&amp;query=Gigante+Aquiles+Domingo%2C+Parque+Industrial%2C+Log%C3%ADstico+y+Tecnol%C3%B3gico+%28PILT%29%2C+RN9+km+551%2C5%2C+Villa+Mar%C3%ADa%2C+C%C3%B3rdoba</x:v>
      </x:c>
    </x:row>
    <x:row r="92">
      <x:c r="A92" s="12" t="str">
        <x:v>VM-081</x:v>
      </x:c>
      <x:c r="B92" s="12" t="str">
        <x:v>B</x:v>
      </x:c>
      <x:c r="C92" s="12" t="n">
        <x:v>69</x:v>
      </x:c>
      <x:c r="D92" s="12" t="str">
        <x:v>Gribaudo Carlos Daniel</x:v>
      </x:c>
      <x:c r="E92" s="12" t="str">
        <x:v>Fundición / metalúrgica</x:v>
      </x:c>
      <x:c r="F92" s="12" t="str">
        <x:v>A verificar</x:v>
      </x:c>
      <x:c r="G92" s="12" t="str">
        <x:v>PILT</x:v>
      </x:c>
      <x:c r="H92" s="12" t="str">
        <x:v>Despacho de estructuras, conjuntos metálicos, piezas pesadas o equipos de producción.</x:v>
      </x:c>
      <x:c r="I92" s="12" t="str">
        <x:v>Plataforma + hidrogrúa + malacate; percha según carga.</x:v>
      </x:c>
      <x:c r="J92" s="12" t="str">
        <x:v>Pedir producción/expedición; relevar piezas máximas y destinos habituales.</x:v>
      </x:c>
      <x:c r="K92" s="12" t="str">
        <x:v>https://www.google.com/maps/search/?api=1&amp;query=Gribaudo+Carlos+Daniel%2C+Parque+Industrial%2C+Log%C3%ADstico+y+Tecnol%C3%B3gico+%28PILT%29%2C+RN9+km+551%2C5%2C+Villa+Mar%C3%ADa%2C+C%C3%B3rdoba</x:v>
      </x:c>
    </x:row>
    <x:row r="93">
      <x:c r="A93" s="12" t="str">
        <x:v>VM-082</x:v>
      </x:c>
      <x:c r="B93" s="12" t="str">
        <x:v>B</x:v>
      </x:c>
      <x:c r="C93" s="12" t="n">
        <x:v>68</x:v>
      </x:c>
      <x:c r="D93" s="12" t="str">
        <x:v>GYC Piletas Villa María</x:v>
      </x:c>
      <x:c r="E93" s="12" t="str">
        <x:v>Piscinas / fibra</x:v>
      </x:c>
      <x:c r="F93" s="12" t="str">
        <x:v>+54 353 5107887</x:v>
      </x:c>
      <x:c r="G93" s="12" t="str">
        <x:v>Urbano</x:v>
      </x:c>
      <x:c r="H93" s="12" t="str">
        <x:v>Traslado de piscinas desde depósito/fábrica hasta obra y apoyo de descarga.</x:v>
      </x:c>
      <x:c r="I93" s="12" t="str">
        <x:v>Plataforma + hidrogrúa.</x:v>
      </x:c>
      <x:c r="J93" s="12" t="str">
        <x:v>Pedir logística/colocación; relevar medidas máximas y volumen estacional.</x:v>
      </x:c>
      <x:c r="K93" s="12" t="str">
        <x:v>https://www.google.com/maps/search/?api=1&amp;query=GYC+Piletas+Villa+Mar%C3%ADa%2C+Int.+Arines+401%2C+Villa+Mar%C3%ADa%2C+C%C3%B3rdoba</x:v>
      </x:c>
    </x:row>
    <x:row r="94">
      <x:c r="A94" s="12" t="str">
        <x:v>VM-083</x:v>
      </x:c>
      <x:c r="B94" s="12" t="str">
        <x:v>B</x:v>
      </x:c>
      <x:c r="C94" s="12" t="n">
        <x:v>67</x:v>
      </x:c>
      <x:c r="D94" s="12" t="str">
        <x:v>Don Américo S.R.L.</x:v>
      </x:c>
      <x:c r="E94" s="12" t="str">
        <x:v>Nutrición animal</x:v>
      </x:c>
      <x:c r="F94" s="12" t="str">
        <x:v>A verificar</x:v>
      </x:c>
      <x:c r="G94" s="12" t="str">
        <x:v>PILT</x:v>
      </x:c>
      <x:c r="H94" s="12" t="str">
        <x:v>Movimientos de mantenimiento, motores, bombas, equipos, racks y cargas extraordinarias.</x:v>
      </x:c>
      <x:c r="I94" s="12" t="str">
        <x:v>Plataforma + hidrogrúa + percha + seguro/GPS.</x:v>
      </x:c>
      <x:c r="J94" s="12" t="str">
        <x:v>Pedir mantenimiento/compras/planta; relevar equipos críticos y proveedores actuales.</x:v>
      </x:c>
      <x:c r="K94" s="12" t="str">
        <x:v>https://www.google.com/maps/search/?api=1&amp;query=Don+Am%C3%A9rico+S.R.L.%2C+Parque+Industrial%2C+Log%C3%ADstico+y+Tecnol%C3%B3gico+%28PILT%29%2C+RN9+km+551%2C5%2C+Villa+Mar%C3%ADa%2C+C%C3%B3rdoba</x:v>
      </x:c>
    </x:row>
    <x:row r="95">
      <x:c r="A95" s="12" t="str">
        <x:v>VM-084</x:v>
      </x:c>
      <x:c r="B95" s="12" t="str">
        <x:v>B</x:v>
      </x:c>
      <x:c r="C95" s="12" t="n">
        <x:v>67</x:v>
      </x:c>
      <x:c r="D95" s="12" t="str">
        <x:v>G &amp; G Motors S.R.L.</x:v>
      </x:c>
      <x:c r="E95" s="12" t="str">
        <x:v>Gases industriales / GNC</x:v>
      </x:c>
      <x:c r="F95" s="12" t="str">
        <x:v>A verificar</x:v>
      </x:c>
      <x:c r="G95" s="12" t="str">
        <x:v>PILT</x:v>
      </x:c>
      <x:c r="H95" s="12" t="str">
        <x:v>Movimientos de equipos o cargas especiales asociados a la operación.</x:v>
      </x:c>
      <x:c r="I95" s="12" t="str">
        <x:v>Plataforma 20 tn + hidrogrúa + malacate según necesidad.</x:v>
      </x:c>
      <x:c r="J95" s="12" t="str">
        <x:v>Contactar operaciones/logística y relevar movimientos actuales.</x:v>
      </x:c>
      <x:c r="K95" s="12" t="str">
        <x:v>https://www.google.com/maps/search/?api=1&amp;query=G+%26+G+Motors+S.R.L.%2C+Parque+Industrial%2C+Log%C3%ADstico+y+Tecnol%C3%B3gico+%28PILT%29%2C+RN9+km+551%2C5%2C+Villa+Mar%C3%ADa%2C+C%C3%B3rdoba</x:v>
      </x:c>
    </x:row>
    <x:row r="96">
      <x:c r="A96" s="12" t="str">
        <x:v>VM-085</x:v>
      </x:c>
      <x:c r="B96" s="12" t="str">
        <x:v>B</x:v>
      </x:c>
      <x:c r="C96" s="12" t="n">
        <x:v>65</x:v>
      </x:c>
      <x:c r="D96" s="12" t="str">
        <x:v>La Chiquita SRL</x:v>
      </x:c>
      <x:c r="E96" s="12" t="str">
        <x:v>Frigorífico / alimentos</x:v>
      </x:c>
      <x:c r="F96" s="12" t="str">
        <x:v>A verificar</x:v>
      </x:c>
      <x:c r="G96" s="12" t="str">
        <x:v>PILT</x:v>
      </x:c>
      <x:c r="H96" s="12" t="str">
        <x:v>Movimientos de mantenimiento, motores, bombas, equipos, racks y cargas extraordinarias.</x:v>
      </x:c>
      <x:c r="I96" s="12" t="str">
        <x:v>Plataforma + hidrogrúa + percha + seguro/GPS.</x:v>
      </x:c>
      <x:c r="J96" s="12" t="str">
        <x:v>Pedir mantenimiento/compras/planta; relevar equipos críticos y proveedores actuales.</x:v>
      </x:c>
      <x:c r="K96" s="12" t="str">
        <x:v>https://www.google.com/maps/search/?api=1&amp;query=La+Chiquita+SRL%2C+Parque+Industrial%2C+Log%C3%ADstico+y+Tecnol%C3%B3gico+%28PILT%29%2C+RN9+km+551%2C5%2C+Villa+Mar%C3%ADa%2C+C%C3%B3rdoba</x:v>
      </x:c>
    </x:row>
    <x:row r="97">
      <x:c r="A97" s="12" t="str">
        <x:v>VM-086</x:v>
      </x:c>
      <x:c r="B97" s="12" t="str">
        <x:v>B</x:v>
      </x:c>
      <x:c r="C97" s="12" t="n">
        <x:v>64</x:v>
      </x:c>
      <x:c r="D97" s="12" t="str">
        <x:v>ENINDER</x:v>
      </x:c>
      <x:c r="E97" s="12" t="str">
        <x:v>Cámara de maduración de quesos</x:v>
      </x:c>
      <x:c r="F97" s="12" t="str">
        <x:v>A verificar</x:v>
      </x:c>
      <x:c r="G97" s="12" t="str">
        <x:v>PILT</x:v>
      </x:c>
      <x:c r="H97" s="12" t="str">
        <x:v>Movimientos de equipos o cargas especiales asociados a la operación.</x:v>
      </x:c>
      <x:c r="I97" s="12" t="str">
        <x:v>Plataforma 20 tn + hidrogrúa + malacate según necesidad.</x:v>
      </x:c>
      <x:c r="J97" s="12" t="str">
        <x:v>Contactar operaciones/logística y relevar movimientos actuales.</x:v>
      </x:c>
      <x:c r="K97" s="12" t="str">
        <x:v>https://www.google.com/maps/search/?api=1&amp;query=ENINDER%2C+Parque+Industrial%2C+Log%C3%ADstico+y+Tecnol%C3%B3gico+%28PILT%29%2C+RN9+km+551%2C5%2C+Villa+Mar%C3%ADa%2C+C%C3%B3rdoba</x:v>
      </x:c>
    </x:row>
    <x:row r="98">
      <x:c r="A98" s="12" t="str">
        <x:v>VM-087</x:v>
      </x:c>
      <x:c r="B98" s="12" t="str">
        <x:v>B</x:v>
      </x:c>
      <x:c r="C98" s="12" t="n">
        <x:v>62</x:v>
      </x:c>
      <x:c r="D98" s="12" t="str">
        <x:v>Pollería Porporatto S.A.</x:v>
      </x:c>
      <x:c r="E98" s="12" t="str">
        <x:v>Alimentos / subproductos cárnicos</x:v>
      </x:c>
      <x:c r="F98" s="12" t="str">
        <x:v>A verificar</x:v>
      </x:c>
      <x:c r="G98" s="12" t="str">
        <x:v>PILT</x:v>
      </x:c>
      <x:c r="H98" s="12" t="str">
        <x:v>Movimientos de mantenimiento, motores, bombas, equipos, racks y cargas extraordinarias.</x:v>
      </x:c>
      <x:c r="I98" s="12" t="str">
        <x:v>Plataforma + hidrogrúa + percha + seguro/GPS.</x:v>
      </x:c>
      <x:c r="J98" s="12" t="str">
        <x:v>Pedir mantenimiento/compras/planta; relevar equipos críticos y proveedores actuales.</x:v>
      </x:c>
      <x:c r="K98" s="12" t="str">
        <x:v>https://www.google.com/maps/search/?api=1&amp;query=Poller%C3%ADa+Porporatto+S.A.%2C+Parque+Industrial%2C+Log%C3%ADstico+y+Tecnol%C3%B3gico+%28PILT%29%2C+RN9+km+551%2C5%2C+Villa+Mar%C3%ADa%2C+C%C3%B3rdoba</x:v>
      </x:c>
    </x:row>
    <x:row r="99">
      <x:c r="A99" s="12" t="str">
        <x:v>VM-088</x:v>
      </x:c>
      <x:c r="B99" s="12" t="str">
        <x:v>B</x:v>
      </x:c>
      <x:c r="C99" s="12" t="n">
        <x:v>61</x:v>
      </x:c>
      <x:c r="D99" s="12" t="str">
        <x:v>Felipe Hnos S.A.</x:v>
      </x:c>
      <x:c r="E99" s="12" t="str">
        <x:v>Alimentos / deshidratados</x:v>
      </x:c>
      <x:c r="F99" s="12" t="str">
        <x:v>0353 4534918</x:v>
      </x:c>
      <x:c r="G99" s="12" t="str">
        <x:v>PILT</x:v>
      </x:c>
      <x:c r="H99" s="12" t="str">
        <x:v>Movimientos de mantenimiento, motores, bombas, equipos, racks y cargas extraordinarias.</x:v>
      </x:c>
      <x:c r="I99" s="12" t="str">
        <x:v>Plataforma + hidrogrúa + percha + seguro/GPS.</x:v>
      </x:c>
      <x:c r="J99" s="12" t="str">
        <x:v>Pedir mantenimiento/compras/planta; relevar equipos críticos y proveedores actuales.</x:v>
      </x:c>
      <x:c r="K99" s="12" t="str">
        <x:v>https://www.google.com/maps/search/?api=1&amp;query=Felipe+Hnos+S.A.%2C+Parque+Industrial%2C+Log%C3%ADstico+y+Tecnol%C3%B3gico+%28PILT%29%2C+RN9+km+551%2C5%2C+Villa+Mar%C3%ADa%2C+C%C3%B3rdoba</x:v>
      </x:c>
    </x:row>
    <x:row r="100">
      <x:c r="A100" s="12" t="str">
        <x:v>VM-089</x:v>
      </x:c>
      <x:c r="B100" s="12" t="str">
        <x:v>B</x:v>
      </x:c>
      <x:c r="C100" s="12" t="n">
        <x:v>60</x:v>
      </x:c>
      <x:c r="D100" s="12" t="str">
        <x:v>Cativelli S.R.L.</x:v>
      </x:c>
      <x:c r="E100" s="12" t="str">
        <x:v>Pinturas / químicos</x:v>
      </x:c>
      <x:c r="F100" s="12" t="str">
        <x:v>A verificar</x:v>
      </x:c>
      <x:c r="G100" s="12" t="str">
        <x:v>PILT</x:v>
      </x:c>
      <x:c r="H100" s="12" t="str">
        <x:v>Movimientos de mantenimiento, motores, bombas, equipos, racks y cargas extraordinarias.</x:v>
      </x:c>
      <x:c r="I100" s="12" t="str">
        <x:v>Plataforma + hidrogrúa + percha + seguro/GPS.</x:v>
      </x:c>
      <x:c r="J100" s="12" t="str">
        <x:v>Pedir mantenimiento/compras/planta; relevar equipos críticos y proveedores actuales.</x:v>
      </x:c>
      <x:c r="K100" s="12" t="str">
        <x:v>https://www.google.com/maps/search/?api=1&amp;query=Cativelli+S.R.L.%2C+Parque+Industrial%2C+Log%C3%ADstico+y+Tecnol%C3%B3gico+%28PILT%29%2C+RN9+km+551%2C5%2C+Villa+Mar%C3%ADa%2C+C%C3%B3rdoba</x:v>
      </x:c>
    </x:row>
    <x:row r="101">
      <x:c r="A101" s="12" t="str">
        <x:v>VM-090</x:v>
      </x:c>
      <x:c r="B101" s="12" t="str">
        <x:v>B</x:v>
      </x:c>
      <x:c r="C101" s="12" t="n">
        <x:v>58</x:v>
      </x:c>
      <x:c r="D101" s="12" t="str">
        <x:v>Destefanis (DIPAEMA)</x:v>
      </x:c>
      <x:c r="E101" s="12" t="str">
        <x:v>Lácteos / quesos</x:v>
      </x:c>
      <x:c r="F101" s="12" t="str">
        <x:v>A verificar</x:v>
      </x:c>
      <x:c r="G101" s="12" t="str">
        <x:v>PILT</x:v>
      </x:c>
      <x:c r="H101" s="12" t="str">
        <x:v>Movimientos de mantenimiento, motores, bombas, equipos, racks y cargas extraordinarias.</x:v>
      </x:c>
      <x:c r="I101" s="12" t="str">
        <x:v>Plataforma + hidrogrúa + percha + seguro/GPS.</x:v>
      </x:c>
      <x:c r="J101" s="12" t="str">
        <x:v>Pedir mantenimiento/compras/planta; relevar equipos críticos y proveedores actuales.</x:v>
      </x:c>
      <x:c r="K101" s="12" t="str">
        <x:v>https://www.google.com/maps/search/?api=1&amp;query=Destefanis+%28DIPAEMA%29%2C+Parque+Industrial%2C+Log%C3%ADstico+y+Tecnol%C3%B3gico+%28PILT%29%2C+RN9+km+551%2C5%2C+Villa+Mar%C3%ADa%2C+C%C3%B3rdoba</x:v>
      </x:c>
    </x:row>
    <x:row r="102">
      <x:c r="A102" t="str">
        <x:v>VM-091</x:v>
      </x:c>
      <x:c r="B102" t="str">
        <x:v>A+</x:v>
      </x:c>
      <x:c r="C102" t="n">
        <x:v>100</x:v>
      </x:c>
      <x:c r="D102" t="str">
        <x:v>PRARIZZI MAQUINARIAS</x:v>
      </x:c>
      <x:c r="E102" t="str">
        <x:v>Concesionaria de maquinaria agrícola / pulverizadoras</x:v>
      </x:c>
      <x:c r="F102" t="str">
        <x:v>0353 4014084 / 03471 593470</x:v>
      </x:c>
      <x:c r="G102" t="str">
        <x:v>RN158 / AU9</x:v>
      </x:c>
      <x:c r="H102" t="str">
        <x:v>Entrega/retiro de tractores, cosechadoras, pulverizadoras, sembradoras, usados y equipos de service.</x:v>
      </x:c>
      <x:c r="I102" t="str">
        <x:v>Plataforma 20 tn + malacate + hidrogrúa de apoyo + seguro/GPS.</x:v>
      </x:c>
      <x:c r="J102" t="str">
        <x:v>Pedir gerente de ventas/logística/posventa; relevar equipos, pesos y movimientos mensuales.</x:v>
      </x:c>
      <x:c r="K102" t="str">
        <x:v>https://www.google.com/maps/search/?api=1&amp;query=PRARIZZI+MAQUINARIAS%2C+Ruta+158+km+153+%2F+AU9%2C+Villa+Mar%C3%ADa%2C+C%C3%B3rdoba</x:v>
      </x:c>
    </x:row>
    <x:row r="103">
      <x:c r="A103" t="str">
        <x:v>VM-092</x:v>
      </x:c>
      <x:c r="B103" t="str">
        <x:v>A+</x:v>
      </x:c>
      <x:c r="C103" t="n">
        <x:v>100</x:v>
      </x:c>
      <x:c r="D103" t="str">
        <x:v>Tu Fierro Importado</x:v>
      </x:c>
      <x:c r="E103" t="str">
        <x:v>Importación y venta de tractores, cosechadoras y maquinaria agrícola</x:v>
      </x:c>
      <x:c r="F103" t="str">
        <x:v>+54 9 353 4089754</x:v>
      </x:c>
      <x:c r="G103" t="str">
        <x:v>Villa María</x:v>
      </x:c>
      <x:c r="H103" t="str">
        <x:v>Entrega/retiro de tractores, cosechadoras, pulverizadoras, sembradoras, usados y equipos de service.</x:v>
      </x:c>
      <x:c r="I103" t="str">
        <x:v>Plataforma 20 tn + malacate + hidrogrúa de apoyo + seguro/GPS.</x:v>
      </x:c>
      <x:c r="J103" t="str">
        <x:v>Pedir gerente de ventas/logística/posventa; relevar equipos, pesos y movimientos mensuales.</x:v>
      </x:c>
      <x:c r="K103" t="str">
        <x:v>https://www.google.com/maps/search/?api=1&amp;query=Tu+Fierro+Importado%2C+Villa+Mar%C3%ADa%2C+C%C3%B3rdoba</x:v>
      </x:c>
    </x:row>
    <x:row r="104">
      <x:c r="A104" t="str">
        <x:v>VM-093</x:v>
      </x:c>
      <x:c r="B104" t="str">
        <x:v>A+</x:v>
      </x:c>
      <x:c r="C104" t="n">
        <x:v>99</x:v>
      </x:c>
      <x:c r="D104" t="str">
        <x:v>Agromos</x:v>
      </x:c>
      <x:c r="E104" t="str">
        <x:v>Concesionario de tractores y maquinaria agrícola</x:v>
      </x:c>
      <x:c r="F104" t="str">
        <x:v>0353 4222447</x:v>
      </x:c>
      <x:c r="G104" t="str">
        <x:v>Área 158 / Industrial</x:v>
      </x:c>
      <x:c r="H104" t="str">
        <x:v>Entrega/retiro de tractores, cosechadoras, pulverizadoras, sembradoras, usados y equipos de service.</x:v>
      </x:c>
      <x:c r="I104" t="str">
        <x:v>Plataforma 20 tn + malacate + hidrogrúa de apoyo + seguro/GPS.</x:v>
      </x:c>
      <x:c r="J104" t="str">
        <x:v>Pedir gerente de ventas/logística/posventa; relevar equipos, pesos y movimientos mensuales.</x:v>
      </x:c>
      <x:c r="K104" t="str">
        <x:v>https://www.google.com/maps/search/?api=1&amp;query=Agromos%2C+Intendente+Horacio+Cabeza+3073%2C+Villa+Mar%C3%ADa%2C+C%C3%B3rdoba</x:v>
      </x:c>
    </x:row>
    <x:row r="105">
      <x:c r="A105" t="str">
        <x:v>VM-094</x:v>
      </x:c>
      <x:c r="B105" t="str">
        <x:v>A+</x:v>
      </x:c>
      <x:c r="C105" t="n">
        <x:v>98</x:v>
      </x:c>
      <x:c r="D105" t="str">
        <x:v>TRACTOFORCE</x:v>
      </x:c>
      <x:c r="E105" t="str">
        <x:v>Concesionario de tractores</x:v>
      </x:c>
      <x:c r="F105" t="str">
        <x:v>0353 4188963</x:v>
      </x:c>
      <x:c r="G105" t="str">
        <x:v>RN9 km 561</x:v>
      </x:c>
      <x:c r="H105" t="str">
        <x:v>Entrega/retiro de tractores, cosechadoras, pulverizadoras, sembradoras, usados y equipos de service.</x:v>
      </x:c>
      <x:c r="I105" t="str">
        <x:v>Plataforma 20 tn + malacate + hidrogrúa de apoyo + seguro/GPS.</x:v>
      </x:c>
      <x:c r="J105" t="str">
        <x:v>Pedir gerente de ventas/logística/posventa; relevar equipos, pesos y movimientos mensuales.</x:v>
      </x:c>
      <x:c r="K105" t="str">
        <x:v>https://www.google.com/maps/search/?api=1&amp;query=TRACTOFORCE%2C+RN9+km+561%2C+Villa+Mar%C3%ADa%2C+C%C3%B3rdoba</x:v>
      </x:c>
    </x:row>
    <x:row r="106">
      <x:c r="A106" t="str">
        <x:v>VM-095</x:v>
      </x:c>
      <x:c r="B106" t="str">
        <x:v>A+</x:v>
      </x:c>
      <x:c r="C106" t="n">
        <x:v>98</x:v>
      </x:c>
      <x:c r="D106" t="str">
        <x:v>Metalfor Villa María</x:v>
      </x:c>
      <x:c r="E106" t="str">
        <x:v>Maquinaria agrícola / service / pulverizadoras</x:v>
      </x:c>
      <x:c r="F106" t="str">
        <x:v>0353 4614731</x:v>
      </x:c>
      <x:c r="G106" t="str">
        <x:v>Av. Perón / Industrial</x:v>
      </x:c>
      <x:c r="H106" t="str">
        <x:v>Entrega/retiro de tractores, cosechadoras, pulverizadoras, sembradoras, usados y equipos de service.</x:v>
      </x:c>
      <x:c r="I106" t="str">
        <x:v>Plataforma 20 tn + malacate + hidrogrúa de apoyo + seguro/GPS.</x:v>
      </x:c>
      <x:c r="J106" t="str">
        <x:v>Pedir gerente de ventas/logística/posventa; relevar equipos, pesos y movimientos mensuales.</x:v>
      </x:c>
      <x:c r="K106" t="str">
        <x:v>https://www.google.com/maps/search/?api=1&amp;query=Metalfor+Villa+Mar%C3%ADa%2C+Av.+Presidente+Per%C3%B3n+2795%2C+Villa+Mar%C3%ADa%2C+C%C3%B3rdoba</x:v>
      </x:c>
    </x:row>
    <x:row r="107">
      <x:c r="A107" t="str">
        <x:v>VM-096</x:v>
      </x:c>
      <x:c r="B107" t="str">
        <x:v>A+</x:v>
      </x:c>
      <x:c r="C107" t="n">
        <x:v>97</x:v>
      </x:c>
      <x:c r="D107" t="str">
        <x:v>Cherasco S.R.L. Maquinas Agrícolas</x:v>
      </x:c>
      <x:c r="E107" t="str">
        <x:v>Venta de maquinaria e implementos agrícolas</x:v>
      </x:c>
      <x:c r="F107" t="str">
        <x:v>A verificar</x:v>
      </x:c>
      <x:c r="G107" t="str">
        <x:v>RN9 km 552-553</x:v>
      </x:c>
      <x:c r="H107" t="str">
        <x:v>Movimientos de maquinaria, equipos o cargas especiales asociados a ventas, service u obra.</x:v>
      </x:c>
      <x:c r="I107" t="str">
        <x:v>Plataforma 20 tn + hidrogrúa + malacate según necesidad.</x:v>
      </x:c>
      <x:c r="J107" t="str">
        <x:v>Contactar logística/operaciones y relevar movimientos actuales.</x:v>
      </x:c>
      <x:c r="K107" t="str">
        <x:v>https://www.google.com/maps/search/?api=1&amp;query=Cherasco+S.R.L.+Maquinas+Agr%C3%ADcolas%2C+RN9+km+552-553%2C+Villa+Mar%C3%ADa%2C+C%C3%B3rdoba</x:v>
      </x:c>
    </x:row>
    <x:row r="108">
      <x:c r="A108" t="str">
        <x:v>VM-097</x:v>
      </x:c>
      <x:c r="B108" t="str">
        <x:v>A+</x:v>
      </x:c>
      <x:c r="C108" t="n">
        <x:v>96</x:v>
      </x:c>
      <x:c r="D108" t="str">
        <x:v>AgroChery</x:v>
      </x:c>
      <x:c r="E108" t="str">
        <x:v>Concesionario de tractores</x:v>
      </x:c>
      <x:c r="F108" t="str">
        <x:v>0353 4282774</x:v>
      </x:c>
      <x:c r="G108" t="str">
        <x:v>Urbano industrial</x:v>
      </x:c>
      <x:c r="H108" t="str">
        <x:v>Entrega/retiro de tractores, cosechadoras, pulverizadoras, sembradoras, usados y equipos de service.</x:v>
      </x:c>
      <x:c r="I108" t="str">
        <x:v>Plataforma 20 tn + malacate + hidrogrúa de apoyo + seguro/GPS.</x:v>
      </x:c>
      <x:c r="J108" t="str">
        <x:v>Pedir gerente de ventas/logística/posventa; relevar equipos, pesos y movimientos mensuales.</x:v>
      </x:c>
      <x:c r="K108" t="str">
        <x:v>https://www.google.com/maps/search/?api=1&amp;query=AgroChery%2C+M.+J.+Suppo+216%2C+Villa+Mar%C3%ADa%2C+C%C3%B3rdoba</x:v>
      </x:c>
    </x:row>
    <x:row r="109">
      <x:c r="A109" t="str">
        <x:v>VM-098</x:v>
      </x:c>
      <x:c r="B109" t="str">
        <x:v>A+</x:v>
      </x:c>
      <x:c r="C109" t="n">
        <x:v>96</x:v>
      </x:c>
      <x:c r="D109" t="str">
        <x:v>AMD Servicios SRL</x:v>
      </x:c>
      <x:c r="E109" t="str">
        <x:v>Alquiler de maquinaria y equipos industriales</x:v>
      </x:c>
      <x:c r="F109" t="str">
        <x:v>0353 4012059</x:v>
      </x:c>
      <x:c r="G109" t="str">
        <x:v>Urbano industrial</x:v>
      </x:c>
      <x:c r="H109" t="str">
        <x:v>Entrega y retiro de equipos alquilados entre base, clientes y obras.</x:v>
      </x:c>
      <x:c r="I109" t="str">
        <x:v>Plataforma 20 tn + malacate + hidrogrúa.</x:v>
      </x:c>
      <x:c r="J109" t="str">
        <x:v>Pedir alquileres/operaciones; relevar flota y movimientos semanales.</x:v>
      </x:c>
      <x:c r="K109" t="str">
        <x:v>https://www.google.com/maps/search/?api=1&amp;query=AMD+Servicios+SRL%2C+J.+Muller+427%2C+Villa+Mar%C3%ADa%2C+C%C3%B3rdoba</x:v>
      </x:c>
    </x:row>
    <x:row r="110">
      <x:c r="A110" t="str">
        <x:v>VM-099</x:v>
      </x:c>
      <x:c r="B110" t="str">
        <x:v>A+</x:v>
      </x:c>
      <x:c r="C110" t="n">
        <x:v>96</x:v>
      </x:c>
      <x:c r="D110" t="str">
        <x:v>RR Agrícola Maquinarias</x:v>
      </x:c>
      <x:c r="E110" t="str">
        <x:v>Venta de maquinaria agrícola</x:v>
      </x:c>
      <x:c r="F110" t="str">
        <x:v>0353 4538056</x:v>
      </x:c>
      <x:c r="G110" t="str">
        <x:v>RN9 km 553</x:v>
      </x:c>
      <x:c r="H110" t="str">
        <x:v>Entrega/retiro de tractores, cosechadoras, pulverizadoras, sembradoras, usados y equipos de service.</x:v>
      </x:c>
      <x:c r="I110" t="str">
        <x:v>Plataforma 20 tn + malacate + hidrogrúa de apoyo + seguro/GPS.</x:v>
      </x:c>
      <x:c r="J110" t="str">
        <x:v>Pedir gerente de ventas/logística/posventa; relevar equipos, pesos y movimientos mensuales.</x:v>
      </x:c>
      <x:c r="K110" t="str">
        <x:v>https://www.google.com/maps/search/?api=1&amp;query=RR+Agr%C3%ADcola+Maquinarias%2C+RN9+km+553%2C+Villa+Mar%C3%ADa%2C+C%C3%B3rdoba</x:v>
      </x:c>
    </x:row>
    <x:row r="111">
      <x:c r="A111" t="str">
        <x:v>VM-100</x:v>
      </x:c>
      <x:c r="B111" t="str">
        <x:v>A+</x:v>
      </x:c>
      <x:c r="C111" t="n">
        <x:v>98</x:v>
      </x:c>
      <x:c r="D111" t="str">
        <x:v>SALSITECO S.A.</x:v>
      </x:c>
      <x:c r="E111" t="str">
        <x:v>Constructora / obras civiles / movimiento de suelo</x:v>
      </x:c>
      <x:c r="F111" t="str">
        <x:v>0353 4524006</x:v>
      </x:c>
      <x:c r="G111" t="str">
        <x:v>Urbano</x:v>
      </x:c>
      <x:c r="H111" t="str">
        <x:v>Traslados interobra de retroexcavadoras, excavadoras, minicargadoras, rodillos, herramientas y equipos.</x:v>
      </x:c>
      <x:c r="I111" t="str">
        <x:v>Plataforma 20 tn + malacate + hidrogrúa + seguro/GPS.</x:v>
      </x:c>
      <x:c r="J111" t="str">
        <x:v>Pedir jefe de obra/equipos/operaciones; relevar flota y frecuencia de movilizaciones.</x:v>
      </x:c>
      <x:c r="K111" t="str">
        <x:v>https://www.google.com/maps/search/?api=1&amp;query=SALSITECO+S.A.%2C+Jos%C3%A9+Ingenieros+625%2C+Villa+Mar%C3%ADa%2C+C%C3%B3rdoba</x:v>
      </x:c>
    </x:row>
    <x:row r="112">
      <x:c r="A112" t="str">
        <x:v>VM-101</x:v>
      </x:c>
      <x:c r="B112" t="str">
        <x:v>A+</x:v>
      </x:c>
      <x:c r="C112" t="n">
        <x:v>95</x:v>
      </x:c>
      <x:c r="D112" t="str">
        <x:v>Movimiento de suelo Alexis Moreno</x:v>
      </x:c>
      <x:c r="E112" t="str">
        <x:v>Movimiento de suelo</x:v>
      </x:c>
      <x:c r="F112" t="str">
        <x:v>A verificar</x:v>
      </x:c>
      <x:c r="G112" t="str">
        <x:v>Urbano</x:v>
      </x:c>
      <x:c r="H112" t="str">
        <x:v>Traslados interobra de retroexcavadoras, excavadoras, minicargadoras, rodillos, herramientas y equipos.</x:v>
      </x:c>
      <x:c r="I112" t="str">
        <x:v>Plataforma 20 tn + malacate + hidrogrúa + seguro/GPS.</x:v>
      </x:c>
      <x:c r="J112" t="str">
        <x:v>Pedir jefe de obra/equipos/operaciones; relevar flota y frecuencia de movilizaciones.</x:v>
      </x:c>
      <x:c r="K112" t="str">
        <x:v>https://www.google.com/maps/search/?api=1&amp;query=Movimiento+de+suelo+Alexis+Moreno%2C+Aconquija+2323%2C+Villa+Mar%C3%ADa%2C+C%C3%B3rdoba</x:v>
      </x:c>
    </x:row>
    <x:row r="113">
      <x:c r="A113" t="str">
        <x:v>VM-102</x:v>
      </x:c>
      <x:c r="B113" t="str">
        <x:v>A+</x:v>
      </x:c>
      <x:c r="C113" t="n">
        <x:v>95</x:v>
      </x:c>
      <x:c r="D113" t="str">
        <x:v>Pla Centro de Distribuciones</x:v>
      </x:c>
      <x:c r="E113" t="str">
        <x:v>Maquinaria agrícola / pulverización</x:v>
      </x:c>
      <x:c r="F113" t="str">
        <x:v>0353 4614161</x:v>
      </x:c>
      <x:c r="G113" t="str">
        <x:v>Av. Perón / Industrial</x:v>
      </x:c>
      <x:c r="H113" t="str">
        <x:v>Entrega/retiro de tractores, cosechadoras, pulverizadoras, sembradoras, usados y equipos de service.</x:v>
      </x:c>
      <x:c r="I113" t="str">
        <x:v>Plataforma 20 tn + malacate + hidrogrúa de apoyo + seguro/GPS.</x:v>
      </x:c>
      <x:c r="J113" t="str">
        <x:v>Pedir gerente de ventas/logística/posventa; relevar equipos, pesos y movimientos mensuales.</x:v>
      </x:c>
      <x:c r="K113" t="str">
        <x:v>https://www.google.com/maps/search/?api=1&amp;query=Pla+Centro+de+Distribuciones%2C+Av.+Presidente+Per%C3%B3n+3566%2C+Villa+Mar%C3%ADa%2C+C%C3%B3rdoba</x:v>
      </x:c>
    </x:row>
    <x:row r="114">
      <x:c r="A114" t="str">
        <x:v>VM-103</x:v>
      </x:c>
      <x:c r="B114" t="str">
        <x:v>A+</x:v>
      </x:c>
      <x:c r="C114" t="n">
        <x:v>94</x:v>
      </x:c>
      <x:c r="D114" t="str">
        <x:v>Roberto Mosoni Venta de Tractores</x:v>
      </x:c>
      <x:c r="E114" t="str">
        <x:v>Venta de tractores</x:v>
      </x:c>
      <x:c r="F114" t="str">
        <x:v>0353 156566469</x:v>
      </x:c>
      <x:c r="G114" t="str">
        <x:v>Av. Perón / Industrial</x:v>
      </x:c>
      <x:c r="H114" t="str">
        <x:v>Entrega/retiro de tractores, cosechadoras, pulverizadoras, sembradoras, usados y equipos de service.</x:v>
      </x:c>
      <x:c r="I114" t="str">
        <x:v>Plataforma 20 tn + malacate + hidrogrúa de apoyo + seguro/GPS.</x:v>
      </x:c>
      <x:c r="J114" t="str">
        <x:v>Pedir gerente de ventas/logística/posventa; relevar equipos, pesos y movimientos mensuales.</x:v>
      </x:c>
      <x:c r="K114" t="str">
        <x:v>https://www.google.com/maps/search/?api=1&amp;query=Roberto+Mosoni+Venta+de+Tractores%2C+Av.+Presidente+Per%C3%B3n+988%2C+Villa+Mar%C3%ADa%2C+C%C3%B3rdoba</x:v>
      </x:c>
    </x:row>
    <x:row r="115">
      <x:c r="A115" t="str">
        <x:v>VM-104</x:v>
      </x:c>
      <x:c r="B115" t="str">
        <x:v>A</x:v>
      </x:c>
      <x:c r="C115" t="n">
        <x:v>88</x:v>
      </x:c>
      <x:c r="D115" t="str">
        <x:v>URBA Constructora</x:v>
      </x:c>
      <x:c r="E115" t="str">
        <x:v>Constructora / obra civil e instalaciones</x:v>
      </x:c>
      <x:c r="F115" t="str">
        <x:v>0353 4295173</x:v>
      </x:c>
      <x:c r="G115" t="str">
        <x:v>Centro</x:v>
      </x:c>
      <x:c r="H115" t="str">
        <x:v>Traslados interobra de retroexcavadoras, excavadoras, minicargadoras, rodillos, herramientas y equipos.</x:v>
      </x:c>
      <x:c r="I115" t="str">
        <x:v>Plataforma 20 tn + malacate + hidrogrúa + seguro/GPS.</x:v>
      </x:c>
      <x:c r="J115" t="str">
        <x:v>Pedir jefe de obra/equipos/operaciones; relevar flota y frecuencia de movilizaciones.</x:v>
      </x:c>
      <x:c r="K115" t="str">
        <x:v>https://www.google.com/maps/search/?api=1&amp;query=URBA+Constructora%2C+Bv.+V%C3%A9lez+Sarsfield+1170+Piso+3+Of.+12%2C+Villa+Mar%C3%ADa%2C+C%C3%B3rdoba</x:v>
      </x:c>
    </x:row>
    <x:row r="116">
      <x:c r="A116" t="str">
        <x:v>VM-105</x:v>
      </x:c>
      <x:c r="B116" t="str">
        <x:v>A</x:v>
      </x:c>
      <x:c r="C116" t="n">
        <x:v>87</x:v>
      </x:c>
      <x:c r="D116" t="str">
        <x:v>Arinco SA - Obras de Ingeniería</x:v>
      </x:c>
      <x:c r="E116" t="str">
        <x:v>Constructora / obras de ingeniería</x:v>
      </x:c>
      <x:c r="F116" t="str">
        <x:v>0353 4222251</x:v>
      </x:c>
      <x:c r="G116" t="str">
        <x:v>PILT</x:v>
      </x:c>
      <x:c r="H116" t="str">
        <x:v>Traslados interobra de retroexcavadoras, excavadoras, minicargadoras, rodillos, herramientas y equipos.</x:v>
      </x:c>
      <x:c r="I116" t="str">
        <x:v>Plataforma 20 tn + malacate + hidrogrúa + seguro/GPS.</x:v>
      </x:c>
      <x:c r="J116" t="str">
        <x:v>Pedir jefe de obra/equipos/operaciones; relevar flota y frecuencia de movilizaciones.</x:v>
      </x:c>
      <x:c r="K116" t="str">
        <x:v>https://www.google.com/maps/search/?api=1&amp;query=Arinco+SA+-+Obras+de+Ingenier%C3%ADa%2C+Parque+Industrial%2C+Villa+Mar%C3%ADa%2C+C%C3%B3rdoba</x:v>
      </x:c>
    </x:row>
    <x:row r="117">
      <x:c r="A117" t="str">
        <x:v>VM-106</x:v>
      </x:c>
      <x:c r="B117" t="str">
        <x:v>A</x:v>
      </x:c>
      <x:c r="C117" t="n">
        <x:v>88</x:v>
      </x:c>
      <x:c r="D117" t="str">
        <x:v>Ombu Máquinas Agrícolas</x:v>
      </x:c>
      <x:c r="E117" t="str">
        <x:v>Maquinaria agrícola y repuestos</x:v>
      </x:c>
      <x:c r="F117" t="str">
        <x:v>A verificar</x:v>
      </x:c>
      <x:c r="G117" t="str">
        <x:v>Porfirio Seppey / Industrial</x:v>
      </x:c>
      <x:c r="H117" t="str">
        <x:v>Entrega/retiro de tractores, cosechadoras, pulverizadoras, sembradoras, usados y equipos de service.</x:v>
      </x:c>
      <x:c r="I117" t="str">
        <x:v>Plataforma 20 tn + malacate + hidrogrúa de apoyo + seguro/GPS.</x:v>
      </x:c>
      <x:c r="J117" t="str">
        <x:v>Pedir gerente de ventas/logística/posventa; relevar equipos, pesos y movimientos mensuales.</x:v>
      </x:c>
      <x:c r="K117" t="str">
        <x:v>https://www.google.com/maps/search/?api=1&amp;query=Ombu+M%C3%A1quinas+Agr%C3%ADcolas%2C+Porfirio+Seppey+1217%2C+Villa+Mar%C3%ADa%2C+C%C3%B3rdoba</x:v>
      </x:c>
    </x:row>
    <x:row r="118">
      <x:c r="A118" t="str">
        <x:v>VM-107</x:v>
      </x:c>
      <x:c r="B118" t="str">
        <x:v>A</x:v>
      </x:c>
      <x:c r="C118" t="n">
        <x:v>85</x:v>
      </x:c>
      <x:c r="D118" t="str">
        <x:v>MAQUINAS Y SERVICIOS RURALES</x:v>
      </x:c>
      <x:c r="E118" t="str">
        <x:v>Maquinaria / servicios rurales</x:v>
      </x:c>
      <x:c r="F118" t="str">
        <x:v>A verificar</x:v>
      </x:c>
      <x:c r="G118" t="str">
        <x:v>Urbano industrial</x:v>
      </x:c>
      <x:c r="H118" t="str">
        <x:v>Movimientos de maquinaria, equipos o cargas especiales asociados a ventas, service u obra.</x:v>
      </x:c>
      <x:c r="I118" t="str">
        <x:v>Plataforma 20 tn + hidrogrúa + malacate según necesidad.</x:v>
      </x:c>
      <x:c r="J118" t="str">
        <x:v>Contactar logística/operaciones y relevar movimientos actuales.</x:v>
      </x:c>
      <x:c r="K118" t="str">
        <x:v>https://www.google.com/maps/search/?api=1&amp;query=MAQUINAS+Y+SERVICIOS+RURALES%2C+Ramiro+Su%C3%A1rez+1750%2C+Villa+Mar%C3%ADa%2C+C%C3%B3rdoba</x:v>
      </x:c>
    </x:row>
    <x:row r="119">
      <x:c r="A119" t="str">
        <x:v>VM-108</x:v>
      </x:c>
      <x:c r="B119" t="str">
        <x:v>A</x:v>
      </x:c>
      <x:c r="C119" t="n">
        <x:v>82</x:v>
      </x:c>
      <x:c r="D119" t="str">
        <x:v>MP Servicios</x:v>
      </x:c>
      <x:c r="E119" t="str">
        <x:v>Contratista / servicios de obra</x:v>
      </x:c>
      <x:c r="F119" t="str">
        <x:v>0353 4291984</x:v>
      </x:c>
      <x:c r="G119" t="str">
        <x:v>Urbano</x:v>
      </x:c>
      <x:c r="H119" t="str">
        <x:v>Traslados interobra de retroexcavadoras, excavadoras, minicargadoras, rodillos, herramientas y equipos.</x:v>
      </x:c>
      <x:c r="I119" t="str">
        <x:v>Plataforma 20 tn + malacate + hidrogrúa + seguro/GPS.</x:v>
      </x:c>
      <x:c r="J119" t="str">
        <x:v>Pedir jefe de obra/equipos/operaciones; relevar flota y frecuencia de movilizaciones.</x:v>
      </x:c>
      <x:c r="K119" t="str">
        <x:v>https://www.google.com/maps/search/?api=1&amp;query=MP+Servicios%2C+C.+Agapito+Albert%2C+Villa+Mar%C3%ADa%2C+C%C3%B3rdoba</x:v>
      </x:c>
    </x:row>
    <x:row r="120">
      <x:c r="A120" t="str">
        <x:v>VM-109</x:v>
      </x:c>
      <x:c r="B120" t="str">
        <x:v>B</x:v>
      </x:c>
      <x:c r="C120" t="n">
        <x:v>68</x:v>
      </x:c>
      <x:c r="D120" t="str">
        <x:v>DM Constructora</x:v>
      </x:c>
      <x:c r="E120" t="str">
        <x:v>Constructora</x:v>
      </x:c>
      <x:c r="F120" t="str">
        <x:v>0353 5632956 / 0353 4260498</x:v>
      </x:c>
      <x:c r="G120" t="str">
        <x:v>Centro</x:v>
      </x:c>
      <x:c r="H120" t="str">
        <x:v>Traslados interobra de retroexcavadoras, excavadoras, minicargadoras, rodillos, herramientas y equipos.</x:v>
      </x:c>
      <x:c r="I120" t="str">
        <x:v>Plataforma 20 tn + malacate + hidrogrúa + seguro/GPS.</x:v>
      </x:c>
      <x:c r="J120" t="str">
        <x:v>Pedir jefe de obra/equipos/operaciones; relevar flota y frecuencia de movilizaciones.</x:v>
      </x:c>
      <x:c r="K120" t="str">
        <x:v>https://www.google.com/maps/search/?api=1&amp;query=DM+Constructora%2C+San+Juan+1117%2C+Villa+Mar%C3%ADa%2C+C%C3%B3rdoba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bd78c6b022164cd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3" hidden="0" customWidth="1"/>
    <x:col min="4" max="4" width="24" hidden="0" customWidth="1"/>
    <x:col min="5" max="5" width="13" hidden="0" customWidth="1"/>
    <x:col min="6" max="6" width="8" hidden="0" customWidth="1"/>
    <x:col min="7" max="7" width="10" hidden="0" customWidth="1"/>
    <x:col min="8" max="8" width="32" hidden="0" customWidth="1"/>
    <x:col min="9" max="9" width="30" hidden="0" customWidth="1"/>
    <x:col min="10" max="10" width="28" hidden="0" customWidth="1"/>
    <x:col min="11" max="11" width="22" hidden="0" customWidth="1"/>
    <x:col min="12" max="12" width="13" hidden="0" customWidth="1"/>
    <x:col min="13" max="13" width="25" hidden="0" customWidth="1"/>
    <x:col min="14" max="14" width="42" hidden="0" customWidth="1"/>
    <x:col min="15" max="15" width="40" hidden="0" customWidth="1"/>
    <x:col min="16" max="16" width="40" hidden="0" customWidth="1"/>
    <x:col min="17" max="17" width="38" hidden="0" customWidth="1"/>
    <x:col min="18" max="18" width="16" hidden="0" customWidth="1"/>
    <x:col min="19" max="19" width="40" hidden="0" customWidth="1"/>
    <x:col min="20" max="20" width="18" hidden="0" customWidth="1"/>
    <x:col min="21" max="21" width="13" hidden="0" customWidth="1"/>
    <x:col min="22" max="22" width="24" hidden="0" customWidth="1"/>
    <x:col min="23" max="23" width="34" hidden="0" customWidth="1"/>
    <x:col min="24" max="24" width="20" hidden="0" customWidth="1"/>
    <x:col min="25" max="25" width="38" hidden="0" customWidth="1"/>
    <x:col min="26" max="26" width="26" hidden="0" customWidth="1"/>
    <x:col min="27" max="27" width="46" hidden="0" customWidth="1"/>
    <x:col min="28" max="28" width="48" hidden="0" customWidth="1"/>
    <x:col min="29" max="29" width="13" hidden="0" customWidth="1"/>
    <x:col min="30" max="30" width="28" hidden="0" customWidth="1"/>
    <x:col min="31" max="31" width="42" hidden="0" customWidth="1"/>
    <x:col min="32" max="32" width="20" hidden="0" customWidth="1"/>
  </x:cols>
  <x:sheetData>
    <x:row r="1">
      <x:c r="A1" s="6" t="str">
        <x:v>ID</x:v>
      </x:c>
      <x:c r="B1" s="6" t="str">
        <x:v>Estado de contacto</x:v>
      </x:c>
      <x:c r="C1" s="6" t="str">
        <x:v>Corredor</x:v>
      </x:c>
      <x:c r="D1" s="6" t="str">
        <x:v>Microzona</x:v>
      </x:c>
      <x:c r="E1" s="6" t="str">
        <x:v>Ciudad</x:v>
      </x:c>
      <x:c r="F1" s="6" t="str">
        <x:v>Clase</x:v>
      </x:c>
      <x:c r="G1" s="6" t="str">
        <x:v>Puntaje operativo</x:v>
      </x:c>
      <x:c r="H1" s="6" t="str">
        <x:v>Empresa</x:v>
      </x:c>
      <x:c r="I1" s="6" t="str">
        <x:v>Sector</x:v>
      </x:c>
      <x:c r="J1" s="6" t="str">
        <x:v>Categoría comercial</x:v>
      </x:c>
      <x:c r="K1" s="6" t="str">
        <x:v>Teléfonos</x:v>
      </x:c>
      <x:c r="L1" s="6" t="str">
        <x:v>Calidad del teléfono</x:v>
      </x:c>
      <x:c r="M1" s="6" t="str">
        <x:v>Preguntar por</x:v>
      </x:c>
      <x:c r="N1" s="6" t="str">
        <x:v>Necesidad probable</x:v>
      </x:c>
      <x:c r="O1" s="6" t="str">
        <x:v>Oferta PRESOL</x:v>
      </x:c>
      <x:c r="P1" s="6" t="str">
        <x:v>Gancho comercial</x:v>
      </x:c>
      <x:c r="Q1" s="6" t="str">
        <x:v>Acción sugerida</x:v>
      </x:c>
      <x:c r="R1" s="6" t="str">
        <x:v>Responsable</x:v>
      </x:c>
      <x:c r="S1" s="6" t="str">
        <x:v>Dirección</x:v>
      </x:c>
      <x:c r="T1" s="6" t="str">
        <x:v>Resultado</x:v>
      </x:c>
      <x:c r="U1" s="6" t="str">
        <x:v>Fecha de visita</x:v>
      </x:c>
      <x:c r="V1" s="6" t="str">
        <x:v>Próximo paso</x:v>
      </x:c>
      <x:c r="W1" s="6" t="str">
        <x:v>Notas de campo</x:v>
      </x:c>
      <x:c r="X1" s="6" t="str">
        <x:v>Teléfono principal</x:v>
      </x:c>
      <x:c r="Y1" s="6" t="str">
        <x:v>Google Maps</x:v>
      </x:c>
      <x:c r="Z1" s="6" t="str">
        <x:v>Fuente</x:v>
      </x:c>
      <x:c r="AA1" s="6" t="str">
        <x:v>URL fuente</x:v>
      </x:c>
      <x:c r="AB1" s="6" t="str">
        <x:v>Evidencia</x:v>
      </x:c>
      <x:c r="AC1" s="6" t="str">
        <x:v>Calidad del dato</x:v>
      </x:c>
      <x:c r="AD1" s="6" t="str">
        <x:v>Origen del registro</x:v>
      </x:c>
      <x:c r="AE1" s="6" t="str">
        <x:v>Servicios PRESOL a ofrecer</x:v>
      </x:c>
      <x:c r="AF1" s="6" t="str">
        <x:v>Prioridad visita sugerida</x:v>
      </x:c>
    </x:row>
    <x:row r="2">
      <x:c r="A2" s="14" t="str">
        <x:v>VM-001</x:v>
      </x:c>
      <x:c r="B2" s="14" t="str">
        <x:v>Pendiente</x:v>
      </x:c>
      <x:c r="C2" s="14" t="str">
        <x:v>Villa María</x:v>
      </x:c>
      <x:c r="D2" s="14" t="str">
        <x:v>AU9 km 560–563</x:v>
      </x:c>
      <x:c r="E2" s="14" t="str">
        <x:v>Villa María</x:v>
      </x:c>
      <x:c r="F2" s="14" t="str">
        <x:v>A+</x:v>
      </x:c>
      <x:c r="G2" s="14" t="n">
        <x:v>100</x:v>
      </x:c>
      <x:c r="H2" s="14" t="str">
        <x:v>BAUMAR SAS</x:v>
      </x:c>
      <x:c r="I2" s="14" t="str">
        <x:v>Dealer / alquiler maquinaria vial y agrícola</x:v>
      </x:c>
      <x:c r="J2" s="14" t="str">
        <x:v>Dealer / alquiler maquinaria vial y agrícola</x:v>
      </x:c>
      <x:c r="K2" s="14" t="str">
        <x:v>+54 353 4014200</x:v>
      </x:c>
      <x:c r="L2" s="14" t="str">
        <x:v>OK</x:v>
      </x:c>
      <x:c r="M2" s="14" t="str">
        <x:v>alquileres / logística / posventa</x:v>
      </x:c>
      <x:c r="N2" s="14" t="str">
        <x:v>Entrega/retiro de maquinaria, usados, service y traslados entre cliente, taller y campo/obra.</x:v>
      </x:c>
      <x:c r="O2" s="14" t="str">
        <x:v>Plataforma 20 tn + malacate + hidrogrúa de apoyo + seguro/GPS.</x:v>
      </x:c>
      <x:c r="P2" s="14" t="str">
        <x:v>Reducir picos de entregas y rescates de service sin inmovilizar flota propia.</x:v>
      </x:c>
      <x:c r="Q2" s="14" t="str">
        <x:v>Pedir logística/posventa; relevar equipos, pesos y frecuencia mensual.</x:v>
      </x:c>
      <x:c r="R2" s="14" t="str"/>
      <x:c r="S2" s="14" t="str">
        <x:v>Colectora AU9 km 561, Villa María, Córdoba</x:v>
      </x:c>
      <x:c r="T2" s="14" t="str"/>
      <x:c r="U2" s="14" t="str"/>
      <x:c r="V2" s="14" t="str"/>
      <x:c r="W2" s="14" t="str"/>
      <x:c r="X2" s="14" t="str">
        <x:v>+543534014200</x:v>
      </x:c>
      <x:c r="Y2" s="14" t="str">
        <x:v>https://www.google.com/maps/search/?api=1&amp;query=BAUMAR+SAS%2C+Colectora+AU9+km+561%2C+Villa+Mar%C3%ADa%2C+C%C3%B3rdoba</x:v>
      </x:c>
      <x:c r="Z2" s="14" t="str">
        <x:v>Web oficial</x:v>
      </x:c>
      <x:c r="AA2" s="14" t="str">
        <x:v>https://baumar.ar/</x:v>
      </x:c>
      <x:c r="AB2" s="14" t="str">
        <x:v>Venta y alquiler de maquinaria vial y agrícola; representa LOVOL y XCMG.</x:v>
      </x:c>
      <x:c r="AC2" s="14" t="str">
        <x:v>Alta</x:v>
      </x:c>
      <x:c r="AD2" s="14" t="str">
        <x:v>Rastrillaje integral Villa María 2026-09-15</x:v>
      </x:c>
      <x:c r="AE2" s="14" t="str">
        <x:v>Plataforma 20 tn | Malacate | Hidrogrúa | Seguro/GPS</x:v>
      </x:c>
      <x:c r="AF2" s="14" t="str">
        <x:v>VISITA INMEDIATA</x:v>
      </x:c>
    </x:row>
    <x:row r="3">
      <x:c r="A3" s="14" t="str">
        <x:v>VM-002</x:v>
      </x:c>
      <x:c r="B3" s="14" t="str">
        <x:v>Pendiente</x:v>
      </x:c>
      <x:c r="C3" s="14" t="str">
        <x:v>Villa María</x:v>
      </x:c>
      <x:c r="D3" s="14" t="str">
        <x:v>AU9 km 560–563</x:v>
      </x:c>
      <x:c r="E3" s="14" t="str">
        <x:v>Villa María</x:v>
      </x:c>
      <x:c r="F3" s="14" t="str">
        <x:v>A+</x:v>
      </x:c>
      <x:c r="G3" s="14" t="n">
        <x:v>100</x:v>
      </x:c>
      <x:c r="H3" s="14" t="str">
        <x:v>Caon - Concesionario Oficial CASE IH</x:v>
      </x:c>
      <x:c r="I3" s="14" t="str">
        <x:v>Dealer maquinaria agrícola</x:v>
      </x:c>
      <x:c r="J3" s="14" t="str">
        <x:v>Dealer maquinaria agrícola</x:v>
      </x:c>
      <x:c r="K3" s="14" t="str">
        <x:v>+54 353 6560791</x:v>
      </x:c>
      <x:c r="L3" s="14" t="str">
        <x:v>OK</x:v>
      </x:c>
      <x:c r="M3" s="14" t="str">
        <x:v>gerencia / logística / posventa</x:v>
      </x:c>
      <x:c r="N3" s="14" t="str">
        <x:v>Entrega/retiro de maquinaria, usados, service y traslados entre cliente, taller y campo/obra.</x:v>
      </x:c>
      <x:c r="O3" s="14" t="str">
        <x:v>Plataforma 20 tn + malacate + hidrogrúa de apoyo + seguro/GPS.</x:v>
      </x:c>
      <x:c r="P3" s="14" t="str">
        <x:v>Reducir picos de entregas y rescates de service sin inmovilizar flota propia.</x:v>
      </x:c>
      <x:c r="Q3" s="14" t="str">
        <x:v>Pedir logística/posventa; relevar equipos, pesos y frecuencia mensual.</x:v>
      </x:c>
      <x:c r="R3" s="14" t="str"/>
      <x:c r="S3" s="14" t="str">
        <x:v>Au Córdoba - Rosario km 560, Villa María, Córdoba</x:v>
      </x:c>
      <x:c r="T3" s="14" t="str"/>
      <x:c r="U3" s="14" t="str"/>
      <x:c r="V3" s="14" t="str"/>
      <x:c r="W3" s="14" t="str"/>
      <x:c r="X3" s="14" t="str">
        <x:v>+543536560791</x:v>
      </x:c>
      <x:c r="Y3" s="14" t="str">
        <x:v>https://www.google.com/maps/search/?api=1&amp;query=Caon+-+Concesionario+Oficial+CASE+IH%2C+Au+C%C3%B3rdoba+-+Rosario+km+560%2C+Villa+Mar%C3%ADa%2C+C%C3%B3rdoba</x:v>
      </x:c>
      <x:c r="Z3" s="14" t="str">
        <x:v>Case IH oficial</x:v>
      </x:c>
      <x:c r="AA3" s="14" t="str">
        <x:v>https://media.cnh.com/latin-america-spanish/case-ih/cih-latest-news/red-case-ih--grupo-caon-inaugura-su-nueva-casa-central-en-villa-maria-y-fortalece-su-presencia-en-el/s/69d3be6a-6799-451d-973c-223cb239e0e5</x:v>
      </x:c>
      <x:c r="AB3" s="14" t="str">
        <x:v>Casa central Case IH inaugurada en 2026 con showroom, taller, repuestos y soporte técnico.</x:v>
      </x:c>
      <x:c r="AC3" s="14" t="str">
        <x:v>Alta</x:v>
      </x:c>
      <x:c r="AD3" s="14" t="str">
        <x:v>Rastrillaje integral Villa María 2026-09-15</x:v>
      </x:c>
      <x:c r="AE3" s="14" t="str">
        <x:v>Plataforma 20 tn | Malacate | Hidrogrúa | Seguro/GPS</x:v>
      </x:c>
      <x:c r="AF3" s="14" t="str">
        <x:v>VISITA INMEDIATA</x:v>
      </x:c>
    </x:row>
    <x:row r="4">
      <x:c r="A4" s="14" t="str">
        <x:v>VM-003</x:v>
      </x:c>
      <x:c r="B4" s="14" t="str">
        <x:v>Pendiente</x:v>
      </x:c>
      <x:c r="C4" s="14" t="str">
        <x:v>Villa María</x:v>
      </x:c>
      <x:c r="D4" s="14" t="str">
        <x:v>RN9 km 551–556</x:v>
      </x:c>
      <x:c r="E4" s="14" t="str">
        <x:v>Villa María</x:v>
      </x:c>
      <x:c r="F4" s="14" t="str">
        <x:v>A+</x:v>
      </x:c>
      <x:c r="G4" s="14" t="n">
        <x:v>100</x:v>
      </x:c>
      <x:c r="H4" s="14" t="str">
        <x:v>Industrias Cormetal S.A.</x:v>
      </x:c>
      <x:c r="I4" s="14" t="str">
        <x:v>Metalúrgica / acoplados / semirremolques</x:v>
      </x:c>
      <x:c r="J4" s="14" t="str">
        <x:v>Metalúrgica / acoplados / semirremolques</x:v>
      </x:c>
      <x:c r="K4" s="14" t="str">
        <x:v>0353 4610900</x:v>
      </x:c>
      <x:c r="L4" s="14" t="str">
        <x:v>OK</x:v>
      </x:c>
      <x:c r="M4" s="14" t="str">
        <x:v>producción / expedición / logística</x:v>
      </x:c>
      <x:c r="N4" s="14" t="str">
        <x:v>Movilización de camiones, acoplados, semirremolques o unidades que no pueden circular; despachos de fábrica.</x:v>
      </x:c>
      <x:c r="O4" s="14" t="str">
        <x:v>Plataforma 20 tn + malacate + hidrogrúa según maniobra.</x:v>
      </x:c>
      <x:c r="P4" s="14" t="str">
        <x:v>Apoyo externo para entregas, rescates, unidades incompletas o inmovilizadas.</x:v>
      </x:c>
      <x:c r="Q4" s="14" t="str">
        <x:v>Pedir expedición/taller/logística; consultar movimientos mensuales y pesos.</x:v>
      </x:c>
      <x:c r="R4" s="14" t="str"/>
      <x:c r="S4" s="14" t="str">
        <x:v>RN9 km 556, Villa María, Córdoba</x:v>
      </x:c>
      <x:c r="T4" s="14" t="str"/>
      <x:c r="U4" s="14" t="str"/>
      <x:c r="V4" s="14" t="str"/>
      <x:c r="W4" s="14" t="str"/>
      <x:c r="X4" s="14" t="str">
        <x:v>03534610900</x:v>
      </x:c>
      <x:c r="Y4" s="14" t="str">
        <x:v>https://www.google.com/maps/search/?api=1&amp;query=Industrias+Cormetal+S.A.%2C+RN9+km+556%2C+Villa+Mar%C3%ADa%2C+C%C3%B3rdoba</x:v>
      </x:c>
      <x:c r="Z4" s="14" t="str">
        <x:v>Portal Industrial</x:v>
      </x:c>
      <x:c r="AA4" s="14" t="str">
        <x:v>https://www.portal-industrial.com.ar/empresa/industrias-cormetal-sa/8686/</x:v>
      </x:c>
      <x:c r="AB4" s="14" t="str">
        <x:v>Acoplados, semirremolques, carrocerías y productos de acero; también hidrogrúas.</x:v>
      </x:c>
      <x:c r="AC4" s="14" t="str">
        <x:v>Alta</x:v>
      </x:c>
      <x:c r="AD4" s="14" t="str">
        <x:v>Rastrillaje integral Villa María 2026-09-15</x:v>
      </x:c>
      <x:c r="AE4" s="14" t="str">
        <x:v>Plataforma 20 tn | Malacate | Hidrogrúa | Apoyo de flota</x:v>
      </x:c>
      <x:c r="AF4" s="14" t="str">
        <x:v>VISITA INMEDIATA</x:v>
      </x:c>
    </x:row>
    <x:row r="5">
      <x:c r="A5" s="14" t="str">
        <x:v>VM-004</x:v>
      </x:c>
      <x:c r="B5" s="14" t="str">
        <x:v>Pendiente</x:v>
      </x:c>
      <x:c r="C5" s="14" t="str">
        <x:v>Villa María</x:v>
      </x:c>
      <x:c r="D5" s="14" t="str">
        <x:v>PILT / RN9 km 551,5</x:v>
      </x:c>
      <x:c r="E5" s="14" t="str">
        <x:v>Villa María</x:v>
      </x:c>
      <x:c r="F5" s="14" t="str">
        <x:v>A+</x:v>
      </x:c>
      <x:c r="G5" s="14" t="n">
        <x:v>100</x:v>
      </x:c>
      <x:c r="H5" s="14" t="str">
        <x:v>Pedrolga</x:v>
      </x:c>
      <x:c r="I5" s="14" t="str">
        <x:v>Logística / almacenamiento / transporte</x:v>
      </x:c>
      <x:c r="J5" s="14" t="str">
        <x:v>Logística / almacenamiento / transporte</x:v>
      </x:c>
      <x:c r="K5" s="14" t="str">
        <x:v>+54 353 4252853</x:v>
      </x:c>
      <x:c r="L5" s="14" t="str">
        <x:v>OK</x:v>
      </x:c>
      <x:c r="M5" s="14" t="str">
        <x:v>operaciones / tráfico / mantenimiento</x:v>
      </x:c>
      <x:c r="N5" s="14" t="str">
        <x:v>Overflow y derivación de cargas/equipos que requieren plataforma, malacate o hidrogrúa.</x:v>
      </x:c>
      <x:c r="O5" s="14" t="str">
        <x:v>Capacidad complementaria: plataforma 20 tn + hidrogrúa + malacate.</x:v>
      </x:c>
      <x:c r="P5" s="14" t="str">
        <x:v>Ser proveedor de respaldo para servicios especiales que excedan la flota habitual.</x:v>
      </x:c>
      <x:c r="Q5" s="14" t="str">
        <x:v>Pedir tráfico/operaciones; ofrecer acuerdo de derivaciones y contingencias.</x:v>
      </x:c>
      <x:c r="R5" s="14" t="str"/>
      <x:c r="S5" s="14" t="str">
        <x:v>PILT, RN9 km 551,5, Villa María, Córdoba</x:v>
      </x:c>
      <x:c r="T5" s="14" t="str"/>
      <x:c r="U5" s="14" t="str"/>
      <x:c r="V5" s="14" t="str"/>
      <x:c r="W5" s="14" t="str"/>
      <x:c r="X5" s="14" t="str">
        <x:v>+543534252853</x:v>
      </x:c>
      <x:c r="Y5" s="14" t="str">
        <x:v>https://www.google.com/maps/search/?api=1&amp;query=Pedrolga%2C+PILT%2C+RN9+km+551%2C5%2C+Villa+Mar%C3%ADa%2C+C%C3%B3rdoba</x:v>
      </x:c>
      <x:c r="Z5" s="14" t="str">
        <x:v>Web oficial</x:v>
      </x:c>
      <x:c r="AA5" s="14" t="str">
        <x:v>https://pedrolga.com/servicio-almacenamiento-frio</x:v>
      </x:c>
      <x:c r="AB5" s="14" t="str">
        <x:v>Transporte terrestre, almacenamiento y depósito fiscal refrigerado.</x:v>
      </x:c>
      <x:c r="AC5" s="14" t="str">
        <x:v>Alta</x:v>
      </x:c>
      <x:c r="AD5" s="14" t="str">
        <x:v>Rastrillaje integral Villa María 2026-09-15</x:v>
      </x:c>
      <x:c r="AE5" s="14" t="str">
        <x:v>Plataforma 20 tn | Hidrogrúa | Malacate | Subcontratación</x:v>
      </x:c>
      <x:c r="AF5" s="14" t="str">
        <x:v>VISITA INMEDIATA</x:v>
      </x:c>
    </x:row>
    <x:row r="6">
      <x:c r="A6" s="14" t="str">
        <x:v>VM-005</x:v>
      </x:c>
      <x:c r="B6" s="14" t="str">
        <x:v>Pendiente</x:v>
      </x:c>
      <x:c r="C6" s="14" t="str">
        <x:v>Villa María</x:v>
      </x:c>
      <x:c r="D6" s="14" t="str">
        <x:v>PILT / RN9 km 551,5</x:v>
      </x:c>
      <x:c r="E6" s="14" t="str">
        <x:v>Villa María</x:v>
      </x:c>
      <x:c r="F6" s="14" t="str">
        <x:v>A+</x:v>
      </x:c>
      <x:c r="G6" s="14" t="n">
        <x:v>100</x:v>
      </x:c>
      <x:c r="H6" s="14" t="str">
        <x:v>Terramar Logística - Villa María</x:v>
      </x:c>
      <x:c r="I6" s="14" t="str">
        <x:v>Logística / contenedores / depósito fiscal</x:v>
      </x:c>
      <x:c r="J6" s="14" t="str">
        <x:v>Logística / contenedores / depósito fiscal</x:v>
      </x:c>
      <x:c r="K6" s="14" t="str">
        <x:v>0353 4236807</x:v>
      </x:c>
      <x:c r="L6" s="14" t="str">
        <x:v>OK</x:v>
      </x:c>
      <x:c r="M6" s="14" t="str">
        <x:v>operaciones / tráfico / logística</x:v>
      </x:c>
      <x:c r="N6" s="14" t="str">
        <x:v>Overflow y derivación de cargas/equipos que requieren plataforma, malacate o hidrogrúa.</x:v>
      </x:c>
      <x:c r="O6" s="14" t="str">
        <x:v>Capacidad complementaria: plataforma 20 tn + hidrogrúa + malacate.</x:v>
      </x:c>
      <x:c r="P6" s="14" t="str">
        <x:v>Ser proveedor de respaldo para servicios especiales que excedan la flota habitual.</x:v>
      </x:c>
      <x:c r="Q6" s="14" t="str">
        <x:v>Pedir tráfico/operaciones; ofrecer acuerdo de derivaciones y contingencias.</x:v>
      </x:c>
      <x:c r="R6" s="14" t="str"/>
      <x:c r="S6" s="14" t="str">
        <x:v>RN9 km 551,5, PILT, Villa María, Córdoba</x:v>
      </x:c>
      <x:c r="T6" s="14" t="str"/>
      <x:c r="U6" s="14" t="str"/>
      <x:c r="V6" s="14" t="str"/>
      <x:c r="W6" s="14" t="str"/>
      <x:c r="X6" s="14" t="str">
        <x:v>03534236807</x:v>
      </x:c>
      <x:c r="Y6" s="14" t="str">
        <x:v>https://www.google.com/maps/search/?api=1&amp;query=Terramar+Log%C3%ADstica+-+Villa+Mar%C3%ADa%2C+RN9+km+551%2C5%2C+PILT%2C+Villa+Mar%C3%ADa%2C+C%C3%B3rdoba</x:v>
      </x:c>
      <x:c r="Z6" s="14" t="str">
        <x:v>Web oficial</x:v>
      </x:c>
      <x:c r="AA6" s="14" t="str">
        <x:v>https://www.terramarlogistica.com.ar/contenedoresvillamaria/</x:v>
      </x:c>
      <x:c r="AB6" s="14" t="str">
        <x:v>Terminal de contenedores y servicios logísticos dentro del PILT.</x:v>
      </x:c>
      <x:c r="AC6" s="14" t="str">
        <x:v>Alta</x:v>
      </x:c>
      <x:c r="AD6" s="14" t="str">
        <x:v>Rastrillaje integral Villa María 2026-09-15</x:v>
      </x:c>
      <x:c r="AE6" s="14" t="str">
        <x:v>Plataforma 20 tn | Hidrogrúa | Malacate | Subcontratación</x:v>
      </x:c>
      <x:c r="AF6" s="14" t="str">
        <x:v>VISITA INMEDIATA</x:v>
      </x:c>
    </x:row>
    <x:row r="7">
      <x:c r="A7" s="14" t="str">
        <x:v>VM-006</x:v>
      </x:c>
      <x:c r="B7" s="14" t="str">
        <x:v>Pendiente</x:v>
      </x:c>
      <x:c r="C7" s="14" t="str">
        <x:v>Villa María</x:v>
      </x:c>
      <x:c r="D7" s="14" t="str">
        <x:v>Urbano</x:v>
      </x:c>
      <x:c r="E7" s="14" t="str">
        <x:v>Villa María</x:v>
      </x:c>
      <x:c r="F7" s="14" t="str">
        <x:v>A+</x:v>
      </x:c>
      <x:c r="G7" s="14" t="n">
        <x:v>100</x:v>
      </x:c>
      <x:c r="H7" s="14" t="str">
        <x:v>Terranova Movimiento de Suelo</x:v>
      </x:c>
      <x:c r="I7" s="14" t="str">
        <x:v>Movimiento de suelo</x:v>
      </x:c>
      <x:c r="J7" s="14" t="str">
        <x:v>Movimiento de suelo</x:v>
      </x:c>
      <x:c r="K7" s="14" t="str">
        <x:v>+54 353 4065207</x:v>
      </x:c>
      <x:c r="L7" s="14" t="str">
        <x:v>OK</x:v>
      </x:c>
      <x:c r="M7" s="14" t="str">
        <x:v>dueño / operaciones / equipos</x:v>
      </x:c>
      <x:c r="N7" s="14" t="str">
        <x:v>Traslados interobra de excavadoras, retroexcavadoras, minicargadoras, rodillos y equipos viales.</x:v>
      </x:c>
      <x:c r="O7" s="14" t="str">
        <x:v>Plataforma 20 tn + malacate + seguro/GPS.</x:v>
      </x:c>
      <x:c r="P7" s="14" t="str">
        <x:v>Mover equipos entre frentes sin sacar recursos propios de la obra.</x:v>
      </x:c>
      <x:c r="Q7" s="14" t="str">
        <x:v>Pedir dueño/jefe de equipos; relevar flota, pesos y frecuencia interobra.</x:v>
      </x:c>
      <x:c r="R7" s="14" t="str"/>
      <x:c r="S7" s="14" t="str">
        <x:v>Ascasubi 577, Villa María, Córdoba</x:v>
      </x:c>
      <x:c r="T7" s="14" t="str"/>
      <x:c r="U7" s="14" t="str"/>
      <x:c r="V7" s="14" t="str"/>
      <x:c r="W7" s="14" t="str"/>
      <x:c r="X7" s="14" t="str">
        <x:v>+543534065207</x:v>
      </x:c>
      <x:c r="Y7" s="14" t="str">
        <x:v>https://www.google.com/maps/search/?api=1&amp;query=Terranova+Movimiento+de+Suelo%2C+Ascasubi+577%2C+Villa+Mar%C3%ADa%2C+C%C3%B3rdoba</x:v>
      </x:c>
      <x:c r="Z7" s="14" t="str">
        <x:v>Google Business</x:v>
      </x:c>
      <x:c r="AA7" s="14" t="str">
        <x:v>https://www.google.com/maps/search/?api=1&amp;query=Terranova+Movimiento+de+Suelo%2C+Ascasubi+577%2C+Villa+Mar%C3%ADa%2C+C%C3%B3rdoba</x:v>
      </x:c>
      <x:c r="AB7" s="14" t="str">
        <x:v>Empresa de movimiento de tierras; necesidad natural de traslados interobra.</x:v>
      </x:c>
      <x:c r="AC7" s="14" t="str">
        <x:v>Alta</x:v>
      </x:c>
      <x:c r="AD7" s="14" t="str">
        <x:v>Rastrillaje integral Villa María 2026-09-15</x:v>
      </x:c>
      <x:c r="AE7" s="14" t="str">
        <x:v>Plataforma 20 tn | Malacate | Traslados interobra | Seguro/GPS</x:v>
      </x:c>
      <x:c r="AF7" s="14" t="str">
        <x:v>VISITA INMEDIATA</x:v>
      </x:c>
    </x:row>
    <x:row r="8">
      <x:c r="A8" s="14" t="str">
        <x:v>VM-007</x:v>
      </x:c>
      <x:c r="B8" s="14" t="str">
        <x:v>Pendiente</x:v>
      </x:c>
      <x:c r="C8" s="14" t="str">
        <x:v>Villa María</x:v>
      </x:c>
      <x:c r="D8" s="14" t="str">
        <x:v>Urbano industrial</x:v>
      </x:c>
      <x:c r="E8" s="14" t="str">
        <x:v>Villa María</x:v>
      </x:c>
      <x:c r="F8" s="14" t="str">
        <x:v>A+</x:v>
      </x:c>
      <x:c r="G8" s="14" t="n">
        <x:v>100</x:v>
      </x:c>
      <x:c r="H8" s="14" t="str">
        <x:v>Bartolomé Cerutti SRL - New Holland</x:v>
      </x:c>
      <x:c r="I8" s="14" t="str">
        <x:v>Dealer maquinaria agrícola y construcción</x:v>
      </x:c>
      <x:c r="J8" s="14" t="str">
        <x:v>Concesionario New Holland: tractores, cosechadoras y maquinaria agrícola/construcción</x:v>
      </x:c>
      <x:c r="K8" s="14" t="str">
        <x:v>0353 4522560 / 0353 154208761</x:v>
      </x:c>
      <x:c r="L8" s="14" t="str">
        <x:v>OK</x:v>
      </x:c>
      <x:c r="M8" s="14" t="str">
        <x:v>logística / posventa / usados</x:v>
      </x:c>
      <x:c r="N8" s="14" t="str">
        <x:v>Entrega/retiro de tractores, cosechadoras, pulverizadoras, sembradoras, usados y equipos de service.</x:v>
      </x:c>
      <x:c r="O8" s="14" t="str">
        <x:v>Plataforma 20 tn + malacate + hidrogrúa de apoyo + seguro/GPS.</x:v>
      </x:c>
      <x:c r="P8" s="14" t="str">
        <x:v>Captar entregas, canjes, usados y rescates de service sin inmovilizar flota propia.</x:v>
      </x:c>
      <x:c r="Q8" s="14" t="str">
        <x:v>Pedir gerente de ventas/logística/posventa; relevar equipos, pesos y movimientos mensuales.</x:v>
      </x:c>
      <x:c r="R8" s="14" t="str"/>
      <x:c r="S8" s="14" t="str">
        <x:v>Larrabure 1100, Villa María, Córdoba</x:v>
      </x:c>
      <x:c r="T8" s="14" t="str"/>
      <x:c r="U8" s="14" t="str"/>
      <x:c r="V8" s="14" t="str"/>
      <x:c r="W8" s="14" t="str"/>
      <x:c r="X8" s="14" t="str">
        <x:v>03534522560</x:v>
      </x:c>
      <x:c r="Y8" s="14" t="str">
        <x:v>https://www.google.com/maps/search/?api=1&amp;query=Bartolom%C3%A9+Cerutti+SRL+-+New+Holland%2C+Larrabure+1100%2C+Villa+Mar%C3%ADa%2C+C%C3%B3rdoba</x:v>
      </x:c>
      <x:c r="Z8" s="14" t="str">
        <x:v>Web oficial + Agroads</x:v>
      </x:c>
      <x:c r="AA8" s="14" t="str">
        <x:v>https://www.agroads.com.ar/seccion.asp?cat=2&amp;loc=6&amp;prov=8</x:v>
      </x:c>
      <x:c r="AB8" s="14" t="str">
        <x:v>Oferta local de cosechadoras, tractores y equipos New Holland, además de usados y posventa.</x:v>
      </x:c>
      <x:c r="AC8" s="14" t="str">
        <x:v>Alta</x:v>
      </x:c>
      <x:c r="AD8" s="14" t="str">
        <x:v>Rastrillaje integral Villa María 2026-09-15</x:v>
      </x:c>
      <x:c r="AE8" s="14" t="str">
        <x:v>Plataforma 20 tn | Malacate | Hidrogrúa | Entrega/retiro maquinaria | Seguro/GPS</x:v>
      </x:c>
      <x:c r="AF8" s="14" t="str">
        <x:v>VISITA INMEDIATA</x:v>
      </x:c>
    </x:row>
    <x:row r="9">
      <x:c r="A9" s="14" t="str">
        <x:v>VM-008</x:v>
      </x:c>
      <x:c r="B9" s="14" t="str">
        <x:v>Pendiente</x:v>
      </x:c>
      <x:c r="C9" s="14" t="str">
        <x:v>Villa María</x:v>
      </x:c>
      <x:c r="D9" s="14" t="str">
        <x:v>PILT / acceso industrial</x:v>
      </x:c>
      <x:c r="E9" s="14" t="str">
        <x:v>Villa María</x:v>
      </x:c>
      <x:c r="F9" s="14" t="str">
        <x:v>A+</x:v>
      </x:c>
      <x:c r="G9" s="14" t="n">
        <x:v>99</x:v>
      </x:c>
      <x:c r="H9" s="14" t="str">
        <x:v>Metalúrgica JAP</x:v>
      </x:c>
      <x:c r="I9" s="14" t="str">
        <x:v>Carrocerías / trailers / estructuras</x:v>
      </x:c>
      <x:c r="J9" s="14" t="str">
        <x:v>Carrocerías / trailers / estructuras</x:v>
      </x:c>
      <x:c r="K9" s="14" t="str">
        <x:v>+54 353 6563732 / +54 353 5657977</x:v>
      </x:c>
      <x:c r="L9" s="14" t="str">
        <x:v>OK</x:v>
      </x:c>
      <x:c r="M9" s="14" t="str">
        <x:v>dueño / producción / expedición</x:v>
      </x:c>
      <x:c r="N9" s="14" t="str">
        <x:v>Movilización de camiones, acoplados, semirremolques o unidades que no pueden circular; despachos de fábrica.</x:v>
      </x:c>
      <x:c r="O9" s="14" t="str">
        <x:v>Plataforma 20 tn + malacate + hidrogrúa según maniobra.</x:v>
      </x:c>
      <x:c r="P9" s="14" t="str">
        <x:v>Apoyo externo para entregas, rescates, unidades incompletas o inmovilizadas.</x:v>
      </x:c>
      <x:c r="Q9" s="14" t="str">
        <x:v>Pedir expedición/taller/logística; consultar movimientos mensuales y pesos.</x:v>
      </x:c>
      <x:c r="R9" s="14" t="str"/>
      <x:c r="S9" s="14" t="str">
        <x:v>J. Carlos Avalle 6058, Villa María, Córdoba</x:v>
      </x:c>
      <x:c r="T9" s="14" t="str"/>
      <x:c r="U9" s="14" t="str"/>
      <x:c r="V9" s="14" t="str"/>
      <x:c r="W9" s="14" t="str"/>
      <x:c r="X9" s="14" t="str">
        <x:v>+543536563732</x:v>
      </x:c>
      <x:c r="Y9" s="14" t="str">
        <x:v>https://www.google.com/maps/search/?api=1&amp;query=Metal%C3%BArgica+JAP%2C+J.+Carlos+Avalle+6058%2C+Villa+Mar%C3%ADa%2C+C%C3%B3rdoba</x:v>
      </x:c>
      <x:c r="Z9" s="14" t="str">
        <x:v>Web oficial</x:v>
      </x:c>
      <x:c r="AA9" s="14" t="str">
        <x:v>https://www.metalurgicajap.com/</x:v>
      </x:c>
      <x:c r="AB9" s="14" t="str">
        <x:v>Carrozados, trailers, estructuras metálicas y certificaciones de izaje.</x:v>
      </x:c>
      <x:c r="AC9" s="14" t="str">
        <x:v>Alta</x:v>
      </x:c>
      <x:c r="AD9" s="14" t="str">
        <x:v>Rastrillaje integral Villa María 2026-09-15</x:v>
      </x:c>
      <x:c r="AE9" s="14" t="str">
        <x:v>Plataforma 20 tn | Malacate | Hidrogrúa | Apoyo de flota</x:v>
      </x:c>
      <x:c r="AF9" s="14" t="str">
        <x:v>VISITA INMEDIATA</x:v>
      </x:c>
    </x:row>
    <x:row r="10">
      <x:c r="A10" s="14" t="str">
        <x:v>VM-009</x:v>
      </x:c>
      <x:c r="B10" s="14" t="str">
        <x:v>Pendiente</x:v>
      </x:c>
      <x:c r="C10" s="14" t="str">
        <x:v>Villa María</x:v>
      </x:c>
      <x:c r="D10" s="14" t="str">
        <x:v>AU9 / Colectora Sur</x:v>
      </x:c>
      <x:c r="E10" s="14" t="str">
        <x:v>Villa María</x:v>
      </x:c>
      <x:c r="F10" s="14" t="str">
        <x:v>A+</x:v>
      </x:c>
      <x:c r="G10" s="14" t="n">
        <x:v>99</x:v>
      </x:c>
      <x:c r="H10" s="14" t="str">
        <x:v>Pauny - Comercializadora Pauny</x:v>
      </x:c>
      <x:c r="I10" s="14" t="str">
        <x:v>Dealer maquinaria agrícola</x:v>
      </x:c>
      <x:c r="J10" s="14" t="str">
        <x:v>Dealer maquinaria agrícola</x:v>
      </x:c>
      <x:c r="K10" s="14" t="str">
        <x:v>+54 353 5002145</x:v>
      </x:c>
      <x:c r="L10" s="14" t="str">
        <x:v>OK</x:v>
      </x:c>
      <x:c r="M10" s="14" t="str">
        <x:v>logística / ventas / posventa</x:v>
      </x:c>
      <x:c r="N10" s="14" t="str">
        <x:v>Entrega/retiro de maquinaria, usados, service y traslados entre cliente, taller y campo/obra.</x:v>
      </x:c>
      <x:c r="O10" s="14" t="str">
        <x:v>Plataforma 20 tn + malacate + hidrogrúa de apoyo + seguro/GPS.</x:v>
      </x:c>
      <x:c r="P10" s="14" t="str">
        <x:v>Reducir picos de entregas y rescates de service sin inmovilizar flota propia.</x:v>
      </x:c>
      <x:c r="Q10" s="14" t="str">
        <x:v>Pedir logística/posventa; relevar equipos, pesos y frecuencia mensual.</x:v>
      </x:c>
      <x:c r="R10" s="14" t="str"/>
      <x:c r="S10" s="14" t="str">
        <x:v>Colectora Sur esq. Francisco García, AU Córdoba-Rosario, Villa María, Córdoba</x:v>
      </x:c>
      <x:c r="T10" s="14" t="str"/>
      <x:c r="U10" s="14" t="str"/>
      <x:c r="V10" s="14" t="str"/>
      <x:c r="W10" s="14" t="str"/>
      <x:c r="X10" s="14" t="str">
        <x:v>+543535002145</x:v>
      </x:c>
      <x:c r="Y10" s="14" t="str">
        <x:v>https://www.google.com/maps/search/?api=1&amp;query=Pauny+-+Comercializadora+Pauny%2C+Colectora+Sur+esq.+Francisco+Garc%C3%ADa%2C+AU+C%C3%B3rdoba-Rosario%2C+Villa+Mar%C3%ADa%2C+C%C3%B3rdoba</x:v>
      </x:c>
      <x:c r="Z10" s="14" t="str">
        <x:v>Tanzi concesionarios</x:v>
      </x:c>
      <x:c r="AA10" s="14" t="str">
        <x:v>https://www.tanzi.com.ar/concesionarios.php</x:v>
      </x:c>
      <x:c r="AB10" s="14" t="str">
        <x:v>Punto comercial Pauny en Villa María.</x:v>
      </x:c>
      <x:c r="AC10" s="14" t="str">
        <x:v>Alta</x:v>
      </x:c>
      <x:c r="AD10" s="14" t="str">
        <x:v>Rastrillaje integral Villa María 2026-09-15</x:v>
      </x:c>
      <x:c r="AE10" s="14" t="str">
        <x:v>Plataforma 20 tn | Malacate | Hidrogrúa | Seguro/GPS</x:v>
      </x:c>
      <x:c r="AF10" s="14" t="str">
        <x:v>VISITA INMEDIATA</x:v>
      </x:c>
    </x:row>
    <x:row r="11">
      <x:c r="A11" s="14" t="str">
        <x:v>VM-010</x:v>
      </x:c>
      <x:c r="B11" s="14" t="str">
        <x:v>Pendiente</x:v>
      </x:c>
      <x:c r="C11" s="14" t="str">
        <x:v>Villa María</x:v>
      </x:c>
      <x:c r="D11" s="14" t="str">
        <x:v>AU9 km 560–563</x:v>
      </x:c>
      <x:c r="E11" s="14" t="str">
        <x:v>Villa María</x:v>
      </x:c>
      <x:c r="F11" s="14" t="str">
        <x:v>A+</x:v>
      </x:c>
      <x:c r="G11" s="14" t="n">
        <x:v>99</x:v>
      </x:c>
      <x:c r="H11" s="14" t="str">
        <x:v>SCANIA Región Centro Villa María</x:v>
      </x:c>
      <x:c r="I11" s="14" t="str">
        <x:v>Dealer camiones pesados</x:v>
      </x:c>
      <x:c r="J11" s="14" t="str">
        <x:v>Dealer camiones pesados</x:v>
      </x:c>
      <x:c r="K11" s="14" t="str">
        <x:v>+54 353 4783255</x:v>
      </x:c>
      <x:c r="L11" s="14" t="str">
        <x:v>OK</x:v>
      </x:c>
      <x:c r="M11" s="14" t="str">
        <x:v>posventa / logística / usados</x:v>
      </x:c>
      <x:c r="N11" s="14" t="str">
        <x:v>Entrega/retiro de maquinaria, usados, service y traslados entre cliente, taller y campo/obra.</x:v>
      </x:c>
      <x:c r="O11" s="14" t="str">
        <x:v>Plataforma 20 tn + malacate + hidrogrúa de apoyo + seguro/GPS.</x:v>
      </x:c>
      <x:c r="P11" s="14" t="str">
        <x:v>Reducir picos de entregas y rescates de service sin inmovilizar flota propia.</x:v>
      </x:c>
      <x:c r="Q11" s="14" t="str">
        <x:v>Pedir logística/posventa; relevar equipos, pesos y frecuencia mensual.</x:v>
      </x:c>
      <x:c r="R11" s="14" t="str"/>
      <x:c r="S11" s="14" t="str">
        <x:v>Colectora AU Córdoba-Rosario km 562, Villa María, Córdoba</x:v>
      </x:c>
      <x:c r="T11" s="14" t="str"/>
      <x:c r="U11" s="14" t="str"/>
      <x:c r="V11" s="14" t="str"/>
      <x:c r="W11" s="14" t="str"/>
      <x:c r="X11" s="14" t="str">
        <x:v>+543534783255</x:v>
      </x:c>
      <x:c r="Y11" s="14" t="str">
        <x:v>https://www.google.com/maps/search/?api=1&amp;query=SCANIA+Regi%C3%B3n+Centro+Villa+Mar%C3%ADa%2C+Colectora+AU+C%C3%B3rdoba-Rosario+km+562%2C+Villa+Mar%C3%ADa%2C+C%C3%B3rdoba</x:v>
      </x:c>
      <x:c r="Z11" s="14" t="str">
        <x:v>Google Business</x:v>
      </x:c>
      <x:c r="AA11" s="14" t="str">
        <x:v>https://www.google.com/maps/search/?api=1&amp;query=SCANIA+Regi%C3%B3n+Centro+Villa+Mar%C3%ADa%2C+Colectora+AU+C%C3%B3rdoba-Rosario+km+562%2C+Villa+Mar%C3%ADa%2C+C%C3%B3rdoba</x:v>
      </x:c>
      <x:c r="AB11" s="14" t="str">
        <x:v>Concesionario de camiones pesados.</x:v>
      </x:c>
      <x:c r="AC11" s="14" t="str">
        <x:v>Alta</x:v>
      </x:c>
      <x:c r="AD11" s="14" t="str">
        <x:v>Rastrillaje integral Villa María 2026-09-15</x:v>
      </x:c>
      <x:c r="AE11" s="14" t="str">
        <x:v>Plataforma 20 tn | Malacate | Hidrogrúa | Seguro/GPS</x:v>
      </x:c>
      <x:c r="AF11" s="14" t="str">
        <x:v>VISITA INMEDIATA</x:v>
      </x:c>
    </x:row>
    <x:row r="12">
      <x:c r="A12" s="14" t="str">
        <x:v>VM-011</x:v>
      </x:c>
      <x:c r="B12" s="14" t="str">
        <x:v>Pendiente</x:v>
      </x:c>
      <x:c r="C12" s="14" t="str">
        <x:v>Villa María</x:v>
      </x:c>
      <x:c r="D12" s="14" t="str">
        <x:v>RN158 / Área 158</x:v>
      </x:c>
      <x:c r="E12" s="14" t="str">
        <x:v>Villa María</x:v>
      </x:c>
      <x:c r="F12" s="14" t="str">
        <x:v>A+</x:v>
      </x:c>
      <x:c r="G12" s="14" t="n">
        <x:v>98</x:v>
      </x:c>
      <x:c r="H12" s="14" t="str">
        <x:v>Agro GM Sucursal Villa María</x:v>
      </x:c>
      <x:c r="I12" s="14" t="str">
        <x:v>Dealer maquinaria agrícola</x:v>
      </x:c>
      <x:c r="J12" s="14" t="str">
        <x:v>Dealer maquinaria agrícola</x:v>
      </x:c>
      <x:c r="K12" s="14" t="str">
        <x:v>+54 353 6560055</x:v>
      </x:c>
      <x:c r="L12" s="14" t="str">
        <x:v>OK</x:v>
      </x:c>
      <x:c r="M12" s="14" t="str">
        <x:v>logística / posventa / ventas</x:v>
      </x:c>
      <x:c r="N12" s="14" t="str">
        <x:v>Entrega/retiro de maquinaria, usados, service y traslados entre cliente, taller y campo/obra.</x:v>
      </x:c>
      <x:c r="O12" s="14" t="str">
        <x:v>Plataforma 20 tn + malacate + hidrogrúa de apoyo + seguro/GPS.</x:v>
      </x:c>
      <x:c r="P12" s="14" t="str">
        <x:v>Reducir picos de entregas y rescates de service sin inmovilizar flota propia.</x:v>
      </x:c>
      <x:c r="Q12" s="14" t="str">
        <x:v>Pedir logística/posventa; relevar equipos, pesos y frecuencia mensual.</x:v>
      </x:c>
      <x:c r="R12" s="14" t="str"/>
      <x:c r="S12" s="14" t="str">
        <x:v>Área 158 km 154,5, Villa María, Córdoba</x:v>
      </x:c>
      <x:c r="T12" s="14" t="str"/>
      <x:c r="U12" s="14" t="str"/>
      <x:c r="V12" s="14" t="str"/>
      <x:c r="W12" s="14" t="str"/>
      <x:c r="X12" s="14" t="str">
        <x:v>+543536560055</x:v>
      </x:c>
      <x:c r="Y12" s="14" t="str">
        <x:v>https://www.google.com/maps/search/?api=1&amp;query=Agro+GM+Sucursal+Villa+Mar%C3%ADa%2C+%C3%81rea+158+km+154%2C5%2C+Villa+Mar%C3%ADa%2C+C%C3%B3rdoba</x:v>
      </x:c>
      <x:c r="Z12" s="14" t="str">
        <x:v>Google Business</x:v>
      </x:c>
      <x:c r="AA12" s="14" t="str">
        <x:v>https://www.google.com/maps/search/?api=1&amp;query=Agro+GM+Sucursal+Villa+Mar%C3%ADa%2C+%C3%81rea+158+km+154%2C5%2C+Villa+Mar%C3%ADa%2C+C%C3%B3rdoba</x:v>
      </x:c>
      <x:c r="AB12" s="14" t="str">
        <x:v>Concesionario de tractores en corredor RN158.</x:v>
      </x:c>
      <x:c r="AC12" s="14" t="str">
        <x:v>Alta</x:v>
      </x:c>
      <x:c r="AD12" s="14" t="str">
        <x:v>Rastrillaje integral Villa María 2026-09-15</x:v>
      </x:c>
      <x:c r="AE12" s="14" t="str">
        <x:v>Plataforma 20 tn | Malacate | Hidrogrúa | Seguro/GPS</x:v>
      </x:c>
      <x:c r="AF12" s="14" t="str">
        <x:v>VISITA INMEDIATA</x:v>
      </x:c>
    </x:row>
    <x:row r="13">
      <x:c r="A13" s="14" t="str">
        <x:v>VM-012</x:v>
      </x:c>
      <x:c r="B13" s="14" t="str">
        <x:v>Pendiente</x:v>
      </x:c>
      <x:c r="C13" s="14" t="str">
        <x:v>Villa María</x:v>
      </x:c>
      <x:c r="D13" s="14" t="str">
        <x:v>Av. Perón / Industrial</x:v>
      </x:c>
      <x:c r="E13" s="14" t="str">
        <x:v>Villa María</x:v>
      </x:c>
      <x:c r="F13" s="14" t="str">
        <x:v>A+</x:v>
      </x:c>
      <x:c r="G13" s="14" t="n">
        <x:v>98</x:v>
      </x:c>
      <x:c r="H13" s="14" t="str">
        <x:v>GEMA ARGENTINA</x:v>
      </x:c>
      <x:c r="I13" s="14" t="str">
        <x:v>Fabricante de maquinaria agrícola</x:v>
      </x:c>
      <x:c r="J13" s="14" t="str">
        <x:v>Fabricante de maquinaria agrícola</x:v>
      </x:c>
      <x:c r="K13" s="14" t="str">
        <x:v>+54 353 4257703</x:v>
      </x:c>
      <x:c r="L13" s="14" t="str">
        <x:v>OK</x:v>
      </x:c>
      <x:c r="M13" s="14" t="str">
        <x:v>producción / expedición / logística</x:v>
      </x:c>
      <x:c r="N13" s="14" t="str">
        <x:v>Entrega/retiro de maquinaria, usados, service y traslados entre cliente, taller y campo/obra.</x:v>
      </x:c>
      <x:c r="O13" s="14" t="str">
        <x:v>Plataforma 20 tn + malacate + hidrogrúa de apoyo + seguro/GPS.</x:v>
      </x:c>
      <x:c r="P13" s="14" t="str">
        <x:v>Reducir picos de entregas y rescates de service sin inmovilizar flota propia.</x:v>
      </x:c>
      <x:c r="Q13" s="14" t="str">
        <x:v>Pedir logística/posventa; relevar equipos, pesos y frecuencia mensual.</x:v>
      </x:c>
      <x:c r="R13" s="14" t="str"/>
      <x:c r="S13" s="14" t="str">
        <x:v>Av. Presidente Perón y Paso de la Patria, Villa María, Córdoba</x:v>
      </x:c>
      <x:c r="T13" s="14" t="str"/>
      <x:c r="U13" s="14" t="str"/>
      <x:c r="V13" s="14" t="str"/>
      <x:c r="W13" s="14" t="str"/>
      <x:c r="X13" s="14" t="str">
        <x:v>+543534257703</x:v>
      </x:c>
      <x:c r="Y13" s="14" t="str">
        <x:v>https://www.google.com/maps/search/?api=1&amp;query=GEMA+ARGENTINA%2C+Av.+Presidente+Per%C3%B3n+y+Paso+de+la+Patria%2C+Villa+Mar%C3%ADa%2C+C%C3%B3rdoba</x:v>
      </x:c>
      <x:c r="Z13" s="14" t="str">
        <x:v>Google Business</x:v>
      </x:c>
      <x:c r="AA13" s="14" t="str">
        <x:v>https://www.google.com/maps/search/?api=1&amp;query=GEMA+ARGENTINA%2C+Av.+Presidente+Per%C3%B3n+y+Paso+de+la+Patria%2C+Villa+Mar%C3%ADa%2C+C%C3%B3rdoba</x:v>
      </x:c>
      <x:c r="AB13" s="14" t="str">
        <x:v>Fabricante de maquinaria agrícola.</x:v>
      </x:c>
      <x:c r="AC13" s="14" t="str">
        <x:v>Alta</x:v>
      </x:c>
      <x:c r="AD13" s="14" t="str">
        <x:v>Rastrillaje integral Villa María 2026-09-15</x:v>
      </x:c>
      <x:c r="AE13" s="14" t="str">
        <x:v>Plataforma 20 tn | Malacate | Hidrogrúa | Seguro/GPS</x:v>
      </x:c>
      <x:c r="AF13" s="14" t="str">
        <x:v>VISITA INMEDIATA</x:v>
      </x:c>
    </x:row>
    <x:row r="14">
      <x:c r="A14" s="14" t="str">
        <x:v>VM-013</x:v>
      </x:c>
      <x:c r="B14" s="14" t="str">
        <x:v>Pendiente</x:v>
      </x:c>
      <x:c r="C14" s="14" t="str">
        <x:v>Villa María</x:v>
      </x:c>
      <x:c r="D14" s="14" t="str">
        <x:v>RN158 / Área 158</x:v>
      </x:c>
      <x:c r="E14" s="14" t="str">
        <x:v>Villa María</x:v>
      </x:c>
      <x:c r="F14" s="14" t="str">
        <x:v>A+</x:v>
      </x:c>
      <x:c r="G14" s="14" t="n">
        <x:v>98</x:v>
      </x:c>
      <x:c r="H14" s="14" t="str">
        <x:v>GEMELO MAQUINARIAS</x:v>
      </x:c>
      <x:c r="I14" s="14" t="str">
        <x:v>Fabricante de maquinaria agrícola</x:v>
      </x:c>
      <x:c r="J14" s="14" t="str">
        <x:v>Fabricante de maquinaria agrícola</x:v>
      </x:c>
      <x:c r="K14" s="14" t="str">
        <x:v>+54 353 6573496</x:v>
      </x:c>
      <x:c r="L14" s="14" t="str">
        <x:v>OK</x:v>
      </x:c>
      <x:c r="M14" s="14" t="str">
        <x:v>producción / expedición</x:v>
      </x:c>
      <x:c r="N14" s="14" t="str">
        <x:v>Entrega/retiro de maquinaria, usados, service y traslados entre cliente, taller y campo/obra.</x:v>
      </x:c>
      <x:c r="O14" s="14" t="str">
        <x:v>Plataforma 20 tn + malacate + hidrogrúa de apoyo + seguro/GPS.</x:v>
      </x:c>
      <x:c r="P14" s="14" t="str">
        <x:v>Reducir picos de entregas y rescates de service sin inmovilizar flota propia.</x:v>
      </x:c>
      <x:c r="Q14" s="14" t="str">
        <x:v>Pedir logística/posventa; relevar equipos, pesos y frecuencia mensual.</x:v>
      </x:c>
      <x:c r="R14" s="14" t="str"/>
      <x:c r="S14" s="14" t="str">
        <x:v>RN158 km 156, Villa María, Córdoba</x:v>
      </x:c>
      <x:c r="T14" s="14" t="str"/>
      <x:c r="U14" s="14" t="str"/>
      <x:c r="V14" s="14" t="str"/>
      <x:c r="W14" s="14" t="str"/>
      <x:c r="X14" s="14" t="str">
        <x:v>+543536573496</x:v>
      </x:c>
      <x:c r="Y14" s="14" t="str">
        <x:v>https://www.google.com/maps/search/?api=1&amp;query=GEMELO+MAQUINARIAS%2C+RN158+km+156%2C+Villa+Mar%C3%ADa%2C+C%C3%B3rdoba</x:v>
      </x:c>
      <x:c r="Z14" s="14" t="str">
        <x:v>Google Business</x:v>
      </x:c>
      <x:c r="AA14" s="14" t="str">
        <x:v>https://www.google.com/maps/search/?api=1&amp;query=GEMELO+MAQUINARIAS%2C+RN158+km+156%2C+Villa+Mar%C3%ADa%2C+C%C3%B3rdoba</x:v>
      </x:c>
      <x:c r="AB14" s="14" t="str">
        <x:v>Fábrica de maquinaria agrícola.</x:v>
      </x:c>
      <x:c r="AC14" s="14" t="str">
        <x:v>Alta</x:v>
      </x:c>
      <x:c r="AD14" s="14" t="str">
        <x:v>Rastrillaje integral Villa María 2026-09-15</x:v>
      </x:c>
      <x:c r="AE14" s="14" t="str">
        <x:v>Plataforma 20 tn | Malacate | Hidrogrúa | Seguro/GPS</x:v>
      </x:c>
      <x:c r="AF14" s="14" t="str">
        <x:v>VISITA INMEDIATA</x:v>
      </x:c>
    </x:row>
    <x:row r="15">
      <x:c r="A15" s="14" t="str">
        <x:v>VM-014</x:v>
      </x:c>
      <x:c r="B15" s="14" t="str">
        <x:v>Pendiente</x:v>
      </x:c>
      <x:c r="C15" s="14" t="str">
        <x:v>Villa María</x:v>
      </x:c>
      <x:c r="D15" s="14" t="str">
        <x:v>AU9</x:v>
      </x:c>
      <x:c r="E15" s="14" t="str">
        <x:v>Villa María</x:v>
      </x:c>
      <x:c r="F15" s="14" t="str">
        <x:v>A+</x:v>
      </x:c>
      <x:c r="G15" s="14" t="n">
        <x:v>97</x:v>
      </x:c>
      <x:c r="H15" s="14" t="str">
        <x:v>LatinaCam Villa María - Volvo Trucks &amp; Buses</x:v>
      </x:c>
      <x:c r="I15" s="14" t="str">
        <x:v>Dealer camiones pesados</x:v>
      </x:c>
      <x:c r="J15" s="14" t="str">
        <x:v>Dealer camiones pesados</x:v>
      </x:c>
      <x:c r="K15" s="14" t="str">
        <x:v>+54 351 4928750</x:v>
      </x:c>
      <x:c r="L15" s="14" t="str">
        <x:v>OK</x:v>
      </x:c>
      <x:c r="M15" s="14" t="str">
        <x:v>posventa / logística / usados</x:v>
      </x:c>
      <x:c r="N15" s="14" t="str">
        <x:v>Entrega/retiro de maquinaria, usados, service y traslados entre cliente, taller y campo/obra.</x:v>
      </x:c>
      <x:c r="O15" s="14" t="str">
        <x:v>Plataforma 20 tn + malacate + hidrogrúa de apoyo + seguro/GPS.</x:v>
      </x:c>
      <x:c r="P15" s="14" t="str">
        <x:v>Reducir picos de entregas y rescates de service sin inmovilizar flota propia.</x:v>
      </x:c>
      <x:c r="Q15" s="14" t="str">
        <x:v>Pedir logística/posventa; relevar equipos, pesos y frecuencia mensual.</x:v>
      </x:c>
      <x:c r="R15" s="14" t="str"/>
      <x:c r="S15" s="14" t="str">
        <x:v>Autopista Córdoba-Rosario, Villa María, Córdoba</x:v>
      </x:c>
      <x:c r="T15" s="14" t="str"/>
      <x:c r="U15" s="14" t="str"/>
      <x:c r="V15" s="14" t="str"/>
      <x:c r="W15" s="14" t="str"/>
      <x:c r="X15" s="14" t="str">
        <x:v>+543514928750</x:v>
      </x:c>
      <x:c r="Y15" s="14" t="str">
        <x:v>https://www.google.com/maps/search/?api=1&amp;query=LatinaCam+Villa+Mar%C3%ADa+-+Volvo+Trucks+%26+Buses%2C+Autopista+C%C3%B3rdoba-Rosario%2C+Villa+Mar%C3%ADa%2C+C%C3%B3rdoba</x:v>
      </x:c>
      <x:c r="Z15" s="14" t="str">
        <x:v>Google Business</x:v>
      </x:c>
      <x:c r="AA15" s="14" t="str">
        <x:v>https://www.google.com/maps/search/?api=1&amp;query=LatinaCam+Villa+Mar%C3%ADa%2C+Autopista+C%C3%B3rdoba-Rosario%2C+Villa+Mar%C3%ADa%2C+C%C3%B3rdoba</x:v>
      </x:c>
      <x:c r="AB15" s="14" t="str">
        <x:v>Concesionario oficial Volvo Trucks &amp; Buses.</x:v>
      </x:c>
      <x:c r="AC15" s="14" t="str">
        <x:v>Alta</x:v>
      </x:c>
      <x:c r="AD15" s="14" t="str">
        <x:v>Rastrillaje integral Villa María 2026-09-15</x:v>
      </x:c>
      <x:c r="AE15" s="14" t="str">
        <x:v>Plataforma 20 tn | Malacate | Hidrogrúa | Seguro/GPS</x:v>
      </x:c>
      <x:c r="AF15" s="14" t="str">
        <x:v>VISITA INMEDIATA</x:v>
      </x:c>
    </x:row>
    <x:row r="16">
      <x:c r="A16" s="14" t="str">
        <x:v>VM-015</x:v>
      </x:c>
      <x:c r="B16" s="14" t="str">
        <x:v>Pendiente</x:v>
      </x:c>
      <x:c r="C16" s="14" t="str">
        <x:v>Villa María</x:v>
      </x:c>
      <x:c r="D16" s="14" t="str">
        <x:v>Porfirio Seppey / Industrial</x:v>
      </x:c>
      <x:c r="E16" s="14" t="str">
        <x:v>Villa María</x:v>
      </x:c>
      <x:c r="F16" s="14" t="str">
        <x:v>A+</x:v>
      </x:c>
      <x:c r="G16" s="14" t="n">
        <x:v>97</x:v>
      </x:c>
      <x:c r="H16" s="14" t="str">
        <x:v>MB Logística - Autoelevadores</x:v>
      </x:c>
      <x:c r="I16" s="14" t="str">
        <x:v>Alquiler autoelevadores / logística</x:v>
      </x:c>
      <x:c r="J16" s="14" t="str">
        <x:v>Alquiler autoelevadores / logística</x:v>
      </x:c>
      <x:c r="K16" s="14" t="str">
        <x:v>0353 4065634</x:v>
      </x:c>
      <x:c r="L16" s="14" t="str">
        <x:v>OK</x:v>
      </x:c>
      <x:c r="M16" s="14" t="str">
        <x:v>alquileres / logística / mantenimiento</x:v>
      </x:c>
      <x:c r="N16" s="14" t="str">
        <x:v>Entrega/retiro de equipos de elevación y apoyo en maniobras o posicionamiento.</x:v>
      </x:c>
      <x:c r="O16" s="14" t="str">
        <x:v>Plataforma 20 tn + malacate + hidrogrúa.</x:v>
      </x:c>
      <x:c r="P16" s="14" t="str">
        <x:v>Cubrir traslados de alquiler/service y complementar capacidad de izaje.</x:v>
      </x:c>
      <x:c r="Q16" s="14" t="str">
        <x:v>Pedir operaciones/alquileres; relevar flota, pesos y zonas de servicio.</x:v>
      </x:c>
      <x:c r="R16" s="14" t="str"/>
      <x:c r="S16" s="14" t="str">
        <x:v>Porfirio Seppey 1807, Villa María, Córdoba</x:v>
      </x:c>
      <x:c r="T16" s="14" t="str"/>
      <x:c r="U16" s="14" t="str"/>
      <x:c r="V16" s="14" t="str"/>
      <x:c r="W16" s="14" t="str"/>
      <x:c r="X16" s="14" t="str">
        <x:v>03534065634</x:v>
      </x:c>
      <x:c r="Y16" s="14" t="str">
        <x:v>https://www.google.com/maps/search/?api=1&amp;query=MB+Log%C3%ADstica+-+Autoelevadores%2C+Porfirio+Seppey+1807%2C+Villa+Mar%C3%ADa%2C+C%C3%B3rdoba</x:v>
      </x:c>
      <x:c r="Z16" s="14" t="str">
        <x:v>Google Business</x:v>
      </x:c>
      <x:c r="AA16" s="14" t="str">
        <x:v>https://www.google.com/maps/search/?api=1&amp;query=MB+Log%C3%ADstica+Villa+Mar%C3%ADa%2C+Porfirio+Seppey+1807%2C+Villa+Mar%C3%ADa%2C+C%C3%B3rdoba</x:v>
      </x:c>
      <x:c r="AB16" s="14" t="str">
        <x:v>Alquiler y mantenimiento de autoelevadores; fletes.</x:v>
      </x:c>
      <x:c r="AC16" s="14" t="str">
        <x:v>Alta</x:v>
      </x:c>
      <x:c r="AD16" s="14" t="str">
        <x:v>Rastrillaje integral Villa María 2026-09-15</x:v>
      </x:c>
      <x:c r="AE16" s="14" t="str">
        <x:v>Plataforma 20 tn | Malacate | Hidrogrúa | Entrega/retiro</x:v>
      </x:c>
      <x:c r="AF16" s="14" t="str">
        <x:v>VISITA INMEDIATA</x:v>
      </x:c>
    </x:row>
    <x:row r="17">
      <x:c r="A17" s="14" t="str">
        <x:v>VM-016</x:v>
      </x:c>
      <x:c r="B17" s="14" t="str">
        <x:v>Pendiente</x:v>
      </x:c>
      <x:c r="C17" s="14" t="str">
        <x:v>Villa María</x:v>
      </x:c>
      <x:c r="D17" s="14" t="str">
        <x:v>Av. Perón / Ruta 9</x:v>
      </x:c>
      <x:c r="E17" s="14" t="str">
        <x:v>Villa María</x:v>
      </x:c>
      <x:c r="F17" s="14" t="str">
        <x:v>A+</x:v>
      </x:c>
      <x:c r="G17" s="14" t="n">
        <x:v>96</x:v>
      </x:c>
      <x:c r="H17" s="14" t="str">
        <x:v>Cristante Hnos. - Sucursal Villa María</x:v>
      </x:c>
      <x:c r="I17" s="14" t="str">
        <x:v>Dealer maquinaria agrícola</x:v>
      </x:c>
      <x:c r="J17" s="14" t="str">
        <x:v>Dealer maquinaria agrícola</x:v>
      </x:c>
      <x:c r="K17" s="14" t="str">
        <x:v>0353 4203132</x:v>
      </x:c>
      <x:c r="L17" s="14" t="str">
        <x:v>OK</x:v>
      </x:c>
      <x:c r="M17" s="14" t="str">
        <x:v>logística / posventa / ventas</x:v>
      </x:c>
      <x:c r="N17" s="14" t="str">
        <x:v>Entrega/retiro de maquinaria, usados, service y traslados entre cliente, taller y campo/obra.</x:v>
      </x:c>
      <x:c r="O17" s="14" t="str">
        <x:v>Plataforma 20 tn + malacate + hidrogrúa de apoyo + seguro/GPS.</x:v>
      </x:c>
      <x:c r="P17" s="14" t="str">
        <x:v>Reducir picos de entregas y rescates de service sin inmovilizar flota propia.</x:v>
      </x:c>
      <x:c r="Q17" s="14" t="str">
        <x:v>Pedir logística/posventa; relevar equipos, pesos y frecuencia mensual.</x:v>
      </x:c>
      <x:c r="R17" s="14" t="str"/>
      <x:c r="S17" s="14" t="str">
        <x:v>Av. Presidente Perón 2370, Villa María, Córdoba</x:v>
      </x:c>
      <x:c r="T17" s="14" t="str"/>
      <x:c r="U17" s="14" t="str"/>
      <x:c r="V17" s="14" t="str"/>
      <x:c r="W17" s="14" t="str"/>
      <x:c r="X17" s="14" t="str">
        <x:v>03534203132</x:v>
      </x:c>
      <x:c r="Y17" s="14" t="str">
        <x:v>https://www.google.com/maps/search/?api=1&amp;query=Cristante+Hnos.+-+Sucursal+Villa+Mar%C3%ADa%2C+Av.+Presidente+Per%C3%B3n+2370%2C+Villa+Mar%C3%ADa%2C+C%C3%B3rdoba</x:v>
      </x:c>
      <x:c r="Z17" s="14" t="str">
        <x:v>Web oficial</x:v>
      </x:c>
      <x:c r="AA17" s="14" t="str">
        <x:v>https://www.cristantehnos.com.ar/</x:v>
      </x:c>
      <x:c r="AB17" s="14" t="str">
        <x:v>Sucursal de maquinaria agrícola en Villa María.</x:v>
      </x:c>
      <x:c r="AC17" s="14" t="str">
        <x:v>Alta</x:v>
      </x:c>
      <x:c r="AD17" s="14" t="str">
        <x:v>Rastrillaje integral Villa María 2026-09-15</x:v>
      </x:c>
      <x:c r="AE17" s="14" t="str">
        <x:v>Plataforma 20 tn | Malacate | Hidrogrúa | Seguro/GPS</x:v>
      </x:c>
      <x:c r="AF17" s="14" t="str">
        <x:v>VISITA INMEDIATA</x:v>
      </x:c>
    </x:row>
    <x:row r="18">
      <x:c r="A18" s="14" t="str">
        <x:v>VM-017</x:v>
      </x:c>
      <x:c r="B18" s="14" t="str">
        <x:v>Pendiente</x:v>
      </x:c>
      <x:c r="C18" s="14" t="str">
        <x:v>Villa María</x:v>
      </x:c>
      <x:c r="D18" s="14" t="str">
        <x:v>RN158 / Área 158</x:v>
      </x:c>
      <x:c r="E18" s="14" t="str">
        <x:v>Villa María</x:v>
      </x:c>
      <x:c r="F18" s="14" t="str">
        <x:v>A+</x:v>
      </x:c>
      <x:c r="G18" s="14" t="n">
        <x:v>96</x:v>
      </x:c>
      <x:c r="H18" s="14" t="str">
        <x:v>Delpino Implementos Agrícolas</x:v>
      </x:c>
      <x:c r="I18" s="14" t="str">
        <x:v>Fabricante de implementos agrícolas</x:v>
      </x:c>
      <x:c r="J18" s="14" t="str">
        <x:v>Fabricante de implementos agrícolas</x:v>
      </x:c>
      <x:c r="K18" s="14" t="str">
        <x:v>+54 353 4238829</x:v>
      </x:c>
      <x:c r="L18" s="14" t="str">
        <x:v>OK</x:v>
      </x:c>
      <x:c r="M18" s="14" t="str">
        <x:v>producción / expedición / ventas</x:v>
      </x:c>
      <x:c r="N18" s="14" t="str">
        <x:v>Entrega/retiro de maquinaria, usados, service y traslados entre cliente, taller y campo/obra.</x:v>
      </x:c>
      <x:c r="O18" s="14" t="str">
        <x:v>Plataforma 20 tn + malacate + hidrogrúa de apoyo + seguro/GPS.</x:v>
      </x:c>
      <x:c r="P18" s="14" t="str">
        <x:v>Reducir picos de entregas y rescates de service sin inmovilizar flota propia.</x:v>
      </x:c>
      <x:c r="Q18" s="14" t="str">
        <x:v>Pedir logística/posventa; relevar equipos, pesos y frecuencia mensual.</x:v>
      </x:c>
      <x:c r="R18" s="14" t="str"/>
      <x:c r="S18" s="14" t="str">
        <x:v>RN158 151, Villa María, Córdoba</x:v>
      </x:c>
      <x:c r="T18" s="14" t="str"/>
      <x:c r="U18" s="14" t="str"/>
      <x:c r="V18" s="14" t="str"/>
      <x:c r="W18" s="14" t="str"/>
      <x:c r="X18" s="14" t="str">
        <x:v>+543534238829</x:v>
      </x:c>
      <x:c r="Y18" s="14" t="str">
        <x:v>https://www.google.com/maps/search/?api=1&amp;query=Delpino+Implementos+Agr%C3%ADcolas%2C+RN158+151%2C+Villa+Mar%C3%ADa%2C+C%C3%B3rdoba</x:v>
      </x:c>
      <x:c r="Z18" s="14" t="str">
        <x:v>Google Business</x:v>
      </x:c>
      <x:c r="AA18" s="14" t="str">
        <x:v>https://www.google.com/maps/search/?api=1&amp;query=Delpino+Implementos+Agr%C3%ADcolas%2C+RN158+151%2C+Villa+Mar%C3%ADa%2C+C%C3%B3rdoba</x:v>
      </x:c>
      <x:c r="AB18" s="14" t="str">
        <x:v>Fábrica de maquinaria e implementos agrícolas.</x:v>
      </x:c>
      <x:c r="AC18" s="14" t="str">
        <x:v>Alta</x:v>
      </x:c>
      <x:c r="AD18" s="14" t="str">
        <x:v>Rastrillaje integral Villa María 2026-09-15</x:v>
      </x:c>
      <x:c r="AE18" s="14" t="str">
        <x:v>Plataforma 20 tn | Malacate | Hidrogrúa | Seguro/GPS</x:v>
      </x:c>
      <x:c r="AF18" s="14" t="str">
        <x:v>VISITA INMEDIATA</x:v>
      </x:c>
    </x:row>
    <x:row r="19">
      <x:c r="A19" s="14" t="str">
        <x:v>VM-018</x:v>
      </x:c>
      <x:c r="B19" s="14" t="str">
        <x:v>Pendiente</x:v>
      </x:c>
      <x:c r="C19" s="14" t="str">
        <x:v>Villa María</x:v>
      </x:c>
      <x:c r="D19" s="14" t="str">
        <x:v>Porfirio Seppey / Industrial</x:v>
      </x:c>
      <x:c r="E19" s="14" t="str">
        <x:v>Villa María</x:v>
      </x:c>
      <x:c r="F19" s="14" t="str">
        <x:v>A+</x:v>
      </x:c>
      <x:c r="G19" s="14" t="n">
        <x:v>96</x:v>
      </x:c>
      <x:c r="H19" s="14" t="str">
        <x:v>GRÚAS VILLA MARÍA S.R.L.</x:v>
      </x:c>
      <x:c r="I19" s="14" t="str">
        <x:v>Alquiler de grúas</x:v>
      </x:c>
      <x:c r="J19" s="14" t="str">
        <x:v>Alquiler de grúas</x:v>
      </x:c>
      <x:c r="K19" s="14" t="str">
        <x:v>+54 9 353 4294901</x:v>
      </x:c>
      <x:c r="L19" s="14" t="str">
        <x:v>OK</x:v>
      </x:c>
      <x:c r="M19" s="14" t="str">
        <x:v>operaciones / logística</x:v>
      </x:c>
      <x:c r="N19" s="14" t="str">
        <x:v>Entrega/retiro de equipos de elevación y apoyo en maniobras o posicionamiento.</x:v>
      </x:c>
      <x:c r="O19" s="14" t="str">
        <x:v>Plataforma 20 tn + malacate + hidrogrúa.</x:v>
      </x:c>
      <x:c r="P19" s="14" t="str">
        <x:v>Cubrir traslados de alquiler/service y complementar capacidad de izaje.</x:v>
      </x:c>
      <x:c r="Q19" s="14" t="str">
        <x:v>Pedir operaciones/alquileres; relevar flota, pesos y zonas de servicio.</x:v>
      </x:c>
      <x:c r="R19" s="14" t="str"/>
      <x:c r="S19" s="14" t="str">
        <x:v>Porfirio Seppey 595, Villa María, Córdoba</x:v>
      </x:c>
      <x:c r="T19" s="14" t="str"/>
      <x:c r="U19" s="14" t="str"/>
      <x:c r="V19" s="14" t="str"/>
      <x:c r="W19" s="14" t="str"/>
      <x:c r="X19" s="14" t="str">
        <x:v>+5493534294901</x:v>
      </x:c>
      <x:c r="Y19" s="14" t="str">
        <x:v>https://www.google.com/maps/search/?api=1&amp;query=GR%C3%9AAS+VILLA+MAR%C3%8DA+S.R.L.%2C+Porfirio+Seppey+595%2C+Villa+Mar%C3%ADa%2C+C%C3%B3rdoba</x:v>
      </x:c>
      <x:c r="Z19" s="14" t="str">
        <x:v>Google Business</x:v>
      </x:c>
      <x:c r="AA19" s="14" t="str">
        <x:v>https://www.google.com/maps/search/?api=1&amp;query=GR%C3%9AAS+VILLA+MAR%C3%8DA+S.R.L.%2C+Porfirio+Seppey+595%2C+Villa+Mar%C3%ADa%2C+C%C3%B3rdoba</x:v>
      </x:c>
      <x:c r="AB19" s="14" t="str">
        <x:v>Agencia de alquiler de grúas.</x:v>
      </x:c>
      <x:c r="AC19" s="14" t="str">
        <x:v>Alta</x:v>
      </x:c>
      <x:c r="AD19" s="14" t="str">
        <x:v>Rastrillaje integral Villa María 2026-09-15</x:v>
      </x:c>
      <x:c r="AE19" s="14" t="str">
        <x:v>Plataforma 20 tn | Malacate | Hidrogrúa | Entrega/retiro</x:v>
      </x:c>
      <x:c r="AF19" s="14" t="str">
        <x:v>VISITA INMEDIATA</x:v>
      </x:c>
    </x:row>
    <x:row r="20">
      <x:c r="A20" s="14" t="str">
        <x:v>VM-019</x:v>
      </x:c>
      <x:c r="B20" s="14" t="str">
        <x:v>Pendiente</x:v>
      </x:c>
      <x:c r="C20" s="14" t="str">
        <x:v>Villa María</x:v>
      </x:c>
      <x:c r="D20" s="14" t="str">
        <x:v>Urbano industrial</x:v>
      </x:c>
      <x:c r="E20" s="14" t="str">
        <x:v>Villa María</x:v>
      </x:c>
      <x:c r="F20" s="14" t="str">
        <x:v>A+</x:v>
      </x:c>
      <x:c r="G20" s="14" t="n">
        <x:v>99</x:v>
      </x:c>
      <x:c r="H20" s="14" t="str">
        <x:v>Managro Autopista</x:v>
      </x:c>
      <x:c r="I20" s="14" t="str">
        <x:v>Fabricante de maquinaria agrícola</x:v>
      </x:c>
      <x:c r="J20" s="14" t="str">
        <x:v>Compraventa de maquinaria agrícola y vial</x:v>
      </x:c>
      <x:c r="K20" s="14" t="str">
        <x:v>+54 353 6572882</x:v>
      </x:c>
      <x:c r="L20" s="14" t="str">
        <x:v>OK</x:v>
      </x:c>
      <x:c r="M20" s="14" t="str">
        <x:v>ventas / logística / usados</x:v>
      </x:c>
      <x:c r="N20" s="14" t="str">
        <x:v>Entrega/retiro de tractores, cosechadoras, pulverizadoras, sembradoras, usados y equipos de service.</x:v>
      </x:c>
      <x:c r="O20" s="14" t="str">
        <x:v>Plataforma 20 tn + malacate + hidrogrúa de apoyo + seguro/GPS.</x:v>
      </x:c>
      <x:c r="P20" s="14" t="str">
        <x:v>Captar entregas, canjes, usados y rescates de service sin inmovilizar flota propia.</x:v>
      </x:c>
      <x:c r="Q20" s="14" t="str">
        <x:v>Pedir gerente de ventas/logística/posventa; relevar equipos, pesos y movimientos mensuales.</x:v>
      </x:c>
      <x:c r="R20" s="14" t="str"/>
      <x:c r="S20" s="14" t="str">
        <x:v>Av. Juan Domingo Perón y Panamá, Villa María, Córdoba</x:v>
      </x:c>
      <x:c r="T20" s="14" t="str"/>
      <x:c r="U20" s="14" t="str"/>
      <x:c r="V20" s="14" t="str"/>
      <x:c r="W20" s="14" t="str"/>
      <x:c r="X20" s="14" t="str">
        <x:v>+543536572882</x:v>
      </x:c>
      <x:c r="Y20" s="14" t="str">
        <x:v>https://www.google.com/maps/search/?api=1&amp;query=MANAGRO+Implementos+Agr%C3%ADcolas%2C+Av.+Juan+Domingo+Per%C3%B3n+y+Panam%C3%A1%2C+Villa+Mar%C3%ADa%2C+C%C3%B3rdoba</x:v>
      </x:c>
      <x:c r="Z20" s="14" t="str">
        <x:v>LinkedIn + Google Business</x:v>
      </x:c>
      <x:c r="AA20" s="14" t="str">
        <x:v>https://ar.linkedin.com/company/managro-implementos-agr%C3%ADcolas</x:v>
      </x:c>
      <x:c r="AB20" s="14" t="str">
        <x:v>Empresa dedicada a la compra-venta de maquinaria agrícola y vial; sede en Villa María.</x:v>
      </x:c>
      <x:c r="AC20" s="14" t="str">
        <x:v>Alta</x:v>
      </x:c>
      <x:c r="AD20" s="14" t="str">
        <x:v>Rastrillaje integral Villa María 2026-09-15</x:v>
      </x:c>
      <x:c r="AE20" s="14" t="str">
        <x:v>Plataforma 20 tn | Malacate | Hidrogrúa | Entrega/retiro maquinaria | Seguro/GPS</x:v>
      </x:c>
      <x:c r="AF20" s="14" t="str">
        <x:v>VISITA INMEDIATA</x:v>
      </x:c>
    </x:row>
    <x:row r="21">
      <x:c r="A21" s="14" t="str">
        <x:v>VM-020</x:v>
      </x:c>
      <x:c r="B21" s="14" t="str">
        <x:v>Pendiente</x:v>
      </x:c>
      <x:c r="C21" s="14" t="str">
        <x:v>Villa María</x:v>
      </x:c>
      <x:c r="D21" s="14" t="str">
        <x:v>AU9 km 560–563</x:v>
      </x:c>
      <x:c r="E21" s="14" t="str">
        <x:v>Villa María</x:v>
      </x:c>
      <x:c r="F21" s="14" t="str">
        <x:v>A+</x:v>
      </x:c>
      <x:c r="G21" s="14" t="n">
        <x:v>95</x:v>
      </x:c>
      <x:c r="H21" s="14" t="str">
        <x:v>SALA - Villa María</x:v>
      </x:c>
      <x:c r="I21" s="14" t="str">
        <x:v>Maquinaria / equipos pesados</x:v>
      </x:c>
      <x:c r="J21" s="14" t="str">
        <x:v>Maquinaria / equipos pesados</x:v>
      </x:c>
      <x:c r="K21" s="14" t="str">
        <x:v>+54 9 358 4870793</x:v>
      </x:c>
      <x:c r="L21" s="14" t="str">
        <x:v>OK</x:v>
      </x:c>
      <x:c r="M21" s="14" t="str">
        <x:v>logística / ventas / posventa</x:v>
      </x:c>
      <x:c r="N21" s="14" t="str">
        <x:v>Entrega/retiro de maquinaria, usados, service y traslados entre cliente, taller y campo/obra.</x:v>
      </x:c>
      <x:c r="O21" s="14" t="str">
        <x:v>Plataforma 20 tn + malacate + hidrogrúa de apoyo + seguro/GPS.</x:v>
      </x:c>
      <x:c r="P21" s="14" t="str">
        <x:v>Reducir picos de entregas y rescates de service sin inmovilizar flota propia.</x:v>
      </x:c>
      <x:c r="Q21" s="14" t="str">
        <x:v>Pedir logística/posventa; relevar equipos, pesos y frecuencia mensual.</x:v>
      </x:c>
      <x:c r="R21" s="14" t="str"/>
      <x:c r="S21" s="14" t="str">
        <x:v>Av. Colectora, AU9 km 563, Villa María, Córdoba</x:v>
      </x:c>
      <x:c r="T21" s="14" t="str"/>
      <x:c r="U21" s="14" t="str"/>
      <x:c r="V21" s="14" t="str"/>
      <x:c r="W21" s="14" t="str"/>
      <x:c r="X21" s="14" t="str">
        <x:v>+5493584870793</x:v>
      </x:c>
      <x:c r="Y21" s="14" t="str">
        <x:v>https://www.google.com/maps/search/?api=1&amp;query=SALA+-+Villa+Mar%C3%ADa%2C+Av.+Colectora%2C+AU9+km+563%2C+Villa+Mar%C3%ADa%2C+C%C3%B3rdoba</x:v>
      </x:c>
      <x:c r="Z21" s="14" t="str">
        <x:v>Google Business</x:v>
      </x:c>
      <x:c r="AA21" s="14" t="str">
        <x:v>https://www.google.com/maps/search/?api=1&amp;query=SALA+Villa+Mar%C3%ADa%2C+AU9+km+563%2C+Villa+Mar%C3%ADa%2C+C%C3%B3rdoba</x:v>
      </x:c>
      <x:c r="AB21" s="14" t="str">
        <x:v>Operación comercial sobre corredor de maquinaria pesada.</x:v>
      </x:c>
      <x:c r="AC21" s="14" t="str">
        <x:v>Alta</x:v>
      </x:c>
      <x:c r="AD21" s="14" t="str">
        <x:v>Rastrillaje integral Villa María 2026-09-15</x:v>
      </x:c>
      <x:c r="AE21" s="14" t="str">
        <x:v>Plataforma 20 tn | Malacate | Hidrogrúa | Seguro/GPS</x:v>
      </x:c>
      <x:c r="AF21" s="14" t="str">
        <x:v>VISITA INMEDIATA</x:v>
      </x:c>
    </x:row>
    <x:row r="22">
      <x:c r="A22" s="14" t="str">
        <x:v>VM-021</x:v>
      </x:c>
      <x:c r="B22" s="14" t="str">
        <x:v>Pendiente</x:v>
      </x:c>
      <x:c r="C22" s="14" t="str">
        <x:v>Villa María</x:v>
      </x:c>
      <x:c r="D22" s="14" t="str">
        <x:v>Porfirio Seppey / Industrial</x:v>
      </x:c>
      <x:c r="E22" s="14" t="str">
        <x:v>Villa María</x:v>
      </x:c>
      <x:c r="F22" s="14" t="str">
        <x:v>A+</x:v>
      </x:c>
      <x:c r="G22" s="14" t="n">
        <x:v>94</x:v>
      </x:c>
      <x:c r="H22" s="14" t="str">
        <x:v>Izajes Villa María S.R.L.</x:v>
      </x:c>
      <x:c r="I22" s="14" t="str">
        <x:v>Izajes / equipos de elevación</x:v>
      </x:c>
      <x:c r="J22" s="14" t="str">
        <x:v>Izajes / equipos de elevación</x:v>
      </x:c>
      <x:c r="K22" s="14" t="str">
        <x:v>+54 353 5668799</x:v>
      </x:c>
      <x:c r="L22" s="14" t="str">
        <x:v>OK</x:v>
      </x:c>
      <x:c r="M22" s="14" t="str">
        <x:v>operaciones / certificaciones / logística</x:v>
      </x:c>
      <x:c r="N22" s="14" t="str">
        <x:v>Entrega/retiro de equipos de elevación y apoyo en maniobras o posicionamiento.</x:v>
      </x:c>
      <x:c r="O22" s="14" t="str">
        <x:v>Plataforma 20 tn + malacate + hidrogrúa.</x:v>
      </x:c>
      <x:c r="P22" s="14" t="str">
        <x:v>Cubrir traslados de alquiler/service y complementar capacidad de izaje.</x:v>
      </x:c>
      <x:c r="Q22" s="14" t="str">
        <x:v>Pedir operaciones/alquileres; relevar flota, pesos y zonas de servicio.</x:v>
      </x:c>
      <x:c r="R22" s="14" t="str"/>
      <x:c r="S22" s="14" t="str">
        <x:v>Porfirio Seppey 585, Villa María, Córdoba</x:v>
      </x:c>
      <x:c r="T22" s="14" t="str"/>
      <x:c r="U22" s="14" t="str"/>
      <x:c r="V22" s="14" t="str"/>
      <x:c r="W22" s="14" t="str"/>
      <x:c r="X22" s="14" t="str">
        <x:v>+543535668799</x:v>
      </x:c>
      <x:c r="Y22" s="14" t="str">
        <x:v>https://www.google.com/maps/search/?api=1&amp;query=Izajes+Villa+Mar%C3%ADa+S.R.L.%2C+Porfirio+Seppey+585%2C+Villa+Mar%C3%ADa%2C+C%C3%B3rdoba</x:v>
      </x:c>
      <x:c r="Z22" s="14" t="str">
        <x:v>Google Business</x:v>
      </x:c>
      <x:c r="AA22" s="14" t="str">
        <x:v>https://www.google.com/maps/search/?api=1&amp;query=Izajes+Villa+Mar%C3%ADa+S.R.L.%2C+Porfirio+Seppey+585%2C+Villa+Mar%C3%ADa%2C+C%C3%B3rdoba</x:v>
      </x:c>
      <x:c r="AB22" s="14" t="str">
        <x:v>Actividad ligada a izajes y equipos de elevación.</x:v>
      </x:c>
      <x:c r="AC22" s="14" t="str">
        <x:v>Alta</x:v>
      </x:c>
      <x:c r="AD22" s="14" t="str">
        <x:v>Rastrillaje integral Villa María 2026-09-15</x:v>
      </x:c>
      <x:c r="AE22" s="14" t="str">
        <x:v>Plataforma 20 tn | Malacate | Hidrogrúa | Entrega/retiro</x:v>
      </x:c>
      <x:c r="AF22" s="14" t="str">
        <x:v>VISITA INMEDIATA</x:v>
      </x:c>
    </x:row>
    <x:row r="23">
      <x:c r="A23" s="14" t="str">
        <x:v>VM-022</x:v>
      </x:c>
      <x:c r="B23" s="14" t="str">
        <x:v>Pendiente</x:v>
      </x:c>
      <x:c r="C23" s="14" t="str">
        <x:v>Villa María</x:v>
      </x:c>
      <x:c r="D23" s="14" t="str">
        <x:v>PILT</x:v>
      </x:c>
      <x:c r="E23" s="14" t="str">
        <x:v>Villa María</x:v>
      </x:c>
      <x:c r="F23" s="14" t="str">
        <x:v>A+</x:v>
      </x:c>
      <x:c r="G23" s="14" t="n">
        <x:v>94</x:v>
      </x:c>
      <x:c r="H23" s="14" t="str">
        <x:v>Moray Precision Planting</x:v>
      </x:c>
      <x:c r="I23" s="14" t="str">
        <x:v>Agricultura de precisión / sembradoras</x:v>
      </x:c>
      <x:c r="J23" s="14" t="str">
        <x:v>Agricultura de precisión / sembradoras</x:v>
      </x:c>
      <x:c r="K23" s="14" t="str">
        <x:v>A verificar</x:v>
      </x:c>
      <x:c r="L23" s="14" t="str">
        <x:v>A verificar</x:v>
      </x:c>
      <x:c r="M23" s="14" t="str">
        <x:v>servicio a sembradoras / logística</x:v>
      </x:c>
      <x:c r="N23" s="14" t="str">
        <x:v>Movimientos de equipos o cargas especiales asociados a la operación.</x:v>
      </x:c>
      <x:c r="O23" s="14" t="str">
        <x:v>Plataforma 20 tn + hidrogrúa + malacate según necesidad.</x:v>
      </x:c>
      <x:c r="P23" s="14" t="str">
        <x:v>Capacidad externa para movimientos pesados o especiales.</x:v>
      </x:c>
      <x:c r="Q23" s="14" t="str">
        <x:v>Contactar operaciones/logística y relevar movimientos actuales.</x:v>
      </x:c>
      <x:c r="R23" s="14" t="str"/>
      <x:c r="S23" s="14" t="str">
        <x:v>Parque Industrial, Logístico y Tecnológico (PILT), RN9 km 551,5, Villa María, Córdoba</x:v>
      </x:c>
      <x:c r="T23" s="14" t="str"/>
      <x:c r="U23" s="14" t="str"/>
      <x:c r="V23" s="14" t="str"/>
      <x:c r="W23" s="14" t="str"/>
      <x:c r="X23" s="14" t="str"/>
      <x:c r="Y23" s="14" t="str">
        <x:v>https://www.google.com/maps/search/?api=1&amp;query=Moray+Precision+Planting%2C+Parque+Industrial%2C+Log%C3%ADstico+y+Tecnol%C3%B3gico+%28PILT%29%2C+RN9+km+551%2C5%2C+Villa+Mar%C3%ADa%2C+C%C3%B3rdoba</x:v>
      </x:c>
      <x:c r="Z23" s="14" t="str">
        <x:v>PILT / Municipalidad</x:v>
      </x:c>
      <x:c r="AA23" s="14" t="str">
        <x:v>https://pilt.com.ar/parque-industrial/nueva-empresa-se-suma-al-parque-industrial/</x:v>
      </x:c>
      <x:c r="AB23" s="14" t="str">
        <x:v>Centro especializado en sembradoras: chequeos, reparación e incorporación de tecnología.</x:v>
      </x:c>
      <x:c r="AC23" s="14" t="str">
        <x:v>Alta</x:v>
      </x:c>
      <x:c r="AD23" s="14" t="str">
        <x:v>Rastrillaje integral Villa María 2026-09-15</x:v>
      </x:c>
      <x:c r="AE23" s="14" t="str">
        <x:v>Plataforma 20 tn | Hidrogrúa | Malacate</x:v>
      </x:c>
      <x:c r="AF23" s="14" t="str">
        <x:v>VISITA INMEDIATA</x:v>
      </x:c>
    </x:row>
    <x:row r="24">
      <x:c r="A24" s="14" t="str">
        <x:v>VM-023</x:v>
      </x:c>
      <x:c r="B24" s="14" t="str">
        <x:v>Pendiente</x:v>
      </x:c>
      <x:c r="C24" s="14" t="str">
        <x:v>Villa María</x:v>
      </x:c>
      <x:c r="D24" s="14" t="str">
        <x:v>PILT</x:v>
      </x:c>
      <x:c r="E24" s="14" t="str">
        <x:v>Villa María</x:v>
      </x:c>
      <x:c r="F24" s="14" t="str">
        <x:v>A+</x:v>
      </x:c>
      <x:c r="G24" s="14" t="n">
        <x:v>94</x:v>
      </x:c>
      <x:c r="H24" s="14" t="str">
        <x:v>Nuevo Remolques Trailer S.A.</x:v>
      </x:c>
      <x:c r="I24" s="14" t="str">
        <x:v>Remolques / semirremolques</x:v>
      </x:c>
      <x:c r="J24" s="14" t="str">
        <x:v>Remolques / semirremolques</x:v>
      </x:c>
      <x:c r="K24" s="14" t="str">
        <x:v>A verificar</x:v>
      </x:c>
      <x:c r="L24" s="14" t="str">
        <x:v>A verificar</x:v>
      </x:c>
      <x:c r="M24" s="14" t="str">
        <x:v>producción / expedición</x:v>
      </x:c>
      <x:c r="N24" s="14" t="str">
        <x:v>Movilización de camiones, acoplados, semirremolques o unidades que no pueden circular; despachos de fábrica.</x:v>
      </x:c>
      <x:c r="O24" s="14" t="str">
        <x:v>Plataforma 20 tn + malacate + hidrogrúa según maniobra.</x:v>
      </x:c>
      <x:c r="P24" s="14" t="str">
        <x:v>Apoyo externo para entregas, rescates, unidades incompletas o inmovilizadas.</x:v>
      </x:c>
      <x:c r="Q24" s="14" t="str">
        <x:v>Pedir expedición/taller/logística; consultar movimientos mensuales y pesos.</x:v>
      </x:c>
      <x:c r="R24" s="14" t="str"/>
      <x:c r="S24" s="14" t="str">
        <x:v>Parque Industrial, Logístico y Tecnológico (PILT), RN9 km 551,5, Villa María, Córdoba</x:v>
      </x:c>
      <x:c r="T24" s="14" t="str"/>
      <x:c r="U24" s="14" t="str"/>
      <x:c r="V24" s="14" t="str"/>
      <x:c r="W24" s="14" t="str"/>
      <x:c r="X24" s="14" t="str"/>
      <x:c r="Y24" s="14" t="str">
        <x:v>https://www.google.com/maps/search/?api=1&amp;query=Nuevo+Remolques+Trailer+S.A.%2C+Parque+Industrial%2C+Log%C3%ADstico+y+Tecnol%C3%B3gico+%28PILT%29%2C+RN9+km+551%2C5%2C+Villa+Mar%C3%ADa%2C+C%C3%B3rdoba</x:v>
      </x:c>
      <x:c r="Z24" s="14" t="str">
        <x:v>Dateas - parque industrial</x:v>
      </x:c>
      <x:c r="AA24" s="14" t="str">
        <x:v>https://www.dateas.com/es/explore/industrias-parque-industrial-villa-maria?page=3</x:v>
      </x:c>
      <x:c r="AB24" s="14" t="str">
        <x:v>Carrocerías para vehículos, remolques y semirremolques.</x:v>
      </x:c>
      <x:c r="AC24" s="14" t="str">
        <x:v>Media</x:v>
      </x:c>
      <x:c r="AD24" s="14" t="str">
        <x:v>Rastrillaje integral Villa María 2026-09-15</x:v>
      </x:c>
      <x:c r="AE24" s="14" t="str">
        <x:v>Plataforma 20 tn | Malacate | Hidrogrúa | Apoyo de flota</x:v>
      </x:c>
      <x:c r="AF24" s="14" t="str">
        <x:v>VISITA INMEDIATA</x:v>
      </x:c>
    </x:row>
    <x:row r="25">
      <x:c r="A25" s="14" t="str">
        <x:v>VM-024</x:v>
      </x:c>
      <x:c r="B25" s="14" t="str">
        <x:v>Pendiente</x:v>
      </x:c>
      <x:c r="C25" s="14" t="str">
        <x:v>Villa María</x:v>
      </x:c>
      <x:c r="D25" s="14" t="str">
        <x:v>Av. Perón / Industrial</x:v>
      </x:c>
      <x:c r="E25" s="14" t="str">
        <x:v>Villa María</x:v>
      </x:c>
      <x:c r="F25" s="14" t="str">
        <x:v>A+</x:v>
      </x:c>
      <x:c r="G25" s="14" t="n">
        <x:v>94</x:v>
      </x:c>
      <x:c r="H25" s="14" t="str">
        <x:v>SURCAR SRL</x:v>
      </x:c>
      <x:c r="I25" s="14" t="str">
        <x:v>Proveedor de equipos agrícolas</x:v>
      </x:c>
      <x:c r="J25" s="14" t="str">
        <x:v>Proveedor de equipos agrícolas</x:v>
      </x:c>
      <x:c r="K25" s="14" t="str">
        <x:v>+54 351 7002987</x:v>
      </x:c>
      <x:c r="L25" s="14" t="str">
        <x:v>OK</x:v>
      </x:c>
      <x:c r="M25" s="14" t="str">
        <x:v>ventas / logística / posventa</x:v>
      </x:c>
      <x:c r="N25" s="14" t="str">
        <x:v>Movimientos de equipos o cargas especiales asociados a la operación.</x:v>
      </x:c>
      <x:c r="O25" s="14" t="str">
        <x:v>Plataforma 20 tn + hidrogrúa + malacate según necesidad.</x:v>
      </x:c>
      <x:c r="P25" s="14" t="str">
        <x:v>Capacidad externa para movimientos pesados o especiales.</x:v>
      </x:c>
      <x:c r="Q25" s="14" t="str">
        <x:v>Contactar operaciones/logística y relevar movimientos actuales.</x:v>
      </x:c>
      <x:c r="R25" s="14" t="str"/>
      <x:c r="S25" s="14" t="str">
        <x:v>Av. Presidente Perón 2987, Villa María, Córdoba</x:v>
      </x:c>
      <x:c r="T25" s="14" t="str"/>
      <x:c r="U25" s="14" t="str"/>
      <x:c r="V25" s="14" t="str"/>
      <x:c r="W25" s="14" t="str"/>
      <x:c r="X25" s="14" t="str">
        <x:v>+543517002987</x:v>
      </x:c>
      <x:c r="Y25" s="14" t="str">
        <x:v>https://www.google.com/maps/search/?api=1&amp;query=SURCAR+SRL%2C+Av.+Presidente+Per%C3%B3n+2987%2C+Villa+Mar%C3%ADa%2C+C%C3%B3rdoba</x:v>
      </x:c>
      <x:c r="Z25" s="14" t="str">
        <x:v>Google Business</x:v>
      </x:c>
      <x:c r="AA25" s="14" t="str">
        <x:v>https://www.google.com/maps/search/?api=1&amp;query=SURCAR+SRL%2C+Av.+Presidente+Per%C3%B3n+2987%2C+Villa+Mar%C3%ADa%2C+C%C3%B3rdoba</x:v>
      </x:c>
      <x:c r="AB25" s="14" t="str">
        <x:v>Proveedor de equipos agrícolas.</x:v>
      </x:c>
      <x:c r="AC25" s="14" t="str">
        <x:v>Alta</x:v>
      </x:c>
      <x:c r="AD25" s="14" t="str">
        <x:v>Rastrillaje integral Villa María 2026-09-15</x:v>
      </x:c>
      <x:c r="AE25" s="14" t="str">
        <x:v>Plataforma 20 tn | Hidrogrúa | Malacate</x:v>
      </x:c>
      <x:c r="AF25" s="14" t="str">
        <x:v>VISITA INMEDIATA</x:v>
      </x:c>
    </x:row>
    <x:row r="26">
      <x:c r="A26" s="14" t="str">
        <x:v>VM-025</x:v>
      </x:c>
      <x:c r="B26" s="14" t="str">
        <x:v>Pendiente</x:v>
      </x:c>
      <x:c r="C26" s="14" t="str">
        <x:v>Villa María</x:v>
      </x:c>
      <x:c r="D26" s="14" t="str">
        <x:v>Centro / urbano</x:v>
      </x:c>
      <x:c r="E26" s="14" t="str">
        <x:v>Villa María</x:v>
      </x:c>
      <x:c r="F26" s="14" t="str">
        <x:v>A+</x:v>
      </x:c>
      <x:c r="G26" s="14" t="n">
        <x:v>100</x:v>
      </x:c>
      <x:c r="H26" s="14" t="str">
        <x:v>VM Agrícola</x:v>
      </x:c>
      <x:c r="I26" s="14" t="str">
        <x:v>Dealer maquinaria agrícola</x:v>
      </x:c>
      <x:c r="J26" s="14" t="str">
        <x:v>Concesionaria multimarca: tractores, cosechadoras, sembradoras y pulverizadoras</x:v>
      </x:c>
      <x:c r="K26" s="14" t="str">
        <x:v>+54 353 5695760</x:v>
      </x:c>
      <x:c r="L26" s="14" t="str">
        <x:v>OK</x:v>
      </x:c>
      <x:c r="M26" s="14" t="str">
        <x:v>ventas / usados / logística</x:v>
      </x:c>
      <x:c r="N26" s="14" t="str">
        <x:v>Entrega/retiro de tractores, cosechadoras, pulverizadoras, sembradoras, usados y equipos de service.</x:v>
      </x:c>
      <x:c r="O26" s="14" t="str">
        <x:v>Plataforma 20 tn + malacate + hidrogrúa de apoyo + seguro/GPS.</x:v>
      </x:c>
      <x:c r="P26" s="14" t="str">
        <x:v>Captar entregas, canjes, usados y rescates de service sin inmovilizar flota propia.</x:v>
      </x:c>
      <x:c r="Q26" s="14" t="str">
        <x:v>Pedir gerente de ventas/logística/posventa; relevar equipos, pesos y movimientos mensuales.</x:v>
      </x:c>
      <x:c r="R26" s="14" t="str"/>
      <x:c r="S26" s="14" t="str">
        <x:v>Salta 270, Villa María, Córdoba</x:v>
      </x:c>
      <x:c r="T26" s="14" t="str"/>
      <x:c r="U26" s="14" t="str"/>
      <x:c r="V26" s="14" t="str"/>
      <x:c r="W26" s="14" t="str"/>
      <x:c r="X26" s="14" t="str">
        <x:v>+543535695760</x:v>
      </x:c>
      <x:c r="Y26" s="14" t="str">
        <x:v>https://www.google.com/maps/search/?api=1&amp;query=VM+Agr%C3%ADcola%2C+Salta+270%2C+Villa+Mar%C3%ADa%2C+C%C3%B3rdoba</x:v>
      </x:c>
      <x:c r="Z26" s="14" t="str">
        <x:v>Agroads + Google Business</x:v>
      </x:c>
      <x:c r="AA26" s="14" t="str">
        <x:v>https://www.agroads.com.ar/e/vm-agricola/</x:v>
      </x:c>
      <x:c r="AB26" s="14" t="str">
        <x:v>Agroads muestra un catálogo amplio: cosechadoras, sembradoras, tractores, cabezales, pulverizadoras y otros equipos.</x:v>
      </x:c>
      <x:c r="AC26" s="14" t="str">
        <x:v>Alta</x:v>
      </x:c>
      <x:c r="AD26" s="14" t="str">
        <x:v>Rastrillaje integral Villa María 2026-09-15</x:v>
      </x:c>
      <x:c r="AE26" s="14" t="str">
        <x:v>Plataforma 20 tn | Malacate | Hidrogrúa | Entrega/retiro maquinaria | Seguro/GPS</x:v>
      </x:c>
      <x:c r="AF26" s="14" t="str">
        <x:v>VISITA INMEDIATA</x:v>
      </x:c>
    </x:row>
    <x:row r="27">
      <x:c r="A27" s="14" t="str">
        <x:v>VM-026</x:v>
      </x:c>
      <x:c r="B27" s="14" t="str">
        <x:v>Pendiente</x:v>
      </x:c>
      <x:c r="C27" s="14" t="str">
        <x:v>Villa María</x:v>
      </x:c>
      <x:c r="D27" s="14" t="str">
        <x:v>PILT</x:v>
      </x:c>
      <x:c r="E27" s="14" t="str">
        <x:v>Villa María</x:v>
      </x:c>
      <x:c r="F27" s="14" t="str">
        <x:v>A+</x:v>
      </x:c>
      <x:c r="G27" s="14" t="n">
        <x:v>93</x:v>
      </x:c>
      <x:c r="H27" s="14" t="str">
        <x:v>COATA Córdoba</x:v>
      </x:c>
      <x:c r="I27" s="14" t="str">
        <x:v>Logística / transporte</x:v>
      </x:c>
      <x:c r="J27" s="14" t="str">
        <x:v>Logística / transporte</x:v>
      </x:c>
      <x:c r="K27" s="14" t="str">
        <x:v>0351 4557919 / 4553311</x:v>
      </x:c>
      <x:c r="L27" s="14" t="str">
        <x:v>OK</x:v>
      </x:c>
      <x:c r="M27" s="14" t="str">
        <x:v>operaciones / tráfico</x:v>
      </x:c>
      <x:c r="N27" s="14" t="str">
        <x:v>Overflow y derivación de cargas/equipos que requieren plataforma, malacate o hidrogrúa.</x:v>
      </x:c>
      <x:c r="O27" s="14" t="str">
        <x:v>Capacidad complementaria: plataforma 20 tn + hidrogrúa + malacate.</x:v>
      </x:c>
      <x:c r="P27" s="14" t="str">
        <x:v>Ser proveedor de respaldo para servicios especiales que excedan la flota habitual.</x:v>
      </x:c>
      <x:c r="Q27" s="14" t="str">
        <x:v>Pedir tráfico/operaciones; ofrecer acuerdo de derivaciones y contingencias.</x:v>
      </x:c>
      <x:c r="R27" s="14" t="str"/>
      <x:c r="S27" s="14" t="str">
        <x:v>Parque Industrial, Logístico y Tecnológico (PILT), RN9 km 551,5, Villa María, Córdoba</x:v>
      </x:c>
      <x:c r="T27" s="14" t="str"/>
      <x:c r="U27" s="14" t="str"/>
      <x:c r="V27" s="14" t="str"/>
      <x:c r="W27" s="14" t="str"/>
      <x:c r="X27" s="14" t="str">
        <x:v>03514557919</x:v>
      </x:c>
      <x:c r="Y27" s="14" t="str">
        <x:v>https://www.google.com/maps/search/?api=1&amp;query=COATA+C%C3%B3rdoba%2C+Parque+Industrial%2C+Log%C3%ADstico+y+Tecnol%C3%B3gico+%28PILT%29%2C+RN9+km+551%2C5%2C+Villa+Mar%C3%ADa%2C+C%C3%B3rdoba</x:v>
      </x:c>
      <x:c r="Z27" s="14" t="str">
        <x:v>Dateas - parque industrial</x:v>
      </x:c>
      <x:c r="AA27" s="14" t="str">
        <x:v>https://www.dateas.com/es/explore/industrias-parque-industrial-villa-maria?page=1</x:v>
      </x:c>
      <x:c r="AB27" s="14" t="str">
        <x:v>Establecimiento de logística radicado en el Parque Industrial.</x:v>
      </x:c>
      <x:c r="AC27" s="14" t="str">
        <x:v>Media</x:v>
      </x:c>
      <x:c r="AD27" s="14" t="str">
        <x:v>Rastrillaje integral Villa María 2026-09-15</x:v>
      </x:c>
      <x:c r="AE27" s="14" t="str">
        <x:v>Plataforma 20 tn | Hidrogrúa | Malacate | Subcontratación</x:v>
      </x:c>
      <x:c r="AF27" s="14" t="str">
        <x:v>VISITA INMEDIATA</x:v>
      </x:c>
    </x:row>
    <x:row r="28">
      <x:c r="A28" s="14" t="str">
        <x:v>VM-027</x:v>
      </x:c>
      <x:c r="B28" s="14" t="str">
        <x:v>Pendiente</x:v>
      </x:c>
      <x:c r="C28" s="14" t="str">
        <x:v>Villa María</x:v>
      </x:c>
      <x:c r="D28" s="14" t="str">
        <x:v>Av. Perón / Industrial</x:v>
      </x:c>
      <x:c r="E28" s="14" t="str">
        <x:v>Villa María</x:v>
      </x:c>
      <x:c r="F28" s="14" t="str">
        <x:v>A+</x:v>
      </x:c>
      <x:c r="G28" s="14" t="n">
        <x:v>92</x:v>
      </x:c>
      <x:c r="H28" s="14" t="str">
        <x:v>Gastón López Autoelevadores</x:v>
      </x:c>
      <x:c r="I28" s="14" t="str">
        <x:v>Autoelevadores / reparación</x:v>
      </x:c>
      <x:c r="J28" s="14" t="str">
        <x:v>Autoelevadores / reparación</x:v>
      </x:c>
      <x:c r="K28" s="14" t="str">
        <x:v>+54 353 5105452</x:v>
      </x:c>
      <x:c r="L28" s="14" t="str">
        <x:v>OK</x:v>
      </x:c>
      <x:c r="M28" s="14" t="str">
        <x:v>dueño / service / logística</x:v>
      </x:c>
      <x:c r="N28" s="14" t="str">
        <x:v>Entrega/retiro de equipos de elevación y apoyo en maniobras o posicionamiento.</x:v>
      </x:c>
      <x:c r="O28" s="14" t="str">
        <x:v>Plataforma 20 tn + malacate + hidrogrúa.</x:v>
      </x:c>
      <x:c r="P28" s="14" t="str">
        <x:v>Cubrir traslados de alquiler/service y complementar capacidad de izaje.</x:v>
      </x:c>
      <x:c r="Q28" s="14" t="str">
        <x:v>Pedir operaciones/alquileres; relevar flota, pesos y zonas de servicio.</x:v>
      </x:c>
      <x:c r="R28" s="14" t="str"/>
      <x:c r="S28" s="14" t="str">
        <x:v>Av. Presidente Perón 3183, Villa María, Córdoba</x:v>
      </x:c>
      <x:c r="T28" s="14" t="str"/>
      <x:c r="U28" s="14" t="str"/>
      <x:c r="V28" s="14" t="str"/>
      <x:c r="W28" s="14" t="str"/>
      <x:c r="X28" s="14" t="str">
        <x:v>+543535105452</x:v>
      </x:c>
      <x:c r="Y28" s="14" t="str">
        <x:v>https://www.google.com/maps/search/?api=1&amp;query=Gast%C3%B3n+L%C3%B3pez+Autoelevadores%2C+Av.+Presidente+Per%C3%B3n+3183%2C+Villa+Mar%C3%ADa%2C+C%C3%B3rdoba</x:v>
      </x:c>
      <x:c r="Z28" s="14" t="str">
        <x:v>Google Business</x:v>
      </x:c>
      <x:c r="AA28" s="14" t="str">
        <x:v>https://www.google.com/maps/search/?api=1&amp;query=Gast%C3%B3n+L%C3%B3pez+Autoelevadores%2C+Av.+Presidente+Per%C3%B3n+3183%2C+Villa+Mar%C3%ADa%2C+C%C3%B3rdoba</x:v>
      </x:c>
      <x:c r="AB28" s="14" t="str">
        <x:v>Reparación y operación con autoelevadores y apiladores.</x:v>
      </x:c>
      <x:c r="AC28" s="14" t="str">
        <x:v>Alta</x:v>
      </x:c>
      <x:c r="AD28" s="14" t="str">
        <x:v>Rastrillaje integral Villa María 2026-09-15</x:v>
      </x:c>
      <x:c r="AE28" s="14" t="str">
        <x:v>Plataforma 20 tn | Malacate | Hidrogrúa | Entrega/retiro</x:v>
      </x:c>
      <x:c r="AF28" s="14" t="str">
        <x:v>VISITA INMEDIATA</x:v>
      </x:c>
    </x:row>
    <x:row r="29">
      <x:c r="A29" s="14" t="str">
        <x:v>VM-028</x:v>
      </x:c>
      <x:c r="B29" s="14" t="str">
        <x:v>Pendiente</x:v>
      </x:c>
      <x:c r="C29" s="14" t="str">
        <x:v>Villa María</x:v>
      </x:c>
      <x:c r="D29" s="14" t="str">
        <x:v>PILT</x:v>
      </x:c>
      <x:c r="E29" s="14" t="str">
        <x:v>Villa María</x:v>
      </x:c>
      <x:c r="F29" s="14" t="str">
        <x:v>A+</x:v>
      </x:c>
      <x:c r="G29" s="14" t="n">
        <x:v>92</x:v>
      </x:c>
      <x:c r="H29" s="14" t="str">
        <x:v>INDUTAMB SRL</x:v>
      </x:c>
      <x:c r="I29" s="14" t="str">
        <x:v>Equipos e implementos agropecuarios</x:v>
      </x:c>
      <x:c r="J29" s="14" t="str">
        <x:v>Equipos e implementos agropecuarios</x:v>
      </x:c>
      <x:c r="K29" s="14" t="str">
        <x:v>0353 5657870</x:v>
      </x:c>
      <x:c r="L29" s="14" t="str">
        <x:v>OK</x:v>
      </x:c>
      <x:c r="M29" s="14" t="str">
        <x:v>producción / expedición</x:v>
      </x:c>
      <x:c r="N29" s="14" t="str">
        <x:v>Entrega/retiro de maquinaria, usados, service y traslados entre cliente, taller y campo/obra.</x:v>
      </x:c>
      <x:c r="O29" s="14" t="str">
        <x:v>Plataforma 20 tn + malacate + hidrogrúa de apoyo + seguro/GPS.</x:v>
      </x:c>
      <x:c r="P29" s="14" t="str">
        <x:v>Reducir picos de entregas y rescates de service sin inmovilizar flota propia.</x:v>
      </x:c>
      <x:c r="Q29" s="14" t="str">
        <x:v>Pedir logística/posventa; relevar equipos, pesos y frecuencia mensual.</x:v>
      </x:c>
      <x:c r="R29" s="14" t="str"/>
      <x:c r="S29" s="14" t="str">
        <x:v>Parque Industrial, Logístico y Tecnológico (PILT), RN9 km 551,5, Villa María, Córdoba</x:v>
      </x:c>
      <x:c r="T29" s="14" t="str"/>
      <x:c r="U29" s="14" t="str"/>
      <x:c r="V29" s="14" t="str"/>
      <x:c r="W29" s="14" t="str"/>
      <x:c r="X29" s="14" t="str">
        <x:v>03535657870</x:v>
      </x:c>
      <x:c r="Y29" s="14" t="str">
        <x:v>https://www.google.com/maps/search/?api=1&amp;query=INDUTAMB+SRL%2C+Parque+Industrial%2C+Log%C3%ADstico+y+Tecnol%C3%B3gico+%28PILT%29%2C+RN9+km+551%2C5%2C+Villa+Mar%C3%ADa%2C+C%C3%B3rdoba</x:v>
      </x:c>
      <x:c r="Z29" s="14" t="str">
        <x:v>Dateas - parque industrial</x:v>
      </x:c>
      <x:c r="AA29" s="14" t="str">
        <x:v>https://www.dateas.com/es/explore/industrias-parque-industrial-villa-maria?page=2</x:v>
      </x:c>
      <x:c r="AB29" s="14" t="str">
        <x:v>Ensamblado de equipos e implementos de uso agropecuario.</x:v>
      </x:c>
      <x:c r="AC29" s="14" t="str">
        <x:v>Media</x:v>
      </x:c>
      <x:c r="AD29" s="14" t="str">
        <x:v>Rastrillaje integral Villa María 2026-09-15</x:v>
      </x:c>
      <x:c r="AE29" s="14" t="str">
        <x:v>Plataforma 20 tn | Malacate | Hidrogrúa | Seguro/GPS</x:v>
      </x:c>
      <x:c r="AF29" s="14" t="str">
        <x:v>VISITA INMEDIATA</x:v>
      </x:c>
    </x:row>
    <x:row r="30">
      <x:c r="A30" s="14" t="str">
        <x:v>VM-029</x:v>
      </x:c>
      <x:c r="B30" s="14" t="str">
        <x:v>Pendiente</x:v>
      </x:c>
      <x:c r="C30" s="14" t="str">
        <x:v>Villa María</x:v>
      </x:c>
      <x:c r="D30" s="14" t="str">
        <x:v>PILT</x:v>
      </x:c>
      <x:c r="E30" s="14" t="str">
        <x:v>Villa María</x:v>
      </x:c>
      <x:c r="F30" s="14" t="str">
        <x:v>A+</x:v>
      </x:c>
      <x:c r="G30" s="14" t="n">
        <x:v>92</x:v>
      </x:c>
      <x:c r="H30" s="14" t="str">
        <x:v>Metalquímica Banchio Hnos. S.A.</x:v>
      </x:c>
      <x:c r="I30" s="14" t="str">
        <x:v>Furgones térmicos / metalmecánica</x:v>
      </x:c>
      <x:c r="J30" s="14" t="str">
        <x:v>Furgones térmicos / metalmecánica</x:v>
      </x:c>
      <x:c r="K30" s="14" t="str">
        <x:v>A verificar</x:v>
      </x:c>
      <x:c r="L30" s="14" t="str">
        <x:v>A verificar</x:v>
      </x:c>
      <x:c r="M30" s="14" t="str">
        <x:v>producción / expedición</x:v>
      </x:c>
      <x:c r="N30" s="14" t="str">
        <x:v>Despacho de estructuras, conjuntos metálicos, piezas pesadas o equipos de producción.</x:v>
      </x:c>
      <x:c r="O30" s="14" t="str">
        <x:v>Plataforma + hidrogrúa + malacate; percha según carga.</x:v>
      </x:c>
      <x:c r="P30" s="14" t="str">
        <x:v>Resolver piezas pesadas o fuera de medida con un único proveedor.</x:v>
      </x:c>
      <x:c r="Q30" s="14" t="str">
        <x:v>Pedir producción/expedición; relevar piezas máximas y destinos habituales.</x:v>
      </x:c>
      <x:c r="R30" s="14" t="str"/>
      <x:c r="S30" s="14" t="str">
        <x:v>Parque Industrial, Logístico y Tecnológico (PILT), RN9 km 551,5, Villa María, Córdoba</x:v>
      </x:c>
      <x:c r="T30" s="14" t="str"/>
      <x:c r="U30" s="14" t="str"/>
      <x:c r="V30" s="14" t="str"/>
      <x:c r="W30" s="14" t="str"/>
      <x:c r="X30" s="14" t="str"/>
      <x:c r="Y30" s="14" t="str">
        <x:v>https://www.google.com/maps/search/?api=1&amp;query=Metalqu%C3%ADmica+Banchio+Hnos.+S.A.%2C+Parque+Industrial%2C+Log%C3%ADstico+y+Tecnol%C3%B3gico+%28PILT%29%2C+RN9+km+551%2C5%2C+Villa+Mar%C3%ADa%2C+C%C3%B3rdoba</x:v>
      </x:c>
      <x:c r="Z30" s="14" t="str">
        <x:v>Dateas - parque industrial</x:v>
      </x:c>
      <x:c r="AA30" s="14" t="str">
        <x:v>https://www.dateas.com/es/explore/industrias-parque-industrial-villa-maria?page=3</x:v>
      </x:c>
      <x:c r="AB30" s="14" t="str">
        <x:v>Fabricación de furgones térmicos y anexos.</x:v>
      </x:c>
      <x:c r="AC30" s="14" t="str">
        <x:v>Media</x:v>
      </x:c>
      <x:c r="AD30" s="14" t="str">
        <x:v>Rastrillaje integral Villa María 2026-09-15</x:v>
      </x:c>
      <x:c r="AE30" s="14" t="str">
        <x:v>Plataforma 20 tn | Hidrogrúa | Malacate | Percha</x:v>
      </x:c>
      <x:c r="AF30" s="14" t="str">
        <x:v>VISITA INMEDIATA</x:v>
      </x:c>
    </x:row>
    <x:row r="31">
      <x:c r="A31" s="14" t="str">
        <x:v>VM-030</x:v>
      </x:c>
      <x:c r="B31" s="14" t="str">
        <x:v>Pendiente</x:v>
      </x:c>
      <x:c r="C31" s="14" t="str">
        <x:v>Villa María</x:v>
      </x:c>
      <x:c r="D31" s="14" t="str">
        <x:v>Porfirio Seppey / Industrial</x:v>
      </x:c>
      <x:c r="E31" s="14" t="str">
        <x:v>Villa María</x:v>
      </x:c>
      <x:c r="F31" s="14" t="str">
        <x:v>A+</x:v>
      </x:c>
      <x:c r="G31" s="14" t="n">
        <x:v>92</x:v>
      </x:c>
      <x:c r="H31" s="14" t="str">
        <x:v>MW Agropartes</x:v>
      </x:c>
      <x:c r="I31" s="14" t="str">
        <x:v>Fabricación / agropartes</x:v>
      </x:c>
      <x:c r="J31" s="14" t="str">
        <x:v>Fabricación / agropartes</x:v>
      </x:c>
      <x:c r="K31" s="14" t="str">
        <x:v>+54 9 353 4232403</x:v>
      </x:c>
      <x:c r="L31" s="14" t="str">
        <x:v>OK</x:v>
      </x:c>
      <x:c r="M31" s="14" t="str">
        <x:v>producción / expedición</x:v>
      </x:c>
      <x:c r="N31" s="14" t="str">
        <x:v>Entrega/retiro de maquinaria, usados, service y traslados entre cliente, taller y campo/obra.</x:v>
      </x:c>
      <x:c r="O31" s="14" t="str">
        <x:v>Plataforma 20 tn + malacate + hidrogrúa de apoyo + seguro/GPS.</x:v>
      </x:c>
      <x:c r="P31" s="14" t="str">
        <x:v>Reducir picos de entregas y rescates de service sin inmovilizar flota propia.</x:v>
      </x:c>
      <x:c r="Q31" s="14" t="str">
        <x:v>Pedir logística/posventa; relevar equipos, pesos y frecuencia mensual.</x:v>
      </x:c>
      <x:c r="R31" s="14" t="str"/>
      <x:c r="S31" s="14" t="str">
        <x:v>Porfirio Seppey 1300, Villa María, Córdoba</x:v>
      </x:c>
      <x:c r="T31" s="14" t="str"/>
      <x:c r="U31" s="14" t="str"/>
      <x:c r="V31" s="14" t="str"/>
      <x:c r="W31" s="14" t="str"/>
      <x:c r="X31" s="14" t="str">
        <x:v>+5493534232403</x:v>
      </x:c>
      <x:c r="Y31" s="14" t="str">
        <x:v>https://www.google.com/maps/search/?api=1&amp;query=MW+Agropartes%2C+Porfirio+Seppey+1300%2C+Villa+Mar%C3%ADa%2C+C%C3%B3rdoba</x:v>
      </x:c>
      <x:c r="Z31" s="14" t="str">
        <x:v>Google Business</x:v>
      </x:c>
      <x:c r="AA31" s="14" t="str">
        <x:v>https://www.google.com/maps/search/?api=1&amp;query=MW+Agropartes%2C+Porfirio+Seppey+1300%2C+Villa+Mar%C3%ADa%2C+C%C3%B3rdoba</x:v>
      </x:c>
      <x:c r="AB31" s="14" t="str">
        <x:v>Fábrica de componentes para maquinaria agrícola.</x:v>
      </x:c>
      <x:c r="AC31" s="14" t="str">
        <x:v>Alta</x:v>
      </x:c>
      <x:c r="AD31" s="14" t="str">
        <x:v>Rastrillaje integral Villa María 2026-09-15</x:v>
      </x:c>
      <x:c r="AE31" s="14" t="str">
        <x:v>Plataforma 20 tn | Malacate | Hidrogrúa | Seguro/GPS</x:v>
      </x:c>
      <x:c r="AF31" s="14" t="str">
        <x:v>VISITA INMEDIATA</x:v>
      </x:c>
    </x:row>
    <x:row r="32">
      <x:c r="A32" s="14" t="str">
        <x:v>VM-031</x:v>
      </x:c>
      <x:c r="B32" s="14" t="str">
        <x:v>Pendiente</x:v>
      </x:c>
      <x:c r="C32" s="14" t="str">
        <x:v>Villa María</x:v>
      </x:c>
      <x:c r="D32" s="14" t="str">
        <x:v>Porfirio Seppey / Industrial</x:v>
      </x:c>
      <x:c r="E32" s="14" t="str">
        <x:v>Villa María</x:v>
      </x:c>
      <x:c r="F32" s="14" t="str">
        <x:v>A+</x:v>
      </x:c>
      <x:c r="G32" s="14" t="n">
        <x:v>91</x:v>
      </x:c>
      <x:c r="H32" s="14" t="str">
        <x:v>Fábrica de Carrocerías Remolques Trailers</x:v>
      </x:c>
      <x:c r="I32" s="14" t="str">
        <x:v>Carrocerías / remolques</x:v>
      </x:c>
      <x:c r="J32" s="14" t="str">
        <x:v>Carrocerías / remolques</x:v>
      </x:c>
      <x:c r="K32" s="14" t="str">
        <x:v>+54 353 5657975</x:v>
      </x:c>
      <x:c r="L32" s="14" t="str">
        <x:v>OK</x:v>
      </x:c>
      <x:c r="M32" s="14" t="str">
        <x:v>producción / expedición</x:v>
      </x:c>
      <x:c r="N32" s="14" t="str">
        <x:v>Movilización de camiones, acoplados, semirremolques o unidades que no pueden circular; despachos de fábrica.</x:v>
      </x:c>
      <x:c r="O32" s="14" t="str">
        <x:v>Plataforma 20 tn + malacate + hidrogrúa según maniobra.</x:v>
      </x:c>
      <x:c r="P32" s="14" t="str">
        <x:v>Apoyo externo para entregas, rescates, unidades incompletas o inmovilizadas.</x:v>
      </x:c>
      <x:c r="Q32" s="14" t="str">
        <x:v>Pedir expedición/taller/logística; consultar movimientos mensuales y pesos.</x:v>
      </x:c>
      <x:c r="R32" s="14" t="str"/>
      <x:c r="S32" s="14" t="str">
        <x:v>Porfirio Seppey 1389, Villa María, Córdoba</x:v>
      </x:c>
      <x:c r="T32" s="14" t="str"/>
      <x:c r="U32" s="14" t="str"/>
      <x:c r="V32" s="14" t="str"/>
      <x:c r="W32" s="14" t="str"/>
      <x:c r="X32" s="14" t="str">
        <x:v>+543535657975</x:v>
      </x:c>
      <x:c r="Y32" s="14" t="str">
        <x:v>https://www.google.com/maps/search/?api=1&amp;query=F%C3%A1brica+de+Carrocer%C3%ADas+Remolques+Trailers%2C+Porfirio+Seppey+1389%2C+Villa+Mar%C3%ADa%2C+C%C3%B3rdoba</x:v>
      </x:c>
      <x:c r="Z32" s="14" t="str">
        <x:v>Google Business</x:v>
      </x:c>
      <x:c r="AA32" s="14" t="str">
        <x:v>https://www.google.com/maps/search/?api=1&amp;query=F%C3%A1brica+de+Carrocer%C3%ADas+Remolques+Trailers%2C+Porfirio+Seppey+1389%2C+Villa+Mar%C3%ADa%2C+C%C3%B3rdoba</x:v>
      </x:c>
      <x:c r="AB32" s="14" t="str">
        <x:v>Fabricante local de remolques y carrocerías.</x:v>
      </x:c>
      <x:c r="AC32" s="14" t="str">
        <x:v>Alta</x:v>
      </x:c>
      <x:c r="AD32" s="14" t="str">
        <x:v>Rastrillaje integral Villa María 2026-09-15</x:v>
      </x:c>
      <x:c r="AE32" s="14" t="str">
        <x:v>Plataforma 20 tn | Malacate | Hidrogrúa | Apoyo de flota</x:v>
      </x:c>
      <x:c r="AF32" s="14" t="str">
        <x:v>VISITA INMEDIATA</x:v>
      </x:c>
    </x:row>
    <x:row r="33">
      <x:c r="A33" s="14" t="str">
        <x:v>VM-032</x:v>
      </x:c>
      <x:c r="B33" s="14" t="str">
        <x:v>Pendiente</x:v>
      </x:c>
      <x:c r="C33" s="14" t="str">
        <x:v>Villa María</x:v>
      </x:c>
      <x:c r="D33" s="14" t="str">
        <x:v>PILT</x:v>
      </x:c>
      <x:c r="E33" s="14" t="str">
        <x:v>Villa María</x:v>
      </x:c>
      <x:c r="F33" s="14" t="str">
        <x:v>A+</x:v>
      </x:c>
      <x:c r="G33" s="14" t="n">
        <x:v>91</x:v>
      </x:c>
      <x:c r="H33" s="14" t="str">
        <x:v>Tallone Esteban</x:v>
      </x:c>
      <x:c r="I33" s="14" t="str">
        <x:v>Piezas para maquinaria agrícola</x:v>
      </x:c>
      <x:c r="J33" s="14" t="str">
        <x:v>Piezas para maquinaria agrícola</x:v>
      </x:c>
      <x:c r="K33" s="14" t="str">
        <x:v>0353 5083578 / 4880252</x:v>
      </x:c>
      <x:c r="L33" s="14" t="str">
        <x:v>OK</x:v>
      </x:c>
      <x:c r="M33" s="14" t="str">
        <x:v>producción / expedición</x:v>
      </x:c>
      <x:c r="N33" s="14" t="str">
        <x:v>Entrega/retiro de maquinaria, usados, service y traslados entre cliente, taller y campo/obra.</x:v>
      </x:c>
      <x:c r="O33" s="14" t="str">
        <x:v>Plataforma 20 tn + malacate + hidrogrúa de apoyo + seguro/GPS.</x:v>
      </x:c>
      <x:c r="P33" s="14" t="str">
        <x:v>Reducir picos de entregas y rescates de service sin inmovilizar flota propia.</x:v>
      </x:c>
      <x:c r="Q33" s="14" t="str">
        <x:v>Pedir logística/posventa; relevar equipos, pesos y frecuencia mensual.</x:v>
      </x:c>
      <x:c r="R33" s="14" t="str"/>
      <x:c r="S33" s="14" t="str">
        <x:v>Parque Industrial, Logístico y Tecnológico (PILT), RN9 km 551,5, Villa María, Córdoba</x:v>
      </x:c>
      <x:c r="T33" s="14" t="str"/>
      <x:c r="U33" s="14" t="str"/>
      <x:c r="V33" s="14" t="str"/>
      <x:c r="W33" s="14" t="str"/>
      <x:c r="X33" s="14" t="str">
        <x:v>03535083578</x:v>
      </x:c>
      <x:c r="Y33" s="14" t="str">
        <x:v>https://www.google.com/maps/search/?api=1&amp;query=Tallone+Esteban%2C+Parque+Industrial%2C+Log%C3%ADstico+y+Tecnol%C3%B3gico+%28PILT%29%2C+RN9+km+551%2C5%2C+Villa+Mar%C3%ADa%2C+C%C3%B3rdoba</x:v>
      </x:c>
      <x:c r="Z33" s="14" t="str">
        <x:v>Dateas - parque industrial</x:v>
      </x:c>
      <x:c r="AA33" s="14" t="str">
        <x:v>https://www.dateas.com/es/explore/industrias-parque-industrial-villa-maria/tallone-esteban-95</x:v>
      </x:c>
      <x:c r="AB33" s="14" t="str">
        <x:v>Fabricación de piezas para maquinarias agrícolas.</x:v>
      </x:c>
      <x:c r="AC33" s="14" t="str">
        <x:v>Media</x:v>
      </x:c>
      <x:c r="AD33" s="14" t="str">
        <x:v>Rastrillaje integral Villa María 2026-09-15</x:v>
      </x:c>
      <x:c r="AE33" s="14" t="str">
        <x:v>Plataforma 20 tn | Malacate | Hidrogrúa | Seguro/GPS</x:v>
      </x:c>
      <x:c r="AF33" s="14" t="str">
        <x:v>VISITA INMEDIATA</x:v>
      </x:c>
    </x:row>
    <x:row r="34">
      <x:c r="A34" s="14" t="str">
        <x:v>VM-033</x:v>
      </x:c>
      <x:c r="B34" s="14" t="str">
        <x:v>Pendiente</x:v>
      </x:c>
      <x:c r="C34" s="14" t="str">
        <x:v>Villa María</x:v>
      </x:c>
      <x:c r="D34" s="14" t="str">
        <x:v>Urbano industrial</x:v>
      </x:c>
      <x:c r="E34" s="14" t="str">
        <x:v>Villa María</x:v>
      </x:c>
      <x:c r="F34" s="14" t="str">
        <x:v>A+</x:v>
      </x:c>
      <x:c r="G34" s="14" t="n">
        <x:v>90</x:v>
      </x:c>
      <x:c r="H34" s="14" t="str">
        <x:v>Larrosa Camiones</x:v>
      </x:c>
      <x:c r="I34" s="14" t="str">
        <x:v>Camiones usados / flota</x:v>
      </x:c>
      <x:c r="J34" s="14" t="str">
        <x:v>Camiones usados / flota</x:v>
      </x:c>
      <x:c r="K34" s="14" t="str">
        <x:v>0353 4531301</x:v>
      </x:c>
      <x:c r="L34" s="14" t="str">
        <x:v>OK</x:v>
      </x:c>
      <x:c r="M34" s="14" t="str">
        <x:v>ventas / taller / logística</x:v>
      </x:c>
      <x:c r="N34" s="14" t="str">
        <x:v>Movilización de camiones, acoplados, semirremolques o unidades que no pueden circular; despachos de fábrica.</x:v>
      </x:c>
      <x:c r="O34" s="14" t="str">
        <x:v>Plataforma 20 tn + malacate + hidrogrúa según maniobra.</x:v>
      </x:c>
      <x:c r="P34" s="14" t="str">
        <x:v>Apoyo externo para entregas, rescates, unidades incompletas o inmovilizadas.</x:v>
      </x:c>
      <x:c r="Q34" s="14" t="str">
        <x:v>Pedir expedición/taller/logística; consultar movimientos mensuales y pesos.</x:v>
      </x:c>
      <x:c r="R34" s="14" t="str"/>
      <x:c r="S34" s="14" t="str">
        <x:v>Chiclana y Larrabure, Villa María, Córdoba</x:v>
      </x:c>
      <x:c r="T34" s="14" t="str"/>
      <x:c r="U34" s="14" t="str"/>
      <x:c r="V34" s="14" t="str"/>
      <x:c r="W34" s="14" t="str"/>
      <x:c r="X34" s="14" t="str">
        <x:v>03534531301</x:v>
      </x:c>
      <x:c r="Y34" s="14" t="str">
        <x:v>https://www.google.com/maps/search/?api=1&amp;query=Larrosa+Camiones%2C+Chiclana+y+Larrabure%2C+Villa+Mar%C3%ADa%2C+C%C3%B3rdoba</x:v>
      </x:c>
      <x:c r="Z34" s="14" t="str">
        <x:v>Google Business</x:v>
      </x:c>
      <x:c r="AA34" s="14" t="str">
        <x:v>https://www.google.com/maps/search/?api=1&amp;query=Larrosa+Camiones%2C+Chiclana+y+Larrabure%2C+Villa+Mar%C3%ADa%2C+C%C3%B3rdoba</x:v>
      </x:c>
      <x:c r="AB34" s="14" t="str">
        <x:v>Concesionario de camiones usados.</x:v>
      </x:c>
      <x:c r="AC34" s="14" t="str">
        <x:v>Alta</x:v>
      </x:c>
      <x:c r="AD34" s="14" t="str">
        <x:v>Rastrillaje integral Villa María 2026-09-15</x:v>
      </x:c>
      <x:c r="AE34" s="14" t="str">
        <x:v>Plataforma 20 tn | Malacate | Hidrogrúa | Apoyo de flota</x:v>
      </x:c>
      <x:c r="AF34" s="14" t="str">
        <x:v>VISITA INMEDIATA</x:v>
      </x:c>
    </x:row>
    <x:row r="35">
      <x:c r="A35" s="14" t="str">
        <x:v>VM-034</x:v>
      </x:c>
      <x:c r="B35" s="14" t="str">
        <x:v>Pendiente</x:v>
      </x:c>
      <x:c r="C35" s="14" t="str">
        <x:v>Villa María</x:v>
      </x:c>
      <x:c r="D35" s="14" t="str">
        <x:v>PILT</x:v>
      </x:c>
      <x:c r="E35" s="14" t="str">
        <x:v>Villa María</x:v>
      </x:c>
      <x:c r="F35" s="14" t="str">
        <x:v>A+</x:v>
      </x:c>
      <x:c r="G35" s="14" t="n">
        <x:v>90</x:v>
      </x:c>
      <x:c r="H35" s="14" t="str">
        <x:v>MR Logística</x:v>
      </x:c>
      <x:c r="I35" s="14" t="str">
        <x:v>Logística / servicios</x:v>
      </x:c>
      <x:c r="J35" s="14" t="str">
        <x:v>Logística / servicios</x:v>
      </x:c>
      <x:c r="K35" s="14" t="str">
        <x:v>A verificar</x:v>
      </x:c>
      <x:c r="L35" s="14" t="str">
        <x:v>A verificar</x:v>
      </x:c>
      <x:c r="M35" s="14" t="str">
        <x:v>operaciones / tráfico</x:v>
      </x:c>
      <x:c r="N35" s="14" t="str">
        <x:v>Overflow y derivación de cargas/equipos que requieren plataforma, malacate o hidrogrúa.</x:v>
      </x:c>
      <x:c r="O35" s="14" t="str">
        <x:v>Capacidad complementaria: plataforma 20 tn + hidrogrúa + malacate.</x:v>
      </x:c>
      <x:c r="P35" s="14" t="str">
        <x:v>Ser proveedor de respaldo para servicios especiales que excedan la flota habitual.</x:v>
      </x:c>
      <x:c r="Q35" s="14" t="str">
        <x:v>Pedir tráfico/operaciones; ofrecer acuerdo de derivaciones y contingencias.</x:v>
      </x:c>
      <x:c r="R35" s="14" t="str"/>
      <x:c r="S35" s="14" t="str">
        <x:v>Parque Industrial, Logístico y Tecnológico (PILT), RN9 km 551,5, Villa María, Córdoba</x:v>
      </x:c>
      <x:c r="T35" s="14" t="str"/>
      <x:c r="U35" s="14" t="str"/>
      <x:c r="V35" s="14" t="str"/>
      <x:c r="W35" s="14" t="str"/>
      <x:c r="X35" s="14" t="str"/>
      <x:c r="Y35" s="14" t="str">
        <x:v>https://www.google.com/maps/search/?api=1&amp;query=MR+Log%C3%ADstica%2C+Parque+Industrial%2C+Log%C3%ADstico+y+Tecnol%C3%B3gico+%28PILT%29%2C+RN9+km+551%2C5%2C+Villa+Mar%C3%ADa%2C+C%C3%B3rdoba</x:v>
      </x:c>
      <x:c r="Z35" s="14" t="str">
        <x:v>Dateas - parque industrial</x:v>
      </x:c>
      <x:c r="AA35" s="14" t="str">
        <x:v>https://www.dateas.com/es/explore/industrias-parque-industrial-villa-maria?page=3</x:v>
      </x:c>
      <x:c r="AB35" s="14" t="str">
        <x:v>Establecimiento de logística, comercial y de servicios.</x:v>
      </x:c>
      <x:c r="AC35" s="14" t="str">
        <x:v>Media</x:v>
      </x:c>
      <x:c r="AD35" s="14" t="str">
        <x:v>Rastrillaje integral Villa María 2026-09-15</x:v>
      </x:c>
      <x:c r="AE35" s="14" t="str">
        <x:v>Plataforma 20 tn | Hidrogrúa | Malacate | Subcontratación</x:v>
      </x:c>
      <x:c r="AF35" s="14" t="str">
        <x:v>VISITA INMEDIATA</x:v>
      </x:c>
    </x:row>
    <x:row r="36">
      <x:c r="A36" s="14" t="str">
        <x:v>VM-035</x:v>
      </x:c>
      <x:c r="B36" s="14" t="str">
        <x:v>Pendiente</x:v>
      </x:c>
      <x:c r="C36" s="14" t="str">
        <x:v>Villa María</x:v>
      </x:c>
      <x:c r="D36" s="14" t="str">
        <x:v>PILT</x:v>
      </x:c>
      <x:c r="E36" s="14" t="str">
        <x:v>Villa María</x:v>
      </x:c>
      <x:c r="F36" s="14" t="str">
        <x:v>A+</x:v>
      </x:c>
      <x:c r="G36" s="14" t="n">
        <x:v>90</x:v>
      </x:c>
      <x:c r="H36" s="14" t="str">
        <x:v>Stainless Steel Manufacturers SRL</x:v>
      </x:c>
      <x:c r="I36" s="14" t="str">
        <x:v>Maquinaria industrial / automatización</x:v>
      </x:c>
      <x:c r="J36" s="14" t="str">
        <x:v>Maquinaria industrial / automatización</x:v>
      </x:c>
      <x:c r="K36" s="14" t="str">
        <x:v>A verificar</x:v>
      </x:c>
      <x:c r="L36" s="14" t="str">
        <x:v>A verificar</x:v>
      </x:c>
      <x:c r="M36" s="14" t="str">
        <x:v>producción / proyectos / logística</x:v>
      </x:c>
      <x:c r="N36" s="14" t="str">
        <x:v>Movimientos de equipos o cargas especiales asociados a la operación.</x:v>
      </x:c>
      <x:c r="O36" s="14" t="str">
        <x:v>Plataforma 20 tn + hidrogrúa + malacate según necesidad.</x:v>
      </x:c>
      <x:c r="P36" s="14" t="str">
        <x:v>Capacidad externa para movimientos pesados o especiales.</x:v>
      </x:c>
      <x:c r="Q36" s="14" t="str">
        <x:v>Contactar operaciones/logística y relevar movimientos actuales.</x:v>
      </x:c>
      <x:c r="R36" s="14" t="str"/>
      <x:c r="S36" s="14" t="str">
        <x:v>Parque Industrial, Logístico y Tecnológico (PILT), RN9 km 551,5, Villa María, Córdoba</x:v>
      </x:c>
      <x:c r="T36" s="14" t="str"/>
      <x:c r="U36" s="14" t="str"/>
      <x:c r="V36" s="14" t="str"/>
      <x:c r="W36" s="14" t="str"/>
      <x:c r="X36" s="14" t="str"/>
      <x:c r="Y36" s="14" t="str">
        <x:v>https://www.google.com/maps/search/?api=1&amp;query=Stainless+Steel+Manufacturers+SRL%2C+Parque+Industrial%2C+Log%C3%ADstico+y+Tecnol%C3%B3gico+%28PILT%29%2C+RN9+km+551%2C5%2C+Villa+Mar%C3%ADa%2C+C%C3%B3rdoba</x:v>
      </x:c>
      <x:c r="Z36" s="14" t="str">
        <x:v>Dateas - parque industrial</x:v>
      </x:c>
      <x:c r="AA36" s="14" t="str">
        <x:v>https://www.dateas.com/es/explore/industrias-parque-industrial-villa-maria?page=4</x:v>
      </x:c>
      <x:c r="AB36" s="14" t="str">
        <x:v>Fabricación de maquinaria, líneas de producción, envase y embalaje.</x:v>
      </x:c>
      <x:c r="AC36" s="14" t="str">
        <x:v>Media</x:v>
      </x:c>
      <x:c r="AD36" s="14" t="str">
        <x:v>Rastrillaje integral Villa María 2026-09-15</x:v>
      </x:c>
      <x:c r="AE36" s="14" t="str">
        <x:v>Plataforma 20 tn | Hidrogrúa | Malacate</x:v>
      </x:c>
      <x:c r="AF36" s="14" t="str">
        <x:v>VISITA INMEDIATA</x:v>
      </x:c>
    </x:row>
    <x:row r="37">
      <x:c r="A37" s="14" t="str">
        <x:v>VM-036</x:v>
      </x:c>
      <x:c r="B37" s="14" t="str">
        <x:v>Pendiente</x:v>
      </x:c>
      <x:c r="C37" s="14" t="str">
        <x:v>Villa María</x:v>
      </x:c>
      <x:c r="D37" s="14" t="str">
        <x:v>Av. Colón</x:v>
      </x:c>
      <x:c r="E37" s="14" t="str">
        <x:v>Villa María</x:v>
      </x:c>
      <x:c r="F37" s="14" t="str">
        <x:v>A+</x:v>
      </x:c>
      <x:c r="G37" s="14" t="n">
        <x:v>89</x:v>
      </x:c>
      <x:c r="H37" s="14" t="str">
        <x:v>Villa María Camiones</x:v>
      </x:c>
      <x:c r="I37" s="14" t="str">
        <x:v>Camiones usados / flota</x:v>
      </x:c>
      <x:c r="J37" s="14" t="str">
        <x:v>Camiones usados / flota</x:v>
      </x:c>
      <x:c r="K37" s="14" t="str">
        <x:v>+54 353 6570697</x:v>
      </x:c>
      <x:c r="L37" s="14" t="str">
        <x:v>OK</x:v>
      </x:c>
      <x:c r="M37" s="14" t="str">
        <x:v>ventas / taller / logística</x:v>
      </x:c>
      <x:c r="N37" s="14" t="str">
        <x:v>Movilización de camiones, acoplados, semirremolques o unidades que no pueden circular; despachos de fábrica.</x:v>
      </x:c>
      <x:c r="O37" s="14" t="str">
        <x:v>Plataforma 20 tn + malacate + hidrogrúa según maniobra.</x:v>
      </x:c>
      <x:c r="P37" s="14" t="str">
        <x:v>Apoyo externo para entregas, rescates, unidades incompletas o inmovilizadas.</x:v>
      </x:c>
      <x:c r="Q37" s="14" t="str">
        <x:v>Pedir expedición/taller/logística; consultar movimientos mensuales y pesos.</x:v>
      </x:c>
      <x:c r="R37" s="14" t="str"/>
      <x:c r="S37" s="14" t="str">
        <x:v>Av. Colón 1600, Villa María, Córdoba</x:v>
      </x:c>
      <x:c r="T37" s="14" t="str"/>
      <x:c r="U37" s="14" t="str"/>
      <x:c r="V37" s="14" t="str"/>
      <x:c r="W37" s="14" t="str"/>
      <x:c r="X37" s="14" t="str">
        <x:v>+543536570697</x:v>
      </x:c>
      <x:c r="Y37" s="14" t="str">
        <x:v>https://www.google.com/maps/search/?api=1&amp;query=Villa+Mar%C3%ADa+Camiones%2C+Av.+Col%C3%B3n+1600%2C+Villa+Mar%C3%ADa%2C+C%C3%B3rdoba</x:v>
      </x:c>
      <x:c r="Z37" s="14" t="str">
        <x:v>Google Business</x:v>
      </x:c>
      <x:c r="AA37" s="14" t="str">
        <x:v>https://www.google.com/maps/search/?api=1&amp;query=Villa+Mar%C3%ADa+Camiones%2C+Av.+Col%C3%B3n+1600%2C+Villa+Mar%C3%ADa%2C+C%C3%B3rdoba</x:v>
      </x:c>
      <x:c r="AB37" s="14" t="str">
        <x:v>Concesionario de camiones usados.</x:v>
      </x:c>
      <x:c r="AC37" s="14" t="str">
        <x:v>Alta</x:v>
      </x:c>
      <x:c r="AD37" s="14" t="str">
        <x:v>Rastrillaje integral Villa María 2026-09-15</x:v>
      </x:c>
      <x:c r="AE37" s="14" t="str">
        <x:v>Plataforma 20 tn | Malacate | Hidrogrúa | Apoyo de flota</x:v>
      </x:c>
      <x:c r="AF37" s="14" t="str">
        <x:v>VISITA INMEDIATA</x:v>
      </x:c>
    </x:row>
    <x:row r="38">
      <x:c r="A38" s="14" t="str">
        <x:v>VM-037</x:v>
      </x:c>
      <x:c r="B38" s="14" t="str">
        <x:v>Pendiente</x:v>
      </x:c>
      <x:c r="C38" s="14" t="str">
        <x:v>Villa María</x:v>
      </x:c>
      <x:c r="D38" s="14" t="str">
        <x:v>RN9 km 551–556</x:v>
      </x:c>
      <x:c r="E38" s="14" t="str">
        <x:v>Villa María</x:v>
      </x:c>
      <x:c r="F38" s="14" t="str">
        <x:v>A</x:v>
      </x:c>
      <x:c r="G38" s="14" t="n">
        <x:v>88</x:v>
      </x:c>
      <x:c r="H38" s="14" t="str">
        <x:v>Coterra Hormigones</x:v>
      </x:c>
      <x:c r="I38" s="14" t="str">
        <x:v>Hormigón elaborado</x:v>
      </x:c>
      <x:c r="J38" s="14" t="str">
        <x:v>Hormigón elaborado</x:v>
      </x:c>
      <x:c r="K38" s="14" t="str">
        <x:v>0353 4610900</x:v>
      </x:c>
      <x:c r="L38" s="14" t="str">
        <x:v>OK</x:v>
      </x:c>
      <x:c r="M38" s="14" t="str">
        <x:v>planta / mantenimiento / logística</x:v>
      </x:c>
      <x:c r="N38" s="14" t="str">
        <x:v>Movimiento de equipos de planta, moldes, bombas, premoldeados y cargas pesadas especiales.</x:v>
      </x:c>
      <x:c r="O38" s="14" t="str">
        <x:v>Plataforma + hidrogrúa + percha para pallets.</x:v>
      </x:c>
      <x:c r="P38" s="14" t="str">
        <x:v>Complementar la logística convencional con cargas y equipos especiales.</x:v>
      </x:c>
      <x:c r="Q38" s="14" t="str">
        <x:v>Pedir planta/logística/mantenimiento; relevar equipos y movimientos no cubiertos.</x:v>
      </x:c>
      <x:c r="R38" s="14" t="str"/>
      <x:c r="S38" s="14" t="str">
        <x:v>RN9 km 556, Villa María, Córdoba</x:v>
      </x:c>
      <x:c r="T38" s="14" t="str"/>
      <x:c r="U38" s="14" t="str"/>
      <x:c r="V38" s="14" t="str"/>
      <x:c r="W38" s="14" t="str"/>
      <x:c r="X38" s="14" t="str">
        <x:v>03534610900</x:v>
      </x:c>
      <x:c r="Y38" s="14" t="str">
        <x:v>https://www.google.com/maps/search/?api=1&amp;query=Coterra+Hormigones%2C+RN9+km+556%2C+Villa+Mar%C3%ADa%2C+C%C3%B3rdoba</x:v>
      </x:c>
      <x:c r="Z38" s="14" t="str">
        <x:v>Google Business</x:v>
      </x:c>
      <x:c r="AA38" s="14" t="str">
        <x:v>https://www.google.com/maps/search/?api=1&amp;query=Coterra+Hormigones%2C+RN9+km+556%2C+Villa+Mar%C3%ADa%2C+C%C3%B3rdoba</x:v>
      </x:c>
      <x:c r="AB38" s="14" t="str">
        <x:v>Proveedor de hormigón preparado.</x:v>
      </x:c>
      <x:c r="AC38" s="14" t="str">
        <x:v>Alta</x:v>
      </x:c>
      <x:c r="AD38" s="14" t="str">
        <x:v>Rastrillaje integral Villa María 2026-09-15</x:v>
      </x:c>
      <x:c r="AE38" s="14" t="str">
        <x:v>Plataforma 20 tn | Hidrogrúa | Percha | Malacate</x:v>
      </x:c>
      <x:c r="AF38" s="14" t="str">
        <x:v>PRIORIDAD ALTA</x:v>
      </x:c>
    </x:row>
    <x:row r="39">
      <x:c r="A39" s="14" t="str">
        <x:v>VM-038</x:v>
      </x:c>
      <x:c r="B39" s="14" t="str">
        <x:v>Pendiente</x:v>
      </x:c>
      <x:c r="C39" s="14" t="str">
        <x:v>Villa María</x:v>
      </x:c>
      <x:c r="D39" s="14" t="str">
        <x:v>Urbano / industrial</x:v>
      </x:c>
      <x:c r="E39" s="14" t="str">
        <x:v>Villa María</x:v>
      </x:c>
      <x:c r="F39" s="14" t="str">
        <x:v>A</x:v>
      </x:c>
      <x:c r="G39" s="14" t="n">
        <x:v>87</x:v>
      </x:c>
      <x:c r="H39" s="14" t="str">
        <x:v>La Marchesina</x:v>
      </x:c>
      <x:c r="I39" s="14" t="str">
        <x:v>Hormigón elaborado</x:v>
      </x:c>
      <x:c r="J39" s="14" t="str">
        <x:v>Hormigón elaborado</x:v>
      </x:c>
      <x:c r="K39" s="14" t="str">
        <x:v>0353 4530967</x:v>
      </x:c>
      <x:c r="L39" s="14" t="str">
        <x:v>OK</x:v>
      </x:c>
      <x:c r="M39" s="14" t="str">
        <x:v>planta / logística / mantenimiento</x:v>
      </x:c>
      <x:c r="N39" s="14" t="str">
        <x:v>Movimiento de equipos de planta, moldes, bombas, premoldeados y cargas pesadas especiales.</x:v>
      </x:c>
      <x:c r="O39" s="14" t="str">
        <x:v>Plataforma + hidrogrúa + percha para pallets.</x:v>
      </x:c>
      <x:c r="P39" s="14" t="str">
        <x:v>Complementar la logística convencional con cargas y equipos especiales.</x:v>
      </x:c>
      <x:c r="Q39" s="14" t="str">
        <x:v>Pedir planta/logística/mantenimiento; relevar equipos y movimientos no cubiertos.</x:v>
      </x:c>
      <x:c r="R39" s="14" t="str"/>
      <x:c r="S39" s="14" t="str">
        <x:v>Calafate 1255, Villa María, Córdoba</x:v>
      </x:c>
      <x:c r="T39" s="14" t="str"/>
      <x:c r="U39" s="14" t="str"/>
      <x:c r="V39" s="14" t="str"/>
      <x:c r="W39" s="14" t="str"/>
      <x:c r="X39" s="14" t="str">
        <x:v>03534530967</x:v>
      </x:c>
      <x:c r="Y39" s="14" t="str">
        <x:v>https://www.google.com/maps/search/?api=1&amp;query=La+Marchesina%2C+Calafate+1255%2C+Villa+Mar%C3%ADa%2C+C%C3%B3rdoba</x:v>
      </x:c>
      <x:c r="Z39" s="14" t="str">
        <x:v>Google Business</x:v>
      </x:c>
      <x:c r="AA39" s="14" t="str">
        <x:v>https://www.google.com/maps/search/?api=1&amp;query=La+Marchesina%2C+Calafate+1255%2C+Villa+Mar%C3%ADa%2C+C%C3%B3rdoba</x:v>
      </x:c>
      <x:c r="AB39" s="14" t="str">
        <x:v>Fabricación de hormigón.</x:v>
      </x:c>
      <x:c r="AC39" s="14" t="str">
        <x:v>Alta</x:v>
      </x:c>
      <x:c r="AD39" s="14" t="str">
        <x:v>Rastrillaje integral Villa María 2026-09-15</x:v>
      </x:c>
      <x:c r="AE39" s="14" t="str">
        <x:v>Plataforma 20 tn | Hidrogrúa | Percha | Malacate</x:v>
      </x:c>
      <x:c r="AF39" s="14" t="str">
        <x:v>PRIORIDAD ALTA</x:v>
      </x:c>
    </x:row>
    <x:row r="40">
      <x:c r="A40" s="14" t="str">
        <x:v>VM-039</x:v>
      </x:c>
      <x:c r="B40" s="14" t="str">
        <x:v>Pendiente</x:v>
      </x:c>
      <x:c r="C40" s="14" t="str">
        <x:v>Villa María</x:v>
      </x:c>
      <x:c r="D40" s="14" t="str">
        <x:v>Porfirio Seppey / Industrial</x:v>
      </x:c>
      <x:c r="E40" s="14" t="str">
        <x:v>Villa María</x:v>
      </x:c>
      <x:c r="F40" s="14" t="str">
        <x:v>A</x:v>
      </x:c>
      <x:c r="G40" s="14" t="n">
        <x:v>86</x:v>
      </x:c>
      <x:c r="H40" s="14" t="str">
        <x:v>Estructuras Metálicas "Brazo Fuerte"</x:v>
      </x:c>
      <x:c r="I40" s="14" t="str">
        <x:v>Estructuras metálicas</x:v>
      </x:c>
      <x:c r="J40" s="14" t="str">
        <x:v>Estructuras metálicas</x:v>
      </x:c>
      <x:c r="K40" s="14" t="str">
        <x:v>0353 4213479</x:v>
      </x:c>
      <x:c r="L40" s="14" t="str">
        <x:v>OK</x:v>
      </x:c>
      <x:c r="M40" s="14" t="str">
        <x:v>producción / montaje / logística</x:v>
      </x:c>
      <x:c r="N40" s="14" t="str">
        <x:v>Despacho de estructuras, conjuntos metálicos, piezas pesadas o equipos de producción.</x:v>
      </x:c>
      <x:c r="O40" s="14" t="str">
        <x:v>Plataforma + hidrogrúa + malacate; percha según carga.</x:v>
      </x:c>
      <x:c r="P40" s="14" t="str">
        <x:v>Resolver piezas pesadas o fuera de medida con un único proveedor.</x:v>
      </x:c>
      <x:c r="Q40" s="14" t="str">
        <x:v>Pedir producción/expedición; relevar piezas máximas y destinos habituales.</x:v>
      </x:c>
      <x:c r="R40" s="14" t="str"/>
      <x:c r="S40" s="14" t="str">
        <x:v>Porfirio Seppey 1213, Villa María, Córdoba</x:v>
      </x:c>
      <x:c r="T40" s="14" t="str"/>
      <x:c r="U40" s="14" t="str"/>
      <x:c r="V40" s="14" t="str"/>
      <x:c r="W40" s="14" t="str"/>
      <x:c r="X40" s="14" t="str">
        <x:v>03534213479</x:v>
      </x:c>
      <x:c r="Y40" s="14" t="str">
        <x:v>https://www.google.com/maps/search/?api=1&amp;query=Estructuras+Met%C3%A1licas+%22Brazo+Fuerte%22%2C+Porfirio+Seppey+1213%2C+Villa+Mar%C3%ADa%2C+C%C3%B3rdoba</x:v>
      </x:c>
      <x:c r="Z40" s="14" t="str">
        <x:v>Google Business</x:v>
      </x:c>
      <x:c r="AA40" s="14" t="str">
        <x:v>https://www.google.com/maps/search/?api=1&amp;query=Estructuras+Met%C3%A1licas+Brazo+Fuerte%2C+Porfirio+Seppey+1213%2C+Villa+Mar%C3%ADa%2C+C%C3%B3rdoba</x:v>
      </x:c>
      <x:c r="AB40" s="14" t="str">
        <x:v>Galpones, tinglados y estructuras metálicas.</x:v>
      </x:c>
      <x:c r="AC40" s="14" t="str">
        <x:v>Alta</x:v>
      </x:c>
      <x:c r="AD40" s="14" t="str">
        <x:v>Rastrillaje integral Villa María 2026-09-15</x:v>
      </x:c>
      <x:c r="AE40" s="14" t="str">
        <x:v>Plataforma 20 tn | Hidrogrúa | Malacate | Percha</x:v>
      </x:c>
      <x:c r="AF40" s="14" t="str">
        <x:v>PRIORIDAD ALTA</x:v>
      </x:c>
    </x:row>
    <x:row r="41">
      <x:c r="A41" s="14" t="str">
        <x:v>VM-040</x:v>
      </x:c>
      <x:c r="B41" s="14" t="str">
        <x:v>Pendiente</x:v>
      </x:c>
      <x:c r="C41" s="14" t="str">
        <x:v>Villa María</x:v>
      </x:c>
      <x:c r="D41" s="14" t="str">
        <x:v>PILT</x:v>
      </x:c>
      <x:c r="E41" s="14" t="str">
        <x:v>Villa María</x:v>
      </x:c>
      <x:c r="F41" s="14" t="str">
        <x:v>A</x:v>
      </x:c>
      <x:c r="G41" s="14" t="n">
        <x:v>86</x:v>
      </x:c>
      <x:c r="H41" s="14" t="str">
        <x:v>Magno</x:v>
      </x:c>
      <x:c r="I41" s="14" t="str">
        <x:v>Equipos agroindustriales / tecnología</x:v>
      </x:c>
      <x:c r="J41" s="14" t="str">
        <x:v>Equipos agroindustriales / tecnología</x:v>
      </x:c>
      <x:c r="K41" s="14" t="str">
        <x:v>A verificar</x:v>
      </x:c>
      <x:c r="L41" s="14" t="str">
        <x:v>A verificar</x:v>
      </x:c>
      <x:c r="M41" s="14" t="str">
        <x:v>producción / logística / proyectos</x:v>
      </x:c>
      <x:c r="N41" s="14" t="str">
        <x:v>Movimientos de mantenimiento, motores, bombas, equipos, racks y cargas extraordinarias.</x:v>
      </x:c>
      <x:c r="O41" s="14" t="str">
        <x:v>Plataforma + hidrogrúa + percha + seguro/GPS.</x:v>
      </x:c>
      <x:c r="P41" s="14" t="str">
        <x:v>Proveedor local para paradas, montajes y movimientos no rutinarios.</x:v>
      </x:c>
      <x:c r="Q41" s="14" t="str">
        <x:v>Pedir mantenimiento/compras/planta; relevar equipos críticos y proveedores actuales.</x:v>
      </x:c>
      <x:c r="R41" s="14" t="str"/>
      <x:c r="S41" s="14" t="str">
        <x:v>Parque Industrial, Logístico y Tecnológico (PILT), RN9 km 551,5, Villa María, Córdoba</x:v>
      </x:c>
      <x:c r="T41" s="14" t="str"/>
      <x:c r="U41" s="14" t="str"/>
      <x:c r="V41" s="14" t="str"/>
      <x:c r="W41" s="14" t="str"/>
      <x:c r="X41" s="14" t="str"/>
      <x:c r="Y41" s="14" t="str">
        <x:v>https://www.google.com/maps/search/?api=1&amp;query=Magno%2C+Parque+Industrial%2C+Log%C3%ADstico+y+Tecnol%C3%B3gico+%28PILT%29%2C+RN9+km+551%2C5%2C+Villa+Mar%C3%ADa%2C+C%C3%B3rdoba</x:v>
      </x:c>
      <x:c r="Z41" s="14" t="str">
        <x:v>Municipalidad</x:v>
      </x:c>
      <x:c r="AA41" s="14" t="str">
        <x:v>https://villamaria.gob.ar/novedades/2025/7/27/la-empresa-local-magno-proyecta-la-construccion-de-su-planta-en-el-parque-industrial</x:v>
      </x:c>
      <x:c r="AB41" s="14" t="str">
        <x:v>Sistema de pasteurización y distribución de leche para terneros; nueva planta proyectada.</x:v>
      </x:c>
      <x:c r="AC41" s="14" t="str">
        <x:v>Alta</x:v>
      </x:c>
      <x:c r="AD41" s="14" t="str">
        <x:v>Rastrillaje integral Villa María 2026-09-15</x:v>
      </x:c>
      <x:c r="AE41" s="14" t="str">
        <x:v>Plataforma 20 tn | Hidrogrúa | Percha | Seguro/GPS</x:v>
      </x:c>
      <x:c r="AF41" s="14" t="str">
        <x:v>PRIORIDAD ALTA</x:v>
      </x:c>
    </x:row>
    <x:row r="42">
      <x:c r="A42" s="14" t="str">
        <x:v>VM-041</x:v>
      </x:c>
      <x:c r="B42" s="14" t="str">
        <x:v>Pendiente</x:v>
      </x:c>
      <x:c r="C42" s="14" t="str">
        <x:v>Villa María</x:v>
      </x:c>
      <x:c r="D42" s="14" t="str">
        <x:v>PILT</x:v>
      </x:c>
      <x:c r="E42" s="14" t="str">
        <x:v>Villa María</x:v>
      </x:c>
      <x:c r="F42" s="14" t="str">
        <x:v>A</x:v>
      </x:c>
      <x:c r="G42" s="14" t="n">
        <x:v>85</x:v>
      </x:c>
      <x:c r="H42" s="14" t="str">
        <x:v>Hidrocentro Servicios S.R.L.</x:v>
      </x:c>
      <x:c r="I42" s="14" t="str">
        <x:v>Bombas / estaciones de bombeo</x:v>
      </x:c>
      <x:c r="J42" s="14" t="str">
        <x:v>Bombas / estaciones de bombeo</x:v>
      </x:c>
      <x:c r="K42" s="14" t="str">
        <x:v>A verificar</x:v>
      </x:c>
      <x:c r="L42" s="14" t="str">
        <x:v>A verificar</x:v>
      </x:c>
      <x:c r="M42" s="14" t="str">
        <x:v>proyectos / montaje / logística</x:v>
      </x:c>
      <x:c r="N42" s="14" t="str">
        <x:v>Movimiento de tableros, transformadores, bombas, módulos y equipos industriales.</x:v>
      </x:c>
      <x:c r="O42" s="14" t="str">
        <x:v>Plataforma + hidrogrúa + percha según carga.</x:v>
      </x:c>
      <x:c r="P42" s="14" t="str">
        <x:v>Entrega y posicionamiento de equipos pesados con coordinación integral.</x:v>
      </x:c>
      <x:c r="Q42" s="14" t="str">
        <x:v>Pedir proyectos/mantenimiento/logística; consultar pesos y obras activas.</x:v>
      </x:c>
      <x:c r="R42" s="14" t="str"/>
      <x:c r="S42" s="14" t="str">
        <x:v>Parque Industrial, Logístico y Tecnológico (PILT), RN9 km 551,5, Villa María, Córdoba</x:v>
      </x:c>
      <x:c r="T42" s="14" t="str"/>
      <x:c r="U42" s="14" t="str"/>
      <x:c r="V42" s="14" t="str"/>
      <x:c r="W42" s="14" t="str"/>
      <x:c r="X42" s="14" t="str"/>
      <x:c r="Y42" s="14" t="str">
        <x:v>https://www.google.com/maps/search/?api=1&amp;query=Hidrocentro+Servicios+S.R.L.%2C+Parque+Industrial%2C+Log%C3%ADstico+y+Tecnol%C3%B3gico+%28PILT%29%2C+RN9+km+551%2C5%2C+Villa+Mar%C3%ADa%2C+C%C3%B3rdoba</x:v>
      </x:c>
      <x:c r="Z42" s="14" t="str">
        <x:v>Dateas - parque industrial</x:v>
      </x:c>
      <x:c r="AA42" s="14" t="str">
        <x:v>https://www.dateas.com/es/explore/industrias-parque-industrial-villa-maria?page=2</x:v>
      </x:c>
      <x:c r="AB42" s="14" t="str">
        <x:v>Fabricación y montaje de estaciones de bombeo y bombas de extracción.</x:v>
      </x:c>
      <x:c r="AC42" s="14" t="str">
        <x:v>Media</x:v>
      </x:c>
      <x:c r="AD42" s="14" t="str">
        <x:v>Rastrillaje integral Villa María 2026-09-15</x:v>
      </x:c>
      <x:c r="AE42" s="14" t="str">
        <x:v>Plataforma 20 tn | Hidrogrúa | Percha</x:v>
      </x:c>
      <x:c r="AF42" s="14" t="str">
        <x:v>PRIORIDAD ALTA</x:v>
      </x:c>
    </x:row>
    <x:row r="43">
      <x:c r="A43" s="14" t="str">
        <x:v>VM-042</x:v>
      </x:c>
      <x:c r="B43" s="14" t="str">
        <x:v>Pendiente</x:v>
      </x:c>
      <x:c r="C43" s="14" t="str">
        <x:v>Villa María</x:v>
      </x:c>
      <x:c r="D43" s="14" t="str">
        <x:v>Av. Savio / Industrial</x:v>
      </x:c>
      <x:c r="E43" s="14" t="str">
        <x:v>Villa María</x:v>
      </x:c>
      <x:c r="F43" s="14" t="str">
        <x:v>A</x:v>
      </x:c>
      <x:c r="G43" s="14" t="n">
        <x:v>84</x:v>
      </x:c>
      <x:c r="H43" s="14" t="str">
        <x:v>Lácteos La Cristina S.A.</x:v>
      </x:c>
      <x:c r="I43" s="14" t="str">
        <x:v>Planta láctea / agroindustria</x:v>
      </x:c>
      <x:c r="J43" s="14" t="str">
        <x:v>Planta láctea / agroindustria</x:v>
      </x:c>
      <x:c r="K43" s="14" t="str">
        <x:v>0353 4548043</x:v>
      </x:c>
      <x:c r="L43" s="14" t="str">
        <x:v>OK</x:v>
      </x:c>
      <x:c r="M43" s="14" t="str">
        <x:v>mantenimiento / compras / planta</x:v>
      </x:c>
      <x:c r="N43" s="14" t="str">
        <x:v>Movimientos de mantenimiento, motores, bombas, equipos, racks y cargas extraordinarias.</x:v>
      </x:c>
      <x:c r="O43" s="14" t="str">
        <x:v>Plataforma + hidrogrúa + percha + seguro/GPS.</x:v>
      </x:c>
      <x:c r="P43" s="14" t="str">
        <x:v>Proveedor local para paradas, montajes y movimientos no rutinarios.</x:v>
      </x:c>
      <x:c r="Q43" s="14" t="str">
        <x:v>Pedir mantenimiento/compras/planta; relevar equipos críticos y proveedores actuales.</x:v>
      </x:c>
      <x:c r="R43" s="14" t="str"/>
      <x:c r="S43" s="14" t="str">
        <x:v>Av. General Savio 3500, Villa María, Córdoba</x:v>
      </x:c>
      <x:c r="T43" s="14" t="str"/>
      <x:c r="U43" s="14" t="str"/>
      <x:c r="V43" s="14" t="str"/>
      <x:c r="W43" s="14" t="str"/>
      <x:c r="X43" s="14" t="str">
        <x:v>03534548043</x:v>
      </x:c>
      <x:c r="Y43" s="14" t="str">
        <x:v>https://www.google.com/maps/search/?api=1&amp;query=L%C3%A1cteos+La+Cristina+S.A.%2C+Av.+General+Savio+3500%2C+Villa+Mar%C3%ADa%2C+C%C3%B3rdoba</x:v>
      </x:c>
      <x:c r="Z43" s="14" t="str">
        <x:v>Web oficial</x:v>
      </x:c>
      <x:c r="AA43" s="14" t="str">
        <x:v>https://lcsuero.com/quienes-somos.html</x:v>
      </x:c>
      <x:c r="AB43" s="14" t="str">
        <x:v>Planta de derivados lácteos en polvo con capacidad industrial relevante.</x:v>
      </x:c>
      <x:c r="AC43" s="14" t="str">
        <x:v>Alta</x:v>
      </x:c>
      <x:c r="AD43" s="14" t="str">
        <x:v>Rastrillaje integral Villa María 2026-09-15</x:v>
      </x:c>
      <x:c r="AE43" s="14" t="str">
        <x:v>Plataforma 20 tn | Hidrogrúa | Percha | Seguro/GPS</x:v>
      </x:c>
      <x:c r="AF43" s="14" t="str">
        <x:v>PRIORIDAD ALTA</x:v>
      </x:c>
    </x:row>
    <x:row r="44">
      <x:c r="A44" s="14" t="str">
        <x:v>VM-043</x:v>
      </x:c>
      <x:c r="B44" s="14" t="str">
        <x:v>Pendiente</x:v>
      </x:c>
      <x:c r="C44" s="14" t="str">
        <x:v>Villa María</x:v>
      </x:c>
      <x:c r="D44" s="14" t="str">
        <x:v>Bv. Argentino / RN158</x:v>
      </x:c>
      <x:c r="E44" s="14" t="str">
        <x:v>Villa María</x:v>
      </x:c>
      <x:c r="F44" s="14" t="str">
        <x:v>A</x:v>
      </x:c>
      <x:c r="G44" s="14" t="n">
        <x:v>84</x:v>
      </x:c>
      <x:c r="H44" s="14" t="str">
        <x:v>TALLER METALÚRGICO VM S.A. (TAL-MET)</x:v>
      </x:c>
      <x:c r="I44" s="14" t="str">
        <x:v>Metalúrgica</x:v>
      </x:c>
      <x:c r="J44" s="14" t="str">
        <x:v>Metalúrgica</x:v>
      </x:c>
      <x:c r="K44" s="14" t="str">
        <x:v>0353 6563274</x:v>
      </x:c>
      <x:c r="L44" s="14" t="str">
        <x:v>OK</x:v>
      </x:c>
      <x:c r="M44" s="14" t="str">
        <x:v>dueño / producción / expedición</x:v>
      </x:c>
      <x:c r="N44" s="14" t="str">
        <x:v>Despacho de estructuras, conjuntos metálicos, piezas pesadas o equipos de producción.</x:v>
      </x:c>
      <x:c r="O44" s="14" t="str">
        <x:v>Plataforma + hidrogrúa + malacate; percha según carga.</x:v>
      </x:c>
      <x:c r="P44" s="14" t="str">
        <x:v>Resolver piezas pesadas o fuera de medida con un único proveedor.</x:v>
      </x:c>
      <x:c r="Q44" s="14" t="str">
        <x:v>Pedir producción/expedición; relevar piezas máximas y destinos habituales.</x:v>
      </x:c>
      <x:c r="R44" s="14" t="str"/>
      <x:c r="S44" s="14" t="str">
        <x:v>Bv. Argentino 2010, Villa María, Córdoba</x:v>
      </x:c>
      <x:c r="T44" s="14" t="str"/>
      <x:c r="U44" s="14" t="str"/>
      <x:c r="V44" s="14" t="str"/>
      <x:c r="W44" s="14" t="str"/>
      <x:c r="X44" s="14" t="str">
        <x:v>03536563274</x:v>
      </x:c>
      <x:c r="Y44" s="14" t="str">
        <x:v>https://www.google.com/maps/search/?api=1&amp;query=TALLER+METAL%C3%9ARGICO+VM+S.A.+%28TAL-MET%29%2C+Bv.+Argentino+2010%2C+Villa+Mar%C3%ADa%2C+C%C3%B3rdoba</x:v>
      </x:c>
      <x:c r="Z44" s="14" t="str">
        <x:v>Google Business</x:v>
      </x:c>
      <x:c r="AA44" s="14" t="str">
        <x:v>https://www.google.com/maps/search/?api=1&amp;query=TALLER+METAL%C3%9ARGICO+VM+S.A.%2C+Bv.+Argentino+2010%2C+Villa+Mar%C3%ADa%2C+C%C3%B3rdoba</x:v>
      </x:c>
      <x:c r="AB44" s="14" t="str">
        <x:v>Taller metalúrgico local.</x:v>
      </x:c>
      <x:c r="AC44" s="14" t="str">
        <x:v>Alta</x:v>
      </x:c>
      <x:c r="AD44" s="14" t="str">
        <x:v>Rastrillaje integral Villa María 2026-09-15</x:v>
      </x:c>
      <x:c r="AE44" s="14" t="str">
        <x:v>Plataforma 20 tn | Hidrogrúa | Malacate | Percha</x:v>
      </x:c>
      <x:c r="AF44" s="14" t="str">
        <x:v>PRIORIDAD ALTA</x:v>
      </x:c>
    </x:row>
    <x:row r="45">
      <x:c r="A45" s="14" t="str">
        <x:v>VM-044</x:v>
      </x:c>
      <x:c r="B45" s="14" t="str">
        <x:v>Pendiente</x:v>
      </x:c>
      <x:c r="C45" s="14" t="str">
        <x:v>Villa María</x:v>
      </x:c>
      <x:c r="D45" s="14" t="str">
        <x:v>PILT</x:v>
      </x:c>
      <x:c r="E45" s="14" t="str">
        <x:v>Villa María</x:v>
      </x:c>
      <x:c r="F45" s="14" t="str">
        <x:v>A</x:v>
      </x:c>
      <x:c r="G45" s="14" t="n">
        <x:v>83</x:v>
      </x:c>
      <x:c r="H45" s="14" t="str">
        <x:v>Gas Carbónico Chiantore SAI</x:v>
      </x:c>
      <x:c r="I45" s="14" t="str">
        <x:v>Equipos industriales / CO2</x:v>
      </x:c>
      <x:c r="J45" s="14" t="str">
        <x:v>Equipos industriales / CO2</x:v>
      </x:c>
      <x:c r="K45" s="14" t="str">
        <x:v>A verificar</x:v>
      </x:c>
      <x:c r="L45" s="14" t="str">
        <x:v>A verificar</x:v>
      </x:c>
      <x:c r="M45" s="14" t="str">
        <x:v>producción / montaje / logística</x:v>
      </x:c>
      <x:c r="N45" s="14" t="str">
        <x:v>Movimiento de tableros, transformadores, bombas, módulos y equipos industriales.</x:v>
      </x:c>
      <x:c r="O45" s="14" t="str">
        <x:v>Plataforma + hidrogrúa + percha según carga.</x:v>
      </x:c>
      <x:c r="P45" s="14" t="str">
        <x:v>Entrega y posicionamiento de equipos pesados con coordinación integral.</x:v>
      </x:c>
      <x:c r="Q45" s="14" t="str">
        <x:v>Pedir proyectos/mantenimiento/logística; consultar pesos y obras activas.</x:v>
      </x:c>
      <x:c r="R45" s="14" t="str"/>
      <x:c r="S45" s="14" t="str">
        <x:v>Parque Industrial, Logístico y Tecnológico (PILT), RN9 km 551,5, Villa María, Córdoba</x:v>
      </x:c>
      <x:c r="T45" s="14" t="str"/>
      <x:c r="U45" s="14" t="str"/>
      <x:c r="V45" s="14" t="str"/>
      <x:c r="W45" s="14" t="str"/>
      <x:c r="X45" s="14" t="str"/>
      <x:c r="Y45" s="14" t="str">
        <x:v>https://www.google.com/maps/search/?api=1&amp;query=Gas+Carb%C3%B3nico+Chiantore+SAI%2C+Parque+Industrial%2C+Log%C3%ADstico+y+Tecnol%C3%B3gico+%28PILT%29%2C+RN9+km+551%2C5%2C+Villa+Mar%C3%ADa%2C+C%C3%B3rdoba</x:v>
      </x:c>
      <x:c r="Z45" s="14" t="str">
        <x:v>Dateas - parque industrial</x:v>
      </x:c>
      <x:c r="AA45" s="14" t="str">
        <x:v>https://www.dateas.com/es/explore/industrias-parque-industrial-villa-maria?page=2</x:v>
      </x:c>
      <x:c r="AB45" s="14" t="str">
        <x:v>Armado de equipos para almacenamiento de CO2.</x:v>
      </x:c>
      <x:c r="AC45" s="14" t="str">
        <x:v>Media</x:v>
      </x:c>
      <x:c r="AD45" s="14" t="str">
        <x:v>Rastrillaje integral Villa María 2026-09-15</x:v>
      </x:c>
      <x:c r="AE45" s="14" t="str">
        <x:v>Plataforma 20 tn | Hidrogrúa | Percha</x:v>
      </x:c>
      <x:c r="AF45" s="14" t="str">
        <x:v>PRIORIDAD ALTA</x:v>
      </x:c>
    </x:row>
    <x:row r="46">
      <x:c r="A46" s="14" t="str">
        <x:v>VM-045</x:v>
      </x:c>
      <x:c r="B46" s="14" t="str">
        <x:v>Pendiente</x:v>
      </x:c>
      <x:c r="C46" s="14" t="str">
        <x:v>Villa María</x:v>
      </x:c>
      <x:c r="D46" s="14" t="str">
        <x:v>PILT</x:v>
      </x:c>
      <x:c r="E46" s="14" t="str">
        <x:v>Villa María</x:v>
      </x:c>
      <x:c r="F46" s="14" t="str">
        <x:v>A</x:v>
      </x:c>
      <x:c r="G46" s="14" t="n">
        <x:v>83</x:v>
      </x:c>
      <x:c r="H46" s="14" t="str">
        <x:v>Metalúrgica Técnica Estructuras Toro</x:v>
      </x:c>
      <x:c r="I46" s="14" t="str">
        <x:v>Estructuras metálicas</x:v>
      </x:c>
      <x:c r="J46" s="14" t="str">
        <x:v>Estructuras metálicas</x:v>
      </x:c>
      <x:c r="K46" s="14" t="str">
        <x:v>A verificar</x:v>
      </x:c>
      <x:c r="L46" s="14" t="str">
        <x:v>A verificar</x:v>
      </x:c>
      <x:c r="M46" s="14" t="str">
        <x:v>producción / montaje / expedición</x:v>
      </x:c>
      <x:c r="N46" s="14" t="str">
        <x:v>Despacho de estructuras, conjuntos metálicos, piezas pesadas o equipos de producción.</x:v>
      </x:c>
      <x:c r="O46" s="14" t="str">
        <x:v>Plataforma + hidrogrúa + malacate; percha según carga.</x:v>
      </x:c>
      <x:c r="P46" s="14" t="str">
        <x:v>Resolver piezas pesadas o fuera de medida con un único proveedor.</x:v>
      </x:c>
      <x:c r="Q46" s="14" t="str">
        <x:v>Pedir producción/expedición; relevar piezas máximas y destinos habituales.</x:v>
      </x:c>
      <x:c r="R46" s="14" t="str"/>
      <x:c r="S46" s="14" t="str">
        <x:v>Parque Industrial, Logístico y Tecnológico (PILT), RN9 km 551,5, Villa María, Córdoba</x:v>
      </x:c>
      <x:c r="T46" s="14" t="str"/>
      <x:c r="U46" s="14" t="str"/>
      <x:c r="V46" s="14" t="str"/>
      <x:c r="W46" s="14" t="str"/>
      <x:c r="X46" s="14" t="str"/>
      <x:c r="Y46" s="14" t="str">
        <x:v>https://www.google.com/maps/search/?api=1&amp;query=Metal%C3%BArgica+T%C3%A9cnica+Estructuras+Toro%2C+Parque+Industrial%2C+Log%C3%ADstico+y+Tecnol%C3%B3gico+%28PILT%29%2C+RN9+km+551%2C5%2C+Villa+Mar%C3%ADa%2C+C%C3%B3rdoba</x:v>
      </x:c>
      <x:c r="Z46" s="14" t="str">
        <x:v>Dateas - parque industrial</x:v>
      </x:c>
      <x:c r="AA46" s="14" t="str">
        <x:v>https://www.dateas.com/es/explore/industrias-parque-industrial-villa-maria?page=3</x:v>
      </x:c>
      <x:c r="AB46" s="14" t="str">
        <x:v>Fabricación de estructuras metálicas y afines.</x:v>
      </x:c>
      <x:c r="AC46" s="14" t="str">
        <x:v>Media</x:v>
      </x:c>
      <x:c r="AD46" s="14" t="str">
        <x:v>Rastrillaje integral Villa María 2026-09-15</x:v>
      </x:c>
      <x:c r="AE46" s="14" t="str">
        <x:v>Plataforma 20 tn | Hidrogrúa | Malacate | Percha</x:v>
      </x:c>
      <x:c r="AF46" s="14" t="str">
        <x:v>PRIORIDAD ALTA</x:v>
      </x:c>
    </x:row>
    <x:row r="47">
      <x:c r="A47" s="14" t="str">
        <x:v>VM-046</x:v>
      </x:c>
      <x:c r="B47" s="14" t="str">
        <x:v>Pendiente</x:v>
      </x:c>
      <x:c r="C47" s="14" t="str">
        <x:v>Villa María</x:v>
      </x:c>
      <x:c r="D47" s="14" t="str">
        <x:v>PILT</x:v>
      </x:c>
      <x:c r="E47" s="14" t="str">
        <x:v>Villa María</x:v>
      </x:c>
      <x:c r="F47" s="14" t="str">
        <x:v>A</x:v>
      </x:c>
      <x:c r="G47" s="14" t="n">
        <x:v>82</x:v>
      </x:c>
      <x:c r="H47" s="14" t="str">
        <x:v>Abastecimientos S.A.</x:v>
      </x:c>
      <x:c r="I47" s="14" t="str">
        <x:v>Insumos industriales / logística</x:v>
      </x:c>
      <x:c r="J47" s="14" t="str">
        <x:v>Insumos industriales / logística</x:v>
      </x:c>
      <x:c r="K47" s="14" t="str">
        <x:v>A verificar</x:v>
      </x:c>
      <x:c r="L47" s="14" t="str">
        <x:v>A verificar</x:v>
      </x:c>
      <x:c r="M47" s="14" t="str">
        <x:v>logística / depósito / operaciones</x:v>
      </x:c>
      <x:c r="N47" s="14" t="str">
        <x:v>Overflow y derivación de cargas/equipos que requieren plataforma, malacate o hidrogrúa.</x:v>
      </x:c>
      <x:c r="O47" s="14" t="str">
        <x:v>Capacidad complementaria: plataforma 20 tn + hidrogrúa + malacate.</x:v>
      </x:c>
      <x:c r="P47" s="14" t="str">
        <x:v>Ser proveedor de respaldo para servicios especiales que excedan la flota habitual.</x:v>
      </x:c>
      <x:c r="Q47" s="14" t="str">
        <x:v>Pedir tráfico/operaciones; ofrecer acuerdo de derivaciones y contingencias.</x:v>
      </x:c>
      <x:c r="R47" s="14" t="str"/>
      <x:c r="S47" s="14" t="str">
        <x:v>Parque Industrial, Logístico y Tecnológico (PILT), RN9 km 551,5, Villa María, Córdoba</x:v>
      </x:c>
      <x:c r="T47" s="14" t="str"/>
      <x:c r="U47" s="14" t="str"/>
      <x:c r="V47" s="14" t="str"/>
      <x:c r="W47" s="14" t="str"/>
      <x:c r="X47" s="14" t="str"/>
      <x:c r="Y47" s="14" t="str">
        <x:v>https://www.google.com/maps/search/?api=1&amp;query=Abastecimientos+S.A.%2C+Parque+Industrial%2C+Log%C3%ADstico+y+Tecnol%C3%B3gico+%28PILT%29%2C+RN9+km+551%2C5%2C+Villa+Mar%C3%ADa%2C+C%C3%B3rdoba</x:v>
      </x:c>
      <x:c r="Z47" s="14" t="str">
        <x:v>Municipalidad</x:v>
      </x:c>
      <x:c r="AA47" s="14" t="str">
        <x:v>https://www.villamaria.gob.ar/noticias/2024/11/30/villa-maria-mas-innovadora-dos-empresas-locales-expanden-su-infraestructura</x:v>
      </x:c>
      <x:c r="AB47" s="14" t="str">
        <x:v>Tercer depósito en el PILT; especialidades para industria alimenticia, farmacéutica, agrícola y renovables.</x:v>
      </x:c>
      <x:c r="AC47" s="14" t="str">
        <x:v>Alta</x:v>
      </x:c>
      <x:c r="AD47" s="14" t="str">
        <x:v>Rastrillaje integral Villa María 2026-09-15</x:v>
      </x:c>
      <x:c r="AE47" s="14" t="str">
        <x:v>Plataforma 20 tn | Hidrogrúa | Malacate | Subcontratación</x:v>
      </x:c>
      <x:c r="AF47" s="14" t="str">
        <x:v>PRIORIDAD ALTA</x:v>
      </x:c>
    </x:row>
    <x:row r="48">
      <x:c r="A48" s="14" t="str">
        <x:v>VM-047</x:v>
      </x:c>
      <x:c r="B48" s="14" t="str">
        <x:v>Pendiente</x:v>
      </x:c>
      <x:c r="C48" s="14" t="str">
        <x:v>Villa María</x:v>
      </x:c>
      <x:c r="D48" s="14" t="str">
        <x:v>PILT</x:v>
      </x:c>
      <x:c r="E48" s="14" t="str">
        <x:v>Villa María</x:v>
      </x:c>
      <x:c r="F48" s="14" t="str">
        <x:v>A</x:v>
      </x:c>
      <x:c r="G48" s="14" t="n">
        <x:v>82</x:v>
      </x:c>
      <x:c r="H48" s="14" t="str">
        <x:v>Insumos SAR SRL</x:v>
      </x:c>
      <x:c r="I48" s="14" t="str">
        <x:v>Químicos / industria láctea</x:v>
      </x:c>
      <x:c r="J48" s="14" t="str">
        <x:v>Químicos / industria láctea</x:v>
      </x:c>
      <x:c r="K48" s="14" t="str">
        <x:v>0353 5101460</x:v>
      </x:c>
      <x:c r="L48" s="14" t="str">
        <x:v>OK</x:v>
      </x:c>
      <x:c r="M48" s="14" t="str">
        <x:v>logística / producción / mantenimiento</x:v>
      </x:c>
      <x:c r="N48" s="14" t="str">
        <x:v>Movimientos de mantenimiento, motores, bombas, equipos, racks y cargas extraordinarias.</x:v>
      </x:c>
      <x:c r="O48" s="14" t="str">
        <x:v>Plataforma + hidrogrúa + percha + seguro/GPS.</x:v>
      </x:c>
      <x:c r="P48" s="14" t="str">
        <x:v>Proveedor local para paradas, montajes y movimientos no rutinarios.</x:v>
      </x:c>
      <x:c r="Q48" s="14" t="str">
        <x:v>Pedir mantenimiento/compras/planta; relevar equipos críticos y proveedores actuales.</x:v>
      </x:c>
      <x:c r="R48" s="14" t="str"/>
      <x:c r="S48" s="14" t="str">
        <x:v>Ángel Ayassa 6248, PILT, Villa María, Córdoba</x:v>
      </x:c>
      <x:c r="T48" s="14" t="str"/>
      <x:c r="U48" s="14" t="str"/>
      <x:c r="V48" s="14" t="str"/>
      <x:c r="W48" s="14" t="str"/>
      <x:c r="X48" s="14" t="str">
        <x:v>03535101460</x:v>
      </x:c>
      <x:c r="Y48" s="14" t="str">
        <x:v>https://www.google.com/maps/search/?api=1&amp;query=Insumos+SAR+SRL%2C+%C3%81ngel+Ayassa+6248%2C+PILT%2C+Villa+Mar%C3%ADa%2C+C%C3%B3rdoba</x:v>
      </x:c>
      <x:c r="Z48" s="14" t="str">
        <x:v>PILT oficial</x:v>
      </x:c>
      <x:c r="AA48" s="14" t="str">
        <x:v>https://pilt.com.ar/parque-industrial/insumos-sar-srl/</x:v>
      </x:c>
      <x:c r="AB48" s="14" t="str">
        <x:v>Insumos alimenticios/lácteos y productos químicos; planta en el PILT.</x:v>
      </x:c>
      <x:c r="AC48" s="14" t="str">
        <x:v>Alta</x:v>
      </x:c>
      <x:c r="AD48" s="14" t="str">
        <x:v>Rastrillaje integral Villa María 2026-09-15</x:v>
      </x:c>
      <x:c r="AE48" s="14" t="str">
        <x:v>Plataforma 20 tn | Hidrogrúa | Percha | Seguro/GPS</x:v>
      </x:c>
      <x:c r="AF48" s="14" t="str">
        <x:v>PRIORIDAD ALTA</x:v>
      </x:c>
    </x:row>
    <x:row r="49">
      <x:c r="A49" s="14" t="str">
        <x:v>VM-048</x:v>
      </x:c>
      <x:c r="B49" s="14" t="str">
        <x:v>Pendiente</x:v>
      </x:c>
      <x:c r="C49" s="14" t="str">
        <x:v>Villa María</x:v>
      </x:c>
      <x:c r="D49" s="14" t="str">
        <x:v>PILT</x:v>
      </x:c>
      <x:c r="E49" s="14" t="str">
        <x:v>Villa María</x:v>
      </x:c>
      <x:c r="F49" s="14" t="str">
        <x:v>A</x:v>
      </x:c>
      <x:c r="G49" s="14" t="n">
        <x:v>82</x:v>
      </x:c>
      <x:c r="H49" s="14" t="str">
        <x:v>Jover Berruti José</x:v>
      </x:c>
      <x:c r="I49" s="14" t="str">
        <x:v>Estructuras metálicas</x:v>
      </x:c>
      <x:c r="J49" s="14" t="str">
        <x:v>Estructuras metálicas</x:v>
      </x:c>
      <x:c r="K49" s="14" t="str">
        <x:v>A verificar</x:v>
      </x:c>
      <x:c r="L49" s="14" t="str">
        <x:v>A verificar</x:v>
      </x:c>
      <x:c r="M49" s="14" t="str">
        <x:v>producción / montaje</x:v>
      </x:c>
      <x:c r="N49" s="14" t="str">
        <x:v>Despacho de estructuras, conjuntos metálicos, piezas pesadas o equipos de producción.</x:v>
      </x:c>
      <x:c r="O49" s="14" t="str">
        <x:v>Plataforma + hidrogrúa + malacate; percha según carga.</x:v>
      </x:c>
      <x:c r="P49" s="14" t="str">
        <x:v>Resolver piezas pesadas o fuera de medida con un único proveedor.</x:v>
      </x:c>
      <x:c r="Q49" s="14" t="str">
        <x:v>Pedir producción/expedición; relevar piezas máximas y destinos habituales.</x:v>
      </x:c>
      <x:c r="R49" s="14" t="str"/>
      <x:c r="S49" s="14" t="str">
        <x:v>Parque Industrial, Logístico y Tecnológico (PILT), RN9 km 551,5, Villa María, Córdoba</x:v>
      </x:c>
      <x:c r="T49" s="14" t="str"/>
      <x:c r="U49" s="14" t="str"/>
      <x:c r="V49" s="14" t="str"/>
      <x:c r="W49" s="14" t="str"/>
      <x:c r="X49" s="14" t="str"/>
      <x:c r="Y49" s="14" t="str">
        <x:v>https://www.google.com/maps/search/?api=1&amp;query=Jover+Berruti+Jos%C3%A9%2C+Parque+Industrial%2C+Log%C3%ADstico+y+Tecnol%C3%B3gico+%28PILT%29%2C+RN9+km+551%2C5%2C+Villa+Mar%C3%ADa%2C+C%C3%B3rdoba</x:v>
      </x:c>
      <x:c r="Z49" s="14" t="str">
        <x:v>Dateas - parque industrial</x:v>
      </x:c>
      <x:c r="AA49" s="14" t="str">
        <x:v>https://www.dateas.com/es/explore/industrias-parque-industrial-villa-maria?page=3</x:v>
      </x:c>
      <x:c r="AB49" s="14" t="str">
        <x:v>Fábrica de estructuras metálicas.</x:v>
      </x:c>
      <x:c r="AC49" s="14" t="str">
        <x:v>Media</x:v>
      </x:c>
      <x:c r="AD49" s="14" t="str">
        <x:v>Rastrillaje integral Villa María 2026-09-15</x:v>
      </x:c>
      <x:c r="AE49" s="14" t="str">
        <x:v>Plataforma 20 tn | Hidrogrúa | Malacate | Percha</x:v>
      </x:c>
      <x:c r="AF49" s="14" t="str">
        <x:v>PRIORIDAD ALTA</x:v>
      </x:c>
    </x:row>
    <x:row r="50">
      <x:c r="A50" s="14" t="str">
        <x:v>VM-049</x:v>
      </x:c>
      <x:c r="B50" s="14" t="str">
        <x:v>Pendiente</x:v>
      </x:c>
      <x:c r="C50" s="14" t="str">
        <x:v>Villa María</x:v>
      </x:c>
      <x:c r="D50" s="14" t="str">
        <x:v>Ruta 2 / industrial</x:v>
      </x:c>
      <x:c r="E50" s="14" t="str">
        <x:v>Villa María</x:v>
      </x:c>
      <x:c r="F50" s="14" t="str">
        <x:v>A</x:v>
      </x:c>
      <x:c r="G50" s="14" t="n">
        <x:v>82</x:v>
      </x:c>
      <x:c r="H50" s="14" t="str">
        <x:v>NOAL</x:v>
      </x:c>
      <x:c r="I50" s="14" t="str">
        <x:v>Planta industrial / alimentos</x:v>
      </x:c>
      <x:c r="J50" s="14" t="str">
        <x:v>Planta industrial / alimentos</x:v>
      </x:c>
      <x:c r="K50" s="14" t="str">
        <x:v>0353 4531901</x:v>
      </x:c>
      <x:c r="L50" s="14" t="str">
        <x:v>OK</x:v>
      </x:c>
      <x:c r="M50" s="14" t="str">
        <x:v>mantenimiento / logística / planta</x:v>
      </x:c>
      <x:c r="N50" s="14" t="str">
        <x:v>Movimientos de mantenimiento, motores, bombas, equipos, racks y cargas extraordinarias.</x:v>
      </x:c>
      <x:c r="O50" s="14" t="str">
        <x:v>Plataforma + hidrogrúa + percha + seguro/GPS.</x:v>
      </x:c>
      <x:c r="P50" s="14" t="str">
        <x:v>Proveedor local para paradas, montajes y movimientos no rutinarios.</x:v>
      </x:c>
      <x:c r="Q50" s="14" t="str">
        <x:v>Pedir mantenimiento/compras/planta; relevar equipos críticos y proveedores actuales.</x:v>
      </x:c>
      <x:c r="R50" s="14" t="str"/>
      <x:c r="S50" s="14" t="str">
        <x:v>Ruta Provincial 2, Villa María, Córdoba</x:v>
      </x:c>
      <x:c r="T50" s="14" t="str"/>
      <x:c r="U50" s="14" t="str"/>
      <x:c r="V50" s="14" t="str"/>
      <x:c r="W50" s="14" t="str"/>
      <x:c r="X50" s="14" t="str">
        <x:v>03534531901</x:v>
      </x:c>
      <x:c r="Y50" s="14" t="str">
        <x:v>https://www.google.com/maps/search/?api=1&amp;query=NOAL%2C+Ruta+Provincial+2%2C+Villa+Mar%C3%ADa%2C+C%C3%B3rdoba</x:v>
      </x:c>
      <x:c r="Z50" s="14" t="str">
        <x:v>Google Business</x:v>
      </x:c>
      <x:c r="AA50" s="14" t="str">
        <x:v>https://www.google.com/maps/search/?api=1&amp;query=NOAL%2C+Ruta+Provincial+2%2C+Villa+Mar%C3%ADa%2C+C%C3%B3rdoba</x:v>
      </x:c>
      <x:c r="AB50" s="14" t="str">
        <x:v>Planta industrial de escala relevante.</x:v>
      </x:c>
      <x:c r="AC50" s="14" t="str">
        <x:v>Alta</x:v>
      </x:c>
      <x:c r="AD50" s="14" t="str">
        <x:v>Rastrillaje integral Villa María 2026-09-15</x:v>
      </x:c>
      <x:c r="AE50" s="14" t="str">
        <x:v>Plataforma 20 tn | Hidrogrúa | Percha | Seguro/GPS</x:v>
      </x:c>
      <x:c r="AF50" s="14" t="str">
        <x:v>PRIORIDAD ALTA</x:v>
      </x:c>
    </x:row>
    <x:row r="51">
      <x:c r="A51" s="14" t="str">
        <x:v>VM-050</x:v>
      </x:c>
      <x:c r="B51" s="14" t="str">
        <x:v>Pendiente</x:v>
      </x:c>
      <x:c r="C51" s="14" t="str">
        <x:v>Villa María</x:v>
      </x:c>
      <x:c r="D51" s="14" t="str">
        <x:v>Urbano</x:v>
      </x:c>
      <x:c r="E51" s="14" t="str">
        <x:v>Villa María</x:v>
      </x:c>
      <x:c r="F51" s="14" t="str">
        <x:v>A</x:v>
      </x:c>
      <x:c r="G51" s="14" t="n">
        <x:v>82</x:v>
      </x:c>
      <x:c r="H51" s="14" t="str">
        <x:v>Premoldeados San Martín</x:v>
      </x:c>
      <x:c r="I51" s="14" t="str">
        <x:v>Premoldeados / construcción</x:v>
      </x:c>
      <x:c r="J51" s="14" t="str">
        <x:v>Premoldeados / construcción</x:v>
      </x:c>
      <x:c r="K51" s="14" t="str">
        <x:v>+54 9 353 5083380</x:v>
      </x:c>
      <x:c r="L51" s="14" t="str">
        <x:v>OK</x:v>
      </x:c>
      <x:c r="M51" s="14" t="str">
        <x:v>producción / logística</x:v>
      </x:c>
      <x:c r="N51" s="14" t="str">
        <x:v>Movimiento de equipos de planta, moldes, bombas, premoldeados y cargas pesadas especiales.</x:v>
      </x:c>
      <x:c r="O51" s="14" t="str">
        <x:v>Plataforma + hidrogrúa + percha para pallets.</x:v>
      </x:c>
      <x:c r="P51" s="14" t="str">
        <x:v>Complementar la logística convencional con cargas y equipos especiales.</x:v>
      </x:c>
      <x:c r="Q51" s="14" t="str">
        <x:v>Pedir planta/logística/mantenimiento; relevar equipos y movimientos no cubiertos.</x:v>
      </x:c>
      <x:c r="R51" s="14" t="str"/>
      <x:c r="S51" s="14" t="str">
        <x:v>Entre Ríos 2236, Villa María, Córdoba</x:v>
      </x:c>
      <x:c r="T51" s="14" t="str"/>
      <x:c r="U51" s="14" t="str"/>
      <x:c r="V51" s="14" t="str"/>
      <x:c r="W51" s="14" t="str"/>
      <x:c r="X51" s="14" t="str">
        <x:v>+5493535083380</x:v>
      </x:c>
      <x:c r="Y51" s="14" t="str">
        <x:v>https://www.google.com/maps/search/?api=1&amp;query=Premoldeados+San+Mart%C3%ADn%2C+Entre+R%C3%ADos+2236%2C+Villa+Mar%C3%ADa%2C+C%C3%B3rdoba</x:v>
      </x:c>
      <x:c r="Z51" s="14" t="str">
        <x:v>Google Business</x:v>
      </x:c>
      <x:c r="AA51" s="14" t="str">
        <x:v>https://www.google.com/maps/search/?api=1&amp;query=Premoldeados+San+Mart%C3%ADn%2C+Entre+R%C3%ADos+2236%2C+Villa+Mar%C3%ADa%2C+C%C3%B3rdoba</x:v>
      </x:c>
      <x:c r="AB51" s="14" t="str">
        <x:v>Premoldeados y servicios de construcción.</x:v>
      </x:c>
      <x:c r="AC51" s="14" t="str">
        <x:v>Alta</x:v>
      </x:c>
      <x:c r="AD51" s="14" t="str">
        <x:v>Rastrillaje integral Villa María 2026-09-15</x:v>
      </x:c>
      <x:c r="AE51" s="14" t="str">
        <x:v>Plataforma 20 tn | Hidrogrúa | Percha | Malacate</x:v>
      </x:c>
      <x:c r="AF51" s="14" t="str">
        <x:v>PRIORIDAD ALTA</x:v>
      </x:c>
    </x:row>
    <x:row r="52">
      <x:c r="A52" s="14" t="str">
        <x:v>VM-051</x:v>
      </x:c>
      <x:c r="B52" s="14" t="str">
        <x:v>Pendiente</x:v>
      </x:c>
      <x:c r="C52" s="14" t="str">
        <x:v>Villa María</x:v>
      </x:c>
      <x:c r="D52" s="14" t="str">
        <x:v>PILT</x:v>
      </x:c>
      <x:c r="E52" s="14" t="str">
        <x:v>Villa María</x:v>
      </x:c>
      <x:c r="F52" s="14" t="str">
        <x:v>A</x:v>
      </x:c>
      <x:c r="G52" s="14" t="n">
        <x:v>82</x:v>
      </x:c>
      <x:c r="H52" s="14" t="str">
        <x:v>Todo Ingredientes S.A.</x:v>
      </x:c>
      <x:c r="I52" s="14" t="str">
        <x:v>Ingredientes / industria alimenticia</x:v>
      </x:c>
      <x:c r="J52" s="14" t="str">
        <x:v>Ingredientes / industria alimenticia</x:v>
      </x:c>
      <x:c r="K52" s="14" t="str">
        <x:v>0353 4780902</x:v>
      </x:c>
      <x:c r="L52" s="14" t="str">
        <x:v>OK</x:v>
      </x:c>
      <x:c r="M52" s="14" t="str">
        <x:v>logística / mantenimiento / planta</x:v>
      </x:c>
      <x:c r="N52" s="14" t="str">
        <x:v>Movimientos de equipos o cargas especiales asociados a la operación.</x:v>
      </x:c>
      <x:c r="O52" s="14" t="str">
        <x:v>Plataforma 20 tn + hidrogrúa + malacate según necesidad.</x:v>
      </x:c>
      <x:c r="P52" s="14" t="str">
        <x:v>Capacidad externa para movimientos pesados o especiales.</x:v>
      </x:c>
      <x:c r="Q52" s="14" t="str">
        <x:v>Contactar operaciones/logística y relevar movimientos actuales.</x:v>
      </x:c>
      <x:c r="R52" s="14" t="str"/>
      <x:c r="S52" s="14" t="str">
        <x:v>Emilio Werner 6441, PILT, Villa María, Córdoba</x:v>
      </x:c>
      <x:c r="T52" s="14" t="str"/>
      <x:c r="U52" s="14" t="str"/>
      <x:c r="V52" s="14" t="str"/>
      <x:c r="W52" s="14" t="str"/>
      <x:c r="X52" s="14" t="str">
        <x:v>03534780902</x:v>
      </x:c>
      <x:c r="Y52" s="14" t="str">
        <x:v>https://www.google.com/maps/search/?api=1&amp;query=Todo+Ingredientes+S.A.%2C+Emilio+Werner+6441%2C+PILT%2C+Villa+Mar%C3%ADa%2C+C%C3%B3rdoba</x:v>
      </x:c>
      <x:c r="Z52" s="14" t="str">
        <x:v>Google Business</x:v>
      </x:c>
      <x:c r="AA52" s="14" t="str">
        <x:v>https://www.google.com/maps/search/?api=1&amp;query=Todo+Ingredientes+S.A.%2C+Emilio+Werner+6441%2C+Villa+Mar%C3%ADa%2C+C%C3%B3rdoba</x:v>
      </x:c>
      <x:c r="AB52" s="14" t="str">
        <x:v>Suministro y fabricación para industria alimenticia.</x:v>
      </x:c>
      <x:c r="AC52" s="14" t="str">
        <x:v>Alta</x:v>
      </x:c>
      <x:c r="AD52" s="14" t="str">
        <x:v>Rastrillaje integral Villa María 2026-09-15</x:v>
      </x:c>
      <x:c r="AE52" s="14" t="str">
        <x:v>Plataforma 20 tn | Hidrogrúa | Malacate</x:v>
      </x:c>
      <x:c r="AF52" s="14" t="str">
        <x:v>PRIORIDAD ALTA</x:v>
      </x:c>
    </x:row>
    <x:row r="53">
      <x:c r="A53" s="14" t="str">
        <x:v>VM-052</x:v>
      </x:c>
      <x:c r="B53" s="14" t="str">
        <x:v>Pendiente</x:v>
      </x:c>
      <x:c r="C53" s="14" t="str">
        <x:v>Villa María</x:v>
      </x:c>
      <x:c r="D53" s="14" t="str">
        <x:v>RN9 / PILT</x:v>
      </x:c>
      <x:c r="E53" s="14" t="str">
        <x:v>Villa María</x:v>
      </x:c>
      <x:c r="F53" s="14" t="str">
        <x:v>A</x:v>
      </x:c>
      <x:c r="G53" s="14" t="n">
        <x:v>82</x:v>
      </x:c>
      <x:c r="H53" s="14" t="str">
        <x:v>Villa María Cereales SRL</x:v>
      </x:c>
      <x:c r="I53" s="14" t="str">
        <x:v>Cereales / agroindustria</x:v>
      </x:c>
      <x:c r="J53" s="14" t="str">
        <x:v>Cereales / agroindustria</x:v>
      </x:c>
      <x:c r="K53" s="14" t="str">
        <x:v>0353 4256404</x:v>
      </x:c>
      <x:c r="L53" s="14" t="str">
        <x:v>OK</x:v>
      </x:c>
      <x:c r="M53" s="14" t="str">
        <x:v>planta / logística / mantenimiento</x:v>
      </x:c>
      <x:c r="N53" s="14" t="str">
        <x:v>Movimientos de mantenimiento, motores, bombas, equipos, racks y cargas extraordinarias.</x:v>
      </x:c>
      <x:c r="O53" s="14" t="str">
        <x:v>Plataforma + hidrogrúa + percha + seguro/GPS.</x:v>
      </x:c>
      <x:c r="P53" s="14" t="str">
        <x:v>Proveedor local para paradas, montajes y movimientos no rutinarios.</x:v>
      </x:c>
      <x:c r="Q53" s="14" t="str">
        <x:v>Pedir mantenimiento/compras/planta; relevar equipos críticos y proveedores actuales.</x:v>
      </x:c>
      <x:c r="R53" s="14" t="str"/>
      <x:c r="S53" s="14" t="str">
        <x:v>RN9 km 553, Villa María, Córdoba</x:v>
      </x:c>
      <x:c r="T53" s="14" t="str"/>
      <x:c r="U53" s="14" t="str"/>
      <x:c r="V53" s="14" t="str"/>
      <x:c r="W53" s="14" t="str"/>
      <x:c r="X53" s="14" t="str">
        <x:v>03534256404</x:v>
      </x:c>
      <x:c r="Y53" s="14" t="str">
        <x:v>https://www.google.com/maps/search/?api=1&amp;query=Villa+Mar%C3%ADa+Cereales+SRL%2C+RN9+km+553%2C+Villa+Mar%C3%ADa%2C+C%C3%B3rdoba</x:v>
      </x:c>
      <x:c r="Z53" s="14" t="str">
        <x:v>Google Business</x:v>
      </x:c>
      <x:c r="AA53" s="14" t="str">
        <x:v>https://www.google.com/maps/search/?api=1&amp;query=Villa+Mar%C3%ADa+Cereales+SRL%2C+RN9+km+553%2C+Villa+Mar%C3%ADa%2C+C%C3%B3rdoba</x:v>
      </x:c>
      <x:c r="AB53" s="14" t="str">
        <x:v>Operación cerealera sobre corredor RN9.</x:v>
      </x:c>
      <x:c r="AC53" s="14" t="str">
        <x:v>Alta</x:v>
      </x:c>
      <x:c r="AD53" s="14" t="str">
        <x:v>Rastrillaje integral Villa María 2026-09-15</x:v>
      </x:c>
      <x:c r="AE53" s="14" t="str">
        <x:v>Plataforma 20 tn | Hidrogrúa | Percha | Seguro/GPS</x:v>
      </x:c>
      <x:c r="AF53" s="14" t="str">
        <x:v>PRIORIDAD ALTA</x:v>
      </x:c>
    </x:row>
    <x:row r="54">
      <x:c r="A54" s="14" t="str">
        <x:v>VM-053</x:v>
      </x:c>
      <x:c r="B54" s="14" t="str">
        <x:v>Pendiente</x:v>
      </x:c>
      <x:c r="C54" s="14" t="str">
        <x:v>Villa María</x:v>
      </x:c>
      <x:c r="D54" s="14" t="str">
        <x:v>PILT</x:v>
      </x:c>
      <x:c r="E54" s="14" t="str">
        <x:v>Villa María</x:v>
      </x:c>
      <x:c r="F54" s="14" t="str">
        <x:v>A</x:v>
      </x:c>
      <x:c r="G54" s="14" t="n">
        <x:v>81</x:v>
      </x:c>
      <x:c r="H54" s="14" t="str">
        <x:v>Mayo Transformadores S.R.L.</x:v>
      </x:c>
      <x:c r="I54" s="14" t="str">
        <x:v>Transformadores / equipos eléctricos</x:v>
      </x:c>
      <x:c r="J54" s="14" t="str">
        <x:v>Transformadores / equipos eléctricos</x:v>
      </x:c>
      <x:c r="K54" s="14" t="str">
        <x:v>A verificar</x:v>
      </x:c>
      <x:c r="L54" s="14" t="str">
        <x:v>A verificar</x:v>
      </x:c>
      <x:c r="M54" s="14" t="str">
        <x:v>producción / logística</x:v>
      </x:c>
      <x:c r="N54" s="14" t="str">
        <x:v>Movimiento de tableros, transformadores, bombas, módulos y equipos industriales.</x:v>
      </x:c>
      <x:c r="O54" s="14" t="str">
        <x:v>Plataforma + hidrogrúa + percha según carga.</x:v>
      </x:c>
      <x:c r="P54" s="14" t="str">
        <x:v>Entrega y posicionamiento de equipos pesados con coordinación integral.</x:v>
      </x:c>
      <x:c r="Q54" s="14" t="str">
        <x:v>Pedir proyectos/mantenimiento/logística; consultar pesos y obras activas.</x:v>
      </x:c>
      <x:c r="R54" s="14" t="str"/>
      <x:c r="S54" s="14" t="str">
        <x:v>Parque Industrial, Logístico y Tecnológico (PILT), RN9 km 551,5, Villa María, Córdoba</x:v>
      </x:c>
      <x:c r="T54" s="14" t="str"/>
      <x:c r="U54" s="14" t="str"/>
      <x:c r="V54" s="14" t="str"/>
      <x:c r="W54" s="14" t="str"/>
      <x:c r="X54" s="14" t="str"/>
      <x:c r="Y54" s="14" t="str">
        <x:v>https://www.google.com/maps/search/?api=1&amp;query=Mayo+Transformadores+S.R.L.%2C+Parque+Industrial%2C+Log%C3%ADstico+y+Tecnol%C3%B3gico+%28PILT%29%2C+RN9+km+551%2C5%2C+Villa+Mar%C3%ADa%2C+C%C3%B3rdoba</x:v>
      </x:c>
      <x:c r="Z54" s="14" t="str">
        <x:v>Dateas - parque industrial</x:v>
      </x:c>
      <x:c r="AA54" s="14" t="str">
        <x:v>https://www.dateas.com/es/explore/industrias-parque-industrial-villa-maria?page=3</x:v>
      </x:c>
      <x:c r="AB54" s="14" t="str">
        <x:v>Núcleos para transformadores y anexos.</x:v>
      </x:c>
      <x:c r="AC54" s="14" t="str">
        <x:v>Media</x:v>
      </x:c>
      <x:c r="AD54" s="14" t="str">
        <x:v>Rastrillaje integral Villa María 2026-09-15</x:v>
      </x:c>
      <x:c r="AE54" s="14" t="str">
        <x:v>Plataforma 20 tn | Hidrogrúa | Percha</x:v>
      </x:c>
      <x:c r="AF54" s="14" t="str">
        <x:v>PRIORIDAD ALTA</x:v>
      </x:c>
    </x:row>
    <x:row r="55">
      <x:c r="A55" s="14" t="str">
        <x:v>VM-054</x:v>
      </x:c>
      <x:c r="B55" s="14" t="str">
        <x:v>Pendiente</x:v>
      </x:c>
      <x:c r="C55" s="14" t="str">
        <x:v>Villa María</x:v>
      </x:c>
      <x:c r="D55" s="14" t="str">
        <x:v>PILT</x:v>
      </x:c>
      <x:c r="E55" s="14" t="str">
        <x:v>Villa María</x:v>
      </x:c>
      <x:c r="F55" s="14" t="str">
        <x:v>A</x:v>
      </x:c>
      <x:c r="G55" s="14" t="n">
        <x:v>81</x:v>
      </x:c>
      <x:c r="H55" s="14" t="str">
        <x:v>Raíces S.R.L.</x:v>
      </x:c>
      <x:c r="I55" s="14" t="str">
        <x:v>Galpones / estructuras</x:v>
      </x:c>
      <x:c r="J55" s="14" t="str">
        <x:v>Galpones / estructuras</x:v>
      </x:c>
      <x:c r="K55" s="14" t="str">
        <x:v>A verificar</x:v>
      </x:c>
      <x:c r="L55" s="14" t="str">
        <x:v>A verificar</x:v>
      </x:c>
      <x:c r="M55" s="14" t="str">
        <x:v>producción / montaje</x:v>
      </x:c>
      <x:c r="N55" s="14" t="str">
        <x:v>Despacho de estructuras, conjuntos metálicos, piezas pesadas o equipos de producción.</x:v>
      </x:c>
      <x:c r="O55" s="14" t="str">
        <x:v>Plataforma + hidrogrúa + malacate; percha según carga.</x:v>
      </x:c>
      <x:c r="P55" s="14" t="str">
        <x:v>Resolver piezas pesadas o fuera de medida con un único proveedor.</x:v>
      </x:c>
      <x:c r="Q55" s="14" t="str">
        <x:v>Pedir producción/expedición; relevar piezas máximas y destinos habituales.</x:v>
      </x:c>
      <x:c r="R55" s="14" t="str"/>
      <x:c r="S55" s="14" t="str">
        <x:v>Parque Industrial, Logístico y Tecnológico (PILT), RN9 km 551,5, Villa María, Córdoba</x:v>
      </x:c>
      <x:c r="T55" s="14" t="str"/>
      <x:c r="U55" s="14" t="str"/>
      <x:c r="V55" s="14" t="str"/>
      <x:c r="W55" s="14" t="str"/>
      <x:c r="X55" s="14" t="str"/>
      <x:c r="Y55" s="14" t="str">
        <x:v>https://www.google.com/maps/search/?api=1&amp;query=Ra%C3%ADces+S.R.L.%2C+Parque+Industrial%2C+Log%C3%ADstico+y+Tecnol%C3%B3gico+%28PILT%29%2C+RN9+km+551%2C5%2C+Villa+Mar%C3%ADa%2C+C%C3%B3rdoba</x:v>
      </x:c>
      <x:c r="Z55" s="14" t="str">
        <x:v>Dateas - parque industrial</x:v>
      </x:c>
      <x:c r="AA55" s="14" t="str">
        <x:v>https://www.dateas.com/es/explore/industrias-parque-industrial-villa-maria?page=4</x:v>
      </x:c>
      <x:c r="AB55" s="14" t="str">
        <x:v>Fabricación de galpones.</x:v>
      </x:c>
      <x:c r="AC55" s="14" t="str">
        <x:v>Media</x:v>
      </x:c>
      <x:c r="AD55" s="14" t="str">
        <x:v>Rastrillaje integral Villa María 2026-09-15</x:v>
      </x:c>
      <x:c r="AE55" s="14" t="str">
        <x:v>Plataforma 20 tn | Hidrogrúa | Malacate | Percha</x:v>
      </x:c>
      <x:c r="AF55" s="14" t="str">
        <x:v>PRIORIDAD ALTA</x:v>
      </x:c>
    </x:row>
    <x:row r="56">
      <x:c r="A56" s="14" t="str">
        <x:v>VM-055</x:v>
      </x:c>
      <x:c r="B56" s="14" t="str">
        <x:v>Pendiente</x:v>
      </x:c>
      <x:c r="C56" s="14" t="str">
        <x:v>Villa María</x:v>
      </x:c>
      <x:c r="D56" s="14" t="str">
        <x:v>Área Villa María</x:v>
      </x:c>
      <x:c r="E56" s="14" t="str">
        <x:v>Villa María</x:v>
      </x:c>
      <x:c r="F56" s="14" t="str">
        <x:v>A</x:v>
      </x:c>
      <x:c r="G56" s="14" t="n">
        <x:v>81</x:v>
      </x:c>
      <x:c r="H56" s="14" t="str">
        <x:v>RJA Áridos</x:v>
      </x:c>
      <x:c r="I56" s="14" t="str">
        <x:v>Áridos / materiales</x:v>
      </x:c>
      <x:c r="J56" s="14" t="str">
        <x:v>Áridos / materiales</x:v>
      </x:c>
      <x:c r="K56" s="14" t="str">
        <x:v>+54 351 2433176</x:v>
      </x:c>
      <x:c r="L56" s="14" t="str">
        <x:v>OK</x:v>
      </x:c>
      <x:c r="M56" s="14" t="str">
        <x:v>operaciones / logística</x:v>
      </x:c>
      <x:c r="N56" s="14" t="str">
        <x:v>Movimiento de equipos de planta, moldes, bombas, premoldeados y cargas pesadas especiales.</x:v>
      </x:c>
      <x:c r="O56" s="14" t="str">
        <x:v>Plataforma + hidrogrúa + percha para pallets.</x:v>
      </x:c>
      <x:c r="P56" s="14" t="str">
        <x:v>Complementar la logística convencional con cargas y equipos especiales.</x:v>
      </x:c>
      <x:c r="Q56" s="14" t="str">
        <x:v>Pedir planta/logística/mantenimiento; relevar equipos y movimientos no cubiertos.</x:v>
      </x:c>
      <x:c r="R56" s="14" t="str"/>
      <x:c r="S56" s="14" t="str">
        <x:v>Villa María, Córdoba</x:v>
      </x:c>
      <x:c r="T56" s="14" t="str"/>
      <x:c r="U56" s="14" t="str"/>
      <x:c r="V56" s="14" t="str"/>
      <x:c r="W56" s="14" t="str"/>
      <x:c r="X56" s="14" t="str">
        <x:v>+543512433176</x:v>
      </x:c>
      <x:c r="Y56" s="14" t="str">
        <x:v>https://www.google.com/maps/search/?api=1&amp;query=RJA+%C3%81ridos%2C+Villa+Mar%C3%ADa%2C+C%C3%B3rdoba</x:v>
      </x:c>
      <x:c r="Z56" s="14" t="str">
        <x:v>Google Business</x:v>
      </x:c>
      <x:c r="AA56" s="14" t="str">
        <x:v>https://www.google.com/maps/search/?api=1&amp;query=RJA+%C3%81ridos%2C+Villa+Mar%C3%ADa%2C+C%C3%B3rdoba</x:v>
      </x:c>
      <x:c r="AB56" s="14" t="str">
        <x:v>Empresa de áridos.</x:v>
      </x:c>
      <x:c r="AC56" s="14" t="str">
        <x:v>Alta</x:v>
      </x:c>
      <x:c r="AD56" s="14" t="str">
        <x:v>Rastrillaje integral Villa María 2026-09-15</x:v>
      </x:c>
      <x:c r="AE56" s="14" t="str">
        <x:v>Plataforma 20 tn | Hidrogrúa | Percha | Malacate</x:v>
      </x:c>
      <x:c r="AF56" s="14" t="str">
        <x:v>PRIORIDAD ALTA</x:v>
      </x:c>
    </x:row>
    <x:row r="57">
      <x:c r="A57" s="14" t="str">
        <x:v>VM-056</x:v>
      </x:c>
      <x:c r="B57" s="14" t="str">
        <x:v>Pendiente</x:v>
      </x:c>
      <x:c r="C57" s="14" t="str">
        <x:v>Villa María</x:v>
      </x:c>
      <x:c r="D57" s="14" t="str">
        <x:v>Industrial / sur</x:v>
      </x:c>
      <x:c r="E57" s="14" t="str">
        <x:v>Villa María</x:v>
      </x:c>
      <x:c r="F57" s="14" t="str">
        <x:v>A</x:v>
      </x:c>
      <x:c r="G57" s="14" t="n">
        <x:v>80</x:v>
      </x:c>
      <x:c r="H57" s="14" t="str">
        <x:v>Frigorífico La Pequeña SRL</x:v>
      </x:c>
      <x:c r="I57" s="14" t="str">
        <x:v>Frigorífico / planta industrial</x:v>
      </x:c>
      <x:c r="J57" s="14" t="str">
        <x:v>Frigorífico / planta industrial</x:v>
      </x:c>
      <x:c r="K57" s="14" t="str">
        <x:v>0353 4197312</x:v>
      </x:c>
      <x:c r="L57" s="14" t="str">
        <x:v>OK</x:v>
      </x:c>
      <x:c r="M57" s="14" t="str">
        <x:v>mantenimiento / logística / planta</x:v>
      </x:c>
      <x:c r="N57" s="14" t="str">
        <x:v>Movimientos de mantenimiento, motores, bombas, equipos, racks y cargas extraordinarias.</x:v>
      </x:c>
      <x:c r="O57" s="14" t="str">
        <x:v>Plataforma + hidrogrúa + percha + seguro/GPS.</x:v>
      </x:c>
      <x:c r="P57" s="14" t="str">
        <x:v>Proveedor local para paradas, montajes y movimientos no rutinarios.</x:v>
      </x:c>
      <x:c r="Q57" s="14" t="str">
        <x:v>Pedir mantenimiento/compras/planta; relevar equipos críticos y proveedores actuales.</x:v>
      </x:c>
      <x:c r="R57" s="14" t="str"/>
      <x:c r="S57" s="14" t="str">
        <x:v>Carlos Avalle, Villa María, Córdoba</x:v>
      </x:c>
      <x:c r="T57" s="14" t="str"/>
      <x:c r="U57" s="14" t="str"/>
      <x:c r="V57" s="14" t="str"/>
      <x:c r="W57" s="14" t="str"/>
      <x:c r="X57" s="14" t="str">
        <x:v>03534197312</x:v>
      </x:c>
      <x:c r="Y57" s="14" t="str">
        <x:v>https://www.google.com/maps/search/?api=1&amp;query=Frigor%C3%ADfico+La+Peque%C3%B1a+SRL%2C+Carlos+Avalle%2C+Villa+Mar%C3%ADa%2C+C%C3%B3rdoba</x:v>
      </x:c>
      <x:c r="Z57" s="14" t="str">
        <x:v>Google Business</x:v>
      </x:c>
      <x:c r="AA57" s="14" t="str">
        <x:v>https://www.google.com/maps/search/?api=1&amp;query=Frigor%C3%ADfico+La+Peque%C3%B1a+SRL%2C+Carlos+Avalle%2C+Villa+Mar%C3%ADa%2C+C%C3%B3rdoba</x:v>
      </x:c>
      <x:c r="AB57" s="14" t="str">
        <x:v>Planta frigorífica local.</x:v>
      </x:c>
      <x:c r="AC57" s="14" t="str">
        <x:v>Alta</x:v>
      </x:c>
      <x:c r="AD57" s="14" t="str">
        <x:v>Rastrillaje integral Villa María 2026-09-15</x:v>
      </x:c>
      <x:c r="AE57" s="14" t="str">
        <x:v>Plataforma 20 tn | Hidrogrúa | Percha | Seguro/GPS</x:v>
      </x:c>
      <x:c r="AF57" s="14" t="str">
        <x:v>PRIORIDAD ALTA</x:v>
      </x:c>
    </x:row>
    <x:row r="58">
      <x:c r="A58" s="14" t="str">
        <x:v>VM-057</x:v>
      </x:c>
      <x:c r="B58" s="14" t="str">
        <x:v>Pendiente</x:v>
      </x:c>
      <x:c r="C58" s="14" t="str">
        <x:v>Villa María</x:v>
      </x:c>
      <x:c r="D58" s="14" t="str">
        <x:v>PILT</x:v>
      </x:c>
      <x:c r="E58" s="14" t="str">
        <x:v>Villa María</x:v>
      </x:c>
      <x:c r="F58" s="14" t="str">
        <x:v>A</x:v>
      </x:c>
      <x:c r="G58" s="14" t="n">
        <x:v>80</x:v>
      </x:c>
      <x:c r="H58" s="14" t="str">
        <x:v>Industria Sudamericana de Botta</x:v>
      </x:c>
      <x:c r="I58" s="14" t="str">
        <x:v>Estructuras / equipamiento metálico</x:v>
      </x:c>
      <x:c r="J58" s="14" t="str">
        <x:v>Estructuras / equipamiento metálico</x:v>
      </x:c>
      <x:c r="K58" s="14" t="str">
        <x:v>0353 4520259 / 4527451</x:v>
      </x:c>
      <x:c r="L58" s="14" t="str">
        <x:v>OK</x:v>
      </x:c>
      <x:c r="M58" s="14" t="str">
        <x:v>producción / expedición</x:v>
      </x:c>
      <x:c r="N58" s="14" t="str">
        <x:v>Despacho de estructuras, conjuntos metálicos, piezas pesadas o equipos de producción.</x:v>
      </x:c>
      <x:c r="O58" s="14" t="str">
        <x:v>Plataforma + hidrogrúa + malacate; percha según carga.</x:v>
      </x:c>
      <x:c r="P58" s="14" t="str">
        <x:v>Resolver piezas pesadas o fuera de medida con un único proveedor.</x:v>
      </x:c>
      <x:c r="Q58" s="14" t="str">
        <x:v>Pedir producción/expedición; relevar piezas máximas y destinos habituales.</x:v>
      </x:c>
      <x:c r="R58" s="14" t="str"/>
      <x:c r="S58" s="14" t="str">
        <x:v>Parque Industrial, Logístico y Tecnológico (PILT), RN9 km 551,5, Villa María, Córdoba</x:v>
      </x:c>
      <x:c r="T58" s="14" t="str"/>
      <x:c r="U58" s="14" t="str"/>
      <x:c r="V58" s="14" t="str"/>
      <x:c r="W58" s="14" t="str"/>
      <x:c r="X58" s="14" t="str">
        <x:v>03534520259</x:v>
      </x:c>
      <x:c r="Y58" s="14" t="str">
        <x:v>https://www.google.com/maps/search/?api=1&amp;query=Industria+Sudamericana+de+Botta%2C+Parque+Industrial%2C+Log%C3%ADstico+y+Tecnol%C3%B3gico+%28PILT%29%2C+RN9+km+551%2C5%2C+Villa+Mar%C3%ADa%2C+C%C3%B3rdoba</x:v>
      </x:c>
      <x:c r="Z58" s="14" t="str">
        <x:v>Dateas - parque industrial</x:v>
      </x:c>
      <x:c r="AA58" s="14" t="str">
        <x:v>https://www.dateas.com/es/explore/industrias-parque-industrial-villa-maria/industria-sudamericana-de-botta-felipe-lisandro-58</x:v>
      </x:c>
      <x:c r="AB58" s="14" t="str">
        <x:v>Estructuras metálicas de estanterías y equipamiento comercial.</x:v>
      </x:c>
      <x:c r="AC58" s="14" t="str">
        <x:v>Media</x:v>
      </x:c>
      <x:c r="AD58" s="14" t="str">
        <x:v>Rastrillaje integral Villa María 2026-09-15</x:v>
      </x:c>
      <x:c r="AE58" s="14" t="str">
        <x:v>Plataforma 20 tn | Hidrogrúa | Malacate | Percha</x:v>
      </x:c>
      <x:c r="AF58" s="14" t="str">
        <x:v>PRIORIDAD ALTA</x:v>
      </x:c>
    </x:row>
    <x:row r="59">
      <x:c r="A59" s="14" t="str">
        <x:v>VM-058</x:v>
      </x:c>
      <x:c r="B59" s="14" t="str">
        <x:v>Pendiente</x:v>
      </x:c>
      <x:c r="C59" s="14" t="str">
        <x:v>Villa María</x:v>
      </x:c>
      <x:c r="D59" s="14" t="str">
        <x:v>PILT</x:v>
      </x:c>
      <x:c r="E59" s="14" t="str">
        <x:v>Villa María</x:v>
      </x:c>
      <x:c r="F59" s="14" t="str">
        <x:v>A</x:v>
      </x:c>
      <x:c r="G59" s="14" t="n">
        <x:v>80</x:v>
      </x:c>
      <x:c r="H59" s="14" t="str">
        <x:v>Inoxidables Villa María SRL</x:v>
      </x:c>
      <x:c r="I59" s="14" t="str">
        <x:v>Metalúrgica / acero inoxidable</x:v>
      </x:c>
      <x:c r="J59" s="14" t="str">
        <x:v>Metalúrgica / acero inoxidable</x:v>
      </x:c>
      <x:c r="K59" s="14" t="str">
        <x:v>A verificar</x:v>
      </x:c>
      <x:c r="L59" s="14" t="str">
        <x:v>A verificar</x:v>
      </x:c>
      <x:c r="M59" s="14" t="str">
        <x:v>producción / expedición</x:v>
      </x:c>
      <x:c r="N59" s="14" t="str">
        <x:v>Despacho de estructuras, conjuntos metálicos, piezas pesadas o equipos de producción.</x:v>
      </x:c>
      <x:c r="O59" s="14" t="str">
        <x:v>Plataforma + hidrogrúa + malacate; percha según carga.</x:v>
      </x:c>
      <x:c r="P59" s="14" t="str">
        <x:v>Resolver piezas pesadas o fuera de medida con un único proveedor.</x:v>
      </x:c>
      <x:c r="Q59" s="14" t="str">
        <x:v>Pedir producción/expedición; relevar piezas máximas y destinos habituales.</x:v>
      </x:c>
      <x:c r="R59" s="14" t="str"/>
      <x:c r="S59" s="14" t="str">
        <x:v>Parque Industrial, Logístico y Tecnológico (PILT), RN9 km 551,5, Villa María, Córdoba</x:v>
      </x:c>
      <x:c r="T59" s="14" t="str"/>
      <x:c r="U59" s="14" t="str"/>
      <x:c r="V59" s="14" t="str"/>
      <x:c r="W59" s="14" t="str"/>
      <x:c r="X59" s="14" t="str"/>
      <x:c r="Y59" s="14" t="str">
        <x:v>https://www.google.com/maps/search/?api=1&amp;query=Inoxidables+Villa+Mar%C3%ADa+SRL%2C+Parque+Industrial%2C+Log%C3%ADstico+y+Tecnol%C3%B3gico+%28PILT%29%2C+RN9+km+551%2C5%2C+Villa+Mar%C3%ADa%2C+C%C3%B3rdoba</x:v>
      </x:c>
      <x:c r="Z59" s="14" t="str">
        <x:v>Dateas - parque industrial</x:v>
      </x:c>
      <x:c r="AA59" s="14" t="str">
        <x:v>https://www.dateas.com/es/explore/industrias-parque-industrial-villa-maria?page=3</x:v>
      </x:c>
      <x:c r="AB59" s="14" t="str">
        <x:v>Fabricación de productos de hierro y acero.</x:v>
      </x:c>
      <x:c r="AC59" s="14" t="str">
        <x:v>Media</x:v>
      </x:c>
      <x:c r="AD59" s="14" t="str">
        <x:v>Rastrillaje integral Villa María 2026-09-15</x:v>
      </x:c>
      <x:c r="AE59" s="14" t="str">
        <x:v>Plataforma 20 tn | Hidrogrúa | Malacate | Percha</x:v>
      </x:c>
      <x:c r="AF59" s="14" t="str">
        <x:v>PRIORIDAD ALTA</x:v>
      </x:c>
    </x:row>
    <x:row r="60">
      <x:c r="A60" s="14" t="str">
        <x:v>VM-059</x:v>
      </x:c>
      <x:c r="B60" s="14" t="str">
        <x:v>Pendiente</x:v>
      </x:c>
      <x:c r="C60" s="14" t="str">
        <x:v>Villa María</x:v>
      </x:c>
      <x:c r="D60" s="14" t="str">
        <x:v>AU9 km 563</x:v>
      </x:c>
      <x:c r="E60" s="14" t="str">
        <x:v>Villa María</x:v>
      </x:c>
      <x:c r="F60" s="14" t="str">
        <x:v>A</x:v>
      </x:c>
      <x:c r="G60" s="14" t="n">
        <x:v>80</x:v>
      </x:c>
      <x:c r="H60" s="14" t="str">
        <x:v>Mercado Libre Centro Logístico Villa María</x:v>
      </x:c>
      <x:c r="I60" s="14" t="str">
        <x:v>Centro logístico</x:v>
      </x:c>
      <x:c r="J60" s="14" t="str">
        <x:v>Centro logístico</x:v>
      </x:c>
      <x:c r="K60" s="14" t="str">
        <x:v>A verificar</x:v>
      </x:c>
      <x:c r="L60" s="14" t="str">
        <x:v>A verificar</x:v>
      </x:c>
      <x:c r="M60" s="14" t="str">
        <x:v>operaciones / mantenimiento / facility</x:v>
      </x:c>
      <x:c r="N60" s="14" t="str">
        <x:v>Movimientos de equipos o cargas especiales asociados a la operación.</x:v>
      </x:c>
      <x:c r="O60" s="14" t="str">
        <x:v>Plataforma 20 tn + hidrogrúa + malacate según necesidad.</x:v>
      </x:c>
      <x:c r="P60" s="14" t="str">
        <x:v>Capacidad externa para movimientos pesados o especiales.</x:v>
      </x:c>
      <x:c r="Q60" s="14" t="str">
        <x:v>Contactar operaciones/logística y relevar movimientos actuales.</x:v>
      </x:c>
      <x:c r="R60" s="14" t="str"/>
      <x:c r="S60" s="14" t="str">
        <x:v>Colectora Sur km 563 N°1189, Villa María, Córdoba</x:v>
      </x:c>
      <x:c r="T60" s="14" t="str"/>
      <x:c r="U60" s="14" t="str"/>
      <x:c r="V60" s="14" t="str"/>
      <x:c r="W60" s="14" t="str"/>
      <x:c r="X60" s="14" t="str"/>
      <x:c r="Y60" s="14" t="str">
        <x:v>https://www.google.com/maps/search/?api=1&amp;query=Mercado+Libre+Centro+Log%C3%ADstico+Villa+Mar%C3%ADa%2C+Colectora+Sur+km+563+N%C2%B01189%2C+Villa+Mar%C3%ADa%2C+C%C3%B3rdoba</x:v>
      </x:c>
      <x:c r="Z60" s="14" t="str">
        <x:v>Google Business</x:v>
      </x:c>
      <x:c r="AA60" s="14" t="str">
        <x:v>https://www.google.com/maps/search/?api=1&amp;query=Mercado+Libre+Centro+Log%C3%ADstico+Villa+Mar%C3%ADa%2C+Colectora+Sur+km+563+N%C2%B01189%2C+Villa+Mar%C3%ADa%2C+C%C3%B3rdoba</x:v>
      </x:c>
      <x:c r="AB60" s="14" t="str">
        <x:v>Centro logístico sobre AU9.</x:v>
      </x:c>
      <x:c r="AC60" s="14" t="str">
        <x:v>Alta</x:v>
      </x:c>
      <x:c r="AD60" s="14" t="str">
        <x:v>Rastrillaje integral Villa María 2026-09-15</x:v>
      </x:c>
      <x:c r="AE60" s="14" t="str">
        <x:v>Plataforma 20 tn | Hidrogrúa | Malacate</x:v>
      </x:c>
      <x:c r="AF60" s="14" t="str">
        <x:v>PRIORIDAD ALTA</x:v>
      </x:c>
    </x:row>
    <x:row r="61">
      <x:c r="A61" s="14" t="str">
        <x:v>VM-060</x:v>
      </x:c>
      <x:c r="B61" s="14" t="str">
        <x:v>Pendiente</x:v>
      </x:c>
      <x:c r="C61" s="14" t="str">
        <x:v>Villa María</x:v>
      </x:c>
      <x:c r="D61" s="14" t="str">
        <x:v>Urbano</x:v>
      </x:c>
      <x:c r="E61" s="14" t="str">
        <x:v>Villa María</x:v>
      </x:c>
      <x:c r="F61" s="14" t="str">
        <x:v>A</x:v>
      </x:c>
      <x:c r="G61" s="14" t="n">
        <x:v>80</x:v>
      </x:c>
      <x:c r="H61" s="14" t="str">
        <x:v>Metalúrgica Pablo Bruno</x:v>
      </x:c>
      <x:c r="I61" s="14" t="str">
        <x:v>Metalúrgica / alquiler herramientas</x:v>
      </x:c>
      <x:c r="J61" s="14" t="str">
        <x:v>Metalúrgica / alquiler herramientas</x:v>
      </x:c>
      <x:c r="K61" s="14" t="str">
        <x:v>0353 4129025</x:v>
      </x:c>
      <x:c r="L61" s="14" t="str">
        <x:v>OK</x:v>
      </x:c>
      <x:c r="M61" s="14" t="str">
        <x:v>producción / alquileres / logística</x:v>
      </x:c>
      <x:c r="N61" s="14" t="str">
        <x:v>Despacho de estructuras, conjuntos metálicos, piezas pesadas o equipos de producción.</x:v>
      </x:c>
      <x:c r="O61" s="14" t="str">
        <x:v>Plataforma + hidrogrúa + malacate; percha según carga.</x:v>
      </x:c>
      <x:c r="P61" s="14" t="str">
        <x:v>Resolver piezas pesadas o fuera de medida con un único proveedor.</x:v>
      </x:c>
      <x:c r="Q61" s="14" t="str">
        <x:v>Pedir producción/expedición; relevar piezas máximas y destinos habituales.</x:v>
      </x:c>
      <x:c r="R61" s="14" t="str"/>
      <x:c r="S61" s="14" t="str">
        <x:v>Buenos Aires 2424, Villa María, Córdoba</x:v>
      </x:c>
      <x:c r="T61" s="14" t="str"/>
      <x:c r="U61" s="14" t="str"/>
      <x:c r="V61" s="14" t="str"/>
      <x:c r="W61" s="14" t="str"/>
      <x:c r="X61" s="14" t="str">
        <x:v>03534129025</x:v>
      </x:c>
      <x:c r="Y61" s="14" t="str">
        <x:v>https://www.google.com/maps/search/?api=1&amp;query=Metal%C3%BArgica+Pablo+Bruno%2C+Buenos+Aires+2424%2C+Villa+Mar%C3%ADa%2C+C%C3%B3rdoba</x:v>
      </x:c>
      <x:c r="Z61" s="14" t="str">
        <x:v>Google Business</x:v>
      </x:c>
      <x:c r="AA61" s="14" t="str">
        <x:v>https://www.google.com/maps/search/?api=1&amp;query=Metal%C3%BArgica+Pablo+Bruno%2C+Buenos+Aires+2424%2C+Villa+Mar%C3%ADa%2C+C%C3%B3rdoba</x:v>
      </x:c>
      <x:c r="AB61" s="14" t="str">
        <x:v>Metalúrgica y alquiler de herramientas para construcción.</x:v>
      </x:c>
      <x:c r="AC61" s="14" t="str">
        <x:v>Alta</x:v>
      </x:c>
      <x:c r="AD61" s="14" t="str">
        <x:v>Rastrillaje integral Villa María 2026-09-15</x:v>
      </x:c>
      <x:c r="AE61" s="14" t="str">
        <x:v>Plataforma 20 tn | Hidrogrúa | Malacate | Percha</x:v>
      </x:c>
      <x:c r="AF61" s="14" t="str">
        <x:v>PRIORIDAD ALTA</x:v>
      </x:c>
    </x:row>
    <x:row r="62">
      <x:c r="A62" s="14" t="str">
        <x:v>VM-061</x:v>
      </x:c>
      <x:c r="B62" s="14" t="str">
        <x:v>Pendiente</x:v>
      </x:c>
      <x:c r="C62" s="14" t="str">
        <x:v>Villa María</x:v>
      </x:c>
      <x:c r="D62" s="14" t="str">
        <x:v>Centro / industrial</x:v>
      </x:c>
      <x:c r="E62" s="14" t="str">
        <x:v>Villa María</x:v>
      </x:c>
      <x:c r="F62" s="14" t="str">
        <x:v>A</x:v>
      </x:c>
      <x:c r="G62" s="14" t="n">
        <x:v>80</x:v>
      </x:c>
      <x:c r="H62" s="14" t="str">
        <x:v>S.A. Molinos Fénix</x:v>
      </x:c>
      <x:c r="I62" s="14" t="str">
        <x:v>Molino / alimentos balanceados</x:v>
      </x:c>
      <x:c r="J62" s="14" t="str">
        <x:v>Molino / alimentos balanceados</x:v>
      </x:c>
      <x:c r="K62" s="14" t="str">
        <x:v>0353 4528107</x:v>
      </x:c>
      <x:c r="L62" s="14" t="str">
        <x:v>OK</x:v>
      </x:c>
      <x:c r="M62" s="14" t="str">
        <x:v>mantenimiento / planta / logística</x:v>
      </x:c>
      <x:c r="N62" s="14" t="str">
        <x:v>Movimientos de mantenimiento, motores, bombas, equipos, racks y cargas extraordinarias.</x:v>
      </x:c>
      <x:c r="O62" s="14" t="str">
        <x:v>Plataforma + hidrogrúa + percha + seguro/GPS.</x:v>
      </x:c>
      <x:c r="P62" s="14" t="str">
        <x:v>Proveedor local para paradas, montajes y movimientos no rutinarios.</x:v>
      </x:c>
      <x:c r="Q62" s="14" t="str">
        <x:v>Pedir mantenimiento/compras/planta; relevar equipos críticos y proveedores actuales.</x:v>
      </x:c>
      <x:c r="R62" s="14" t="str"/>
      <x:c r="S62" s="14" t="str">
        <x:v>Leandro N. Alem y Salta, Villa María, Córdoba</x:v>
      </x:c>
      <x:c r="T62" s="14" t="str"/>
      <x:c r="U62" s="14" t="str"/>
      <x:c r="V62" s="14" t="str"/>
      <x:c r="W62" s="14" t="str"/>
      <x:c r="X62" s="14" t="str">
        <x:v>03534528107</x:v>
      </x:c>
      <x:c r="Y62" s="14" t="str">
        <x:v>https://www.google.com/maps/search/?api=1&amp;query=S.A.+Molinos+F%C3%A9nix%2C+Leandro+N.+Alem+y+Salta%2C+Villa+Mar%C3%ADa%2C+C%C3%B3rdoba</x:v>
      </x:c>
      <x:c r="Z62" s="14" t="str">
        <x:v>Google Business</x:v>
      </x:c>
      <x:c r="AA62" s="14" t="str">
        <x:v>https://www.google.com/maps/search/?api=1&amp;query=S.A.+Molinos+F%C3%A9nix%2C+Leandro+N.+Alem+y+Salta%2C+Villa+Mar%C3%ADa%2C+C%C3%B3rdoba</x:v>
      </x:c>
      <x:c r="AB62" s="14" t="str">
        <x:v>Molino y planta industrial de alimentos.</x:v>
      </x:c>
      <x:c r="AC62" s="14" t="str">
        <x:v>Alta</x:v>
      </x:c>
      <x:c r="AD62" s="14" t="str">
        <x:v>Rastrillaje integral Villa María 2026-09-15</x:v>
      </x:c>
      <x:c r="AE62" s="14" t="str">
        <x:v>Plataforma 20 tn | Hidrogrúa | Percha | Seguro/GPS</x:v>
      </x:c>
      <x:c r="AF62" s="14" t="str">
        <x:v>PRIORIDAD ALTA</x:v>
      </x:c>
    </x:row>
    <x:row r="63">
      <x:c r="A63" s="14" t="str">
        <x:v>VM-062</x:v>
      </x:c>
      <x:c r="B63" s="14" t="str">
        <x:v>Pendiente</x:v>
      </x:c>
      <x:c r="C63" s="14" t="str">
        <x:v>Villa María</x:v>
      </x:c>
      <x:c r="D63" s="14" t="str">
        <x:v>Urbano industrial</x:v>
      </x:c>
      <x:c r="E63" s="14" t="str">
        <x:v>Villa María</x:v>
      </x:c>
      <x:c r="F63" s="14" t="str">
        <x:v>A</x:v>
      </x:c>
      <x:c r="G63" s="14" t="n">
        <x:v>80</x:v>
      </x:c>
      <x:c r="H63" s="14" t="str">
        <x:v>Servicios Agroindustria SRL</x:v>
      </x:c>
      <x:c r="I63" s="14" t="str">
        <x:v>Motores eléctricos / agroindustria</x:v>
      </x:c>
      <x:c r="J63" s="14" t="str">
        <x:v>Motores eléctricos / agroindustria</x:v>
      </x:c>
      <x:c r="K63" s="14" t="str">
        <x:v>0353 4531126</x:v>
      </x:c>
      <x:c r="L63" s="14" t="str">
        <x:v>OK</x:v>
      </x:c>
      <x:c r="M63" s="14" t="str">
        <x:v>service / logística / mantenimiento</x:v>
      </x:c>
      <x:c r="N63" s="14" t="str">
        <x:v>Movimientos de mantenimiento, motores, bombas, equipos, racks y cargas extraordinarias.</x:v>
      </x:c>
      <x:c r="O63" s="14" t="str">
        <x:v>Plataforma + hidrogrúa + percha + seguro/GPS.</x:v>
      </x:c>
      <x:c r="P63" s="14" t="str">
        <x:v>Proveedor local para paradas, montajes y movimientos no rutinarios.</x:v>
      </x:c>
      <x:c r="Q63" s="14" t="str">
        <x:v>Pedir mantenimiento/compras/planta; relevar equipos críticos y proveedores actuales.</x:v>
      </x:c>
      <x:c r="R63" s="14" t="str"/>
      <x:c r="S63" s="14" t="str">
        <x:v>Bv. Vélez Sarsfield 1243, Villa María, Córdoba</x:v>
      </x:c>
      <x:c r="T63" s="14" t="str"/>
      <x:c r="U63" s="14" t="str"/>
      <x:c r="V63" s="14" t="str"/>
      <x:c r="W63" s="14" t="str"/>
      <x:c r="X63" s="14" t="str">
        <x:v>03534531126</x:v>
      </x:c>
      <x:c r="Y63" s="14" t="str">
        <x:v>https://www.google.com/maps/search/?api=1&amp;query=Servicios+Agroindustria+SRL%2C+Bv.+V%C3%A9lez+Sarsfield+1243%2C+Villa+Mar%C3%ADa%2C+C%C3%B3rdoba</x:v>
      </x:c>
      <x:c r="Z63" s="14" t="str">
        <x:v>Google Business</x:v>
      </x:c>
      <x:c r="AA63" s="14" t="str">
        <x:v>https://www.google.com/maps/search/?api=1&amp;query=Servicios+Agroindustria+SRL%2C+Bv.+V%C3%A9lez+Sarsfield+1243%2C+Villa+Mar%C3%ADa%2C+C%C3%B3rdoba</x:v>
      </x:c>
      <x:c r="AB63" s="14" t="str">
        <x:v>Motores eléctricos y servicios para agroindustria.</x:v>
      </x:c>
      <x:c r="AC63" s="14" t="str">
        <x:v>Alta</x:v>
      </x:c>
      <x:c r="AD63" s="14" t="str">
        <x:v>Rastrillaje integral Villa María 2026-09-15</x:v>
      </x:c>
      <x:c r="AE63" s="14" t="str">
        <x:v>Plataforma 20 tn | Hidrogrúa | Percha | Seguro/GPS</x:v>
      </x:c>
      <x:c r="AF63" s="14" t="str">
        <x:v>PRIORIDAD ALTA</x:v>
      </x:c>
    </x:row>
    <x:row r="64">
      <x:c r="A64" s="14" t="str">
        <x:v>VM-063</x:v>
      </x:c>
      <x:c r="B64" s="14" t="str">
        <x:v>Pendiente</x:v>
      </x:c>
      <x:c r="C64" s="14" t="str">
        <x:v>Villa María</x:v>
      </x:c>
      <x:c r="D64" s="14" t="str">
        <x:v>PILT</x:v>
      </x:c>
      <x:c r="E64" s="14" t="str">
        <x:v>Villa María</x:v>
      </x:c>
      <x:c r="F64" s="14" t="str">
        <x:v>A</x:v>
      </x:c>
      <x:c r="G64" s="14" t="n">
        <x:v>80</x:v>
      </x:c>
      <x:c r="H64" s="14" t="str">
        <x:v>Transbus SRL</x:v>
      </x:c>
      <x:c r="I64" s="14" t="str">
        <x:v>Logística / transporte</x:v>
      </x:c>
      <x:c r="J64" s="14" t="str">
        <x:v>Logística / transporte</x:v>
      </x:c>
      <x:c r="K64" s="14" t="str">
        <x:v>A verificar</x:v>
      </x:c>
      <x:c r="L64" s="14" t="str">
        <x:v>A verificar</x:v>
      </x:c>
      <x:c r="M64" s="14" t="str">
        <x:v>operaciones / tráfico</x:v>
      </x:c>
      <x:c r="N64" s="14" t="str">
        <x:v>Overflow y derivación de cargas/equipos que requieren plataforma, malacate o hidrogrúa.</x:v>
      </x:c>
      <x:c r="O64" s="14" t="str">
        <x:v>Capacidad complementaria: plataforma 20 tn + hidrogrúa + malacate.</x:v>
      </x:c>
      <x:c r="P64" s="14" t="str">
        <x:v>Ser proveedor de respaldo para servicios especiales que excedan la flota habitual.</x:v>
      </x:c>
      <x:c r="Q64" s="14" t="str">
        <x:v>Pedir tráfico/operaciones; ofrecer acuerdo de derivaciones y contingencias.</x:v>
      </x:c>
      <x:c r="R64" s="14" t="str"/>
      <x:c r="S64" s="14" t="str">
        <x:v>Parque Industrial, Logístico y Tecnológico (PILT), RN9 km 551,5, Villa María, Córdoba</x:v>
      </x:c>
      <x:c r="T64" s="14" t="str"/>
      <x:c r="U64" s="14" t="str"/>
      <x:c r="V64" s="14" t="str"/>
      <x:c r="W64" s="14" t="str"/>
      <x:c r="X64" s="14" t="str"/>
      <x:c r="Y64" s="14" t="str">
        <x:v>https://www.google.com/maps/search/?api=1&amp;query=Transbus+SRL%2C+Parque+Industrial%2C+Log%C3%ADstico+y+Tecnol%C3%B3gico+%28PILT%29%2C+RN9+km+551%2C5%2C+Villa+Mar%C3%ADa%2C+C%C3%B3rdoba</x:v>
      </x:c>
      <x:c r="Z64" s="14" t="str">
        <x:v>Dateas - parque industrial</x:v>
      </x:c>
      <x:c r="AA64" s="14" t="str">
        <x:v>https://www.dateas.com/es/explore/industrias-parque-industrial-villa-maria?page=4</x:v>
      </x:c>
      <x:c r="AB64" s="14" t="str">
        <x:v>Establecimiento de logística.</x:v>
      </x:c>
      <x:c r="AC64" s="14" t="str">
        <x:v>Media</x:v>
      </x:c>
      <x:c r="AD64" s="14" t="str">
        <x:v>Rastrillaje integral Villa María 2026-09-15</x:v>
      </x:c>
      <x:c r="AE64" s="14" t="str">
        <x:v>Plataforma 20 tn | Hidrogrúa | Malacate | Subcontratación</x:v>
      </x:c>
      <x:c r="AF64" s="14" t="str">
        <x:v>PRIORIDAD ALTA</x:v>
      </x:c>
    </x:row>
    <x:row r="65">
      <x:c r="A65" s="14" t="str">
        <x:v>VM-064</x:v>
      </x:c>
      <x:c r="B65" s="14" t="str">
        <x:v>Pendiente</x:v>
      </x:c>
      <x:c r="C65" s="14" t="str">
        <x:v>Villa María</x:v>
      </x:c>
      <x:c r="D65" s="14" t="str">
        <x:v>Urbano industrial</x:v>
      </x:c>
      <x:c r="E65" s="14" t="str">
        <x:v>Villa María</x:v>
      </x:c>
      <x:c r="F65" s="14" t="str">
        <x:v>A</x:v>
      </x:c>
      <x:c r="G65" s="14" t="n">
        <x:v>79</x:v>
      </x:c>
      <x:c r="H65" s="14" t="str">
        <x:v>Abelcar</x:v>
      </x:c>
      <x:c r="I65" s="14" t="str">
        <x:v>Tableros eléctricos / industria</x:v>
      </x:c>
      <x:c r="J65" s="14" t="str">
        <x:v>Tableros eléctricos / industria</x:v>
      </x:c>
      <x:c r="K65" s="14" t="str">
        <x:v>0353 4538000</x:v>
      </x:c>
      <x:c r="L65" s="14" t="str">
        <x:v>OK</x:v>
      </x:c>
      <x:c r="M65" s="14" t="str">
        <x:v>proyectos / logística / expedición</x:v>
      </x:c>
      <x:c r="N65" s="14" t="str">
        <x:v>Movimiento de tableros, transformadores, bombas, módulos y equipos industriales.</x:v>
      </x:c>
      <x:c r="O65" s="14" t="str">
        <x:v>Plataforma + hidrogrúa + percha según carga.</x:v>
      </x:c>
      <x:c r="P65" s="14" t="str">
        <x:v>Entrega y posicionamiento de equipos pesados con coordinación integral.</x:v>
      </x:c>
      <x:c r="Q65" s="14" t="str">
        <x:v>Pedir proyectos/mantenimiento/logística; consultar pesos y obras activas.</x:v>
      </x:c>
      <x:c r="R65" s="14" t="str"/>
      <x:c r="S65" s="14" t="str">
        <x:v>Arenales 2220, Villa María, Córdoba</x:v>
      </x:c>
      <x:c r="T65" s="14" t="str"/>
      <x:c r="U65" s="14" t="str"/>
      <x:c r="V65" s="14" t="str"/>
      <x:c r="W65" s="14" t="str"/>
      <x:c r="X65" s="14" t="str">
        <x:v>03534538000</x:v>
      </x:c>
      <x:c r="Y65" s="14" t="str">
        <x:v>https://www.google.com/maps/search/?api=1&amp;query=Abelcar%2C+Arenales+2220%2C+Villa+Mar%C3%ADa%2C+C%C3%B3rdoba</x:v>
      </x:c>
      <x:c r="Z65" s="14" t="str">
        <x:v>Municipalidad</x:v>
      </x:c>
      <x:c r="AA65" s="14" t="str">
        <x:v>https://www.villamaria.gob.ar/noticias/2024/11/30/villa-maria-mas-innovadora-dos-empresas-locales-expanden-su-infraestructura</x:v>
      </x:c>
      <x:c r="AB65" s="14" t="str">
        <x:v>Armado de tableros eléctricos y expansión de infraestructura local.</x:v>
      </x:c>
      <x:c r="AC65" s="14" t="str">
        <x:v>Alta</x:v>
      </x:c>
      <x:c r="AD65" s="14" t="str">
        <x:v>Rastrillaje integral Villa María 2026-09-15</x:v>
      </x:c>
      <x:c r="AE65" s="14" t="str">
        <x:v>Plataforma 20 tn | Hidrogrúa | Percha</x:v>
      </x:c>
      <x:c r="AF65" s="14" t="str">
        <x:v>PRIORIDAD ALTA</x:v>
      </x:c>
    </x:row>
    <x:row r="66">
      <x:c r="A66" s="14" t="str">
        <x:v>VM-065</x:v>
      </x:c>
      <x:c r="B66" s="14" t="str">
        <x:v>Pendiente</x:v>
      </x:c>
      <x:c r="C66" s="14" t="str">
        <x:v>Villa María</x:v>
      </x:c>
      <x:c r="D66" s="14" t="str">
        <x:v>PILT</x:v>
      </x:c>
      <x:c r="E66" s="14" t="str">
        <x:v>Villa María</x:v>
      </x:c>
      <x:c r="F66" s="14" t="str">
        <x:v>A</x:v>
      </x:c>
      <x:c r="G66" s="14" t="n">
        <x:v>79</x:v>
      </x:c>
      <x:c r="H66" s="14" t="str">
        <x:v>Don Primo S.A.</x:v>
      </x:c>
      <x:c r="I66" s="14" t="str">
        <x:v>Sistemas contra incendio</x:v>
      </x:c>
      <x:c r="J66" s="14" t="str">
        <x:v>Sistemas contra incendio</x:v>
      </x:c>
      <x:c r="K66" s="14" t="str">
        <x:v>A verificar</x:v>
      </x:c>
      <x:c r="L66" s="14" t="str">
        <x:v>A verificar</x:v>
      </x:c>
      <x:c r="M66" s="14" t="str">
        <x:v>producción / montaje / logística</x:v>
      </x:c>
      <x:c r="N66" s="14" t="str">
        <x:v>Movimientos de equipos o cargas especiales asociados a la operación.</x:v>
      </x:c>
      <x:c r="O66" s="14" t="str">
        <x:v>Plataforma 20 tn + hidrogrúa + malacate según necesidad.</x:v>
      </x:c>
      <x:c r="P66" s="14" t="str">
        <x:v>Capacidad externa para movimientos pesados o especiales.</x:v>
      </x:c>
      <x:c r="Q66" s="14" t="str">
        <x:v>Contactar operaciones/logística y relevar movimientos actuales.</x:v>
      </x:c>
      <x:c r="R66" s="14" t="str"/>
      <x:c r="S66" s="14" t="str">
        <x:v>Parque Industrial, Logístico y Tecnológico (PILT), RN9 km 551,5, Villa María, Córdoba</x:v>
      </x:c>
      <x:c r="T66" s="14" t="str"/>
      <x:c r="U66" s="14" t="str"/>
      <x:c r="V66" s="14" t="str"/>
      <x:c r="W66" s="14" t="str"/>
      <x:c r="X66" s="14" t="str"/>
      <x:c r="Y66" s="14" t="str">
        <x:v>https://www.google.com/maps/search/?api=1&amp;query=Don+Primo+S.A.%2C+Parque+Industrial%2C+Log%C3%ADstico+y+Tecnol%C3%B3gico+%28PILT%29%2C+RN9+km+551%2C5%2C+Villa+Mar%C3%ADa%2C+C%C3%B3rdoba</x:v>
      </x:c>
      <x:c r="Z66" s="14" t="str">
        <x:v>Dateas - parque industrial</x:v>
      </x:c>
      <x:c r="AA66" s="14" t="str">
        <x:v>https://www.dateas.com/es/explore/industrias-parque-industrial-villa-maria?page=1</x:v>
      </x:c>
      <x:c r="AB66" s="14" t="str">
        <x:v>Ensamblado y fabricación de accesorios para sistemas antiincendios.</x:v>
      </x:c>
      <x:c r="AC66" s="14" t="str">
        <x:v>Media</x:v>
      </x:c>
      <x:c r="AD66" s="14" t="str">
        <x:v>Rastrillaje integral Villa María 2026-09-15</x:v>
      </x:c>
      <x:c r="AE66" s="14" t="str">
        <x:v>Plataforma 20 tn | Hidrogrúa | Malacate</x:v>
      </x:c>
      <x:c r="AF66" s="14" t="str">
        <x:v>PRIORIDAD ALTA</x:v>
      </x:c>
    </x:row>
    <x:row r="67">
      <x:c r="A67" s="14" t="str">
        <x:v>VM-066</x:v>
      </x:c>
      <x:c r="B67" s="14" t="str">
        <x:v>Pendiente</x:v>
      </x:c>
      <x:c r="C67" s="14" t="str">
        <x:v>Villa María</x:v>
      </x:c>
      <x:c r="D67" s="14" t="str">
        <x:v>PILT</x:v>
      </x:c>
      <x:c r="E67" s="14" t="str">
        <x:v>Villa María</x:v>
      </x:c>
      <x:c r="F67" s="14" t="str">
        <x:v>A</x:v>
      </x:c>
      <x:c r="G67" s="14" t="n">
        <x:v>79</x:v>
      </x:c>
      <x:c r="H67" s="14" t="str">
        <x:v>Radio Electrón S.A.</x:v>
      </x:c>
      <x:c r="I67" s="14" t="str">
        <x:v>Electromecánica / tableros</x:v>
      </x:c>
      <x:c r="J67" s="14" t="str">
        <x:v>Electromecánica / tableros</x:v>
      </x:c>
      <x:c r="K67" s="14" t="str">
        <x:v>A verificar</x:v>
      </x:c>
      <x:c r="L67" s="14" t="str">
        <x:v>A verificar</x:v>
      </x:c>
      <x:c r="M67" s="14" t="str">
        <x:v>producción / proyectos / logística</x:v>
      </x:c>
      <x:c r="N67" s="14" t="str">
        <x:v>Movimiento de tableros, transformadores, bombas, módulos y equipos industriales.</x:v>
      </x:c>
      <x:c r="O67" s="14" t="str">
        <x:v>Plataforma + hidrogrúa + percha según carga.</x:v>
      </x:c>
      <x:c r="P67" s="14" t="str">
        <x:v>Entrega y posicionamiento de equipos pesados con coordinación integral.</x:v>
      </x:c>
      <x:c r="Q67" s="14" t="str">
        <x:v>Pedir proyectos/mantenimiento/logística; consultar pesos y obras activas.</x:v>
      </x:c>
      <x:c r="R67" s="14" t="str"/>
      <x:c r="S67" s="14" t="str">
        <x:v>Parque Industrial, Logístico y Tecnológico (PILT), RN9 km 551,5, Villa María, Córdoba</x:v>
      </x:c>
      <x:c r="T67" s="14" t="str"/>
      <x:c r="U67" s="14" t="str"/>
      <x:c r="V67" s="14" t="str"/>
      <x:c r="W67" s="14" t="str"/>
      <x:c r="X67" s="14" t="str"/>
      <x:c r="Y67" s="14" t="str">
        <x:v>https://www.google.com/maps/search/?api=1&amp;query=Radio+Electr%C3%B3n+S.A.%2C+Parque+Industrial%2C+Log%C3%ADstico+y+Tecnol%C3%B3gico+%28PILT%29%2C+RN9+km+551%2C5%2C+Villa+Mar%C3%ADa%2C+C%C3%B3rdoba</x:v>
      </x:c>
      <x:c r="Z67" s="14" t="str">
        <x:v>Dateas - parque industrial</x:v>
      </x:c>
      <x:c r="AA67" s="14" t="str">
        <x:v>https://www.dateas.com/es/explore/industrias-parque-industrial-villa-maria?page=4</x:v>
      </x:c>
      <x:c r="AB67" s="14" t="str">
        <x:v>Construcciones electromecánicas y armados de tableros.</x:v>
      </x:c>
      <x:c r="AC67" s="14" t="str">
        <x:v>Media</x:v>
      </x:c>
      <x:c r="AD67" s="14" t="str">
        <x:v>Rastrillaje integral Villa María 2026-09-15</x:v>
      </x:c>
      <x:c r="AE67" s="14" t="str">
        <x:v>Plataforma 20 tn | Hidrogrúa | Percha</x:v>
      </x:c>
      <x:c r="AF67" s="14" t="str">
        <x:v>PRIORIDAD ALTA</x:v>
      </x:c>
    </x:row>
    <x:row r="68">
      <x:c r="A68" s="14" t="str">
        <x:v>VM-067</x:v>
      </x:c>
      <x:c r="B68" s="14" t="str">
        <x:v>Pendiente</x:v>
      </x:c>
      <x:c r="C68" s="14" t="str">
        <x:v>Villa María</x:v>
      </x:c>
      <x:c r="D68" s="14" t="str">
        <x:v>Av. Perón / Industrial</x:v>
      </x:c>
      <x:c r="E68" s="14" t="str">
        <x:v>Villa María</x:v>
      </x:c>
      <x:c r="F68" s="14" t="str">
        <x:v>A</x:v>
      </x:c>
      <x:c r="G68" s="14" t="n">
        <x:v>78</x:v>
      </x:c>
      <x:c r="H68" s="14" t="str">
        <x:v>Centro Construcciones S.R.L.</x:v>
      </x:c>
      <x:c r="I68" s="14" t="str">
        <x:v>Materiales / obra</x:v>
      </x:c>
      <x:c r="J68" s="14" t="str">
        <x:v>Materiales / obra</x:v>
      </x:c>
      <x:c r="K68" s="14" t="str">
        <x:v>0353 4282568</x:v>
      </x:c>
      <x:c r="L68" s="14" t="str">
        <x:v>OK</x:v>
      </x:c>
      <x:c r="M68" s="14" t="str">
        <x:v>logística / operaciones</x:v>
      </x:c>
      <x:c r="N68" s="14" t="str">
        <x:v>Movimiento de equipos de planta, moldes, bombas, premoldeados y cargas pesadas especiales.</x:v>
      </x:c>
      <x:c r="O68" s="14" t="str">
        <x:v>Plataforma + hidrogrúa + percha para pallets.</x:v>
      </x:c>
      <x:c r="P68" s="14" t="str">
        <x:v>Complementar la logística convencional con cargas y equipos especiales.</x:v>
      </x:c>
      <x:c r="Q68" s="14" t="str">
        <x:v>Pedir planta/logística/mantenimiento; relevar equipos y movimientos no cubiertos.</x:v>
      </x:c>
      <x:c r="R68" s="14" t="str"/>
      <x:c r="S68" s="14" t="str">
        <x:v>Av. Presidente Perón esq. Fitz Roy, Villa María, Córdoba</x:v>
      </x:c>
      <x:c r="T68" s="14" t="str"/>
      <x:c r="U68" s="14" t="str"/>
      <x:c r="V68" s="14" t="str"/>
      <x:c r="W68" s="14" t="str"/>
      <x:c r="X68" s="14" t="str">
        <x:v>03534282568</x:v>
      </x:c>
      <x:c r="Y68" s="14" t="str">
        <x:v>https://www.google.com/maps/search/?api=1&amp;query=Centro+Construcciones+S.R.L.%2C+Av.+Presidente+Per%C3%B3n+esq.+Fitz+Roy%2C+Villa+Mar%C3%ADa%2C+C%C3%B3rdoba</x:v>
      </x:c>
      <x:c r="Z68" s="14" t="str">
        <x:v>Google Business</x:v>
      </x:c>
      <x:c r="AA68" s="14" t="str">
        <x:v>https://www.google.com/maps/search/?api=1&amp;query=Centro+Construcciones+S.R.L.%2C+Av.+Presidente+Per%C3%B3n+esq.+Fitz+Roy%2C+Villa+Mar%C3%ADa%2C+C%C3%B3rdoba</x:v>
      </x:c>
      <x:c r="AB68" s="14" t="str">
        <x:v>Centro de materiales y apoyo a obra.</x:v>
      </x:c>
      <x:c r="AC68" s="14" t="str">
        <x:v>Alta</x:v>
      </x:c>
      <x:c r="AD68" s="14" t="str">
        <x:v>Rastrillaje integral Villa María 2026-09-15</x:v>
      </x:c>
      <x:c r="AE68" s="14" t="str">
        <x:v>Plataforma 20 tn | Hidrogrúa | Percha | Malacate</x:v>
      </x:c>
      <x:c r="AF68" s="14" t="str">
        <x:v>PRIORIDAD ALTA</x:v>
      </x:c>
    </x:row>
    <x:row r="69">
      <x:c r="A69" s="14" t="str">
        <x:v>VM-068</x:v>
      </x:c>
      <x:c r="B69" s="14" t="str">
        <x:v>Pendiente</x:v>
      </x:c>
      <x:c r="C69" s="14" t="str">
        <x:v>Villa María</x:v>
      </x:c>
      <x:c r="D69" s="14" t="str">
        <x:v>PILT</x:v>
      </x:c>
      <x:c r="E69" s="14" t="str">
        <x:v>Villa María</x:v>
      </x:c>
      <x:c r="F69" s="14" t="str">
        <x:v>A</x:v>
      </x:c>
      <x:c r="G69" s="14" t="n">
        <x:v>78</x:v>
      </x:c>
      <x:c r="H69" s="14" t="str">
        <x:v>Ferrero y Mattio S.R.L.</x:v>
      </x:c>
      <x:c r="I69" s="14" t="str">
        <x:v>Tableros / columnas de alumbrado</x:v>
      </x:c>
      <x:c r="J69" s="14" t="str">
        <x:v>Tableros / columnas de alumbrado</x:v>
      </x:c>
      <x:c r="K69" s="14" t="str">
        <x:v>A verificar</x:v>
      </x:c>
      <x:c r="L69" s="14" t="str">
        <x:v>A verificar</x:v>
      </x:c>
      <x:c r="M69" s="14" t="str">
        <x:v>producción / expedición</x:v>
      </x:c>
      <x:c r="N69" s="14" t="str">
        <x:v>Movimiento de tableros, transformadores, bombas, módulos y equipos industriales.</x:v>
      </x:c>
      <x:c r="O69" s="14" t="str">
        <x:v>Plataforma + hidrogrúa + percha según carga.</x:v>
      </x:c>
      <x:c r="P69" s="14" t="str">
        <x:v>Entrega y posicionamiento de equipos pesados con coordinación integral.</x:v>
      </x:c>
      <x:c r="Q69" s="14" t="str">
        <x:v>Pedir proyectos/mantenimiento/logística; consultar pesos y obras activas.</x:v>
      </x:c>
      <x:c r="R69" s="14" t="str"/>
      <x:c r="S69" s="14" t="str">
        <x:v>Parque Industrial, Logístico y Tecnológico (PILT), RN9 km 551,5, Villa María, Córdoba</x:v>
      </x:c>
      <x:c r="T69" s="14" t="str"/>
      <x:c r="U69" s="14" t="str"/>
      <x:c r="V69" s="14" t="str"/>
      <x:c r="W69" s="14" t="str"/>
      <x:c r="X69" s="14" t="str"/>
      <x:c r="Y69" s="14" t="str">
        <x:v>https://www.google.com/maps/search/?api=1&amp;query=Ferrero+y+Mattio+S.R.L.%2C+Parque+Industrial%2C+Log%C3%ADstico+y+Tecnol%C3%B3gico+%28PILT%29%2C+RN9+km+551%2C5%2C+Villa+Mar%C3%ADa%2C+C%C3%B3rdoba</x:v>
      </x:c>
      <x:c r="Z69" s="14" t="str">
        <x:v>Dateas - parque industrial</x:v>
      </x:c>
      <x:c r="AA69" s="14" t="str">
        <x:v>https://www.dateas.com/es/explore/industrias-parque-industrial-villa-maria?page=2</x:v>
      </x:c>
      <x:c r="AB69" s="14" t="str">
        <x:v>Tableros eléctricos y columnas de alumbrado.</x:v>
      </x:c>
      <x:c r="AC69" s="14" t="str">
        <x:v>Media</x:v>
      </x:c>
      <x:c r="AD69" s="14" t="str">
        <x:v>Rastrillaje integral Villa María 2026-09-15</x:v>
      </x:c>
      <x:c r="AE69" s="14" t="str">
        <x:v>Plataforma 20 tn | Hidrogrúa | Percha</x:v>
      </x:c>
      <x:c r="AF69" s="14" t="str">
        <x:v>PRIORIDAD ALTA</x:v>
      </x:c>
    </x:row>
    <x:row r="70">
      <x:c r="A70" s="14" t="str">
        <x:v>VM-069</x:v>
      </x:c>
      <x:c r="B70" s="14" t="str">
        <x:v>Pendiente</x:v>
      </x:c>
      <x:c r="C70" s="14" t="str">
        <x:v>Villa María</x:v>
      </x:c>
      <x:c r="D70" s="14" t="str">
        <x:v>Porfirio Seppey / Industrial</x:v>
      </x:c>
      <x:c r="E70" s="14" t="str">
        <x:v>Villa María</x:v>
      </x:c>
      <x:c r="F70" s="14" t="str">
        <x:v>A</x:v>
      </x:c>
      <x:c r="G70" s="14" t="n">
        <x:v>78</x:v>
      </x:c>
      <x:c r="H70" s="14" t="str">
        <x:v>Transporte TM</x:v>
      </x:c>
      <x:c r="I70" s="14" t="str">
        <x:v>Transporte / logística</x:v>
      </x:c>
      <x:c r="J70" s="14" t="str">
        <x:v>Transporte / logística</x:v>
      </x:c>
      <x:c r="K70" s="14" t="str">
        <x:v>0353 4204210</x:v>
      </x:c>
      <x:c r="L70" s="14" t="str">
        <x:v>OK</x:v>
      </x:c>
      <x:c r="M70" s="14" t="str">
        <x:v>tráfico / operaciones</x:v>
      </x:c>
      <x:c r="N70" s="14" t="str">
        <x:v>Overflow y derivación de cargas/equipos que requieren plataforma, malacate o hidrogrúa.</x:v>
      </x:c>
      <x:c r="O70" s="14" t="str">
        <x:v>Capacidad complementaria: plataforma 20 tn + hidrogrúa + malacate.</x:v>
      </x:c>
      <x:c r="P70" s="14" t="str">
        <x:v>Ser proveedor de respaldo para servicios especiales que excedan la flota habitual.</x:v>
      </x:c>
      <x:c r="Q70" s="14" t="str">
        <x:v>Pedir tráfico/operaciones; ofrecer acuerdo de derivaciones y contingencias.</x:v>
      </x:c>
      <x:c r="R70" s="14" t="str"/>
      <x:c r="S70" s="14" t="str">
        <x:v>Porfirio Seppey 446, Villa María, Córdoba</x:v>
      </x:c>
      <x:c r="T70" s="14" t="str"/>
      <x:c r="U70" s="14" t="str"/>
      <x:c r="V70" s="14" t="str"/>
      <x:c r="W70" s="14" t="str"/>
      <x:c r="X70" s="14" t="str">
        <x:v>03534204210</x:v>
      </x:c>
      <x:c r="Y70" s="14" t="str">
        <x:v>https://www.google.com/maps/search/?api=1&amp;query=Transporte+TM%2C+Porfirio+Seppey+446%2C+Villa+Mar%C3%ADa%2C+C%C3%B3rdoba</x:v>
      </x:c>
      <x:c r="Z70" s="14" t="str">
        <x:v>Google Business</x:v>
      </x:c>
      <x:c r="AA70" s="14" t="str">
        <x:v>https://www.google.com/maps/search/?api=1&amp;query=Transporte+TM%2C+Porfirio+Seppey+446%2C+Villa+Mar%C3%ADa%2C+C%C3%B3rdoba</x:v>
      </x:c>
      <x:c r="AB70" s="14" t="str">
        <x:v>Servicio de transporte local.</x:v>
      </x:c>
      <x:c r="AC70" s="14" t="str">
        <x:v>Alta</x:v>
      </x:c>
      <x:c r="AD70" s="14" t="str">
        <x:v>Rastrillaje integral Villa María 2026-09-15</x:v>
      </x:c>
      <x:c r="AE70" s="14" t="str">
        <x:v>Plataforma 20 tn | Hidrogrúa | Malacate | Subcontratación</x:v>
      </x:c>
      <x:c r="AF70" s="14" t="str">
        <x:v>PRIORIDAD ALTA</x:v>
      </x:c>
    </x:row>
    <x:row r="71">
      <x:c r="A71" s="14" t="str">
        <x:v>VM-070</x:v>
      </x:c>
      <x:c r="B71" s="14" t="str">
        <x:v>Pendiente</x:v>
      </x:c>
      <x:c r="C71" s="14" t="str">
        <x:v>Villa María</x:v>
      </x:c>
      <x:c r="D71" s="14" t="str">
        <x:v>PILT</x:v>
      </x:c>
      <x:c r="E71" s="14" t="str">
        <x:v>Villa María</x:v>
      </x:c>
      <x:c r="F71" s="14" t="str">
        <x:v>A</x:v>
      </x:c>
      <x:c r="G71" s="14" t="n">
        <x:v>77</x:v>
      </x:c>
      <x:c r="H71" s="14" t="str">
        <x:v>Fuyana Rodrigo</x:v>
      </x:c>
      <x:c r="I71" s="14" t="str">
        <x:v>Tableros eléctricos / control</x:v>
      </x:c>
      <x:c r="J71" s="14" t="str">
        <x:v>Tableros eléctricos / control</x:v>
      </x:c>
      <x:c r="K71" s="14" t="str">
        <x:v>A verificar</x:v>
      </x:c>
      <x:c r="L71" s="14" t="str">
        <x:v>A verificar</x:v>
      </x:c>
      <x:c r="M71" s="14" t="str">
        <x:v>producción / proyectos</x:v>
      </x:c>
      <x:c r="N71" s="14" t="str">
        <x:v>Movimiento de tableros, transformadores, bombas, módulos y equipos industriales.</x:v>
      </x:c>
      <x:c r="O71" s="14" t="str">
        <x:v>Plataforma + hidrogrúa + percha según carga.</x:v>
      </x:c>
      <x:c r="P71" s="14" t="str">
        <x:v>Entrega y posicionamiento de equipos pesados con coordinación integral.</x:v>
      </x:c>
      <x:c r="Q71" s="14" t="str">
        <x:v>Pedir proyectos/mantenimiento/logística; consultar pesos y obras activas.</x:v>
      </x:c>
      <x:c r="R71" s="14" t="str"/>
      <x:c r="S71" s="14" t="str">
        <x:v>Parque Industrial, Logístico y Tecnológico (PILT), RN9 km 551,5, Villa María, Córdoba</x:v>
      </x:c>
      <x:c r="T71" s="14" t="str"/>
      <x:c r="U71" s="14" t="str"/>
      <x:c r="V71" s="14" t="str"/>
      <x:c r="W71" s="14" t="str"/>
      <x:c r="X71" s="14" t="str"/>
      <x:c r="Y71" s="14" t="str">
        <x:v>https://www.google.com/maps/search/?api=1&amp;query=Fuyana+Rodrigo%2C+Parque+Industrial%2C+Log%C3%ADstico+y+Tecnol%C3%B3gico+%28PILT%29%2C+RN9+km+551%2C5%2C+Villa+Mar%C3%ADa%2C+C%C3%B3rdoba</x:v>
      </x:c>
      <x:c r="Z71" s="14" t="str">
        <x:v>Dateas - parque industrial</x:v>
      </x:c>
      <x:c r="AA71" s="14" t="str">
        <x:v>https://www.dateas.com/es/explore/industrias-parque-industrial-villa-maria?page=2</x:v>
      </x:c>
      <x:c r="AB71" s="14" t="str">
        <x:v>Fabricación de tableros de control y comandos eléctricos.</x:v>
      </x:c>
      <x:c r="AC71" s="14" t="str">
        <x:v>Media</x:v>
      </x:c>
      <x:c r="AD71" s="14" t="str">
        <x:v>Rastrillaje integral Villa María 2026-09-15</x:v>
      </x:c>
      <x:c r="AE71" s="14" t="str">
        <x:v>Plataforma 20 tn | Hidrogrúa | Percha</x:v>
      </x:c>
      <x:c r="AF71" s="14" t="str">
        <x:v>PRIORIDAD ALTA</x:v>
      </x:c>
    </x:row>
    <x:row r="72">
      <x:c r="A72" s="14" t="str">
        <x:v>VM-071</x:v>
      </x:c>
      <x:c r="B72" s="14" t="str">
        <x:v>Pendiente</x:v>
      </x:c>
      <x:c r="C72" s="14" t="str">
        <x:v>Villa María</x:v>
      </x:c>
      <x:c r="D72" s="14" t="str">
        <x:v>Urbano</x:v>
      </x:c>
      <x:c r="E72" s="14" t="str">
        <x:v>Villa María</x:v>
      </x:c>
      <x:c r="F72" s="14" t="str">
        <x:v>A</x:v>
      </x:c>
      <x:c r="G72" s="14" t="n">
        <x:v>77</x:v>
      </x:c>
      <x:c r="H72" s="14" t="str">
        <x:v>Remolques del Centro</x:v>
      </x:c>
      <x:c r="I72" s="14" t="str">
        <x:v>Remolques / trailers</x:v>
      </x:c>
      <x:c r="J72" s="14" t="str">
        <x:v>Remolques / trailers</x:v>
      </x:c>
      <x:c r="K72" s="14" t="str">
        <x:v>+54 9 353 4175182</x:v>
      </x:c>
      <x:c r="L72" s="14" t="str">
        <x:v>OK</x:v>
      </x:c>
      <x:c r="M72" s="14" t="str">
        <x:v>dueño / expedición / ventas</x:v>
      </x:c>
      <x:c r="N72" s="14" t="str">
        <x:v>Movilización de camiones, acoplados, semirremolques o unidades que no pueden circular; despachos de fábrica.</x:v>
      </x:c>
      <x:c r="O72" s="14" t="str">
        <x:v>Plataforma 20 tn + malacate + hidrogrúa según maniobra.</x:v>
      </x:c>
      <x:c r="P72" s="14" t="str">
        <x:v>Apoyo externo para entregas, rescates, unidades incompletas o inmovilizadas.</x:v>
      </x:c>
      <x:c r="Q72" s="14" t="str">
        <x:v>Pedir expedición/taller/logística; consultar movimientos mensuales y pesos.</x:v>
      </x:c>
      <x:c r="R72" s="14" t="str"/>
      <x:c r="S72" s="14" t="str">
        <x:v>Catamarca 2190, Villa María, Córdoba</x:v>
      </x:c>
      <x:c r="T72" s="14" t="str"/>
      <x:c r="U72" s="14" t="str"/>
      <x:c r="V72" s="14" t="str"/>
      <x:c r="W72" s="14" t="str"/>
      <x:c r="X72" s="14" t="str">
        <x:v>+5493534175182</x:v>
      </x:c>
      <x:c r="Y72" s="14" t="str">
        <x:v>https://www.google.com/maps/search/?api=1&amp;query=Remolques+del+Centro%2C+Catamarca+2190%2C+Villa+Mar%C3%ADa%2C+C%C3%B3rdoba</x:v>
      </x:c>
      <x:c r="Z72" s="14" t="str">
        <x:v>Google Business</x:v>
      </x:c>
      <x:c r="AA72" s="14" t="str">
        <x:v>https://www.google.com/maps/search/?api=1&amp;query=Remolques+del+Centro%2C+Catamarca+2190%2C+Villa+Mar%C3%ADa%2C+C%C3%B3rdoba</x:v>
      </x:c>
      <x:c r="AB72" s="14" t="str">
        <x:v>Suministros y soluciones para remolques.</x:v>
      </x:c>
      <x:c r="AC72" s="14" t="str">
        <x:v>Alta</x:v>
      </x:c>
      <x:c r="AD72" s="14" t="str">
        <x:v>Rastrillaje integral Villa María 2026-09-15</x:v>
      </x:c>
      <x:c r="AE72" s="14" t="str">
        <x:v>Plataforma 20 tn | Malacate | Hidrogrúa | Apoyo de flota</x:v>
      </x:c>
      <x:c r="AF72" s="14" t="str">
        <x:v>PRIORIDAD ALTA</x:v>
      </x:c>
    </x:row>
    <x:row r="73">
      <x:c r="A73" s="14" t="str">
        <x:v>VM-072</x:v>
      </x:c>
      <x:c r="B73" s="14" t="str">
        <x:v>Pendiente</x:v>
      </x:c>
      <x:c r="C73" s="14" t="str">
        <x:v>Villa María</x:v>
      </x:c>
      <x:c r="D73" s="14" t="str">
        <x:v>PILT</x:v>
      </x:c>
      <x:c r="E73" s="14" t="str">
        <x:v>Villa María</x:v>
      </x:c>
      <x:c r="F73" s="14" t="str">
        <x:v>A</x:v>
      </x:c>
      <x:c r="G73" s="14" t="n">
        <x:v>77</x:v>
      </x:c>
      <x:c r="H73" s="14" t="str">
        <x:v>Valfre Sebastián Antonio</x:v>
      </x:c>
      <x:c r="I73" s="14" t="str">
        <x:v>Contenedores / embalajes</x:v>
      </x:c>
      <x:c r="J73" s="14" t="str">
        <x:v>Contenedores / embalajes</x:v>
      </x:c>
      <x:c r="K73" s="14" t="str">
        <x:v>A verificar</x:v>
      </x:c>
      <x:c r="L73" s="14" t="str">
        <x:v>A verificar</x:v>
      </x:c>
      <x:c r="M73" s="14" t="str">
        <x:v>producción / logística</x:v>
      </x:c>
      <x:c r="N73" s="14" t="str">
        <x:v>Movimientos de equipos o cargas especiales asociados a la operación.</x:v>
      </x:c>
      <x:c r="O73" s="14" t="str">
        <x:v>Plataforma 20 tn + hidrogrúa + malacate según necesidad.</x:v>
      </x:c>
      <x:c r="P73" s="14" t="str">
        <x:v>Capacidad externa para movimientos pesados o especiales.</x:v>
      </x:c>
      <x:c r="Q73" s="14" t="str">
        <x:v>Contactar operaciones/logística y relevar movimientos actuales.</x:v>
      </x:c>
      <x:c r="R73" s="14" t="str"/>
      <x:c r="S73" s="14" t="str">
        <x:v>Parque Industrial, Logístico y Tecnológico (PILT), RN9 km 551,5, Villa María, Córdoba</x:v>
      </x:c>
      <x:c r="T73" s="14" t="str"/>
      <x:c r="U73" s="14" t="str"/>
      <x:c r="V73" s="14" t="str"/>
      <x:c r="W73" s="14" t="str"/>
      <x:c r="X73" s="14" t="str"/>
      <x:c r="Y73" s="14" t="str">
        <x:v>https://www.google.com/maps/search/?api=1&amp;query=Valfre+Sebasti%C3%A1n+Antonio%2C+Parque+Industrial%2C+Log%C3%ADstico+y+Tecnol%C3%B3gico+%28PILT%29%2C+RN9+km+551%2C5%2C+Villa+Mar%C3%ADa%2C+C%C3%B3rdoba</x:v>
      </x:c>
      <x:c r="Z73" s="14" t="str">
        <x:v>Dateas - parque industrial</x:v>
      </x:c>
      <x:c r="AA73" s="14" t="str">
        <x:v>https://www.dateas.com/es/explore/industrias-parque-industrial-villa-maria?page=5</x:v>
      </x:c>
      <x:c r="AB73" s="14" t="str">
        <x:v>Fabricación de contenedores para embalajes y exhibidores.</x:v>
      </x:c>
      <x:c r="AC73" s="14" t="str">
        <x:v>Media</x:v>
      </x:c>
      <x:c r="AD73" s="14" t="str">
        <x:v>Rastrillaje integral Villa María 2026-09-15</x:v>
      </x:c>
      <x:c r="AE73" s="14" t="str">
        <x:v>Plataforma 20 tn | Hidrogrúa | Malacate</x:v>
      </x:c>
      <x:c r="AF73" s="14" t="str">
        <x:v>PRIORIDAD ALTA</x:v>
      </x:c>
    </x:row>
    <x:row r="74">
      <x:c r="A74" s="14" t="str">
        <x:v>VM-073</x:v>
      </x:c>
      <x:c r="B74" s="14" t="str">
        <x:v>Pendiente</x:v>
      </x:c>
      <x:c r="C74" s="14" t="str">
        <x:v>Villa María</x:v>
      </x:c>
      <x:c r="D74" s="14" t="str">
        <x:v>RN158 / Área 158</x:v>
      </x:c>
      <x:c r="E74" s="14" t="str">
        <x:v>Villa María</x:v>
      </x:c>
      <x:c r="F74" s="14" t="str">
        <x:v>A</x:v>
      </x:c>
      <x:c r="G74" s="14" t="n">
        <x:v>76</x:v>
      </x:c>
      <x:c r="H74" s="14" t="str">
        <x:v>Agro Repuestos Villa María</x:v>
      </x:c>
      <x:c r="I74" s="14" t="str">
        <x:v>Repuestos / maquinaria agrícola</x:v>
      </x:c>
      <x:c r="J74" s="14" t="str">
        <x:v>Repuestos / maquinaria agrícola</x:v>
      </x:c>
      <x:c r="K74" s="14" t="str">
        <x:v>0353 4783991</x:v>
      </x:c>
      <x:c r="L74" s="14" t="str">
        <x:v>OK</x:v>
      </x:c>
      <x:c r="M74" s="14" t="str">
        <x:v>gerencia / logística / service</x:v>
      </x:c>
      <x:c r="N74" s="14" t="str">
        <x:v>Entrega/retiro de maquinaria, usados, service y traslados entre cliente, taller y campo/obra.</x:v>
      </x:c>
      <x:c r="O74" s="14" t="str">
        <x:v>Plataforma 20 tn + malacate + hidrogrúa de apoyo + seguro/GPS.</x:v>
      </x:c>
      <x:c r="P74" s="14" t="str">
        <x:v>Reducir picos de entregas y rescates de service sin inmovilizar flota propia.</x:v>
      </x:c>
      <x:c r="Q74" s="14" t="str">
        <x:v>Pedir logística/posventa; relevar equipos, pesos y frecuencia mensual.</x:v>
      </x:c>
      <x:c r="R74" s="14" t="str"/>
      <x:c r="S74" s="14" t="str">
        <x:v>Área 158, RN158, Villa María, Córdoba</x:v>
      </x:c>
      <x:c r="T74" s="14" t="str"/>
      <x:c r="U74" s="14" t="str"/>
      <x:c r="V74" s="14" t="str"/>
      <x:c r="W74" s="14" t="str"/>
      <x:c r="X74" s="14" t="str">
        <x:v>03534783991</x:v>
      </x:c>
      <x:c r="Y74" s="14" t="str">
        <x:v>https://www.google.com/maps/search/?api=1&amp;query=Agro+Repuestos+Villa+Mar%C3%ADa%2C+%C3%81rea+158%2C+RN158%2C+Villa+Mar%C3%ADa%2C+C%C3%B3rdoba</x:v>
      </x:c>
      <x:c r="Z74" s="14" t="str">
        <x:v>Google Business</x:v>
      </x:c>
      <x:c r="AA74" s="14" t="str">
        <x:v>https://www.google.com/maps/search/?api=1&amp;query=Agro+Repuestos+Villa+Mar%C3%ADa%2C+%C3%81rea+158%2C+RN158%2C+Villa+Mar%C3%ADa%2C+C%C3%B3rdoba</x:v>
      </x:c>
      <x:c r="AB74" s="14" t="str">
        <x:v>Repuestos agrícolas en corredor de maquinaria.</x:v>
      </x:c>
      <x:c r="AC74" s="14" t="str">
        <x:v>Alta</x:v>
      </x:c>
      <x:c r="AD74" s="14" t="str">
        <x:v>Rastrillaje integral Villa María 2026-09-15</x:v>
      </x:c>
      <x:c r="AE74" s="14" t="str">
        <x:v>Plataforma 20 tn | Malacate | Hidrogrúa | Seguro/GPS</x:v>
      </x:c>
      <x:c r="AF74" s="14" t="str">
        <x:v>PRIORIDAD ALTA</x:v>
      </x:c>
    </x:row>
    <x:row r="75">
      <x:c r="A75" s="14" t="str">
        <x:v>VM-074</x:v>
      </x:c>
      <x:c r="B75" s="14" t="str">
        <x:v>Pendiente</x:v>
      </x:c>
      <x:c r="C75" s="14" t="str">
        <x:v>Villa María</x:v>
      </x:c>
      <x:c r="D75" s="14" t="str">
        <x:v>Urbano</x:v>
      </x:c>
      <x:c r="E75" s="14" t="str">
        <x:v>Villa María</x:v>
      </x:c>
      <x:c r="F75" s="14" t="str">
        <x:v>A</x:v>
      </x:c>
      <x:c r="G75" s="14" t="n">
        <x:v>76</x:v>
      </x:c>
      <x:c r="H75" s="14" t="str">
        <x:v>Auxilios y Grúas MARPAT</x:v>
      </x:c>
      <x:c r="I75" s="14" t="str">
        <x:v>Grúa / auxilio</x:v>
      </x:c>
      <x:c r="J75" s="14" t="str">
        <x:v>Grúa / auxilio</x:v>
      </x:c>
      <x:c r="K75" s="14" t="str">
        <x:v>+54 3468 642819</x:v>
      </x:c>
      <x:c r="L75" s="14" t="str">
        <x:v>OK</x:v>
      </x:c>
      <x:c r="M75" s="14" t="str">
        <x:v>operaciones / flota</x:v>
      </x:c>
      <x:c r="N75" s="14" t="str">
        <x:v>Entrega/retiro de equipos de elevación y apoyo en maniobras o posicionamiento.</x:v>
      </x:c>
      <x:c r="O75" s="14" t="str">
        <x:v>Plataforma 20 tn + malacate + hidrogrúa.</x:v>
      </x:c>
      <x:c r="P75" s="14" t="str">
        <x:v>Cubrir traslados de alquiler/service y complementar capacidad de izaje.</x:v>
      </x:c>
      <x:c r="Q75" s="14" t="str">
        <x:v>Pedir operaciones/alquileres; relevar flota, pesos y zonas de servicio.</x:v>
      </x:c>
      <x:c r="R75" s="14" t="str"/>
      <x:c r="S75" s="14" t="str">
        <x:v>José Ingenieros 782, Villa María, Córdoba</x:v>
      </x:c>
      <x:c r="T75" s="14" t="str"/>
      <x:c r="U75" s="14" t="str"/>
      <x:c r="V75" s="14" t="str"/>
      <x:c r="W75" s="14" t="str"/>
      <x:c r="X75" s="14" t="str">
        <x:v>+543468642819</x:v>
      </x:c>
      <x:c r="Y75" s="14" t="str">
        <x:v>https://www.google.com/maps/search/?api=1&amp;query=Auxilios+y+Gr%C3%BAas+MARPAT%2C+Jos%C3%A9+Ingenieros+782%2C+Villa+Mar%C3%ADa%2C+C%C3%B3rdoba</x:v>
      </x:c>
      <x:c r="Z75" s="14" t="str">
        <x:v>Google Business</x:v>
      </x:c>
      <x:c r="AA75" s="14" t="str">
        <x:v>https://www.google.com/maps/search/?api=1&amp;query=Auxilios+y+Gr%C3%BAas+MARPAT%2C+Jos%C3%A9+Ingenieros+782%2C+Villa+Mar%C3%ADa%2C+C%C3%B3rdoba</x:v>
      </x:c>
      <x:c r="AB75" s="14" t="str">
        <x:v>Servicio de grúa 24 horas.</x:v>
      </x:c>
      <x:c r="AC75" s="14" t="str">
        <x:v>Alta</x:v>
      </x:c>
      <x:c r="AD75" s="14" t="str">
        <x:v>Rastrillaje integral Villa María 2026-09-15</x:v>
      </x:c>
      <x:c r="AE75" s="14" t="str">
        <x:v>Plataforma 20 tn | Malacate | Hidrogrúa | Entrega/retiro</x:v>
      </x:c>
      <x:c r="AF75" s="14" t="str">
        <x:v>PRIORIDAD ALTA</x:v>
      </x:c>
    </x:row>
    <x:row r="76">
      <x:c r="A76" s="14" t="str">
        <x:v>VM-075</x:v>
      </x:c>
      <x:c r="B76" s="14" t="str">
        <x:v>Pendiente</x:v>
      </x:c>
      <x:c r="C76" s="14" t="str">
        <x:v>Villa María</x:v>
      </x:c>
      <x:c r="D76" s="14" t="str">
        <x:v>Urbano</x:v>
      </x:c>
      <x:c r="E76" s="14" t="str">
        <x:v>Villa María</x:v>
      </x:c>
      <x:c r="F76" s="14" t="str">
        <x:v>A</x:v>
      </x:c>
      <x:c r="G76" s="14" t="n">
        <x:v>76</x:v>
      </x:c>
      <x:c r="H76" s="14" t="str">
        <x:v>Ranco Materiales - Villa María</x:v>
      </x:c>
      <x:c r="I76" s="14" t="str">
        <x:v>Materiales / construcción</x:v>
      </x:c>
      <x:c r="J76" s="14" t="str">
        <x:v>Materiales / construcción</x:v>
      </x:c>
      <x:c r="K76" s="14" t="str">
        <x:v>0353 4549200</x:v>
      </x:c>
      <x:c r="L76" s="14" t="str">
        <x:v>OK</x:v>
      </x:c>
      <x:c r="M76" s="14" t="str">
        <x:v>logística / depósito</x:v>
      </x:c>
      <x:c r="N76" s="14" t="str">
        <x:v>Movimiento de equipos de planta, moldes, bombas, premoldeados y cargas pesadas especiales.</x:v>
      </x:c>
      <x:c r="O76" s="14" t="str">
        <x:v>Plataforma + hidrogrúa + percha para pallets.</x:v>
      </x:c>
      <x:c r="P76" s="14" t="str">
        <x:v>Complementar la logística convencional con cargas y equipos especiales.</x:v>
      </x:c>
      <x:c r="Q76" s="14" t="str">
        <x:v>Pedir planta/logística/mantenimiento; relevar equipos y movimientos no cubiertos.</x:v>
      </x:c>
      <x:c r="R76" s="14" t="str"/>
      <x:c r="S76" s="14" t="str">
        <x:v>Bv. Vélez Sarsfield 659, Villa María, Córdoba</x:v>
      </x:c>
      <x:c r="T76" s="14" t="str"/>
      <x:c r="U76" s="14" t="str"/>
      <x:c r="V76" s="14" t="str"/>
      <x:c r="W76" s="14" t="str"/>
      <x:c r="X76" s="14" t="str">
        <x:v>03534549200</x:v>
      </x:c>
      <x:c r="Y76" s="14" t="str">
        <x:v>https://www.google.com/maps/search/?api=1&amp;query=Ranco+Materiales+-+Villa+Mar%C3%ADa%2C+Bv.+V%C3%A9lez+Sarsfield+659%2C+Villa+Mar%C3%ADa%2C+C%C3%B3rdoba</x:v>
      </x:c>
      <x:c r="Z76" s="14" t="str">
        <x:v>Google Business</x:v>
      </x:c>
      <x:c r="AA76" s="14" t="str">
        <x:v>https://www.google.com/maps/search/?api=1&amp;query=Ranco+Materiales+Villa+Mar%C3%ADa%2C+Bv.+V%C3%A9lez+Sarsfield+659%2C+Villa+Mar%C3%ADa%2C+C%C3%B3rdoba</x:v>
      </x:c>
      <x:c r="AB76" s="14" t="str">
        <x:v>Materiales de construcción y movimientos de depósito.</x:v>
      </x:c>
      <x:c r="AC76" s="14" t="str">
        <x:v>Alta</x:v>
      </x:c>
      <x:c r="AD76" s="14" t="str">
        <x:v>Rastrillaje integral Villa María 2026-09-15</x:v>
      </x:c>
      <x:c r="AE76" s="14" t="str">
        <x:v>Plataforma 20 tn | Hidrogrúa | Percha | Malacate</x:v>
      </x:c>
      <x:c r="AF76" s="14" t="str">
        <x:v>PRIORIDAD ALTA</x:v>
      </x:c>
    </x:row>
    <x:row r="77">
      <x:c r="A77" s="14" t="str">
        <x:v>VM-076</x:v>
      </x:c>
      <x:c r="B77" s="14" t="str">
        <x:v>Pendiente</x:v>
      </x:c>
      <x:c r="C77" s="14" t="str">
        <x:v>Villa María</x:v>
      </x:c>
      <x:c r="D77" s="14" t="str">
        <x:v>Urbano</x:v>
      </x:c>
      <x:c r="E77" s="14" t="str">
        <x:v>Villa María</x:v>
      </x:c>
      <x:c r="F77" s="14" t="str">
        <x:v>A</x:v>
      </x:c>
      <x:c r="G77" s="14" t="n">
        <x:v>75</x:v>
      </x:c>
      <x:c r="H77" s="14" t="str">
        <x:v>Mino Transporte</x:v>
      </x:c>
      <x:c r="I77" s="14" t="str">
        <x:v>Transporte de mercancías</x:v>
      </x:c>
      <x:c r="J77" s="14" t="str">
        <x:v>Transporte de mercancías</x:v>
      </x:c>
      <x:c r="K77" s="14" t="str">
        <x:v>0353 4524207</x:v>
      </x:c>
      <x:c r="L77" s="14" t="str">
        <x:v>OK</x:v>
      </x:c>
      <x:c r="M77" s="14" t="str">
        <x:v>tráfico / operaciones</x:v>
      </x:c>
      <x:c r="N77" s="14" t="str">
        <x:v>Overflow y derivación de cargas/equipos que requieren plataforma, malacate o hidrogrúa.</x:v>
      </x:c>
      <x:c r="O77" s="14" t="str">
        <x:v>Capacidad complementaria: plataforma 20 tn + hidrogrúa + malacate.</x:v>
      </x:c>
      <x:c r="P77" s="14" t="str">
        <x:v>Ser proveedor de respaldo para servicios especiales que excedan la flota habitual.</x:v>
      </x:c>
      <x:c r="Q77" s="14" t="str">
        <x:v>Pedir tráfico/operaciones; ofrecer acuerdo de derivaciones y contingencias.</x:v>
      </x:c>
      <x:c r="R77" s="14" t="str"/>
      <x:c r="S77" s="14" t="str">
        <x:v>Catamarca 192, Villa María, Córdoba</x:v>
      </x:c>
      <x:c r="T77" s="14" t="str"/>
      <x:c r="U77" s="14" t="str"/>
      <x:c r="V77" s="14" t="str"/>
      <x:c r="W77" s="14" t="str"/>
      <x:c r="X77" s="14" t="str">
        <x:v>03534524207</x:v>
      </x:c>
      <x:c r="Y77" s="14" t="str">
        <x:v>https://www.google.com/maps/search/?api=1&amp;query=Mino+Transporte%2C+Catamarca+192%2C+Villa+Mar%C3%ADa%2C+C%C3%B3rdoba</x:v>
      </x:c>
      <x:c r="Z77" s="14" t="str">
        <x:v>Google Business</x:v>
      </x:c>
      <x:c r="AA77" s="14" t="str">
        <x:v>https://www.google.com/maps/search/?api=1&amp;query=Mino+Transporte%2C+Catamarca+192%2C+Villa+Mar%C3%ADa%2C+C%C3%B3rdoba</x:v>
      </x:c>
      <x:c r="AB77" s="14" t="str">
        <x:v>Servicio de transporte de mercancías.</x:v>
      </x:c>
      <x:c r="AC77" s="14" t="str">
        <x:v>Alta</x:v>
      </x:c>
      <x:c r="AD77" s="14" t="str">
        <x:v>Rastrillaje integral Villa María 2026-09-15</x:v>
      </x:c>
      <x:c r="AE77" s="14" t="str">
        <x:v>Plataforma 20 tn | Hidrogrúa | Malacate | Subcontratación</x:v>
      </x:c>
      <x:c r="AF77" s="14" t="str">
        <x:v>PRIORIDAD ALTA</x:v>
      </x:c>
    </x:row>
    <x:row r="78">
      <x:c r="A78" s="14" t="str">
        <x:v>VM-077</x:v>
      </x:c>
      <x:c r="B78" s="14" t="str">
        <x:v>Pendiente</x:v>
      </x:c>
      <x:c r="C78" s="14" t="str">
        <x:v>Villa María</x:v>
      </x:c>
      <x:c r="D78" s="14" t="str">
        <x:v>PILT</x:v>
      </x:c>
      <x:c r="E78" s="14" t="str">
        <x:v>Villa María</x:v>
      </x:c>
      <x:c r="F78" s="14" t="str">
        <x:v>A</x:v>
      </x:c>
      <x:c r="G78" s="14" t="n">
        <x:v>75</x:v>
      </x:c>
      <x:c r="H78" s="14" t="str">
        <x:v>Vetro SRL</x:v>
      </x:c>
      <x:c r="I78" s="14" t="str">
        <x:v>Procesamiento de vidrio</x:v>
      </x:c>
      <x:c r="J78" s="14" t="str">
        <x:v>Procesamiento de vidrio</x:v>
      </x:c>
      <x:c r="K78" s="14" t="str">
        <x:v>A verificar</x:v>
      </x:c>
      <x:c r="L78" s="14" t="str">
        <x:v>A verificar</x:v>
      </x:c>
      <x:c r="M78" s="14" t="str">
        <x:v>producción / logística</x:v>
      </x:c>
      <x:c r="N78" s="14" t="str">
        <x:v>Movimientos de equipos o cargas especiales asociados a la operación.</x:v>
      </x:c>
      <x:c r="O78" s="14" t="str">
        <x:v>Plataforma 20 tn + hidrogrúa + malacate según necesidad.</x:v>
      </x:c>
      <x:c r="P78" s="14" t="str">
        <x:v>Capacidad externa para movimientos pesados o especiales.</x:v>
      </x:c>
      <x:c r="Q78" s="14" t="str">
        <x:v>Contactar operaciones/logística y relevar movimientos actuales.</x:v>
      </x:c>
      <x:c r="R78" s="14" t="str"/>
      <x:c r="S78" s="14" t="str">
        <x:v>Parque Industrial, Logístico y Tecnológico (PILT), RN9 km 551,5, Villa María, Córdoba</x:v>
      </x:c>
      <x:c r="T78" s="14" t="str"/>
      <x:c r="U78" s="14" t="str"/>
      <x:c r="V78" s="14" t="str"/>
      <x:c r="W78" s="14" t="str"/>
      <x:c r="X78" s="14" t="str"/>
      <x:c r="Y78" s="14" t="str">
        <x:v>https://www.google.com/maps/search/?api=1&amp;query=Vetro+SRL%2C+Parque+Industrial%2C+Log%C3%ADstico+y+Tecnol%C3%B3gico+%28PILT%29%2C+RN9+km+551%2C5%2C+Villa+Mar%C3%ADa%2C+C%C3%B3rdoba</x:v>
      </x:c>
      <x:c r="Z78" s="14" t="str">
        <x:v>Dateas - parque industrial</x:v>
      </x:c>
      <x:c r="AA78" s="14" t="str">
        <x:v>https://www.dateas.com/es/explore/industrias-parque-industrial-villa-maria?page=5</x:v>
      </x:c>
      <x:c r="AB78" s="14" t="str">
        <x:v>Planta industrial procesadora de cristales.</x:v>
      </x:c>
      <x:c r="AC78" s="14" t="str">
        <x:v>Media</x:v>
      </x:c>
      <x:c r="AD78" s="14" t="str">
        <x:v>Rastrillaje integral Villa María 2026-09-15</x:v>
      </x:c>
      <x:c r="AE78" s="14" t="str">
        <x:v>Plataforma 20 tn | Hidrogrúa | Malacate</x:v>
      </x:c>
      <x:c r="AF78" s="14" t="str">
        <x:v>PRIORIDAD ALTA</x:v>
      </x:c>
    </x:row>
    <x:row r="79">
      <x:c r="A79" s="14" t="str">
        <x:v>VM-078</x:v>
      </x:c>
      <x:c r="B79" s="14" t="str">
        <x:v>Pendiente</x:v>
      </x:c>
      <x:c r="C79" s="14" t="str">
        <x:v>Villa María</x:v>
      </x:c>
      <x:c r="D79" s="14" t="str">
        <x:v>PILT</x:v>
      </x:c>
      <x:c r="E79" s="14" t="str">
        <x:v>Villa María</x:v>
      </x:c>
      <x:c r="F79" s="14" t="str">
        <x:v>A</x:v>
      </x:c>
      <x:c r="G79" s="14" t="n">
        <x:v>72</x:v>
      </x:c>
      <x:c r="H79" s="14" t="str">
        <x:v>Poligar S.R.L.</x:v>
      </x:c>
      <x:c r="I79" s="14" t="str">
        <x:v>Plásticos / embalaje</x:v>
      </x:c>
      <x:c r="J79" s="14" t="str">
        <x:v>Plásticos / embalaje</x:v>
      </x:c>
      <x:c r="K79" s="14" t="str">
        <x:v>A verificar</x:v>
      </x:c>
      <x:c r="L79" s="14" t="str">
        <x:v>A verificar</x:v>
      </x:c>
      <x:c r="M79" s="14" t="str">
        <x:v>producción / logística</x:v>
      </x:c>
      <x:c r="N79" s="14" t="str">
        <x:v>Movimientos de equipos o cargas especiales asociados a la operación.</x:v>
      </x:c>
      <x:c r="O79" s="14" t="str">
        <x:v>Plataforma 20 tn + hidrogrúa + malacate según necesidad.</x:v>
      </x:c>
      <x:c r="P79" s="14" t="str">
        <x:v>Capacidad externa para movimientos pesados o especiales.</x:v>
      </x:c>
      <x:c r="Q79" s="14" t="str">
        <x:v>Contactar operaciones/logística y relevar movimientos actuales.</x:v>
      </x:c>
      <x:c r="R79" s="14" t="str"/>
      <x:c r="S79" s="14" t="str">
        <x:v>Parque Industrial, Logístico y Tecnológico (PILT), RN9 km 551,5, Villa María, Córdoba</x:v>
      </x:c>
      <x:c r="T79" s="14" t="str"/>
      <x:c r="U79" s="14" t="str"/>
      <x:c r="V79" s="14" t="str"/>
      <x:c r="W79" s="14" t="str"/>
      <x:c r="X79" s="14" t="str"/>
      <x:c r="Y79" s="14" t="str">
        <x:v>https://www.google.com/maps/search/?api=1&amp;query=Poligar+S.R.L.%2C+Parque+Industrial%2C+Log%C3%ADstico+y+Tecnol%C3%B3gico+%28PILT%29%2C+RN9+km+551%2C5%2C+Villa+Mar%C3%ADa%2C+C%C3%B3rdoba</x:v>
      </x:c>
      <x:c r="Z79" s="14" t="str">
        <x:v>Dateas - parque industrial</x:v>
      </x:c>
      <x:c r="AA79" s="14" t="str">
        <x:v>https://www.dateas.com/es/explore/industrias-parque-industrial-villa-maria?page=4</x:v>
      </x:c>
      <x:c r="AB79" s="14" t="str">
        <x:v>Bolsas de polietileno.</x:v>
      </x:c>
      <x:c r="AC79" s="14" t="str">
        <x:v>Media</x:v>
      </x:c>
      <x:c r="AD79" s="14" t="str">
        <x:v>Rastrillaje integral Villa María 2026-09-15</x:v>
      </x:c>
      <x:c r="AE79" s="14" t="str">
        <x:v>Plataforma 20 tn | Hidrogrúa | Malacate</x:v>
      </x:c>
      <x:c r="AF79" s="14" t="str">
        <x:v>PRIORIDAD ALTA</x:v>
      </x:c>
    </x:row>
    <x:row r="80">
      <x:c r="A80" s="14" t="str">
        <x:v>VM-079</x:v>
      </x:c>
      <x:c r="B80" s="14" t="str">
        <x:v>Pendiente</x:v>
      </x:c>
      <x:c r="C80" s="14" t="str">
        <x:v>Villa María</x:v>
      </x:c>
      <x:c r="D80" s="14" t="str">
        <x:v>PILT</x:v>
      </x:c>
      <x:c r="E80" s="14" t="str">
        <x:v>Villa María</x:v>
      </x:c>
      <x:c r="F80" s="14" t="str">
        <x:v>B</x:v>
      </x:c>
      <x:c r="G80" s="14" t="n">
        <x:v>69</x:v>
      </x:c>
      <x:c r="H80" s="14" t="str">
        <x:v>Don Emilio S.R.L.</x:v>
      </x:c>
      <x:c r="I80" s="14" t="str">
        <x:v>Lácteos / secado de leche</x:v>
      </x:c>
      <x:c r="J80" s="14" t="str">
        <x:v>Lácteos / secado de leche</x:v>
      </x:c>
      <x:c r="K80" s="14" t="str">
        <x:v>A verificar</x:v>
      </x:c>
      <x:c r="L80" s="14" t="str">
        <x:v>A verificar</x:v>
      </x:c>
      <x:c r="M80" s="14" t="str">
        <x:v>planta / mantenimiento</x:v>
      </x:c>
      <x:c r="N80" s="14" t="str">
        <x:v>Movimientos de mantenimiento, motores, bombas, equipos, racks y cargas extraordinarias.</x:v>
      </x:c>
      <x:c r="O80" s="14" t="str">
        <x:v>Plataforma + hidrogrúa + percha + seguro/GPS.</x:v>
      </x:c>
      <x:c r="P80" s="14" t="str">
        <x:v>Proveedor local para paradas, montajes y movimientos no rutinarios.</x:v>
      </x:c>
      <x:c r="Q80" s="14" t="str">
        <x:v>Pedir mantenimiento/compras/planta; relevar equipos críticos y proveedores actuales.</x:v>
      </x:c>
      <x:c r="R80" s="14" t="str"/>
      <x:c r="S80" s="14" t="str">
        <x:v>Parque Industrial, Logístico y Tecnológico (PILT), RN9 km 551,5, Villa María, Córdoba</x:v>
      </x:c>
      <x:c r="T80" s="14" t="str"/>
      <x:c r="U80" s="14" t="str"/>
      <x:c r="V80" s="14" t="str"/>
      <x:c r="W80" s="14" t="str"/>
      <x:c r="X80" s="14" t="str"/>
      <x:c r="Y80" s="14" t="str">
        <x:v>https://www.google.com/maps/search/?api=1&amp;query=Don+Emilio+S.R.L.%2C+Parque+Industrial%2C+Log%C3%ADstico+y+Tecnol%C3%B3gico+%28PILT%29%2C+RN9+km+551%2C5%2C+Villa+Mar%C3%ADa%2C+C%C3%B3rdoba</x:v>
      </x:c>
      <x:c r="Z80" s="14" t="str">
        <x:v>Dateas - parque industrial</x:v>
      </x:c>
      <x:c r="AA80" s="14" t="str">
        <x:v>https://www.dateas.com/es/explore/industrias-parque-industrial-villa-maria?page=1</x:v>
      </x:c>
      <x:c r="AB80" s="14" t="str">
        <x:v>Productos lácteos y secado de leche en polvo.</x:v>
      </x:c>
      <x:c r="AC80" s="14" t="str">
        <x:v>Media</x:v>
      </x:c>
      <x:c r="AD80" s="14" t="str">
        <x:v>Rastrillaje integral Villa María 2026-09-15</x:v>
      </x:c>
      <x:c r="AE80" s="14" t="str">
        <x:v>Plataforma 20 tn | Hidrogrúa | Percha | Seguro/GPS</x:v>
      </x:c>
      <x:c r="AF80" s="14" t="str">
        <x:v>SEGUNDA PASADA</x:v>
      </x:c>
    </x:row>
    <x:row r="81">
      <x:c r="A81" s="14" t="str">
        <x:v>VM-080</x:v>
      </x:c>
      <x:c r="B81" s="14" t="str">
        <x:v>Pendiente</x:v>
      </x:c>
      <x:c r="C81" s="14" t="str">
        <x:v>Villa María</x:v>
      </x:c>
      <x:c r="D81" s="14" t="str">
        <x:v>PILT</x:v>
      </x:c>
      <x:c r="E81" s="14" t="str">
        <x:v>Villa María</x:v>
      </x:c>
      <x:c r="F81" s="14" t="str">
        <x:v>B</x:v>
      </x:c>
      <x:c r="G81" s="14" t="n">
        <x:v>69</x:v>
      </x:c>
      <x:c r="H81" s="14" t="str">
        <x:v>Gigante Aquiles Domingo</x:v>
      </x:c>
      <x:c r="I81" s="14" t="str">
        <x:v>Transformadores / mantenimiento</x:v>
      </x:c>
      <x:c r="J81" s="14" t="str">
        <x:v>Transformadores / mantenimiento</x:v>
      </x:c>
      <x:c r="K81" s="14" t="str">
        <x:v>A verificar</x:v>
      </x:c>
      <x:c r="L81" s="14" t="str">
        <x:v>A verificar</x:v>
      </x:c>
      <x:c r="M81" s="14" t="str">
        <x:v>producción / mantenimiento</x:v>
      </x:c>
      <x:c r="N81" s="14" t="str">
        <x:v>Movimiento de tableros, transformadores, bombas, módulos y equipos industriales.</x:v>
      </x:c>
      <x:c r="O81" s="14" t="str">
        <x:v>Plataforma + hidrogrúa + percha según carga.</x:v>
      </x:c>
      <x:c r="P81" s="14" t="str">
        <x:v>Entrega y posicionamiento de equipos pesados con coordinación integral.</x:v>
      </x:c>
      <x:c r="Q81" s="14" t="str">
        <x:v>Pedir proyectos/mantenimiento/logística; consultar pesos y obras activas.</x:v>
      </x:c>
      <x:c r="R81" s="14" t="str"/>
      <x:c r="S81" s="14" t="str">
        <x:v>Parque Industrial, Logístico y Tecnológico (PILT), RN9 km 551,5, Villa María, Córdoba</x:v>
      </x:c>
      <x:c r="T81" s="14" t="str"/>
      <x:c r="U81" s="14" t="str"/>
      <x:c r="V81" s="14" t="str"/>
      <x:c r="W81" s="14" t="str"/>
      <x:c r="X81" s="14" t="str"/>
      <x:c r="Y81" s="14" t="str">
        <x:v>https://www.google.com/maps/search/?api=1&amp;query=Gigante+Aquiles+Domingo%2C+Parque+Industrial%2C+Log%C3%ADstico+y+Tecnol%C3%B3gico+%28PILT%29%2C+RN9+km+551%2C5%2C+Villa+Mar%C3%ADa%2C+C%C3%B3rdoba</x:v>
      </x:c>
      <x:c r="Z81" s="14" t="str">
        <x:v>Dateas - parque industrial</x:v>
      </x:c>
      <x:c r="AA81" s="14" t="str">
        <x:v>https://www.dateas.com/es/explore/industrias-parque-industrial-villa-maria?page=2</x:v>
      </x:c>
      <x:c r="AB81" s="14" t="str">
        <x:v>Fabricación y reparación de transformadores y tratamiento de aceite.</x:v>
      </x:c>
      <x:c r="AC81" s="14" t="str">
        <x:v>Media</x:v>
      </x:c>
      <x:c r="AD81" s="14" t="str">
        <x:v>Rastrillaje integral Villa María 2026-09-15</x:v>
      </x:c>
      <x:c r="AE81" s="14" t="str">
        <x:v>Plataforma 20 tn | Hidrogrúa | Percha</x:v>
      </x:c>
      <x:c r="AF81" s="14" t="str">
        <x:v>SEGUNDA PASADA</x:v>
      </x:c>
    </x:row>
    <x:row r="82">
      <x:c r="A82" s="14" t="str">
        <x:v>VM-081</x:v>
      </x:c>
      <x:c r="B82" s="14" t="str">
        <x:v>Pendiente</x:v>
      </x:c>
      <x:c r="C82" s="14" t="str">
        <x:v>Villa María</x:v>
      </x:c>
      <x:c r="D82" s="14" t="str">
        <x:v>PILT</x:v>
      </x:c>
      <x:c r="E82" s="14" t="str">
        <x:v>Villa María</x:v>
      </x:c>
      <x:c r="F82" s="14" t="str">
        <x:v>B</x:v>
      </x:c>
      <x:c r="G82" s="14" t="n">
        <x:v>69</x:v>
      </x:c>
      <x:c r="H82" s="14" t="str">
        <x:v>Gribaudo Carlos Daniel</x:v>
      </x:c>
      <x:c r="I82" s="14" t="str">
        <x:v>Fundición / metalúrgica</x:v>
      </x:c>
      <x:c r="J82" s="14" t="str">
        <x:v>Fundición / metalúrgica</x:v>
      </x:c>
      <x:c r="K82" s="14" t="str">
        <x:v>A verificar</x:v>
      </x:c>
      <x:c r="L82" s="14" t="str">
        <x:v>A verificar</x:v>
      </x:c>
      <x:c r="M82" s="14" t="str">
        <x:v>producción / expedición</x:v>
      </x:c>
      <x:c r="N82" s="14" t="str">
        <x:v>Despacho de estructuras, conjuntos metálicos, piezas pesadas o equipos de producción.</x:v>
      </x:c>
      <x:c r="O82" s="14" t="str">
        <x:v>Plataforma + hidrogrúa + malacate; percha según carga.</x:v>
      </x:c>
      <x:c r="P82" s="14" t="str">
        <x:v>Resolver piezas pesadas o fuera de medida con un único proveedor.</x:v>
      </x:c>
      <x:c r="Q82" s="14" t="str">
        <x:v>Pedir producción/expedición; relevar piezas máximas y destinos habituales.</x:v>
      </x:c>
      <x:c r="R82" s="14" t="str"/>
      <x:c r="S82" s="14" t="str">
        <x:v>Parque Industrial, Logístico y Tecnológico (PILT), RN9 km 551,5, Villa María, Córdoba</x:v>
      </x:c>
      <x:c r="T82" s="14" t="str"/>
      <x:c r="U82" s="14" t="str"/>
      <x:c r="V82" s="14" t="str"/>
      <x:c r="W82" s="14" t="str"/>
      <x:c r="X82" s="14" t="str"/>
      <x:c r="Y82" s="14" t="str">
        <x:v>https://www.google.com/maps/search/?api=1&amp;query=Gribaudo+Carlos+Daniel%2C+Parque+Industrial%2C+Log%C3%ADstico+y+Tecnol%C3%B3gico+%28PILT%29%2C+RN9+km+551%2C5%2C+Villa+Mar%C3%ADa%2C+C%C3%B3rdoba</x:v>
      </x:c>
      <x:c r="Z82" s="14" t="str">
        <x:v>Dateas - parque industrial</x:v>
      </x:c>
      <x:c r="AA82" s="14" t="str">
        <x:v>https://www.dateas.com/es/explore/industrias-parque-industrial-villa-maria?page=2</x:v>
      </x:c>
      <x:c r="AB82" s="14" t="str">
        <x:v>Fundición de elementos metálicos.</x:v>
      </x:c>
      <x:c r="AC82" s="14" t="str">
        <x:v>Media</x:v>
      </x:c>
      <x:c r="AD82" s="14" t="str">
        <x:v>Rastrillaje integral Villa María 2026-09-15</x:v>
      </x:c>
      <x:c r="AE82" s="14" t="str">
        <x:v>Plataforma 20 tn | Hidrogrúa | Malacate | Percha</x:v>
      </x:c>
      <x:c r="AF82" s="14" t="str">
        <x:v>SEGUNDA PASADA</x:v>
      </x:c>
    </x:row>
    <x:row r="83">
      <x:c r="A83" s="14" t="str">
        <x:v>VM-082</x:v>
      </x:c>
      <x:c r="B83" s="14" t="str">
        <x:v>Pendiente</x:v>
      </x:c>
      <x:c r="C83" s="14" t="str">
        <x:v>Villa María</x:v>
      </x:c>
      <x:c r="D83" s="14" t="str">
        <x:v>Urbano</x:v>
      </x:c>
      <x:c r="E83" s="14" t="str">
        <x:v>Villa María</x:v>
      </x:c>
      <x:c r="F83" s="14" t="str">
        <x:v>B</x:v>
      </x:c>
      <x:c r="G83" s="14" t="n">
        <x:v>68</x:v>
      </x:c>
      <x:c r="H83" s="14" t="str">
        <x:v>GYC Piletas Villa María</x:v>
      </x:c>
      <x:c r="I83" s="14" t="str">
        <x:v>Piscinas / fibra</x:v>
      </x:c>
      <x:c r="J83" s="14" t="str">
        <x:v>Piscinas / fibra</x:v>
      </x:c>
      <x:c r="K83" s="14" t="str">
        <x:v>+54 353 5107887</x:v>
      </x:c>
      <x:c r="L83" s="14" t="str">
        <x:v>OK</x:v>
      </x:c>
      <x:c r="M83" s="14" t="str">
        <x:v>logística / colocación</x:v>
      </x:c>
      <x:c r="N83" s="14" t="str">
        <x:v>Traslado de piscinas desde depósito/fábrica hasta obra y apoyo de descarga.</x:v>
      </x:c>
      <x:c r="O83" s="14" t="str">
        <x:v>Plataforma + hidrogrúa.</x:v>
      </x:c>
      <x:c r="P83" s="14" t="str">
        <x:v>Una sola coordinación para traslado y posicionamiento en obra.</x:v>
      </x:c>
      <x:c r="Q83" s="14" t="str">
        <x:v>Pedir logística/colocación; relevar medidas máximas y volumen estacional.</x:v>
      </x:c>
      <x:c r="R83" s="14" t="str"/>
      <x:c r="S83" s="14" t="str">
        <x:v>Int. Arines 401, Villa María, Córdoba</x:v>
      </x:c>
      <x:c r="T83" s="14" t="str"/>
      <x:c r="U83" s="14" t="str"/>
      <x:c r="V83" s="14" t="str"/>
      <x:c r="W83" s="14" t="str"/>
      <x:c r="X83" s="14" t="str">
        <x:v>+543535107887</x:v>
      </x:c>
      <x:c r="Y83" s="14" t="str">
        <x:v>https://www.google.com/maps/search/?api=1&amp;query=GYC+Piletas+Villa+Mar%C3%ADa%2C+Int.+Arines+401%2C+Villa+Mar%C3%ADa%2C+C%C3%B3rdoba</x:v>
      </x:c>
      <x:c r="Z83" s="14" t="str">
        <x:v>Google Business</x:v>
      </x:c>
      <x:c r="AA83" s="14" t="str">
        <x:v>https://www.google.com/maps/search/?api=1&amp;query=GYC+Piletas+Villa+Mar%C3%ADa%2C+Int.+Arines+401%2C+Villa+Mar%C3%ADa%2C+C%C3%B3rdoba</x:v>
      </x:c>
      <x:c r="AB83" s="14" t="str">
        <x:v>Contratista de piscinas; carga voluminosa y potencial uso de hidrogrúa.</x:v>
      </x:c>
      <x:c r="AC83" s="14" t="str">
        <x:v>Alta</x:v>
      </x:c>
      <x:c r="AD83" s="14" t="str">
        <x:v>Rastrillaje integral Villa María 2026-09-15</x:v>
      </x:c>
      <x:c r="AE83" s="14" t="str">
        <x:v>Plataforma 20 tn | Hidrogrúa | Entrega a obra</x:v>
      </x:c>
      <x:c r="AF83" s="14" t="str">
        <x:v>SEGUNDA PASADA</x:v>
      </x:c>
    </x:row>
    <x:row r="84">
      <x:c r="A84" s="14" t="str">
        <x:v>VM-083</x:v>
      </x:c>
      <x:c r="B84" s="14" t="str">
        <x:v>Pendiente</x:v>
      </x:c>
      <x:c r="C84" s="14" t="str">
        <x:v>Villa María</x:v>
      </x:c>
      <x:c r="D84" s="14" t="str">
        <x:v>PILT</x:v>
      </x:c>
      <x:c r="E84" s="14" t="str">
        <x:v>Villa María</x:v>
      </x:c>
      <x:c r="F84" s="14" t="str">
        <x:v>B</x:v>
      </x:c>
      <x:c r="G84" s="14" t="n">
        <x:v>67</x:v>
      </x:c>
      <x:c r="H84" s="14" t="str">
        <x:v>Don Américo S.R.L.</x:v>
      </x:c>
      <x:c r="I84" s="14" t="str">
        <x:v>Nutrición animal</x:v>
      </x:c>
      <x:c r="J84" s="14" t="str">
        <x:v>Nutrición animal</x:v>
      </x:c>
      <x:c r="K84" s="14" t="str">
        <x:v>A verificar</x:v>
      </x:c>
      <x:c r="L84" s="14" t="str">
        <x:v>A verificar</x:v>
      </x:c>
      <x:c r="M84" s="14" t="str">
        <x:v>planta / logística</x:v>
      </x:c>
      <x:c r="N84" s="14" t="str">
        <x:v>Movimientos de mantenimiento, motores, bombas, equipos, racks y cargas extraordinarias.</x:v>
      </x:c>
      <x:c r="O84" s="14" t="str">
        <x:v>Plataforma + hidrogrúa + percha + seguro/GPS.</x:v>
      </x:c>
      <x:c r="P84" s="14" t="str">
        <x:v>Proveedor local para paradas, montajes y movimientos no rutinarios.</x:v>
      </x:c>
      <x:c r="Q84" s="14" t="str">
        <x:v>Pedir mantenimiento/compras/planta; relevar equipos críticos y proveedores actuales.</x:v>
      </x:c>
      <x:c r="R84" s="14" t="str"/>
      <x:c r="S84" s="14" t="str">
        <x:v>Parque Industrial, Logístico y Tecnológico (PILT), RN9 km 551,5, Villa María, Córdoba</x:v>
      </x:c>
      <x:c r="T84" s="14" t="str"/>
      <x:c r="U84" s="14" t="str"/>
      <x:c r="V84" s="14" t="str"/>
      <x:c r="W84" s="14" t="str"/>
      <x:c r="X84" s="14" t="str"/>
      <x:c r="Y84" s="14" t="str">
        <x:v>https://www.google.com/maps/search/?api=1&amp;query=Don+Am%C3%A9rico+S.R.L.%2C+Parque+Industrial%2C+Log%C3%ADstico+y+Tecnol%C3%B3gico+%28PILT%29%2C+RN9+km+551%2C5%2C+Villa+Mar%C3%ADa%2C+C%C3%B3rdoba</x:v>
      </x:c>
      <x:c r="Z84" s="14" t="str">
        <x:v>Dateas - parque industrial</x:v>
      </x:c>
      <x:c r="AA84" s="14" t="str">
        <x:v>https://www.dateas.com/es/explore/industrias-parque-industrial-villa-maria?page=1</x:v>
      </x:c>
      <x:c r="AB84" s="14" t="str">
        <x:v>Fábrica de productos para nutrición animal.</x:v>
      </x:c>
      <x:c r="AC84" s="14" t="str">
        <x:v>Media</x:v>
      </x:c>
      <x:c r="AD84" s="14" t="str">
        <x:v>Rastrillaje integral Villa María 2026-09-15</x:v>
      </x:c>
      <x:c r="AE84" s="14" t="str">
        <x:v>Plataforma 20 tn | Hidrogrúa | Percha | Seguro/GPS</x:v>
      </x:c>
      <x:c r="AF84" s="14" t="str">
        <x:v>SEGUNDA PASADA</x:v>
      </x:c>
    </x:row>
    <x:row r="85">
      <x:c r="A85" s="14" t="str">
        <x:v>VM-084</x:v>
      </x:c>
      <x:c r="B85" s="14" t="str">
        <x:v>Pendiente</x:v>
      </x:c>
      <x:c r="C85" s="14" t="str">
        <x:v>Villa María</x:v>
      </x:c>
      <x:c r="D85" s="14" t="str">
        <x:v>PILT</x:v>
      </x:c>
      <x:c r="E85" s="14" t="str">
        <x:v>Villa María</x:v>
      </x:c>
      <x:c r="F85" s="14" t="str">
        <x:v>B</x:v>
      </x:c>
      <x:c r="G85" s="14" t="n">
        <x:v>67</x:v>
      </x:c>
      <x:c r="H85" s="14" t="str">
        <x:v>G &amp; G Motors S.R.L.</x:v>
      </x:c>
      <x:c r="I85" s="14" t="str">
        <x:v>Gases industriales / GNC</x:v>
      </x:c>
      <x:c r="J85" s="14" t="str">
        <x:v>Gases industriales / GNC</x:v>
      </x:c>
      <x:c r="K85" s="14" t="str">
        <x:v>A verificar</x:v>
      </x:c>
      <x:c r="L85" s="14" t="str">
        <x:v>A verificar</x:v>
      </x:c>
      <x:c r="M85" s="14" t="str">
        <x:v>planta / logística</x:v>
      </x:c>
      <x:c r="N85" s="14" t="str">
        <x:v>Movimientos de equipos o cargas especiales asociados a la operación.</x:v>
      </x:c>
      <x:c r="O85" s="14" t="str">
        <x:v>Plataforma 20 tn + hidrogrúa + malacate según necesidad.</x:v>
      </x:c>
      <x:c r="P85" s="14" t="str">
        <x:v>Capacidad externa para movimientos pesados o especiales.</x:v>
      </x:c>
      <x:c r="Q85" s="14" t="str">
        <x:v>Contactar operaciones/logística y relevar movimientos actuales.</x:v>
      </x:c>
      <x:c r="R85" s="14" t="str"/>
      <x:c r="S85" s="14" t="str">
        <x:v>Parque Industrial, Logístico y Tecnológico (PILT), RN9 km 551,5, Villa María, Córdoba</x:v>
      </x:c>
      <x:c r="T85" s="14" t="str"/>
      <x:c r="U85" s="14" t="str"/>
      <x:c r="V85" s="14" t="str"/>
      <x:c r="W85" s="14" t="str"/>
      <x:c r="X85" s="14" t="str"/>
      <x:c r="Y85" s="14" t="str">
        <x:v>https://www.google.com/maps/search/?api=1&amp;query=G+%26+G+Motors+S.R.L.%2C+Parque+Industrial%2C+Log%C3%ADstico+y+Tecnol%C3%B3gico+%28PILT%29%2C+RN9+km+551%2C5%2C+Villa+Mar%C3%ADa%2C+C%C3%B3rdoba</x:v>
      </x:c>
      <x:c r="Z85" s="14" t="str">
        <x:v>Dateas - parque industrial</x:v>
      </x:c>
      <x:c r="AA85" s="14" t="str">
        <x:v>https://www.dateas.com/es/explore/industrias-parque-industrial-villa-maria?page=2</x:v>
      </x:c>
      <x:c r="AB85" s="14" t="str">
        <x:v>Centro de reprueba de cilindros y gases industriales/medicinales.</x:v>
      </x:c>
      <x:c r="AC85" s="14" t="str">
        <x:v>Media</x:v>
      </x:c>
      <x:c r="AD85" s="14" t="str">
        <x:v>Rastrillaje integral Villa María 2026-09-15</x:v>
      </x:c>
      <x:c r="AE85" s="14" t="str">
        <x:v>Plataforma 20 tn | Hidrogrúa | Malacate</x:v>
      </x:c>
      <x:c r="AF85" s="14" t="str">
        <x:v>SEGUNDA PASADA</x:v>
      </x:c>
    </x:row>
    <x:row r="86">
      <x:c r="A86" s="14" t="str">
        <x:v>VM-085</x:v>
      </x:c>
      <x:c r="B86" s="14" t="str">
        <x:v>Pendiente</x:v>
      </x:c>
      <x:c r="C86" s="14" t="str">
        <x:v>Villa María</x:v>
      </x:c>
      <x:c r="D86" s="14" t="str">
        <x:v>PILT</x:v>
      </x:c>
      <x:c r="E86" s="14" t="str">
        <x:v>Villa María</x:v>
      </x:c>
      <x:c r="F86" s="14" t="str">
        <x:v>B</x:v>
      </x:c>
      <x:c r="G86" s="14" t="n">
        <x:v>65</x:v>
      </x:c>
      <x:c r="H86" s="14" t="str">
        <x:v>La Chiquita SRL</x:v>
      </x:c>
      <x:c r="I86" s="14" t="str">
        <x:v>Frigorífico / alimentos</x:v>
      </x:c>
      <x:c r="J86" s="14" t="str">
        <x:v>Frigorífico / alimentos</x:v>
      </x:c>
      <x:c r="K86" s="14" t="str">
        <x:v>A verificar</x:v>
      </x:c>
      <x:c r="L86" s="14" t="str">
        <x:v>A verificar</x:v>
      </x:c>
      <x:c r="M86" s="14" t="str">
        <x:v>planta / mantenimiento</x:v>
      </x:c>
      <x:c r="N86" s="14" t="str">
        <x:v>Movimientos de mantenimiento, motores, bombas, equipos, racks y cargas extraordinarias.</x:v>
      </x:c>
      <x:c r="O86" s="14" t="str">
        <x:v>Plataforma + hidrogrúa + percha + seguro/GPS.</x:v>
      </x:c>
      <x:c r="P86" s="14" t="str">
        <x:v>Proveedor local para paradas, montajes y movimientos no rutinarios.</x:v>
      </x:c>
      <x:c r="Q86" s="14" t="str">
        <x:v>Pedir mantenimiento/compras/planta; relevar equipos críticos y proveedores actuales.</x:v>
      </x:c>
      <x:c r="R86" s="14" t="str"/>
      <x:c r="S86" s="14" t="str">
        <x:v>Parque Industrial, Logístico y Tecnológico (PILT), RN9 km 551,5, Villa María, Córdoba</x:v>
      </x:c>
      <x:c r="T86" s="14" t="str"/>
      <x:c r="U86" s="14" t="str"/>
      <x:c r="V86" s="14" t="str"/>
      <x:c r="W86" s="14" t="str"/>
      <x:c r="X86" s="14" t="str"/>
      <x:c r="Y86" s="14" t="str">
        <x:v>https://www.google.com/maps/search/?api=1&amp;query=La+Chiquita+SRL%2C+Parque+Industrial%2C+Log%C3%ADstico+y+Tecnol%C3%B3gico+%28PILT%29%2C+RN9+km+551%2C5%2C+Villa+Mar%C3%ADa%2C+C%C3%B3rdoba</x:v>
      </x:c>
      <x:c r="Z86" s="14" t="str">
        <x:v>Dateas - parque industrial</x:v>
      </x:c>
      <x:c r="AA86" s="14" t="str">
        <x:v>https://www.dateas.com/es/explore/industrias-parque-industrial-villa-maria?page=3</x:v>
      </x:c>
      <x:c r="AB86" s="14" t="str">
        <x:v>Productos y subproductos derivados de la carne.</x:v>
      </x:c>
      <x:c r="AC86" s="14" t="str">
        <x:v>Media</x:v>
      </x:c>
      <x:c r="AD86" s="14" t="str">
        <x:v>Rastrillaje integral Villa María 2026-09-15</x:v>
      </x:c>
      <x:c r="AE86" s="14" t="str">
        <x:v>Plataforma 20 tn | Hidrogrúa | Percha | Seguro/GPS</x:v>
      </x:c>
      <x:c r="AF86" s="14" t="str">
        <x:v>SEGUNDA PASADA</x:v>
      </x:c>
    </x:row>
    <x:row r="87">
      <x:c r="A87" s="14" t="str">
        <x:v>VM-086</x:v>
      </x:c>
      <x:c r="B87" s="14" t="str">
        <x:v>Pendiente</x:v>
      </x:c>
      <x:c r="C87" s="14" t="str">
        <x:v>Villa María</x:v>
      </x:c>
      <x:c r="D87" s="14" t="str">
        <x:v>PILT</x:v>
      </x:c>
      <x:c r="E87" s="14" t="str">
        <x:v>Villa María</x:v>
      </x:c>
      <x:c r="F87" s="14" t="str">
        <x:v>B</x:v>
      </x:c>
      <x:c r="G87" s="14" t="n">
        <x:v>64</x:v>
      </x:c>
      <x:c r="H87" s="14" t="str">
        <x:v>ENINDER</x:v>
      </x:c>
      <x:c r="I87" s="14" t="str">
        <x:v>Cámara de maduración de quesos</x:v>
      </x:c>
      <x:c r="J87" s="14" t="str">
        <x:v>Cámara de maduración de quesos</x:v>
      </x:c>
      <x:c r="K87" s="14" t="str">
        <x:v>A verificar</x:v>
      </x:c>
      <x:c r="L87" s="14" t="str">
        <x:v>A verificar</x:v>
      </x:c>
      <x:c r="M87" s="14" t="str">
        <x:v>planta / mantenimiento</x:v>
      </x:c>
      <x:c r="N87" s="14" t="str">
        <x:v>Movimientos de equipos o cargas especiales asociados a la operación.</x:v>
      </x:c>
      <x:c r="O87" s="14" t="str">
        <x:v>Plataforma 20 tn + hidrogrúa + malacate según necesidad.</x:v>
      </x:c>
      <x:c r="P87" s="14" t="str">
        <x:v>Capacidad externa para movimientos pesados o especiales.</x:v>
      </x:c>
      <x:c r="Q87" s="14" t="str">
        <x:v>Contactar operaciones/logística y relevar movimientos actuales.</x:v>
      </x:c>
      <x:c r="R87" s="14" t="str"/>
      <x:c r="S87" s="14" t="str">
        <x:v>Parque Industrial, Logístico y Tecnológico (PILT), RN9 km 551,5, Villa María, Córdoba</x:v>
      </x:c>
      <x:c r="T87" s="14" t="str"/>
      <x:c r="U87" s="14" t="str"/>
      <x:c r="V87" s="14" t="str"/>
      <x:c r="W87" s="14" t="str"/>
      <x:c r="X87" s="14" t="str"/>
      <x:c r="Y87" s="14" t="str">
        <x:v>https://www.google.com/maps/search/?api=1&amp;query=ENINDER%2C+Parque+Industrial%2C+Log%C3%ADstico+y+Tecnol%C3%B3gico+%28PILT%29%2C+RN9+km+551%2C5%2C+Villa+Mar%C3%ADa%2C+C%C3%B3rdoba</x:v>
      </x:c>
      <x:c r="Z87" s="14" t="str">
        <x:v>Dateas - parque industrial</x:v>
      </x:c>
      <x:c r="AA87" s="14" t="str">
        <x:v>https://www.dateas.com/es/explore/industrias-parque-industrial-villa-maria?page=1</x:v>
      </x:c>
      <x:c r="AB87" s="14" t="str">
        <x:v>Cámara de maduración de quesos.</x:v>
      </x:c>
      <x:c r="AC87" s="14" t="str">
        <x:v>Media</x:v>
      </x:c>
      <x:c r="AD87" s="14" t="str">
        <x:v>Rastrillaje integral Villa María 2026-09-15</x:v>
      </x:c>
      <x:c r="AE87" s="14" t="str">
        <x:v>Plataforma 20 tn | Hidrogrúa | Malacate</x:v>
      </x:c>
      <x:c r="AF87" s="14" t="str">
        <x:v>SEGUNDA PASADA</x:v>
      </x:c>
    </x:row>
    <x:row r="88">
      <x:c r="A88" s="14" t="str">
        <x:v>VM-087</x:v>
      </x:c>
      <x:c r="B88" s="14" t="str">
        <x:v>Pendiente</x:v>
      </x:c>
      <x:c r="C88" s="14" t="str">
        <x:v>Villa María</x:v>
      </x:c>
      <x:c r="D88" s="14" t="str">
        <x:v>PILT</x:v>
      </x:c>
      <x:c r="E88" s="14" t="str">
        <x:v>Villa María</x:v>
      </x:c>
      <x:c r="F88" s="14" t="str">
        <x:v>B</x:v>
      </x:c>
      <x:c r="G88" s="14" t="n">
        <x:v>62</x:v>
      </x:c>
      <x:c r="H88" s="14" t="str">
        <x:v>Pollería Porporatto S.A.</x:v>
      </x:c>
      <x:c r="I88" s="14" t="str">
        <x:v>Alimentos / subproductos cárnicos</x:v>
      </x:c>
      <x:c r="J88" s="14" t="str">
        <x:v>Alimentos / subproductos cárnicos</x:v>
      </x:c>
      <x:c r="K88" s="14" t="str">
        <x:v>A verificar</x:v>
      </x:c>
      <x:c r="L88" s="14" t="str">
        <x:v>A verificar</x:v>
      </x:c>
      <x:c r="M88" s="14" t="str">
        <x:v>planta / logística</x:v>
      </x:c>
      <x:c r="N88" s="14" t="str">
        <x:v>Movimientos de mantenimiento, motores, bombas, equipos, racks y cargas extraordinarias.</x:v>
      </x:c>
      <x:c r="O88" s="14" t="str">
        <x:v>Plataforma + hidrogrúa + percha + seguro/GPS.</x:v>
      </x:c>
      <x:c r="P88" s="14" t="str">
        <x:v>Proveedor local para paradas, montajes y movimientos no rutinarios.</x:v>
      </x:c>
      <x:c r="Q88" s="14" t="str">
        <x:v>Pedir mantenimiento/compras/planta; relevar equipos críticos y proveedores actuales.</x:v>
      </x:c>
      <x:c r="R88" s="14" t="str"/>
      <x:c r="S88" s="14" t="str">
        <x:v>Parque Industrial, Logístico y Tecnológico (PILT), RN9 km 551,5, Villa María, Córdoba</x:v>
      </x:c>
      <x:c r="T88" s="14" t="str"/>
      <x:c r="U88" s="14" t="str"/>
      <x:c r="V88" s="14" t="str"/>
      <x:c r="W88" s="14" t="str"/>
      <x:c r="X88" s="14" t="str"/>
      <x:c r="Y88" s="14" t="str">
        <x:v>https://www.google.com/maps/search/?api=1&amp;query=Poller%C3%ADa+Porporatto+S.A.%2C+Parque+Industrial%2C+Log%C3%ADstico+y+Tecnol%C3%B3gico+%28PILT%29%2C+RN9+km+551%2C5%2C+Villa+Mar%C3%ADa%2C+C%C3%B3rdoba</x:v>
      </x:c>
      <x:c r="Z88" s="14" t="str">
        <x:v>Dateas - parque industrial</x:v>
      </x:c>
      <x:c r="AA88" s="14" t="str">
        <x:v>https://www.dateas.com/es/explore/industrias-parque-industrial-villa-maria?page=4</x:v>
      </x:c>
      <x:c r="AB88" s="14" t="str">
        <x:v>Planta industrial de subproductos cárnicos.</x:v>
      </x:c>
      <x:c r="AC88" s="14" t="str">
        <x:v>Media</x:v>
      </x:c>
      <x:c r="AD88" s="14" t="str">
        <x:v>Rastrillaje integral Villa María 2026-09-15</x:v>
      </x:c>
      <x:c r="AE88" s="14" t="str">
        <x:v>Plataforma 20 tn | Hidrogrúa | Percha | Seguro/GPS</x:v>
      </x:c>
      <x:c r="AF88" s="14" t="str">
        <x:v>SEGUNDA PASADA</x:v>
      </x:c>
    </x:row>
    <x:row r="89">
      <x:c r="A89" s="14" t="str">
        <x:v>VM-088</x:v>
      </x:c>
      <x:c r="B89" s="14" t="str">
        <x:v>Pendiente</x:v>
      </x:c>
      <x:c r="C89" s="14" t="str">
        <x:v>Villa María</x:v>
      </x:c>
      <x:c r="D89" s="14" t="str">
        <x:v>PILT</x:v>
      </x:c>
      <x:c r="E89" s="14" t="str">
        <x:v>Villa María</x:v>
      </x:c>
      <x:c r="F89" s="14" t="str">
        <x:v>B</x:v>
      </x:c>
      <x:c r="G89" s="14" t="n">
        <x:v>61</x:v>
      </x:c>
      <x:c r="H89" s="14" t="str">
        <x:v>Felipe Hnos S.A.</x:v>
      </x:c>
      <x:c r="I89" s="14" t="str">
        <x:v>Alimentos / deshidratados</x:v>
      </x:c>
      <x:c r="J89" s="14" t="str">
        <x:v>Alimentos / deshidratados</x:v>
      </x:c>
      <x:c r="K89" s="14" t="str">
        <x:v>0353 4534918</x:v>
      </x:c>
      <x:c r="L89" s="14" t="str">
        <x:v>OK</x:v>
      </x:c>
      <x:c r="M89" s="14" t="str">
        <x:v>planta / logística</x:v>
      </x:c>
      <x:c r="N89" s="14" t="str">
        <x:v>Movimientos de mantenimiento, motores, bombas, equipos, racks y cargas extraordinarias.</x:v>
      </x:c>
      <x:c r="O89" s="14" t="str">
        <x:v>Plataforma + hidrogrúa + percha + seguro/GPS.</x:v>
      </x:c>
      <x:c r="P89" s="14" t="str">
        <x:v>Proveedor local para paradas, montajes y movimientos no rutinarios.</x:v>
      </x:c>
      <x:c r="Q89" s="14" t="str">
        <x:v>Pedir mantenimiento/compras/planta; relevar equipos críticos y proveedores actuales.</x:v>
      </x:c>
      <x:c r="R89" s="14" t="str"/>
      <x:c r="S89" s="14" t="str">
        <x:v>Parque Industrial, Logístico y Tecnológico (PILT), RN9 km 551,5, Villa María, Córdoba</x:v>
      </x:c>
      <x:c r="T89" s="14" t="str"/>
      <x:c r="U89" s="14" t="str"/>
      <x:c r="V89" s="14" t="str"/>
      <x:c r="W89" s="14" t="str"/>
      <x:c r="X89" s="14" t="str">
        <x:v>03534534918</x:v>
      </x:c>
      <x:c r="Y89" s="14" t="str">
        <x:v>https://www.google.com/maps/search/?api=1&amp;query=Felipe+Hnos+S.A.%2C+Parque+Industrial%2C+Log%C3%ADstico+y+Tecnol%C3%B3gico+%28PILT%29%2C+RN9+km+551%2C5%2C+Villa+Mar%C3%ADa%2C+C%C3%B3rdoba</x:v>
      </x:c>
      <x:c r="Z89" s="14" t="str">
        <x:v>Dateas - parque industrial</x:v>
      </x:c>
      <x:c r="AA89" s="14" t="str">
        <x:v>https://www.dateas.com/es/explore/industrias-parque-industrial-villa-maria/felipe-hnos-sa-40</x:v>
      </x:c>
      <x:c r="AB89" s="14" t="str">
        <x:v>Disecado y deshidratado de frutas y hortalizas.</x:v>
      </x:c>
      <x:c r="AC89" s="14" t="str">
        <x:v>Media</x:v>
      </x:c>
      <x:c r="AD89" s="14" t="str">
        <x:v>Rastrillaje integral Villa María 2026-09-15</x:v>
      </x:c>
      <x:c r="AE89" s="14" t="str">
        <x:v>Plataforma 20 tn | Hidrogrúa | Percha | Seguro/GPS</x:v>
      </x:c>
      <x:c r="AF89" s="14" t="str">
        <x:v>SEGUNDA PASADA</x:v>
      </x:c>
    </x:row>
    <x:row r="90">
      <x:c r="A90" s="14" t="str">
        <x:v>VM-089</x:v>
      </x:c>
      <x:c r="B90" s="14" t="str">
        <x:v>Pendiente</x:v>
      </x:c>
      <x:c r="C90" s="14" t="str">
        <x:v>Villa María</x:v>
      </x:c>
      <x:c r="D90" s="14" t="str">
        <x:v>PILT</x:v>
      </x:c>
      <x:c r="E90" s="14" t="str">
        <x:v>Villa María</x:v>
      </x:c>
      <x:c r="F90" s="14" t="str">
        <x:v>B</x:v>
      </x:c>
      <x:c r="G90" s="14" t="n">
        <x:v>60</x:v>
      </x:c>
      <x:c r="H90" s="14" t="str">
        <x:v>Cativelli S.R.L.</x:v>
      </x:c>
      <x:c r="I90" s="14" t="str">
        <x:v>Pinturas / químicos</x:v>
      </x:c>
      <x:c r="J90" s="14" t="str">
        <x:v>Pinturas / químicos</x:v>
      </x:c>
      <x:c r="K90" s="14" t="str">
        <x:v>A verificar</x:v>
      </x:c>
      <x:c r="L90" s="14" t="str">
        <x:v>A verificar</x:v>
      </x:c>
      <x:c r="M90" s="14" t="str">
        <x:v>planta / logística</x:v>
      </x:c>
      <x:c r="N90" s="14" t="str">
        <x:v>Movimientos de mantenimiento, motores, bombas, equipos, racks y cargas extraordinarias.</x:v>
      </x:c>
      <x:c r="O90" s="14" t="str">
        <x:v>Plataforma + hidrogrúa + percha + seguro/GPS.</x:v>
      </x:c>
      <x:c r="P90" s="14" t="str">
        <x:v>Proveedor local para paradas, montajes y movimientos no rutinarios.</x:v>
      </x:c>
      <x:c r="Q90" s="14" t="str">
        <x:v>Pedir mantenimiento/compras/planta; relevar equipos críticos y proveedores actuales.</x:v>
      </x:c>
      <x:c r="R90" s="14" t="str"/>
      <x:c r="S90" s="14" t="str">
        <x:v>Parque Industrial, Logístico y Tecnológico (PILT), RN9 km 551,5, Villa María, Córdoba</x:v>
      </x:c>
      <x:c r="T90" s="14" t="str"/>
      <x:c r="U90" s="14" t="str"/>
      <x:c r="V90" s="14" t="str"/>
      <x:c r="W90" s="14" t="str"/>
      <x:c r="X90" s="14" t="str"/>
      <x:c r="Y90" s="14" t="str">
        <x:v>https://www.google.com/maps/search/?api=1&amp;query=Cativelli+S.R.L.%2C+Parque+Industrial%2C+Log%C3%ADstico+y+Tecnol%C3%B3gico+%28PILT%29%2C+RN9+km+551%2C5%2C+Villa+Mar%C3%ADa%2C+C%C3%B3rdoba</x:v>
      </x:c>
      <x:c r="Z90" s="14" t="str">
        <x:v>Dateas - parque industrial</x:v>
      </x:c>
      <x:c r="AA90" s="14" t="str">
        <x:v>https://www.dateas.com/es/explore/industrias-parque-industrial-villa-maria?page=1</x:v>
      </x:c>
      <x:c r="AB90" s="14" t="str">
        <x:v>Fabricación de pinturas.</x:v>
      </x:c>
      <x:c r="AC90" s="14" t="str">
        <x:v>Media</x:v>
      </x:c>
      <x:c r="AD90" s="14" t="str">
        <x:v>Rastrillaje integral Villa María 2026-09-15</x:v>
      </x:c>
      <x:c r="AE90" s="14" t="str">
        <x:v>Plataforma 20 tn | Hidrogrúa | Percha | Seguro/GPS</x:v>
      </x:c>
      <x:c r="AF90" s="14" t="str">
        <x:v>SEGUNDA PASADA</x:v>
      </x:c>
    </x:row>
    <x:row r="91">
      <x:c r="A91" s="14" t="str">
        <x:v>VM-090</x:v>
      </x:c>
      <x:c r="B91" s="14" t="str">
        <x:v>Pendiente</x:v>
      </x:c>
      <x:c r="C91" s="14" t="str">
        <x:v>Villa María</x:v>
      </x:c>
      <x:c r="D91" s="14" t="str">
        <x:v>PILT</x:v>
      </x:c>
      <x:c r="E91" s="14" t="str">
        <x:v>Villa María</x:v>
      </x:c>
      <x:c r="F91" s="14" t="str">
        <x:v>B</x:v>
      </x:c>
      <x:c r="G91" s="14" t="n">
        <x:v>58</x:v>
      </x:c>
      <x:c r="H91" s="14" t="str">
        <x:v>Destefanis (DIPAEMA)</x:v>
      </x:c>
      <x:c r="I91" s="14" t="str">
        <x:v>Lácteos / quesos</x:v>
      </x:c>
      <x:c r="J91" s="14" t="str">
        <x:v>Lácteos / quesos</x:v>
      </x:c>
      <x:c r="K91" s="14" t="str">
        <x:v>A verificar</x:v>
      </x:c>
      <x:c r="L91" s="14" t="str">
        <x:v>A verificar</x:v>
      </x:c>
      <x:c r="M91" s="14" t="str">
        <x:v>planta / mantenimiento</x:v>
      </x:c>
      <x:c r="N91" s="14" t="str">
        <x:v>Movimientos de mantenimiento, motores, bombas, equipos, racks y cargas extraordinarias.</x:v>
      </x:c>
      <x:c r="O91" s="14" t="str">
        <x:v>Plataforma + hidrogrúa + percha + seguro/GPS.</x:v>
      </x:c>
      <x:c r="P91" s="14" t="str">
        <x:v>Proveedor local para paradas, montajes y movimientos no rutinarios.</x:v>
      </x:c>
      <x:c r="Q91" s="14" t="str">
        <x:v>Pedir mantenimiento/compras/planta; relevar equipos críticos y proveedores actuales.</x:v>
      </x:c>
      <x:c r="R91" s="14" t="str"/>
      <x:c r="S91" s="14" t="str">
        <x:v>Parque Industrial, Logístico y Tecnológico (PILT), RN9 km 551,5, Villa María, Córdoba</x:v>
      </x:c>
      <x:c r="T91" s="14" t="str"/>
      <x:c r="U91" s="14" t="str"/>
      <x:c r="V91" s="14" t="str"/>
      <x:c r="W91" s="14" t="str"/>
      <x:c r="X91" s="14" t="str"/>
      <x:c r="Y91" s="14" t="str">
        <x:v>https://www.google.com/maps/search/?api=1&amp;query=Destefanis+%28DIPAEMA%29%2C+Parque+Industrial%2C+Log%C3%ADstico+y+Tecnol%C3%B3gico+%28PILT%29%2C+RN9+km+551%2C5%2C+Villa+Mar%C3%ADa%2C+C%C3%B3rdoba</x:v>
      </x:c>
      <x:c r="Z91" s="14" t="str">
        <x:v>Dateas - parque industrial</x:v>
      </x:c>
      <x:c r="AA91" s="14" t="str">
        <x:v>https://www.dateas.com/es/explore/industrias-parque-industrial-villa-maria?page=1</x:v>
      </x:c>
      <x:c r="AB91" s="14" t="str">
        <x:v>Elaboración de quesos.</x:v>
      </x:c>
      <x:c r="AC91" s="14" t="str">
        <x:v>Media</x:v>
      </x:c>
      <x:c r="AD91" s="14" t="str">
        <x:v>Rastrillaje integral Villa María 2026-09-15</x:v>
      </x:c>
      <x:c r="AE91" s="14" t="str">
        <x:v>Plataforma 20 tn | Hidrogrúa | Percha | Seguro/GPS</x:v>
      </x:c>
      <x:c r="AF91" s="14" t="str">
        <x:v>SEGUNDA PASADA</x:v>
      </x:c>
    </x:row>
    <x:row r="92">
      <x:c r="A92" s="12" t="str">
        <x:v>VM-091</x:v>
      </x:c>
      <x:c r="B92" s="12" t="str">
        <x:v>Pendiente</x:v>
      </x:c>
      <x:c r="C92" s="12" t="str">
        <x:v>Villa María</x:v>
      </x:c>
      <x:c r="D92" s="12" t="str">
        <x:v>RN158 / AU9</x:v>
      </x:c>
      <x:c r="E92" s="12" t="str">
        <x:v>Villa María</x:v>
      </x:c>
      <x:c r="F92" s="12" t="str">
        <x:v>A+</x:v>
      </x:c>
      <x:c r="G92" s="12" t="n">
        <x:v>100</x:v>
      </x:c>
      <x:c r="H92" s="12" t="str">
        <x:v>PRARIZZI MAQUINARIAS</x:v>
      </x:c>
      <x:c r="I92" s="12" t="str">
        <x:v>Concesionaria de maquinaria agrícola / pulverizadoras</x:v>
      </x:c>
      <x:c r="J92" s="12" t="str">
        <x:v>Concesionaria de maquinaria agrícola / pulverizadoras</x:v>
      </x:c>
      <x:c r="K92" s="12" t="str">
        <x:v>0353 4014084 / 03471 593470</x:v>
      </x:c>
      <x:c r="L92" s="12" t="str">
        <x:v>OK</x:v>
      </x:c>
      <x:c r="M92" s="12" t="str">
        <x:v>ventas / logística / usados</x:v>
      </x:c>
      <x:c r="N92" s="12" t="str">
        <x:v>Entrega/retiro de tractores, cosechadoras, pulverizadoras, sembradoras, usados y equipos de service.</x:v>
      </x:c>
      <x:c r="O92" s="12" t="str">
        <x:v>Plataforma 20 tn + malacate + hidrogrúa de apoyo + seguro/GPS.</x:v>
      </x:c>
      <x:c r="P92" s="12" t="str">
        <x:v>Captar entregas, canjes, usados y rescates de service sin inmovilizar flota propia.</x:v>
      </x:c>
      <x:c r="Q92" s="12" t="str">
        <x:v>Pedir gerente de ventas/logística/posventa; relevar equipos, pesos y movimientos mensuales.</x:v>
      </x:c>
      <x:c r="R92" s="12" t="str"/>
      <x:c r="S92" s="12" t="str">
        <x:v>Ruta 158 km 153 / AU9, Villa María, Córdoba</x:v>
      </x:c>
      <x:c r="T92" s="12" t="str"/>
      <x:c r="U92" s="12" t="str"/>
      <x:c r="V92" s="12" t="str"/>
      <x:c r="W92" s="12" t="str"/>
      <x:c r="X92" s="12" t="str">
        <x:v>03534014084</x:v>
      </x:c>
      <x:c r="Y92" s="12" t="str">
        <x:v>https://www.google.com/maps/search/?api=1&amp;query=PRARIZZI+MAQUINARIAS%2C+Ruta+158+km+153+%2F+AU9%2C+Villa+Mar%C3%ADa%2C+C%C3%B3rdoba</x:v>
      </x:c>
      <x:c r="Z92" s="12" t="str">
        <x:v>Agroads</x:v>
      </x:c>
      <x:c r="AA92" s="12" t="str">
        <x:v>https://www.agroads.com.ar/detalle.asp?clasi=1003380</x:v>
      </x:c>
      <x:c r="AB92" s="12" t="str">
        <x:v>Concesionaria de Villa María con ~90 publicaciones; pulverizadoras nuevas/usadas y otros implementos.</x:v>
      </x:c>
      <x:c r="AC92" s="12" t="str">
        <x:v>Alta</x:v>
      </x:c>
      <x:c r="AD92" s="12" t="str">
        <x:v>Enriquecimiento agro + constructoras 2026-09-15</x:v>
      </x:c>
      <x:c r="AE92" s="12" t="str">
        <x:v>Plataforma 20 tn | Malacate | Hidrogrúa | Entrega/retiro maquinaria | Seguro/GPS</x:v>
      </x:c>
      <x:c r="AF92" s="12" t="str">
        <x:v>VISITA INMEDIATA</x:v>
      </x:c>
    </x:row>
    <x:row r="93">
      <x:c r="A93" s="12" t="str">
        <x:v>VM-092</x:v>
      </x:c>
      <x:c r="B93" s="12" t="str">
        <x:v>Pendiente</x:v>
      </x:c>
      <x:c r="C93" s="12" t="str">
        <x:v>Villa María</x:v>
      </x:c>
      <x:c r="D93" s="12" t="str">
        <x:v>Villa María</x:v>
      </x:c>
      <x:c r="E93" s="12" t="str">
        <x:v>Villa María</x:v>
      </x:c>
      <x:c r="F93" s="12" t="str">
        <x:v>A+</x:v>
      </x:c>
      <x:c r="G93" s="12" t="n">
        <x:v>100</x:v>
      </x:c>
      <x:c r="H93" s="12" t="str">
        <x:v>Tu Fierro Importado</x:v>
      </x:c>
      <x:c r="I93" s="12" t="str">
        <x:v>Importación y venta de tractores, cosechadoras y maquinaria agrícola</x:v>
      </x:c>
      <x:c r="J93" s="12" t="str">
        <x:v>Importación y venta de tractores, cosechadoras y maquinaria agrícola</x:v>
      </x:c>
      <x:c r="K93" s="12" t="str">
        <x:v>+54 9 353 4089754</x:v>
      </x:c>
      <x:c r="L93" s="12" t="str">
        <x:v>OK</x:v>
      </x:c>
      <x:c r="M93" s="12" t="str">
        <x:v>ventas / importaciones / logística</x:v>
      </x:c>
      <x:c r="N93" s="12" t="str">
        <x:v>Entrega/retiro de tractores, cosechadoras, pulverizadoras, sembradoras, usados y equipos de service.</x:v>
      </x:c>
      <x:c r="O93" s="12" t="str">
        <x:v>Plataforma 20 tn + malacate + hidrogrúa de apoyo + seguro/GPS.</x:v>
      </x:c>
      <x:c r="P93" s="12" t="str">
        <x:v>Captar entregas, canjes, usados y rescates de service sin inmovilizar flota propia.</x:v>
      </x:c>
      <x:c r="Q93" s="12" t="str">
        <x:v>Pedir gerente de ventas/logística/posventa; relevar equipos, pesos y movimientos mensuales.</x:v>
      </x:c>
      <x:c r="R93" s="12" t="str"/>
      <x:c r="S93" s="12" t="str">
        <x:v>Villa María, Córdoba</x:v>
      </x:c>
      <x:c r="T93" s="12" t="str"/>
      <x:c r="U93" s="12" t="str"/>
      <x:c r="V93" s="12" t="str"/>
      <x:c r="W93" s="12" t="str"/>
      <x:c r="X93" s="12" t="str">
        <x:v>+5493534089754</x:v>
      </x:c>
      <x:c r="Y93" s="12" t="str">
        <x:v>https://www.google.com/maps/search/?api=1&amp;query=Tu+Fierro+Importado%2C+Villa+Mar%C3%ADa%2C+C%C3%B3rdoba</x:v>
      </x:c>
      <x:c r="Z93" s="12" t="str">
        <x:v>Web oficial</x:v>
      </x:c>
      <x:c r="AA93" s="12" t="str">
        <x:v>https://tufierroimportado.com.ar/</x:v>
      </x:c>
      <x:c r="AB93" s="12" t="str">
        <x:v>Importa desde EE.UU. tractores, cosechadoras, pulverizadoras, picadoras y plataformas; entregas documentadas en 2025-2026.</x:v>
      </x:c>
      <x:c r="AC93" s="12" t="str">
        <x:v>Alta</x:v>
      </x:c>
      <x:c r="AD93" s="12" t="str">
        <x:v>Enriquecimiento agro + constructoras 2026-09-15</x:v>
      </x:c>
      <x:c r="AE93" s="12" t="str">
        <x:v>Plataforma 20 tn | Malacate | Hidrogrúa | Entrega/retiro maquinaria | Seguro/GPS</x:v>
      </x:c>
      <x:c r="AF93" s="12" t="str">
        <x:v>VISITA INMEDIATA</x:v>
      </x:c>
    </x:row>
    <x:row r="94">
      <x:c r="A94" s="12" t="str">
        <x:v>VM-093</x:v>
      </x:c>
      <x:c r="B94" s="12" t="str">
        <x:v>Pendiente</x:v>
      </x:c>
      <x:c r="C94" s="12" t="str">
        <x:v>Villa María</x:v>
      </x:c>
      <x:c r="D94" s="12" t="str">
        <x:v>Área 158 / Industrial</x:v>
      </x:c>
      <x:c r="E94" s="12" t="str">
        <x:v>Villa María</x:v>
      </x:c>
      <x:c r="F94" s="12" t="str">
        <x:v>A+</x:v>
      </x:c>
      <x:c r="G94" s="12" t="n">
        <x:v>99</x:v>
      </x:c>
      <x:c r="H94" s="12" t="str">
        <x:v>Agromos</x:v>
      </x:c>
      <x:c r="I94" s="12" t="str">
        <x:v>Concesionario de tractores y maquinaria agrícola</x:v>
      </x:c>
      <x:c r="J94" s="12" t="str">
        <x:v>Concesionario de tractores y maquinaria agrícola</x:v>
      </x:c>
      <x:c r="K94" s="12" t="str">
        <x:v>0353 4222447</x:v>
      </x:c>
      <x:c r="L94" s="12" t="str">
        <x:v>OK</x:v>
      </x:c>
      <x:c r="M94" s="12" t="str">
        <x:v>ventas / usados / logística</x:v>
      </x:c>
      <x:c r="N94" s="12" t="str">
        <x:v>Entrega/retiro de tractores, cosechadoras, pulverizadoras, sembradoras, usados y equipos de service.</x:v>
      </x:c>
      <x:c r="O94" s="12" t="str">
        <x:v>Plataforma 20 tn + malacate + hidrogrúa de apoyo + seguro/GPS.</x:v>
      </x:c>
      <x:c r="P94" s="12" t="str">
        <x:v>Captar entregas, canjes, usados y rescates de service sin inmovilizar flota propia.</x:v>
      </x:c>
      <x:c r="Q94" s="12" t="str">
        <x:v>Pedir gerente de ventas/logística/posventa; relevar equipos, pesos y movimientos mensuales.</x:v>
      </x:c>
      <x:c r="R94" s="12" t="str"/>
      <x:c r="S94" s="12" t="str">
        <x:v>Intendente Horacio Cabeza 3073, Villa María, Córdoba</x:v>
      </x:c>
      <x:c r="T94" s="12" t="str"/>
      <x:c r="U94" s="12" t="str"/>
      <x:c r="V94" s="12" t="str"/>
      <x:c r="W94" s="12" t="str"/>
      <x:c r="X94" s="12" t="str">
        <x:v>03534222447</x:v>
      </x:c>
      <x:c r="Y94" s="12" t="str">
        <x:v>https://www.google.com/maps/search/?api=1&amp;query=Agromos%2C+Intendente+Horacio+Cabeza+3073%2C+Villa+Mar%C3%ADa%2C+C%C3%B3rdoba</x:v>
      </x:c>
      <x:c r="Z94" s="12" t="str">
        <x:v>Google Business + Agroads</x:v>
      </x:c>
      <x:c r="AA94" s="12" t="str">
        <x:v>https://www.agroads.com.ar/seccion.asp?loc=6&amp;prov=8&amp;subcat=10&amp;tipo=usado</x:v>
      </x:c>
      <x:c r="AB94" s="12" t="str">
        <x:v>Concesionario local con tractores Massey Ferguson, Valtra, New Holland, Deutz-Fahr y otros usados.</x:v>
      </x:c>
      <x:c r="AC94" s="12" t="str">
        <x:v>Alta</x:v>
      </x:c>
      <x:c r="AD94" s="12" t="str">
        <x:v>Enriquecimiento agro + constructoras 2026-09-15</x:v>
      </x:c>
      <x:c r="AE94" s="12" t="str">
        <x:v>Plataforma 20 tn | Malacate | Hidrogrúa | Entrega/retiro maquinaria | Seguro/GPS</x:v>
      </x:c>
      <x:c r="AF94" s="12" t="str">
        <x:v>VISITA INMEDIATA</x:v>
      </x:c>
    </x:row>
    <x:row r="95">
      <x:c r="A95" s="12" t="str">
        <x:v>VM-094</x:v>
      </x:c>
      <x:c r="B95" s="12" t="str">
        <x:v>Pendiente</x:v>
      </x:c>
      <x:c r="C95" s="12" t="str">
        <x:v>Villa María</x:v>
      </x:c>
      <x:c r="D95" s="12" t="str">
        <x:v>RN9 km 561</x:v>
      </x:c>
      <x:c r="E95" s="12" t="str">
        <x:v>Villa María</x:v>
      </x:c>
      <x:c r="F95" s="12" t="str">
        <x:v>A+</x:v>
      </x:c>
      <x:c r="G95" s="12" t="n">
        <x:v>98</x:v>
      </x:c>
      <x:c r="H95" s="12" t="str">
        <x:v>TRACTOFORCE</x:v>
      </x:c>
      <x:c r="I95" s="12" t="str">
        <x:v>Concesionario de tractores</x:v>
      </x:c>
      <x:c r="J95" s="12" t="str">
        <x:v>Concesionario de tractores</x:v>
      </x:c>
      <x:c r="K95" s="12" t="str">
        <x:v>0353 4188963</x:v>
      </x:c>
      <x:c r="L95" s="12" t="str">
        <x:v>OK</x:v>
      </x:c>
      <x:c r="M95" s="12" t="str">
        <x:v>ventas / logística / service</x:v>
      </x:c>
      <x:c r="N95" s="12" t="str">
        <x:v>Entrega/retiro de tractores, cosechadoras, pulverizadoras, sembradoras, usados y equipos de service.</x:v>
      </x:c>
      <x:c r="O95" s="12" t="str">
        <x:v>Plataforma 20 tn + malacate + hidrogrúa de apoyo + seguro/GPS.</x:v>
      </x:c>
      <x:c r="P95" s="12" t="str">
        <x:v>Captar entregas, canjes, usados y rescates de service sin inmovilizar flota propia.</x:v>
      </x:c>
      <x:c r="Q95" s="12" t="str">
        <x:v>Pedir gerente de ventas/logística/posventa; relevar equipos, pesos y movimientos mensuales.</x:v>
      </x:c>
      <x:c r="R95" s="12" t="str"/>
      <x:c r="S95" s="12" t="str">
        <x:v>RN9 km 561, Villa María, Córdoba</x:v>
      </x:c>
      <x:c r="T95" s="12" t="str"/>
      <x:c r="U95" s="12" t="str"/>
      <x:c r="V95" s="12" t="str"/>
      <x:c r="W95" s="12" t="str"/>
      <x:c r="X95" s="12" t="str">
        <x:v>03534188963</x:v>
      </x:c>
      <x:c r="Y95" s="12" t="str">
        <x:v>https://www.google.com/maps/search/?api=1&amp;query=TRACTOFORCE%2C+RN9+km+561%2C+Villa+Mar%C3%ADa%2C+C%C3%B3rdoba</x:v>
      </x:c>
      <x:c r="Z95" s="12" t="str">
        <x:v>Google Business</x:v>
      </x:c>
      <x:c r="AA95" s="12" t="str">
        <x:v>https://www.google.com/maps/search/?api=1&amp;query=TRACTOFORCE%2C+RN9+km+561%2C+Villa+Mar%C3%ADa%2C+C%C3%B3rdoba</x:v>
      </x:c>
      <x:c r="AB95" s="12" t="str">
        <x:v>Concesionario de tractores sobre RN9.</x:v>
      </x:c>
      <x:c r="AC95" s="12" t="str">
        <x:v>Alta</x:v>
      </x:c>
      <x:c r="AD95" s="12" t="str">
        <x:v>Enriquecimiento agro + constructoras 2026-09-15</x:v>
      </x:c>
      <x:c r="AE95" s="12" t="str">
        <x:v>Plataforma 20 tn | Malacate | Hidrogrúa | Entrega/retiro maquinaria | Seguro/GPS</x:v>
      </x:c>
      <x:c r="AF95" s="12" t="str">
        <x:v>VISITA INMEDIATA</x:v>
      </x:c>
    </x:row>
    <x:row r="96">
      <x:c r="A96" s="12" t="str">
        <x:v>VM-095</x:v>
      </x:c>
      <x:c r="B96" s="12" t="str">
        <x:v>Pendiente</x:v>
      </x:c>
      <x:c r="C96" s="12" t="str">
        <x:v>Villa María</x:v>
      </x:c>
      <x:c r="D96" s="12" t="str">
        <x:v>Av. Perón / Industrial</x:v>
      </x:c>
      <x:c r="E96" s="12" t="str">
        <x:v>Villa María</x:v>
      </x:c>
      <x:c r="F96" s="12" t="str">
        <x:v>A+</x:v>
      </x:c>
      <x:c r="G96" s="12" t="n">
        <x:v>98</x:v>
      </x:c>
      <x:c r="H96" s="12" t="str">
        <x:v>Metalfor Villa María</x:v>
      </x:c>
      <x:c r="I96" s="12" t="str">
        <x:v>Maquinaria agrícola / service / pulverizadoras</x:v>
      </x:c>
      <x:c r="J96" s="12" t="str">
        <x:v>Maquinaria agrícola / service / pulverizadoras</x:v>
      </x:c>
      <x:c r="K96" s="12" t="str">
        <x:v>0353 4614731</x:v>
      </x:c>
      <x:c r="L96" s="12" t="str">
        <x:v>OK</x:v>
      </x:c>
      <x:c r="M96" s="12" t="str">
        <x:v>ventas / service / logística</x:v>
      </x:c>
      <x:c r="N96" s="12" t="str">
        <x:v>Entrega/retiro de tractores, cosechadoras, pulverizadoras, sembradoras, usados y equipos de service.</x:v>
      </x:c>
      <x:c r="O96" s="12" t="str">
        <x:v>Plataforma 20 tn + malacate + hidrogrúa de apoyo + seguro/GPS.</x:v>
      </x:c>
      <x:c r="P96" s="12" t="str">
        <x:v>Captar entregas, canjes, usados y rescates de service sin inmovilizar flota propia.</x:v>
      </x:c>
      <x:c r="Q96" s="12" t="str">
        <x:v>Pedir gerente de ventas/logística/posventa; relevar equipos, pesos y movimientos mensuales.</x:v>
      </x:c>
      <x:c r="R96" s="12" t="str"/>
      <x:c r="S96" s="12" t="str">
        <x:v>Av. Presidente Perón 2795, Villa María, Córdoba</x:v>
      </x:c>
      <x:c r="T96" s="12" t="str"/>
      <x:c r="U96" s="12" t="str"/>
      <x:c r="V96" s="12" t="str"/>
      <x:c r="W96" s="12" t="str"/>
      <x:c r="X96" s="12" t="str">
        <x:v>03534614731</x:v>
      </x:c>
      <x:c r="Y96" s="12" t="str">
        <x:v>https://www.google.com/maps/search/?api=1&amp;query=Metalfor+Villa+Mar%C3%ADa%2C+Av.+Presidente+Per%C3%B3n+2795%2C+Villa+Mar%C3%ADa%2C+C%C3%B3rdoba</x:v>
      </x:c>
      <x:c r="Z96" s="12" t="str">
        <x:v>Google Business + directorio local</x:v>
      </x:c>
      <x:c r="AA96" s="12" t="str">
        <x:v>https://buscador5900.com.ar/agro/equipamiento/maquinaria-agricola-y-repuestos</x:v>
      </x:c>
      <x:c r="AB96" s="12" t="str">
        <x:v>Punto Metalfor en Villa María; maquinaria agrícola, repuestos y service.</x:v>
      </x:c>
      <x:c r="AC96" s="12" t="str">
        <x:v>Alta</x:v>
      </x:c>
      <x:c r="AD96" s="12" t="str">
        <x:v>Enriquecimiento agro + constructoras 2026-09-15</x:v>
      </x:c>
      <x:c r="AE96" s="12" t="str">
        <x:v>Plataforma 20 tn | Malacate | Hidrogrúa | Entrega/retiro maquinaria | Seguro/GPS</x:v>
      </x:c>
      <x:c r="AF96" s="12" t="str">
        <x:v>VISITA INMEDIATA</x:v>
      </x:c>
    </x:row>
    <x:row r="97">
      <x:c r="A97" s="12" t="str">
        <x:v>VM-096</x:v>
      </x:c>
      <x:c r="B97" s="12" t="str">
        <x:v>Pendiente</x:v>
      </x:c>
      <x:c r="C97" s="12" t="str">
        <x:v>Villa María</x:v>
      </x:c>
      <x:c r="D97" s="12" t="str">
        <x:v>RN9 km 552-553</x:v>
      </x:c>
      <x:c r="E97" s="12" t="str">
        <x:v>Villa María</x:v>
      </x:c>
      <x:c r="F97" s="12" t="str">
        <x:v>A+</x:v>
      </x:c>
      <x:c r="G97" s="12" t="n">
        <x:v>97</x:v>
      </x:c>
      <x:c r="H97" s="12" t="str">
        <x:v>Cherasco S.R.L. Maquinas Agrícolas</x:v>
      </x:c>
      <x:c r="I97" s="12" t="str">
        <x:v>Venta de maquinaria e implementos agrícolas</x:v>
      </x:c>
      <x:c r="J97" s="12" t="str">
        <x:v>Venta de maquinaria e implementos agrícolas</x:v>
      </x:c>
      <x:c r="K97" s="12" t="str">
        <x:v>A verificar</x:v>
      </x:c>
      <x:c r="L97" s="12" t="str">
        <x:v>A verificar</x:v>
      </x:c>
      <x:c r="M97" s="12" t="str">
        <x:v>ventas / logística / usados</x:v>
      </x:c>
      <x:c r="N97" s="12" t="str">
        <x:v>Movimientos de maquinaria, equipos o cargas especiales asociados a ventas, service u obra.</x:v>
      </x:c>
      <x:c r="O97" s="12" t="str">
        <x:v>Plataforma 20 tn + hidrogrúa + malacate según necesidad.</x:v>
      </x:c>
      <x:c r="P97" s="12" t="str">
        <x:v>Capacidad externa para entregas, retiros o traslados especiales.</x:v>
      </x:c>
      <x:c r="Q97" s="12" t="str">
        <x:v>Contactar logística/operaciones y relevar movimientos actuales.</x:v>
      </x:c>
      <x:c r="R97" s="12" t="str"/>
      <x:c r="S97" s="12" t="str">
        <x:v>RN9 km 552-553, Villa María, Córdoba</x:v>
      </x:c>
      <x:c r="T97" s="12" t="str"/>
      <x:c r="U97" s="12" t="str"/>
      <x:c r="V97" s="12" t="str"/>
      <x:c r="W97" s="12" t="str"/>
      <x:c r="X97" s="12" t="str"/>
      <x:c r="Y97" s="12" t="str">
        <x:v>https://www.google.com/maps/search/?api=1&amp;query=Cherasco+S.R.L.+Maquinas+Agr%C3%ADcolas%2C+RN9+km+552-553%2C+Villa+Mar%C3%ADa%2C+C%C3%B3rdoba</x:v>
      </x:c>
      <x:c r="Z97" s="12" t="str">
        <x:v>Agroads + registro empresario</x:v>
      </x:c>
      <x:c r="AA97" s="12" t="str">
        <x:v>https://www.agroads.com.ar/seccion.asp?cat=2&amp;loc=6&amp;prov=8</x:v>
      </x:c>
      <x:c r="AB97" s="12" t="str">
        <x:v>Comercializa sembradoras, embolsadoras y maquinaria; actividad registrada incluye tractores, cosechadoras e implementos.</x:v>
      </x:c>
      <x:c r="AC97" s="12" t="str">
        <x:v>Media</x:v>
      </x:c>
      <x:c r="AD97" s="12" t="str">
        <x:v>Enriquecimiento agro + constructoras 2026-09-15</x:v>
      </x:c>
      <x:c r="AE97" s="12" t="str">
        <x:v>Plataforma 20 tn | Hidrogrúa | Malacate</x:v>
      </x:c>
      <x:c r="AF97" s="12" t="str">
        <x:v>VISITA INMEDIATA</x:v>
      </x:c>
    </x:row>
    <x:row r="98">
      <x:c r="A98" s="12" t="str">
        <x:v>VM-097</x:v>
      </x:c>
      <x:c r="B98" s="12" t="str">
        <x:v>Pendiente</x:v>
      </x:c>
      <x:c r="C98" s="12" t="str">
        <x:v>Villa María</x:v>
      </x:c>
      <x:c r="D98" s="12" t="str">
        <x:v>Urbano industrial</x:v>
      </x:c>
      <x:c r="E98" s="12" t="str">
        <x:v>Villa María</x:v>
      </x:c>
      <x:c r="F98" s="12" t="str">
        <x:v>A+</x:v>
      </x:c>
      <x:c r="G98" s="12" t="n">
        <x:v>96</x:v>
      </x:c>
      <x:c r="H98" s="12" t="str">
        <x:v>AgroChery</x:v>
      </x:c>
      <x:c r="I98" s="12" t="str">
        <x:v>Concesionario de tractores</x:v>
      </x:c>
      <x:c r="J98" s="12" t="str">
        <x:v>Concesionario de tractores</x:v>
      </x:c>
      <x:c r="K98" s="12" t="str">
        <x:v>0353 4282774</x:v>
      </x:c>
      <x:c r="L98" s="12" t="str">
        <x:v>OK</x:v>
      </x:c>
      <x:c r="M98" s="12" t="str">
        <x:v>ventas / logística / service</x:v>
      </x:c>
      <x:c r="N98" s="12" t="str">
        <x:v>Entrega/retiro de tractores, cosechadoras, pulverizadoras, sembradoras, usados y equipos de service.</x:v>
      </x:c>
      <x:c r="O98" s="12" t="str">
        <x:v>Plataforma 20 tn + malacate + hidrogrúa de apoyo + seguro/GPS.</x:v>
      </x:c>
      <x:c r="P98" s="12" t="str">
        <x:v>Captar entregas, canjes, usados y rescates de service sin inmovilizar flota propia.</x:v>
      </x:c>
      <x:c r="Q98" s="12" t="str">
        <x:v>Pedir gerente de ventas/logística/posventa; relevar equipos, pesos y movimientos mensuales.</x:v>
      </x:c>
      <x:c r="R98" s="12" t="str"/>
      <x:c r="S98" s="12" t="str">
        <x:v>M. J. Suppo 216, Villa María, Córdoba</x:v>
      </x:c>
      <x:c r="T98" s="12" t="str"/>
      <x:c r="U98" s="12" t="str"/>
      <x:c r="V98" s="12" t="str"/>
      <x:c r="W98" s="12" t="str"/>
      <x:c r="X98" s="12" t="str">
        <x:v>03534282774</x:v>
      </x:c>
      <x:c r="Y98" s="12" t="str">
        <x:v>https://www.google.com/maps/search/?api=1&amp;query=AgroChery%2C+M.+J.+Suppo+216%2C+Villa+Mar%C3%ADa%2C+C%C3%B3rdoba</x:v>
      </x:c>
      <x:c r="Z98" s="12" t="str">
        <x:v>Google Business</x:v>
      </x:c>
      <x:c r="AA98" s="12" t="str">
        <x:v>https://www.google.com/maps/search/?api=1&amp;query=AgroChery%2C+M.+J.+Suppo+216%2C+Villa+Mar%C3%ADa%2C+C%C3%B3rdoba</x:v>
      </x:c>
      <x:c r="AB98" s="12" t="str">
        <x:v>Concesionario local de tractores AgroChery.</x:v>
      </x:c>
      <x:c r="AC98" s="12" t="str">
        <x:v>Alta</x:v>
      </x:c>
      <x:c r="AD98" s="12" t="str">
        <x:v>Enriquecimiento agro + constructoras 2026-09-15</x:v>
      </x:c>
      <x:c r="AE98" s="12" t="str">
        <x:v>Plataforma 20 tn | Malacate | Hidrogrúa | Entrega/retiro maquinaria | Seguro/GPS</x:v>
      </x:c>
      <x:c r="AF98" s="12" t="str">
        <x:v>VISITA INMEDIATA</x:v>
      </x:c>
    </x:row>
    <x:row r="99">
      <x:c r="A99" s="12" t="str">
        <x:v>VM-098</x:v>
      </x:c>
      <x:c r="B99" s="12" t="str">
        <x:v>Pendiente</x:v>
      </x:c>
      <x:c r="C99" s="12" t="str">
        <x:v>Villa María</x:v>
      </x:c>
      <x:c r="D99" s="12" t="str">
        <x:v>Urbano industrial</x:v>
      </x:c>
      <x:c r="E99" s="12" t="str">
        <x:v>Villa María</x:v>
      </x:c>
      <x:c r="F99" s="12" t="str">
        <x:v>A+</x:v>
      </x:c>
      <x:c r="G99" s="12" t="n">
        <x:v>96</x:v>
      </x:c>
      <x:c r="H99" s="12" t="str">
        <x:v>AMD Servicios SRL</x:v>
      </x:c>
      <x:c r="I99" s="12" t="str">
        <x:v>Alquiler de maquinaria y equipos industriales</x:v>
      </x:c>
      <x:c r="J99" s="12" t="str">
        <x:v>Alquiler de maquinaria y equipos industriales</x:v>
      </x:c>
      <x:c r="K99" s="12" t="str">
        <x:v>0353 4012059</x:v>
      </x:c>
      <x:c r="L99" s="12" t="str">
        <x:v>OK</x:v>
      </x:c>
      <x:c r="M99" s="12" t="str">
        <x:v>alquileres / operaciones / logística</x:v>
      </x:c>
      <x:c r="N99" s="12" t="str">
        <x:v>Entrega y retiro de equipos alquilados entre base, clientes y obras.</x:v>
      </x:c>
      <x:c r="O99" s="12" t="str">
        <x:v>Plataforma 20 tn + malacate + hidrogrúa.</x:v>
      </x:c>
      <x:c r="P99" s="12" t="str">
        <x:v>Resolver picos de alquiler y retiros sin ampliar flota de transporte.</x:v>
      </x:c>
      <x:c r="Q99" s="12" t="str">
        <x:v>Pedir alquileres/operaciones; relevar flota y movimientos semanales.</x:v>
      </x:c>
      <x:c r="R99" s="12" t="str"/>
      <x:c r="S99" s="12" t="str">
        <x:v>J. Muller 427, Villa María, Córdoba</x:v>
      </x:c>
      <x:c r="T99" s="12" t="str"/>
      <x:c r="U99" s="12" t="str"/>
      <x:c r="V99" s="12" t="str"/>
      <x:c r="W99" s="12" t="str"/>
      <x:c r="X99" s="12" t="str">
        <x:v>03534012059</x:v>
      </x:c>
      <x:c r="Y99" s="12" t="str">
        <x:v>https://www.google.com/maps/search/?api=1&amp;query=AMD+Servicios+SRL%2C+J.+Muller+427%2C+Villa+Mar%C3%ADa%2C+C%C3%B3rdoba</x:v>
      </x:c>
      <x:c r="Z99" s="12" t="str">
        <x:v>Google Business</x:v>
      </x:c>
      <x:c r="AA99" s="12" t="str">
        <x:v>https://www.google.com/maps/search/?api=1&amp;query=AMD+Servicios+SRL%2C+J.+Muller+427%2C+Villa+Mar%C3%ADa%2C+C%C3%B3rdoba</x:v>
      </x:c>
      <x:c r="AB99" s="12" t="str">
        <x:v>Empresa local de alquiler de maquinaria y equipos industriales.</x:v>
      </x:c>
      <x:c r="AC99" s="12" t="str">
        <x:v>Alta</x:v>
      </x:c>
      <x:c r="AD99" s="12" t="str">
        <x:v>Enriquecimiento agro + constructoras 2026-09-15</x:v>
      </x:c>
      <x:c r="AE99" s="12" t="str">
        <x:v>Plataforma 20 tn | Malacate | Hidrogrúa | Entrega/retiro</x:v>
      </x:c>
      <x:c r="AF99" s="12" t="str">
        <x:v>VISITA INMEDIATA</x:v>
      </x:c>
    </x:row>
    <x:row r="100">
      <x:c r="A100" s="12" t="str">
        <x:v>VM-099</x:v>
      </x:c>
      <x:c r="B100" s="12" t="str">
        <x:v>Pendiente</x:v>
      </x:c>
      <x:c r="C100" s="12" t="str">
        <x:v>Villa María</x:v>
      </x:c>
      <x:c r="D100" s="12" t="str">
        <x:v>RN9 km 553</x:v>
      </x:c>
      <x:c r="E100" s="12" t="str">
        <x:v>Villa María</x:v>
      </x:c>
      <x:c r="F100" s="12" t="str">
        <x:v>A+</x:v>
      </x:c>
      <x:c r="G100" s="12" t="n">
        <x:v>96</x:v>
      </x:c>
      <x:c r="H100" s="12" t="str">
        <x:v>RR Agrícola Maquinarias</x:v>
      </x:c>
      <x:c r="I100" s="12" t="str">
        <x:v>Venta de maquinaria agrícola</x:v>
      </x:c>
      <x:c r="J100" s="12" t="str">
        <x:v>Venta de maquinaria agrícola</x:v>
      </x:c>
      <x:c r="K100" s="12" t="str">
        <x:v>0353 4538056</x:v>
      </x:c>
      <x:c r="L100" s="12" t="str">
        <x:v>OK</x:v>
      </x:c>
      <x:c r="M100" s="12" t="str">
        <x:v>ventas / logística / service</x:v>
      </x:c>
      <x:c r="N100" s="12" t="str">
        <x:v>Entrega/retiro de tractores, cosechadoras, pulverizadoras, sembradoras, usados y equipos de service.</x:v>
      </x:c>
      <x:c r="O100" s="12" t="str">
        <x:v>Plataforma 20 tn + malacate + hidrogrúa de apoyo + seguro/GPS.</x:v>
      </x:c>
      <x:c r="P100" s="12" t="str">
        <x:v>Captar entregas, canjes, usados y rescates de service sin inmovilizar flota propia.</x:v>
      </x:c>
      <x:c r="Q100" s="12" t="str">
        <x:v>Pedir gerente de ventas/logística/posventa; relevar equipos, pesos y movimientos mensuales.</x:v>
      </x:c>
      <x:c r="R100" s="12" t="str"/>
      <x:c r="S100" s="12" t="str">
        <x:v>RN9 km 553, Villa María, Córdoba</x:v>
      </x:c>
      <x:c r="T100" s="12" t="str"/>
      <x:c r="U100" s="12" t="str"/>
      <x:c r="V100" s="12" t="str"/>
      <x:c r="W100" s="12" t="str"/>
      <x:c r="X100" s="12" t="str">
        <x:v>03534538056</x:v>
      </x:c>
      <x:c r="Y100" s="12" t="str">
        <x:v>https://www.google.com/maps/search/?api=1&amp;query=RR+Agr%C3%ADcola+Maquinarias%2C+RN9+km+553%2C+Villa+Mar%C3%ADa%2C+C%C3%B3rdoba</x:v>
      </x:c>
      <x:c r="Z100" s="12" t="str">
        <x:v>Directorio local</x:v>
      </x:c>
      <x:c r="AA100" s="12" t="str">
        <x:v>https://buscador5900.com.ar/agro/equipamiento/maquinaria-agricola-y-repuestos</x:v>
      </x:c>
      <x:c r="AB100" s="12" t="str">
        <x:v>Comercio local listado específicamente en maquinaria agrícola y repuestos.</x:v>
      </x:c>
      <x:c r="AC100" s="12" t="str">
        <x:v>Alta</x:v>
      </x:c>
      <x:c r="AD100" s="12" t="str">
        <x:v>Enriquecimiento agro + constructoras 2026-09-15</x:v>
      </x:c>
      <x:c r="AE100" s="12" t="str">
        <x:v>Plataforma 20 tn | Malacate | Hidrogrúa | Entrega/retiro maquinaria | Seguro/GPS</x:v>
      </x:c>
      <x:c r="AF100" s="12" t="str">
        <x:v>VISITA INMEDIATA</x:v>
      </x:c>
    </x:row>
    <x:row r="101">
      <x:c r="A101" s="12" t="str">
        <x:v>VM-100</x:v>
      </x:c>
      <x:c r="B101" s="12" t="str">
        <x:v>Pendiente</x:v>
      </x:c>
      <x:c r="C101" s="12" t="str">
        <x:v>Villa María</x:v>
      </x:c>
      <x:c r="D101" s="12" t="str">
        <x:v>Urbano</x:v>
      </x:c>
      <x:c r="E101" s="12" t="str">
        <x:v>Villa María</x:v>
      </x:c>
      <x:c r="F101" s="12" t="str">
        <x:v>A+</x:v>
      </x:c>
      <x:c r="G101" s="12" t="n">
        <x:v>98</x:v>
      </x:c>
      <x:c r="H101" s="12" t="str">
        <x:v>SALSITECO S.A.</x:v>
      </x:c>
      <x:c r="I101" s="12" t="str">
        <x:v>Constructora / obras civiles / movimiento de suelo</x:v>
      </x:c>
      <x:c r="J101" s="12" t="str">
        <x:v>Constructora / obras civiles / movimiento de suelo</x:v>
      </x:c>
      <x:c r="K101" s="12" t="str">
        <x:v>0353 4524006</x:v>
      </x:c>
      <x:c r="L101" s="12" t="str">
        <x:v>OK</x:v>
      </x:c>
      <x:c r="M101" s="12" t="str">
        <x:v>jefe de obra / equipos / operaciones</x:v>
      </x:c>
      <x:c r="N101" s="12" t="str">
        <x:v>Traslados interobra de retroexcavadoras, excavadoras, minicargadoras, rodillos, herramientas y equipos.</x:v>
      </x:c>
      <x:c r="O101" s="12" t="str">
        <x:v>Plataforma 20 tn + malacate + hidrogrúa + seguro/GPS.</x:v>
      </x:c>
      <x:c r="P101" s="12" t="str">
        <x:v>Mover equipos entre frentes sin retirar recursos propios de la obra.</x:v>
      </x:c>
      <x:c r="Q101" s="12" t="str">
        <x:v>Pedir jefe de obra/equipos/operaciones; relevar flota y frecuencia de movilizaciones.</x:v>
      </x:c>
      <x:c r="R101" s="12" t="str"/>
      <x:c r="S101" s="12" t="str">
        <x:v>José Ingenieros 625, Villa María, Córdoba</x:v>
      </x:c>
      <x:c r="T101" s="12" t="str"/>
      <x:c r="U101" s="12" t="str"/>
      <x:c r="V101" s="12" t="str"/>
      <x:c r="W101" s="12" t="str"/>
      <x:c r="X101" s="12" t="str">
        <x:v>03534524006</x:v>
      </x:c>
      <x:c r="Y101" s="12" t="str">
        <x:v>https://www.google.com/maps/search/?api=1&amp;query=SALSITECO+S.A.%2C+Jos%C3%A9+Ingenieros+625%2C+Villa+Mar%C3%ADa%2C+C%C3%B3rdoba</x:v>
      </x:c>
      <x:c r="Z101" s="12" t="str">
        <x:v>Web oficial</x:v>
      </x:c>
      <x:c r="AA101" s="12" t="str">
        <x:v>https://salsiteco.com.ar/empresa.php</x:v>
      </x:c>
      <x:c r="AB101" s="12" t="str">
        <x:v>Constructora local de obras públicas/privadas, acueductos, redes, movimientos de suelo; declara equipos y maquinarias propios.</x:v>
      </x:c>
      <x:c r="AC101" s="12" t="str">
        <x:v>Alta</x:v>
      </x:c>
      <x:c r="AD101" s="12" t="str">
        <x:v>Enriquecimiento agro + constructoras 2026-09-15</x:v>
      </x:c>
      <x:c r="AE101" s="12" t="str">
        <x:v>Plataforma 20 tn | Malacate | Hidrogrúa | Traslados interobra | Seguro/GPS</x:v>
      </x:c>
      <x:c r="AF101" s="12" t="str">
        <x:v>VISITA INMEDIATA</x:v>
      </x:c>
    </x:row>
    <x:row r="102">
      <x:c r="A102" s="12" t="str">
        <x:v>VM-101</x:v>
      </x:c>
      <x:c r="B102" s="12" t="str">
        <x:v>Pendiente</x:v>
      </x:c>
      <x:c r="C102" s="12" t="str">
        <x:v>Villa María</x:v>
      </x:c>
      <x:c r="D102" s="12" t="str">
        <x:v>Urbano</x:v>
      </x:c>
      <x:c r="E102" s="12" t="str">
        <x:v>Villa María</x:v>
      </x:c>
      <x:c r="F102" s="12" t="str">
        <x:v>A+</x:v>
      </x:c>
      <x:c r="G102" s="12" t="n">
        <x:v>95</x:v>
      </x:c>
      <x:c r="H102" s="12" t="str">
        <x:v>Movimiento de suelo Alexis Moreno</x:v>
      </x:c>
      <x:c r="I102" s="12" t="str">
        <x:v>Movimiento de suelo</x:v>
      </x:c>
      <x:c r="J102" s="12" t="str">
        <x:v>Movimiento de suelo</x:v>
      </x:c>
      <x:c r="K102" s="12" t="str">
        <x:v>A verificar</x:v>
      </x:c>
      <x:c r="L102" s="12" t="str">
        <x:v>A verificar</x:v>
      </x:c>
      <x:c r="M102" s="12" t="str">
        <x:v>dueño / operaciones / equipos</x:v>
      </x:c>
      <x:c r="N102" s="12" t="str">
        <x:v>Traslados interobra de retroexcavadoras, excavadoras, minicargadoras, rodillos, herramientas y equipos.</x:v>
      </x:c>
      <x:c r="O102" s="12" t="str">
        <x:v>Plataforma 20 tn + malacate + hidrogrúa + seguro/GPS.</x:v>
      </x:c>
      <x:c r="P102" s="12" t="str">
        <x:v>Mover equipos entre frentes sin retirar recursos propios de la obra.</x:v>
      </x:c>
      <x:c r="Q102" s="12" t="str">
        <x:v>Pedir jefe de obra/equipos/operaciones; relevar flota y frecuencia de movilizaciones.</x:v>
      </x:c>
      <x:c r="R102" s="12" t="str"/>
      <x:c r="S102" s="12" t="str">
        <x:v>Aconquija 2323, Villa María, Córdoba</x:v>
      </x:c>
      <x:c r="T102" s="12" t="str"/>
      <x:c r="U102" s="12" t="str"/>
      <x:c r="V102" s="12" t="str"/>
      <x:c r="W102" s="12" t="str"/>
      <x:c r="X102" s="12" t="str"/>
      <x:c r="Y102" s="12" t="str">
        <x:v>https://www.google.com/maps/search/?api=1&amp;query=Movimiento+de+suelo+Alexis+Moreno%2C+Aconquija+2323%2C+Villa+Mar%C3%ADa%2C+C%C3%B3rdoba</x:v>
      </x:c>
      <x:c r="Z102" s="12" t="str">
        <x:v>Google Business</x:v>
      </x:c>
      <x:c r="AA102" s="12" t="str">
        <x:v>https://www.google.com/maps/search/?api=1&amp;query=Movimiento+de+suelo+Alexis+Moreno%2C+Aconquija+2323%2C+Villa+Mar%C3%ADa%2C+C%C3%B3rdoba</x:v>
      </x:c>
      <x:c r="AB102" s="12" t="str">
        <x:v>Empresa local de movimiento de tierras.</x:v>
      </x:c>
      <x:c r="AC102" s="12" t="str">
        <x:v>Media</x:v>
      </x:c>
      <x:c r="AD102" s="12" t="str">
        <x:v>Enriquecimiento agro + constructoras 2026-09-15</x:v>
      </x:c>
      <x:c r="AE102" s="12" t="str">
        <x:v>Plataforma 20 tn | Malacate | Hidrogrúa | Traslados interobra | Seguro/GPS</x:v>
      </x:c>
      <x:c r="AF102" s="12" t="str">
        <x:v>VISITA INMEDIATA</x:v>
      </x:c>
    </x:row>
    <x:row r="103">
      <x:c r="A103" s="12" t="str">
        <x:v>VM-102</x:v>
      </x:c>
      <x:c r="B103" s="12" t="str">
        <x:v>Pendiente</x:v>
      </x:c>
      <x:c r="C103" s="12" t="str">
        <x:v>Villa María</x:v>
      </x:c>
      <x:c r="D103" s="12" t="str">
        <x:v>Av. Perón / Industrial</x:v>
      </x:c>
      <x:c r="E103" s="12" t="str">
        <x:v>Villa María</x:v>
      </x:c>
      <x:c r="F103" s="12" t="str">
        <x:v>A+</x:v>
      </x:c>
      <x:c r="G103" s="12" t="n">
        <x:v>95</x:v>
      </x:c>
      <x:c r="H103" s="12" t="str">
        <x:v>Pla Centro de Distribuciones</x:v>
      </x:c>
      <x:c r="I103" s="12" t="str">
        <x:v>Maquinaria agrícola / pulverización</x:v>
      </x:c>
      <x:c r="J103" s="12" t="str">
        <x:v>Maquinaria agrícola / pulverización</x:v>
      </x:c>
      <x:c r="K103" s="12" t="str">
        <x:v>0353 4614161</x:v>
      </x:c>
      <x:c r="L103" s="12" t="str">
        <x:v>OK</x:v>
      </x:c>
      <x:c r="M103" s="12" t="str">
        <x:v>ventas / logística / repuestos</x:v>
      </x:c>
      <x:c r="N103" s="12" t="str">
        <x:v>Entrega/retiro de tractores, cosechadoras, pulverizadoras, sembradoras, usados y equipos de service.</x:v>
      </x:c>
      <x:c r="O103" s="12" t="str">
        <x:v>Plataforma 20 tn + malacate + hidrogrúa de apoyo + seguro/GPS.</x:v>
      </x:c>
      <x:c r="P103" s="12" t="str">
        <x:v>Captar entregas, canjes, usados y rescates de service sin inmovilizar flota propia.</x:v>
      </x:c>
      <x:c r="Q103" s="12" t="str">
        <x:v>Pedir gerente de ventas/logística/posventa; relevar equipos, pesos y movimientos mensuales.</x:v>
      </x:c>
      <x:c r="R103" s="12" t="str"/>
      <x:c r="S103" s="12" t="str">
        <x:v>Av. Presidente Perón 3566, Villa María, Córdoba</x:v>
      </x:c>
      <x:c r="T103" s="12" t="str"/>
      <x:c r="U103" s="12" t="str"/>
      <x:c r="V103" s="12" t="str"/>
      <x:c r="W103" s="12" t="str"/>
      <x:c r="X103" s="12" t="str">
        <x:v>03534614161</x:v>
      </x:c>
      <x:c r="Y103" s="12" t="str">
        <x:v>https://www.google.com/maps/search/?api=1&amp;query=Pla+Centro+de+Distribuciones%2C+Av.+Presidente+Per%C3%B3n+3566%2C+Villa+Mar%C3%ADa%2C+C%C3%B3rdoba</x:v>
      </x:c>
      <x:c r="Z103" s="12" t="str">
        <x:v>Directorio local</x:v>
      </x:c>
      <x:c r="AA103" s="12" t="str">
        <x:v>https://buscador5900.com.ar/agro/equipamiento/maquinaria-agricola-y-repuestos</x:v>
      </x:c>
      <x:c r="AB103" s="12" t="str">
        <x:v>Centro local de distribución de maquinaria agrícola y repuestos.</x:v>
      </x:c>
      <x:c r="AC103" s="12" t="str">
        <x:v>Alta</x:v>
      </x:c>
      <x:c r="AD103" s="12" t="str">
        <x:v>Enriquecimiento agro + constructoras 2026-09-15</x:v>
      </x:c>
      <x:c r="AE103" s="12" t="str">
        <x:v>Plataforma 20 tn | Malacate | Hidrogrúa | Entrega/retiro maquinaria | Seguro/GPS</x:v>
      </x:c>
      <x:c r="AF103" s="12" t="str">
        <x:v>VISITA INMEDIATA</x:v>
      </x:c>
    </x:row>
    <x:row r="104">
      <x:c r="A104" s="12" t="str">
        <x:v>VM-103</x:v>
      </x:c>
      <x:c r="B104" s="12" t="str">
        <x:v>Pendiente</x:v>
      </x:c>
      <x:c r="C104" s="12" t="str">
        <x:v>Villa María</x:v>
      </x:c>
      <x:c r="D104" s="12" t="str">
        <x:v>Av. Perón / Industrial</x:v>
      </x:c>
      <x:c r="E104" s="12" t="str">
        <x:v>Villa María</x:v>
      </x:c>
      <x:c r="F104" s="12" t="str">
        <x:v>A+</x:v>
      </x:c>
      <x:c r="G104" s="12" t="n">
        <x:v>94</x:v>
      </x:c>
      <x:c r="H104" s="12" t="str">
        <x:v>Roberto Mosoni Venta de Tractores</x:v>
      </x:c>
      <x:c r="I104" s="12" t="str">
        <x:v>Venta de tractores</x:v>
      </x:c>
      <x:c r="J104" s="12" t="str">
        <x:v>Venta de tractores</x:v>
      </x:c>
      <x:c r="K104" s="12" t="str">
        <x:v>0353 156566469</x:v>
      </x:c>
      <x:c r="L104" s="12" t="str">
        <x:v>OK</x:v>
      </x:c>
      <x:c r="M104" s="12" t="str">
        <x:v>dueño / ventas / logística</x:v>
      </x:c>
      <x:c r="N104" s="12" t="str">
        <x:v>Entrega/retiro de tractores, cosechadoras, pulverizadoras, sembradoras, usados y equipos de service.</x:v>
      </x:c>
      <x:c r="O104" s="12" t="str">
        <x:v>Plataforma 20 tn + malacate + hidrogrúa de apoyo + seguro/GPS.</x:v>
      </x:c>
      <x:c r="P104" s="12" t="str">
        <x:v>Captar entregas, canjes, usados y rescates de service sin inmovilizar flota propia.</x:v>
      </x:c>
      <x:c r="Q104" s="12" t="str">
        <x:v>Pedir gerente de ventas/logística/posventa; relevar equipos, pesos y movimientos mensuales.</x:v>
      </x:c>
      <x:c r="R104" s="12" t="str"/>
      <x:c r="S104" s="12" t="str">
        <x:v>Av. Presidente Perón 988, Villa María, Córdoba</x:v>
      </x:c>
      <x:c r="T104" s="12" t="str"/>
      <x:c r="U104" s="12" t="str"/>
      <x:c r="V104" s="12" t="str"/>
      <x:c r="W104" s="12" t="str"/>
      <x:c r="X104" s="12" t="str">
        <x:v>0353156566469</x:v>
      </x:c>
      <x:c r="Y104" s="12" t="str">
        <x:v>https://www.google.com/maps/search/?api=1&amp;query=Roberto+Mosoni+Venta+de+Tractores%2C+Av.+Presidente+Per%C3%B3n+988%2C+Villa+Mar%C3%ADa%2C+C%C3%B3rdoba</x:v>
      </x:c>
      <x:c r="Z104" s="12" t="str">
        <x:v>Directorio local</x:v>
      </x:c>
      <x:c r="AA104" s="12" t="str">
        <x:v>https://www.buscador5900.com.ar/agro/equipamiento</x:v>
      </x:c>
      <x:c r="AB104" s="12" t="str">
        <x:v>Comercio local dedicado a venta de tractores.</x:v>
      </x:c>
      <x:c r="AC104" s="12" t="str">
        <x:v>Alta</x:v>
      </x:c>
      <x:c r="AD104" s="12" t="str">
        <x:v>Enriquecimiento agro + constructoras 2026-09-15</x:v>
      </x:c>
      <x:c r="AE104" s="12" t="str">
        <x:v>Plataforma 20 tn | Malacate | Hidrogrúa | Entrega/retiro maquinaria | Seguro/GPS</x:v>
      </x:c>
      <x:c r="AF104" s="12" t="str">
        <x:v>VISITA INMEDIATA</x:v>
      </x:c>
    </x:row>
    <x:row r="105">
      <x:c r="A105" s="12" t="str">
        <x:v>VM-104</x:v>
      </x:c>
      <x:c r="B105" s="12" t="str">
        <x:v>Pendiente</x:v>
      </x:c>
      <x:c r="C105" s="12" t="str">
        <x:v>Villa María</x:v>
      </x:c>
      <x:c r="D105" s="12" t="str">
        <x:v>Centro</x:v>
      </x:c>
      <x:c r="E105" s="12" t="str">
        <x:v>Villa María</x:v>
      </x:c>
      <x:c r="F105" s="12" t="str">
        <x:v>A</x:v>
      </x:c>
      <x:c r="G105" s="12" t="n">
        <x:v>88</x:v>
      </x:c>
      <x:c r="H105" s="12" t="str">
        <x:v>URBA Constructora</x:v>
      </x:c>
      <x:c r="I105" s="12" t="str">
        <x:v>Constructora / obra civil e instalaciones</x:v>
      </x:c>
      <x:c r="J105" s="12" t="str">
        <x:v>Constructora / obra civil e instalaciones</x:v>
      </x:c>
      <x:c r="K105" s="12" t="str">
        <x:v>0353 4295173</x:v>
      </x:c>
      <x:c r="L105" s="12" t="str">
        <x:v>OK</x:v>
      </x:c>
      <x:c r="M105" s="12" t="str">
        <x:v>obras / compras / logística</x:v>
      </x:c>
      <x:c r="N105" s="12" t="str">
        <x:v>Traslados interobra de retroexcavadoras, excavadoras, minicargadoras, rodillos, herramientas y equipos.</x:v>
      </x:c>
      <x:c r="O105" s="12" t="str">
        <x:v>Plataforma 20 tn + malacate + hidrogrúa + seguro/GPS.</x:v>
      </x:c>
      <x:c r="P105" s="12" t="str">
        <x:v>Mover equipos entre frentes sin retirar recursos propios de la obra.</x:v>
      </x:c>
      <x:c r="Q105" s="12" t="str">
        <x:v>Pedir jefe de obra/equipos/operaciones; relevar flota y frecuencia de movilizaciones.</x:v>
      </x:c>
      <x:c r="R105" s="12" t="str"/>
      <x:c r="S105" s="12" t="str">
        <x:v>Bv. Vélez Sarsfield 1170 Piso 3 Of. 12, Villa María, Córdoba</x:v>
      </x:c>
      <x:c r="T105" s="12" t="str"/>
      <x:c r="U105" s="12" t="str"/>
      <x:c r="V105" s="12" t="str"/>
      <x:c r="W105" s="12" t="str"/>
      <x:c r="X105" s="12" t="str">
        <x:v>03534295173</x:v>
      </x:c>
      <x:c r="Y105" s="12" t="str">
        <x:v>https://www.google.com/maps/search/?api=1&amp;query=URBA+Constructora%2C+Bv.+V%C3%A9lez+Sarsfield+1170+Piso+3+Of.+12%2C+Villa+Mar%C3%ADa%2C+C%C3%B3rdoba</x:v>
      </x:c>
      <x:c r="Z105" s="12" t="str">
        <x:v>Web oficial</x:v>
      </x:c>
      <x:c r="AA105" s="12" t="str">
        <x:v>https://urbaconstructora.com/</x:v>
      </x:c>
      <x:c r="AB105" s="12" t="str">
        <x:v>Proyectos de arquitectura e ingeniería, obra civil e instalaciones; más de 100.000 m² construidos.</x:v>
      </x:c>
      <x:c r="AC105" s="12" t="str">
        <x:v>Alta</x:v>
      </x:c>
      <x:c r="AD105" s="12" t="str">
        <x:v>Enriquecimiento agro + constructoras 2026-09-15</x:v>
      </x:c>
      <x:c r="AE105" s="12" t="str">
        <x:v>Plataforma 20 tn | Malacate | Hidrogrúa | Traslados interobra | Seguro/GPS</x:v>
      </x:c>
      <x:c r="AF105" s="12" t="str">
        <x:v>PRIORIDAD ALTA</x:v>
      </x:c>
    </x:row>
    <x:row r="106">
      <x:c r="A106" s="12" t="str">
        <x:v>VM-105</x:v>
      </x:c>
      <x:c r="B106" s="12" t="str">
        <x:v>Pendiente</x:v>
      </x:c>
      <x:c r="C106" s="12" t="str">
        <x:v>Villa María</x:v>
      </x:c>
      <x:c r="D106" s="12" t="str">
        <x:v>PILT</x:v>
      </x:c>
      <x:c r="E106" s="12" t="str">
        <x:v>Villa María</x:v>
      </x:c>
      <x:c r="F106" s="12" t="str">
        <x:v>A</x:v>
      </x:c>
      <x:c r="G106" s="12" t="n">
        <x:v>87</x:v>
      </x:c>
      <x:c r="H106" s="12" t="str">
        <x:v>Arinco SA - Obras de Ingeniería</x:v>
      </x:c>
      <x:c r="I106" s="12" t="str">
        <x:v>Constructora / obras de ingeniería</x:v>
      </x:c>
      <x:c r="J106" s="12" t="str">
        <x:v>Constructora / obras de ingeniería</x:v>
      </x:c>
      <x:c r="K106" s="12" t="str">
        <x:v>0353 4222251</x:v>
      </x:c>
      <x:c r="L106" s="12" t="str">
        <x:v>OK</x:v>
      </x:c>
      <x:c r="M106" s="12" t="str">
        <x:v>obras / equipos / logística</x:v>
      </x:c>
      <x:c r="N106" s="12" t="str">
        <x:v>Traslados interobra de retroexcavadoras, excavadoras, minicargadoras, rodillos, herramientas y equipos.</x:v>
      </x:c>
      <x:c r="O106" s="12" t="str">
        <x:v>Plataforma 20 tn + malacate + hidrogrúa + seguro/GPS.</x:v>
      </x:c>
      <x:c r="P106" s="12" t="str">
        <x:v>Mover equipos entre frentes sin retirar recursos propios de la obra.</x:v>
      </x:c>
      <x:c r="Q106" s="12" t="str">
        <x:v>Pedir jefe de obra/equipos/operaciones; relevar flota y frecuencia de movilizaciones.</x:v>
      </x:c>
      <x:c r="R106" s="12" t="str"/>
      <x:c r="S106" s="12" t="str">
        <x:v>Parque Industrial, Villa María, Córdoba</x:v>
      </x:c>
      <x:c r="T106" s="12" t="str"/>
      <x:c r="U106" s="12" t="str"/>
      <x:c r="V106" s="12" t="str"/>
      <x:c r="W106" s="12" t="str"/>
      <x:c r="X106" s="12" t="str">
        <x:v>03534222251</x:v>
      </x:c>
      <x:c r="Y106" s="12" t="str">
        <x:v>https://www.google.com/maps/search/?api=1&amp;query=Arinco+SA+-+Obras+de+Ingenier%C3%ADa%2C+Parque+Industrial%2C+Villa+Mar%C3%ADa%2C+C%C3%B3rdoba</x:v>
      </x:c>
      <x:c r="Z106" s="12" t="str">
        <x:v>Google Business</x:v>
      </x:c>
      <x:c r="AA106" s="12" t="str">
        <x:v>https://www.google.com/maps/search/?api=1&amp;query=Arinco+SA+Obras+de+Ingenier%C3%ADa%2C+Parque+Industrial%2C+Villa+Mar%C3%ADa%2C+C%C3%B3rdoba</x:v>
      </x:c>
      <x:c r="AB106" s="12" t="str">
        <x:v>Empresa constructora radicada en el Parque Industrial.</x:v>
      </x:c>
      <x:c r="AC106" s="12" t="str">
        <x:v>Alta</x:v>
      </x:c>
      <x:c r="AD106" s="12" t="str">
        <x:v>Enriquecimiento agro + constructoras 2026-09-15</x:v>
      </x:c>
      <x:c r="AE106" s="12" t="str">
        <x:v>Plataforma 20 tn | Malacate | Hidrogrúa | Traslados interobra | Seguro/GPS</x:v>
      </x:c>
      <x:c r="AF106" s="12" t="str">
        <x:v>PRIORIDAD ALTA</x:v>
      </x:c>
    </x:row>
    <x:row r="107">
      <x:c r="A107" s="12" t="str">
        <x:v>VM-106</x:v>
      </x:c>
      <x:c r="B107" s="12" t="str">
        <x:v>Pendiente</x:v>
      </x:c>
      <x:c r="C107" s="12" t="str">
        <x:v>Villa María</x:v>
      </x:c>
      <x:c r="D107" s="12" t="str">
        <x:v>Porfirio Seppey / Industrial</x:v>
      </x:c>
      <x:c r="E107" s="12" t="str">
        <x:v>Villa María</x:v>
      </x:c>
      <x:c r="F107" s="12" t="str">
        <x:v>A</x:v>
      </x:c>
      <x:c r="G107" s="12" t="n">
        <x:v>88</x:v>
      </x:c>
      <x:c r="H107" s="12" t="str">
        <x:v>Ombu Máquinas Agrícolas</x:v>
      </x:c>
      <x:c r="I107" s="12" t="str">
        <x:v>Maquinaria agrícola y repuestos</x:v>
      </x:c>
      <x:c r="J107" s="12" t="str">
        <x:v>Maquinaria agrícola y repuestos</x:v>
      </x:c>
      <x:c r="K107" s="12" t="str">
        <x:v>A verificar</x:v>
      </x:c>
      <x:c r="L107" s="12" t="str">
        <x:v>A verificar</x:v>
      </x:c>
      <x:c r="M107" s="12" t="str">
        <x:v>ventas / logística / repuestos</x:v>
      </x:c>
      <x:c r="N107" s="12" t="str">
        <x:v>Entrega/retiro de tractores, cosechadoras, pulverizadoras, sembradoras, usados y equipos de service.</x:v>
      </x:c>
      <x:c r="O107" s="12" t="str">
        <x:v>Plataforma 20 tn + malacate + hidrogrúa de apoyo + seguro/GPS.</x:v>
      </x:c>
      <x:c r="P107" s="12" t="str">
        <x:v>Captar entregas, canjes, usados y rescates de service sin inmovilizar flota propia.</x:v>
      </x:c>
      <x:c r="Q107" s="12" t="str">
        <x:v>Pedir gerente de ventas/logística/posventa; relevar equipos, pesos y movimientos mensuales.</x:v>
      </x:c>
      <x:c r="R107" s="12" t="str"/>
      <x:c r="S107" s="12" t="str">
        <x:v>Porfirio Seppey 1217, Villa María, Córdoba</x:v>
      </x:c>
      <x:c r="T107" s="12" t="str"/>
      <x:c r="U107" s="12" t="str"/>
      <x:c r="V107" s="12" t="str"/>
      <x:c r="W107" s="12" t="str"/>
      <x:c r="X107" s="12" t="str"/>
      <x:c r="Y107" s="12" t="str">
        <x:v>https://www.google.com/maps/search/?api=1&amp;query=Ombu+M%C3%A1quinas+Agr%C3%ADcolas%2C+Porfirio+Seppey+1217%2C+Villa+Mar%C3%ADa%2C+C%C3%B3rdoba</x:v>
      </x:c>
      <x:c r="Z107" s="12" t="str">
        <x:v>Directorio local</x:v>
      </x:c>
      <x:c r="AA107" s="12" t="str">
        <x:v>https://buscador5900.com.ar/agro/equipamiento/maquinaria-agricola-y-repuestos</x:v>
      </x:c>
      <x:c r="AB107" s="12" t="str">
        <x:v>Punto local listado en maquinaria agrícola y repuestos.</x:v>
      </x:c>
      <x:c r="AC107" s="12" t="str">
        <x:v>Media</x:v>
      </x:c>
      <x:c r="AD107" s="12" t="str">
        <x:v>Enriquecimiento agro + constructoras 2026-09-15</x:v>
      </x:c>
      <x:c r="AE107" s="12" t="str">
        <x:v>Plataforma 20 tn | Malacate | Hidrogrúa | Entrega/retiro maquinaria | Seguro/GPS</x:v>
      </x:c>
      <x:c r="AF107" s="12" t="str">
        <x:v>PRIORIDAD ALTA</x:v>
      </x:c>
    </x:row>
    <x:row r="108">
      <x:c r="A108" s="12" t="str">
        <x:v>VM-107</x:v>
      </x:c>
      <x:c r="B108" s="12" t="str">
        <x:v>Pendiente</x:v>
      </x:c>
      <x:c r="C108" s="12" t="str">
        <x:v>Villa María</x:v>
      </x:c>
      <x:c r="D108" s="12" t="str">
        <x:v>Urbano industrial</x:v>
      </x:c>
      <x:c r="E108" s="12" t="str">
        <x:v>Villa María</x:v>
      </x:c>
      <x:c r="F108" s="12" t="str">
        <x:v>A</x:v>
      </x:c>
      <x:c r="G108" s="12" t="n">
        <x:v>85</x:v>
      </x:c>
      <x:c r="H108" s="12" t="str">
        <x:v>MAQUINAS Y SERVICIOS RURALES</x:v>
      </x:c>
      <x:c r="I108" s="12" t="str">
        <x:v>Maquinaria / servicios rurales</x:v>
      </x:c>
      <x:c r="J108" s="12" t="str">
        <x:v>Maquinaria / servicios rurales</x:v>
      </x:c>
      <x:c r="K108" s="12" t="str">
        <x:v>A verificar</x:v>
      </x:c>
      <x:c r="L108" s="12" t="str">
        <x:v>A verificar</x:v>
      </x:c>
      <x:c r="M108" s="12" t="str">
        <x:v>dueño / operaciones / logística</x:v>
      </x:c>
      <x:c r="N108" s="12" t="str">
        <x:v>Movimientos de maquinaria, equipos o cargas especiales asociados a ventas, service u obra.</x:v>
      </x:c>
      <x:c r="O108" s="12" t="str">
        <x:v>Plataforma 20 tn + hidrogrúa + malacate según necesidad.</x:v>
      </x:c>
      <x:c r="P108" s="12" t="str">
        <x:v>Capacidad externa para entregas, retiros o traslados especiales.</x:v>
      </x:c>
      <x:c r="Q108" s="12" t="str">
        <x:v>Contactar logística/operaciones y relevar movimientos actuales.</x:v>
      </x:c>
      <x:c r="R108" s="12" t="str"/>
      <x:c r="S108" s="12" t="str">
        <x:v>Ramiro Suárez 1750, Villa María, Córdoba</x:v>
      </x:c>
      <x:c r="T108" s="12" t="str"/>
      <x:c r="U108" s="12" t="str"/>
      <x:c r="V108" s="12" t="str"/>
      <x:c r="W108" s="12" t="str"/>
      <x:c r="X108" s="12" t="str"/>
      <x:c r="Y108" s="12" t="str">
        <x:v>https://www.google.com/maps/search/?api=1&amp;query=MAQUINAS+Y+SERVICIOS+RURALES%2C+Ramiro+Su%C3%A1rez+1750%2C+Villa+Mar%C3%ADa%2C+C%C3%B3rdoba</x:v>
      </x:c>
      <x:c r="Z108" s="12" t="str">
        <x:v>Google Business</x:v>
      </x:c>
      <x:c r="AA108" s="12" t="str">
        <x:v>https://www.google.com/maps/search/?api=1&amp;query=MAQUINAS+Y+SERVICIOS+RURALES%2C+Ramiro+Su%C3%A1rez+1750%2C+Villa+Mar%C3%ADa%2C+C%C3%B3rdoba</x:v>
      </x:c>
      <x:c r="AB108" s="12" t="str">
        <x:v>Fábrica/servicios rurales con operación local.</x:v>
      </x:c>
      <x:c r="AC108" s="12" t="str">
        <x:v>Media</x:v>
      </x:c>
      <x:c r="AD108" s="12" t="str">
        <x:v>Enriquecimiento agro + constructoras 2026-09-15</x:v>
      </x:c>
      <x:c r="AE108" s="12" t="str">
        <x:v>Plataforma 20 tn | Hidrogrúa | Malacate</x:v>
      </x:c>
      <x:c r="AF108" s="12" t="str">
        <x:v>PRIORIDAD ALTA</x:v>
      </x:c>
    </x:row>
    <x:row r="109">
      <x:c r="A109" s="12" t="str">
        <x:v>VM-108</x:v>
      </x:c>
      <x:c r="B109" s="12" t="str">
        <x:v>Pendiente</x:v>
      </x:c>
      <x:c r="C109" s="12" t="str">
        <x:v>Villa María</x:v>
      </x:c>
      <x:c r="D109" s="12" t="str">
        <x:v>Urbano</x:v>
      </x:c>
      <x:c r="E109" s="12" t="str">
        <x:v>Villa María</x:v>
      </x:c>
      <x:c r="F109" s="12" t="str">
        <x:v>A</x:v>
      </x:c>
      <x:c r="G109" s="12" t="n">
        <x:v>82</x:v>
      </x:c>
      <x:c r="H109" s="12" t="str">
        <x:v>MP Servicios</x:v>
      </x:c>
      <x:c r="I109" s="12" t="str">
        <x:v>Contratista / servicios de obra</x:v>
      </x:c>
      <x:c r="J109" s="12" t="str">
        <x:v>Contratista / servicios de obra</x:v>
      </x:c>
      <x:c r="K109" s="12" t="str">
        <x:v>0353 4291984</x:v>
      </x:c>
      <x:c r="L109" s="12" t="str">
        <x:v>OK</x:v>
      </x:c>
      <x:c r="M109" s="12" t="str">
        <x:v>dueño / operaciones</x:v>
      </x:c>
      <x:c r="N109" s="12" t="str">
        <x:v>Traslados interobra de retroexcavadoras, excavadoras, minicargadoras, rodillos, herramientas y equipos.</x:v>
      </x:c>
      <x:c r="O109" s="12" t="str">
        <x:v>Plataforma 20 tn + malacate + hidrogrúa + seguro/GPS.</x:v>
      </x:c>
      <x:c r="P109" s="12" t="str">
        <x:v>Mover equipos entre frentes sin retirar recursos propios de la obra.</x:v>
      </x:c>
      <x:c r="Q109" s="12" t="str">
        <x:v>Pedir jefe de obra/equipos/operaciones; relevar flota y frecuencia de movilizaciones.</x:v>
      </x:c>
      <x:c r="R109" s="12" t="str"/>
      <x:c r="S109" s="12" t="str">
        <x:v>C. Agapito Albert, Villa María, Córdoba</x:v>
      </x:c>
      <x:c r="T109" s="12" t="str"/>
      <x:c r="U109" s="12" t="str"/>
      <x:c r="V109" s="12" t="str"/>
      <x:c r="W109" s="12" t="str"/>
      <x:c r="X109" s="12" t="str">
        <x:v>03534291984</x:v>
      </x:c>
      <x:c r="Y109" s="12" t="str">
        <x:v>https://www.google.com/maps/search/?api=1&amp;query=MP+Servicios%2C+C.+Agapito+Albert%2C+Villa+Mar%C3%ADa%2C+C%C3%B3rdoba</x:v>
      </x:c>
      <x:c r="Z109" s="12" t="str">
        <x:v>Google Business</x:v>
      </x:c>
      <x:c r="AA109" s="12" t="str">
        <x:v>https://www.google.com/maps/search/?api=1&amp;query=MP+Servicios%2C+C.+Agapito+Albert%2C+Villa+Mar%C3%ADa%2C+C%C3%B3rdoba</x:v>
      </x:c>
      <x:c r="AB109" s="12" t="str">
        <x:v>Contratista local; requiere calificación de flota y tipo de obra.</x:v>
      </x:c>
      <x:c r="AC109" s="12" t="str">
        <x:v>Alta</x:v>
      </x:c>
      <x:c r="AD109" s="12" t="str">
        <x:v>Enriquecimiento agro + constructoras 2026-09-15</x:v>
      </x:c>
      <x:c r="AE109" s="12" t="str">
        <x:v>Plataforma 20 tn | Malacate | Hidrogrúa | Traslados interobra | Seguro/GPS</x:v>
      </x:c>
      <x:c r="AF109" s="12" t="str">
        <x:v>PRIORIDAD ALTA</x:v>
      </x:c>
    </x:row>
    <x:row r="110">
      <x:c r="A110" s="12" t="str">
        <x:v>VM-109</x:v>
      </x:c>
      <x:c r="B110" s="12" t="str">
        <x:v>Pendiente</x:v>
      </x:c>
      <x:c r="C110" s="12" t="str">
        <x:v>Villa María</x:v>
      </x:c>
      <x:c r="D110" s="12" t="str">
        <x:v>Centro</x:v>
      </x:c>
      <x:c r="E110" s="12" t="str">
        <x:v>Villa María</x:v>
      </x:c>
      <x:c r="F110" s="12" t="str">
        <x:v>B</x:v>
      </x:c>
      <x:c r="G110" s="12" t="n">
        <x:v>68</x:v>
      </x:c>
      <x:c r="H110" s="12" t="str">
        <x:v>DM Constructora</x:v>
      </x:c>
      <x:c r="I110" s="12" t="str">
        <x:v>Constructora</x:v>
      </x:c>
      <x:c r="J110" s="12" t="str">
        <x:v>Constructora</x:v>
      </x:c>
      <x:c r="K110" s="12" t="str">
        <x:v>0353 5632956 / 0353 4260498</x:v>
      </x:c>
      <x:c r="L110" s="12" t="str">
        <x:v>OK</x:v>
      </x:c>
      <x:c r="M110" s="12" t="str">
        <x:v>obras / compras</x:v>
      </x:c>
      <x:c r="N110" s="12" t="str">
        <x:v>Traslados interobra de retroexcavadoras, excavadoras, minicargadoras, rodillos, herramientas y equipos.</x:v>
      </x:c>
      <x:c r="O110" s="12" t="str">
        <x:v>Plataforma 20 tn + malacate + hidrogrúa + seguro/GPS.</x:v>
      </x:c>
      <x:c r="P110" s="12" t="str">
        <x:v>Mover equipos entre frentes sin retirar recursos propios de la obra.</x:v>
      </x:c>
      <x:c r="Q110" s="12" t="str">
        <x:v>Pedir jefe de obra/equipos/operaciones; relevar flota y frecuencia de movilizaciones.</x:v>
      </x:c>
      <x:c r="R110" s="12" t="str"/>
      <x:c r="S110" s="12" t="str">
        <x:v>San Juan 1117, Villa María, Córdoba</x:v>
      </x:c>
      <x:c r="T110" s="12" t="str"/>
      <x:c r="U110" s="12" t="str"/>
      <x:c r="V110" s="12" t="str"/>
      <x:c r="W110" s="12" t="str"/>
      <x:c r="X110" s="12" t="str">
        <x:v>03535632956</x:v>
      </x:c>
      <x:c r="Y110" s="12" t="str">
        <x:v>https://www.google.com/maps/search/?api=1&amp;query=DM+Constructora%2C+San+Juan+1117%2C+Villa+Mar%C3%ADa%2C+C%C3%B3rdoba</x:v>
      </x:c>
      <x:c r="Z110" s="12" t="str">
        <x:v>Web oficial</x:v>
      </x:c>
      <x:c r="AA110" s="12" t="str">
        <x:v>https://dmconstructora.com.ar/</x:v>
      </x:c>
      <x:c r="AB110" s="12" t="str">
        <x:v>Constructora local orientada principalmente a viviendas; potencial menor para transporte pesado.</x:v>
      </x:c>
      <x:c r="AC110" s="12" t="str">
        <x:v>Alta</x:v>
      </x:c>
      <x:c r="AD110" s="12" t="str">
        <x:v>Enriquecimiento agro + constructoras 2026-09-15</x:v>
      </x:c>
      <x:c r="AE110" s="12" t="str">
        <x:v>Plataforma 20 tn | Malacate | Hidrogrúa | Traslados interobra | Seguro/GPS</x:v>
      </x:c>
      <x:c r="AF110" s="12" t="str">
        <x:v>SEGUNDA PASADA</x:v>
      </x:c>
    </x:row>
  </x:sheetData>
  <x:conditionalFormatting sqref="F2:F91">
    <x:cfRule type="expression" dxfId="0" priority="1">
      <x:formula>F2="A+"</x:formula>
    </x:cfRule>
    <x:cfRule type="expression" dxfId="1" priority="2">
      <x:formula>F2="A"</x:formula>
    </x:cfRule>
    <x:cfRule type="expression" dxfId="2" priority="3">
      <x:formula>F2="B"</x:formula>
    </x:cfRule>
  </x:conditionalFormatting>
  <x:conditionalFormatting sqref="L2:L91">
    <x:cfRule type="expression" dxfId="3" priority="4">
      <x:formula>L2="A verificar"</x:formula>
    </x:cfRule>
  </x:conditionalFormatting>
  <x:conditionalFormatting sqref="F2:F110">
    <x:cfRule type="expression" dxfId="5" priority="5">
      <x:formula>F2="A+"</x:formula>
    </x:cfRule>
    <x:cfRule type="expression" dxfId="6" priority="6">
      <x:formula>F2="A"</x:formula>
    </x:cfRule>
    <x:cfRule type="expression" dxfId="7" priority="7">
      <x:formula>F2="B"</x:formula>
    </x:cfRule>
  </x:conditionalFormatting>
  <x:conditionalFormatting sqref="L2:L110">
    <x:cfRule type="expression" dxfId="8" priority="8">
      <x:formula>L2="A verificar"</x:formula>
    </x:cfRule>
  </x:conditionalFormatting>
  <x:dataValidations count="1">
    <x:dataValidation type="list" sqref="B2:B91">
      <x:formula1>"Pendiente,Contactado,Reunión,Cotizado,Seguimiento,Cliente,Descartado"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2cddfed7e245f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5" max="5" width="36" hidden="0" customWidth="1"/>
    <x:col min="6" max="6" width="12" hidden="0" customWidth="1"/>
    <x:col min="7" max="7" width="12" hidden="0" customWidth="1"/>
  </x:cols>
  <x:sheetData>
    <x:row r="1">
      <x:c r="A1" s="17" t="str">
        <x:v>INDICADORES · VILLA MARÍA</x:v>
      </x:c>
      <x:c r="B1" s="17"/>
      <x:c r="C1" s="17"/>
      <x:c r="D1" s="17"/>
      <x:c r="E1" s="17"/>
      <x:c r="F1" s="17"/>
      <x:c r="G1" s="17"/>
      <x:c r="H1" s="17"/>
    </x:row>
    <x:row r="3">
      <x:c r="A3" s="6" t="str">
        <x:v>Clase</x:v>
      </x:c>
      <x:c r="B3" s="6" t="str">
        <x:v>Prospectos</x:v>
      </x:c>
      <x:c r="C3" s="6" t="str">
        <x:v>% total</x:v>
      </x:c>
      <x:c r="E3" s="6" t="str">
        <x:v>Categoría</x:v>
      </x:c>
      <x:c r="F3" s="6" t="str">
        <x:v>Prospectos</x:v>
      </x:c>
      <x:c r="G3" s="6" t="str">
        <x:v>% total</x:v>
      </x:c>
    </x:row>
    <x:row r="4">
      <x:c r="A4" t="str">
        <x:v>A+</x:v>
      </x:c>
      <x:c r="B4" t="n">
        <x:f>COUNTIF(Prospectos!F:F,"A+")</x:f>
        <x:v>49</x:v>
      </x:c>
      <x:c r="C4" s="32" t="n">
        <x:f>B4/$B$7</x:f>
        <x:v>0.44954128440366975</x:v>
      </x:c>
      <x:c r="E4" t="str">
        <x:v>Agricultura de precisión / sembradoras</x:v>
      </x:c>
      <x:c r="F4" t="n">
        <x:f>COUNTIF(Prospectos!J2:J91,E4)</x:f>
        <x:v>1</x:v>
      </x:c>
      <x:c r="G4" s="32" t="n">
        <x:f>F4/$B$7</x:f>
        <x:v>0.009174311926605505</x:v>
      </x:c>
    </x:row>
    <x:row r="5">
      <x:c r="A5" t="str">
        <x:v>A</x:v>
      </x:c>
      <x:c r="B5" t="n">
        <x:f>COUNTIF(Prospectos!F:F,"A")</x:f>
        <x:v>47</x:v>
      </x:c>
      <x:c r="C5" s="32" t="n">
        <x:f>B5/$B$7</x:f>
        <x:v>0.43119266055045874</x:v>
      </x:c>
      <x:c r="E5" t="str">
        <x:v>Alimentos / deshidratados</x:v>
      </x:c>
      <x:c r="F5" t="n">
        <x:f>COUNTIF(Prospectos!J2:J91,E5)</x:f>
        <x:v>1</x:v>
      </x:c>
      <x:c r="G5" s="32" t="n">
        <x:f>F5/$B$7</x:f>
        <x:v>0.009174311926605505</x:v>
      </x:c>
    </x:row>
    <x:row r="6">
      <x:c r="A6" t="str">
        <x:v>B</x:v>
      </x:c>
      <x:c r="B6" t="n">
        <x:f>COUNTIF(Prospectos!F:F,"B")</x:f>
        <x:v>13</x:v>
      </x:c>
      <x:c r="C6" s="32" t="n">
        <x:f>B6/$B$7</x:f>
        <x:v>0.11926605504587157</x:v>
      </x:c>
      <x:c r="E6" t="str">
        <x:v>Alimentos / subproductos cárnicos</x:v>
      </x:c>
      <x:c r="F6" t="n">
        <x:f>COUNTIF(Prospectos!J2:J91,E6)</x:f>
        <x:v>1</x:v>
      </x:c>
      <x:c r="G6" s="32" t="n">
        <x:f>F6/$B$7</x:f>
        <x:v>0.009174311926605505</x:v>
      </x:c>
    </x:row>
    <x:row r="7">
      <x:c r="A7" s="24" t="str">
        <x:v>TOTAL</x:v>
      </x:c>
      <x:c r="B7" s="24" t="n">
        <x:f>COUNTA(Prospectos!H:H)-1</x:f>
        <x:v>109</x:v>
      </x:c>
      <x:c r="C7" s="24"/>
      <x:c r="E7" t="str">
        <x:v>Alquiler autoelevadores / logística</x:v>
      </x:c>
      <x:c r="F7" t="n">
        <x:f>COUNTIF(Prospectos!J2:J91,E7)</x:f>
        <x:v>1</x:v>
      </x:c>
      <x:c r="G7" s="32" t="n">
        <x:f>F7/$B$7</x:f>
        <x:v>0.009174311926605505</x:v>
      </x:c>
    </x:row>
    <x:row r="8">
      <x:c r="E8" t="str">
        <x:v>Alquiler de grúas</x:v>
      </x:c>
      <x:c r="F8" t="n">
        <x:f>COUNTIF(Prospectos!J2:J91,E8)</x:f>
        <x:v>1</x:v>
      </x:c>
      <x:c r="G8" s="32" t="n">
        <x:f>F8/$B$7</x:f>
        <x:v>0.009174311926605505</x:v>
      </x:c>
    </x:row>
    <x:row r="9">
      <x:c r="E9" t="str">
        <x:v>Autoelevadores / reparación</x:v>
      </x:c>
      <x:c r="F9" t="n">
        <x:f>COUNTIF(Prospectos!J2:J91,E9)</x:f>
        <x:v>1</x:v>
      </x:c>
      <x:c r="G9" s="32" t="n">
        <x:f>F9/$B$7</x:f>
        <x:v>0.009174311926605505</x:v>
      </x:c>
    </x:row>
    <x:row r="10">
      <x:c r="E10" t="str">
        <x:v>Bombas / estaciones de bombeo</x:v>
      </x:c>
      <x:c r="F10" t="n">
        <x:f>COUNTIF(Prospectos!J2:J91,E10)</x:f>
        <x:v>1</x:v>
      </x:c>
      <x:c r="G10" s="32" t="n">
        <x:f>F10/$B$7</x:f>
        <x:v>0.009174311926605505</x:v>
      </x:c>
    </x:row>
    <x:row r="11">
      <x:c r="E11" t="str">
        <x:v>Camiones usados / flota</x:v>
      </x:c>
      <x:c r="F11" t="n">
        <x:f>COUNTIF(Prospectos!J2:J91,E11)</x:f>
        <x:v>2</x:v>
      </x:c>
      <x:c r="G11" s="32" t="n">
        <x:f>F11/$B$7</x:f>
        <x:v>0.01834862385321101</x:v>
      </x:c>
    </x:row>
    <x:row r="12">
      <x:c r="E12" t="str">
        <x:v>Carrocerías / remolques</x:v>
      </x:c>
      <x:c r="F12" t="n">
        <x:f>COUNTIF(Prospectos!J2:J91,E12)</x:f>
        <x:v>1</x:v>
      </x:c>
      <x:c r="G12" s="32" t="n">
        <x:f>F12/$B$7</x:f>
        <x:v>0.009174311926605505</x:v>
      </x:c>
    </x:row>
    <x:row r="13">
      <x:c r="E13" t="str">
        <x:v>Carrocerías / trailers / estructuras</x:v>
      </x:c>
      <x:c r="F13" t="n">
        <x:f>COUNTIF(Prospectos!J2:J91,E13)</x:f>
        <x:v>1</x:v>
      </x:c>
      <x:c r="G13" s="32" t="n">
        <x:f>F13/$B$7</x:f>
        <x:v>0.009174311926605505</x:v>
      </x:c>
    </x:row>
    <x:row r="14">
      <x:c r="E14" t="str">
        <x:v>Centro logístico</x:v>
      </x:c>
      <x:c r="F14" t="n">
        <x:f>COUNTIF(Prospectos!J2:J91,E14)</x:f>
        <x:v>1</x:v>
      </x:c>
      <x:c r="G14" s="32" t="n">
        <x:f>F14/$B$7</x:f>
        <x:v>0.009174311926605505</x:v>
      </x:c>
    </x:row>
    <x:row r="15">
      <x:c r="E15" t="str">
        <x:v>Cereales / agroindustria</x:v>
      </x:c>
      <x:c r="F15" t="n">
        <x:f>COUNTIF(Prospectos!J2:J91,E15)</x:f>
        <x:v>1</x:v>
      </x:c>
      <x:c r="G15" s="32" t="n">
        <x:f>F15/$B$7</x:f>
        <x:v>0.009174311926605505</x:v>
      </x:c>
    </x:row>
    <x:row r="16">
      <x:c r="E16" t="str">
        <x:v>Contenedores / embalajes</x:v>
      </x:c>
      <x:c r="F16" t="n">
        <x:f>COUNTIF(Prospectos!J2:J91,E16)</x:f>
        <x:v>1</x:v>
      </x:c>
      <x:c r="G16" s="32" t="n">
        <x:f>F16/$B$7</x:f>
        <x:v>0.009174311926605505</x:v>
      </x:c>
    </x:row>
    <x:row r="17">
      <x:c r="E17" t="str">
        <x:v>Cámara de maduración de quesos</x:v>
      </x:c>
      <x:c r="F17" t="n">
        <x:f>COUNTIF(Prospectos!J2:J91,E17)</x:f>
        <x:v>1</x:v>
      </x:c>
      <x:c r="G17" s="32" t="n">
        <x:f>F17/$B$7</x:f>
        <x:v>0.009174311926605505</x:v>
      </x:c>
    </x:row>
    <x:row r="18">
      <x:c r="E18" t="str">
        <x:v>Dealer / alquiler maquinaria vial y agrícola</x:v>
      </x:c>
      <x:c r="F18" t="n">
        <x:f>COUNTIF(Prospectos!J2:J91,E18)</x:f>
        <x:v>1</x:v>
      </x:c>
      <x:c r="G18" s="32" t="n">
        <x:f>F18/$B$7</x:f>
        <x:v>0.009174311926605505</x:v>
      </x:c>
    </x:row>
    <x:row r="19">
      <x:c r="E19" t="str">
        <x:v>Dealer camiones pesados</x:v>
      </x:c>
      <x:c r="F19" t="n">
        <x:f>COUNTIF(Prospectos!J2:J91,E19)</x:f>
        <x:v>2</x:v>
      </x:c>
      <x:c r="G19" s="32" t="n">
        <x:f>F19/$B$7</x:f>
        <x:v>0.01834862385321101</x:v>
      </x:c>
    </x:row>
    <x:row r="20">
      <x:c r="E20" t="str">
        <x:v>Dealer maquinaria agrícola</x:v>
      </x:c>
      <x:c r="F20" t="n">
        <x:f>COUNTIF(Prospectos!J2:J91,E20)</x:f>
        <x:v>4</x:v>
      </x:c>
      <x:c r="G20" s="32" t="n">
        <x:f>F20/$B$7</x:f>
        <x:v>0.03669724770642202</x:v>
      </x:c>
    </x:row>
    <x:row r="21">
      <x:c r="E21" t="str">
        <x:v>Dealer maquinaria agrícola y construcción</x:v>
      </x:c>
      <x:c r="F21" t="n">
        <x:f>COUNTIF(Prospectos!J2:J91,E21)</x:f>
        <x:v>0</x:v>
      </x:c>
      <x:c r="G21" s="32" t="n">
        <x:f>F21/$B$7</x:f>
        <x:v>0</x:v>
      </x:c>
    </x:row>
    <x:row r="22">
      <x:c r="E22" t="str">
        <x:v>Electromecánica / tableros</x:v>
      </x:c>
      <x:c r="F22" t="n">
        <x:f>COUNTIF(Prospectos!J2:J91,E22)</x:f>
        <x:v>1</x:v>
      </x:c>
      <x:c r="G22" s="32" t="n">
        <x:f>F22/$B$7</x:f>
        <x:v>0.009174311926605505</x:v>
      </x:c>
    </x:row>
    <x:row r="23">
      <x:c r="E23" t="str">
        <x:v>Equipos agroindustriales / tecnología</x:v>
      </x:c>
      <x:c r="F23" t="n">
        <x:f>COUNTIF(Prospectos!J2:J91,E23)</x:f>
        <x:v>1</x:v>
      </x:c>
      <x:c r="G23" s="32" t="n">
        <x:f>F23/$B$7</x:f>
        <x:v>0.009174311926605505</x:v>
      </x:c>
    </x:row>
    <x:row r="24">
      <x:c r="E24" t="str">
        <x:v>Equipos e implementos agropecuarios</x:v>
      </x:c>
      <x:c r="F24" t="n">
        <x:f>COUNTIF(Prospectos!J2:J91,E24)</x:f>
        <x:v>1</x:v>
      </x:c>
      <x:c r="G24" s="32" t="n">
        <x:f>F24/$B$7</x:f>
        <x:v>0.009174311926605505</x:v>
      </x:c>
    </x:row>
    <x:row r="25">
      <x:c r="E25" t="str">
        <x:v>Equipos industriales / CO2</x:v>
      </x:c>
      <x:c r="F25" t="n">
        <x:f>COUNTIF(Prospectos!J2:J91,E25)</x:f>
        <x:v>1</x:v>
      </x:c>
      <x:c r="G25" s="32" t="n">
        <x:f>F25/$B$7</x:f>
        <x:v>0.009174311926605505</x:v>
      </x:c>
    </x:row>
    <x:row r="26">
      <x:c r="E26" t="str">
        <x:v>Estructuras / equipamiento metálico</x:v>
      </x:c>
      <x:c r="F26" t="n">
        <x:f>COUNTIF(Prospectos!J2:J91,E26)</x:f>
        <x:v>1</x:v>
      </x:c>
      <x:c r="G26" s="32" t="n">
        <x:f>F26/$B$7</x:f>
        <x:v>0.009174311926605505</x:v>
      </x:c>
    </x:row>
    <x:row r="27">
      <x:c r="E27" t="str">
        <x:v>Estructuras metálicas</x:v>
      </x:c>
      <x:c r="F27" t="n">
        <x:f>COUNTIF(Prospectos!J2:J91,E27)</x:f>
        <x:v>3</x:v>
      </x:c>
      <x:c r="G27" s="32" t="n">
        <x:f>F27/$B$7</x:f>
        <x:v>0.027522935779816515</x:v>
      </x:c>
    </x:row>
    <x:row r="28">
      <x:c r="E28" t="str">
        <x:v>Fabricación / agropartes</x:v>
      </x:c>
      <x:c r="F28" t="n">
        <x:f>COUNTIF(Prospectos!J2:J91,E28)</x:f>
        <x:v>1</x:v>
      </x:c>
      <x:c r="G28" s="32" t="n">
        <x:f>F28/$B$7</x:f>
        <x:v>0.009174311926605505</x:v>
      </x:c>
    </x:row>
    <x:row r="29">
      <x:c r="E29" t="str">
        <x:v>Fabricante de implementos agrícolas</x:v>
      </x:c>
      <x:c r="F29" t="n">
        <x:f>COUNTIF(Prospectos!J2:J91,E29)</x:f>
        <x:v>1</x:v>
      </x:c>
      <x:c r="G29" s="32" t="n">
        <x:f>F29/$B$7</x:f>
        <x:v>0.009174311926605505</x:v>
      </x:c>
    </x:row>
    <x:row r="30">
      <x:c r="E30" t="str">
        <x:v>Fabricante de maquinaria agrícola</x:v>
      </x:c>
      <x:c r="F30" t="n">
        <x:f>COUNTIF(Prospectos!J2:J91,E30)</x:f>
        <x:v>2</x:v>
      </x:c>
      <x:c r="G30" s="32" t="n">
        <x:f>F30/$B$7</x:f>
        <x:v>0.01834862385321101</x:v>
      </x:c>
    </x:row>
    <x:row r="31">
      <x:c r="E31" t="str">
        <x:v>Frigorífico / alimentos</x:v>
      </x:c>
      <x:c r="F31" t="n">
        <x:f>COUNTIF(Prospectos!J2:J91,E31)</x:f>
        <x:v>1</x:v>
      </x:c>
      <x:c r="G31" s="32" t="n">
        <x:f>F31/$B$7</x:f>
        <x:v>0.009174311926605505</x:v>
      </x:c>
    </x:row>
    <x:row r="32">
      <x:c r="E32" t="str">
        <x:v>Frigorífico / planta industrial</x:v>
      </x:c>
      <x:c r="F32" t="n">
        <x:f>COUNTIF(Prospectos!J2:J91,E32)</x:f>
        <x:v>1</x:v>
      </x:c>
      <x:c r="G32" s="32" t="n">
        <x:f>F32/$B$7</x:f>
        <x:v>0.009174311926605505</x:v>
      </x:c>
    </x:row>
    <x:row r="33">
      <x:c r="E33" t="str">
        <x:v>Fundición / metalúrgica</x:v>
      </x:c>
      <x:c r="F33" t="n">
        <x:f>COUNTIF(Prospectos!J2:J91,E33)</x:f>
        <x:v>1</x:v>
      </x:c>
      <x:c r="G33" s="32" t="n">
        <x:f>F33/$B$7</x:f>
        <x:v>0.009174311926605505</x:v>
      </x:c>
    </x:row>
    <x:row r="34">
      <x:c r="E34" t="str">
        <x:v>Furgones térmicos / metalmecánica</x:v>
      </x:c>
      <x:c r="F34" t="n">
        <x:f>COUNTIF(Prospectos!J2:J91,E34)</x:f>
        <x:v>1</x:v>
      </x:c>
      <x:c r="G34" s="32" t="n">
        <x:f>F34/$B$7</x:f>
        <x:v>0.009174311926605505</x:v>
      </x:c>
    </x:row>
    <x:row r="35">
      <x:c r="E35" t="str">
        <x:v>Galpones / estructuras</x:v>
      </x:c>
      <x:c r="F35" t="n">
        <x:f>COUNTIF(Prospectos!J2:J91,E35)</x:f>
        <x:v>1</x:v>
      </x:c>
      <x:c r="G35" s="32" t="n">
        <x:f>F35/$B$7</x:f>
        <x:v>0.009174311926605505</x:v>
      </x:c>
    </x:row>
    <x:row r="36">
      <x:c r="E36" t="str">
        <x:v>Gases industriales / GNC</x:v>
      </x:c>
      <x:c r="F36" t="n">
        <x:f>COUNTIF(Prospectos!J2:J91,E36)</x:f>
        <x:v>1</x:v>
      </x:c>
      <x:c r="G36" s="32" t="n">
        <x:f>F36/$B$7</x:f>
        <x:v>0.009174311926605505</x:v>
      </x:c>
    </x:row>
    <x:row r="37">
      <x:c r="E37" t="str">
        <x:v>Grúa / auxilio</x:v>
      </x:c>
      <x:c r="F37" t="n">
        <x:f>COUNTIF(Prospectos!J2:J91,E37)</x:f>
        <x:v>1</x:v>
      </x:c>
      <x:c r="G37" s="32" t="n">
        <x:f>F37/$B$7</x:f>
        <x:v>0.009174311926605505</x:v>
      </x:c>
    </x:row>
    <x:row r="38">
      <x:c r="E38" t="str">
        <x:v>Hormigón elaborado</x:v>
      </x:c>
      <x:c r="F38" t="n">
        <x:f>COUNTIF(Prospectos!J2:J91,E38)</x:f>
        <x:v>2</x:v>
      </x:c>
      <x:c r="G38" s="32" t="n">
        <x:f>F38/$B$7</x:f>
        <x:v>0.01834862385321101</x:v>
      </x:c>
    </x:row>
    <x:row r="39">
      <x:c r="E39" t="str">
        <x:v>Ingredientes / industria alimenticia</x:v>
      </x:c>
      <x:c r="F39" t="n">
        <x:f>COUNTIF(Prospectos!J2:J91,E39)</x:f>
        <x:v>1</x:v>
      </x:c>
      <x:c r="G39" s="32" t="n">
        <x:f>F39/$B$7</x:f>
        <x:v>0.009174311926605505</x:v>
      </x:c>
    </x:row>
    <x:row r="40">
      <x:c r="E40" t="str">
        <x:v>Insumos industriales / logística</x:v>
      </x:c>
      <x:c r="F40" t="n">
        <x:f>COUNTIF(Prospectos!J2:J91,E40)</x:f>
        <x:v>1</x:v>
      </x:c>
      <x:c r="G40" s="32" t="n">
        <x:f>F40/$B$7</x:f>
        <x:v>0.009174311926605505</x:v>
      </x:c>
    </x:row>
    <x:row r="41">
      <x:c r="E41" t="str">
        <x:v>Izajes / equipos de elevación</x:v>
      </x:c>
      <x:c r="F41" t="n">
        <x:f>COUNTIF(Prospectos!J2:J91,E41)</x:f>
        <x:v>1</x:v>
      </x:c>
      <x:c r="G41" s="32" t="n">
        <x:f>F41/$B$7</x:f>
        <x:v>0.009174311926605505</x:v>
      </x:c>
    </x:row>
    <x:row r="42">
      <x:c r="E42" t="str">
        <x:v>Logística / almacenamiento / transporte</x:v>
      </x:c>
      <x:c r="F42" t="n">
        <x:f>COUNTIF(Prospectos!J2:J91,E42)</x:f>
        <x:v>1</x:v>
      </x:c>
      <x:c r="G42" s="32" t="n">
        <x:f>F42/$B$7</x:f>
        <x:v>0.009174311926605505</x:v>
      </x:c>
    </x:row>
    <x:row r="43">
      <x:c r="E43" t="str">
        <x:v>Logística / contenedores / depósito fiscal</x:v>
      </x:c>
      <x:c r="F43" t="n">
        <x:f>COUNTIF(Prospectos!J2:J91,E43)</x:f>
        <x:v>1</x:v>
      </x:c>
      <x:c r="G43" s="32" t="n">
        <x:f>F43/$B$7</x:f>
        <x:v>0.009174311926605505</x:v>
      </x:c>
    </x:row>
    <x:row r="44">
      <x:c r="E44" t="str">
        <x:v>Logística / servicios</x:v>
      </x:c>
      <x:c r="F44" t="n">
        <x:f>COUNTIF(Prospectos!J2:J91,E44)</x:f>
        <x:v>1</x:v>
      </x:c>
      <x:c r="G44" s="32" t="n">
        <x:f>F44/$B$7</x:f>
        <x:v>0.009174311926605505</x:v>
      </x:c>
    </x:row>
    <x:row r="45">
      <x:c r="E45" t="str">
        <x:v>Logística / transporte</x:v>
      </x:c>
      <x:c r="F45" t="n">
        <x:f>COUNTIF(Prospectos!J2:J91,E45)</x:f>
        <x:v>2</x:v>
      </x:c>
      <x:c r="G45" s="32" t="n">
        <x:f>F45/$B$7</x:f>
        <x:v>0.01834862385321101</x:v>
      </x:c>
    </x:row>
    <x:row r="46">
      <x:c r="E46" t="str">
        <x:v>Lácteos / quesos</x:v>
      </x:c>
      <x:c r="F46" t="n">
        <x:f>COUNTIF(Prospectos!J2:J91,E46)</x:f>
        <x:v>1</x:v>
      </x:c>
      <x:c r="G46" s="32" t="n">
        <x:f>F46/$B$7</x:f>
        <x:v>0.009174311926605505</x:v>
      </x:c>
    </x:row>
    <x:row r="47">
      <x:c r="E47" t="str">
        <x:v>Lácteos / secado de leche</x:v>
      </x:c>
      <x:c r="F47" t="n">
        <x:f>COUNTIF(Prospectos!J2:J91,E47)</x:f>
        <x:v>1</x:v>
      </x:c>
      <x:c r="G47" s="32" t="n">
        <x:f>F47/$B$7</x:f>
        <x:v>0.009174311926605505</x:v>
      </x:c>
    </x:row>
    <x:row r="48">
      <x:c r="E48" t="str">
        <x:v>Maquinaria / equipos pesados</x:v>
      </x:c>
      <x:c r="F48" t="n">
        <x:f>COUNTIF(Prospectos!J2:J91,E48)</x:f>
        <x:v>1</x:v>
      </x:c>
      <x:c r="G48" s="32" t="n">
        <x:f>F48/$B$7</x:f>
        <x:v>0.009174311926605505</x:v>
      </x:c>
    </x:row>
    <x:row r="49">
      <x:c r="E49" t="str">
        <x:v>Maquinaria industrial / automatización</x:v>
      </x:c>
      <x:c r="F49" t="n">
        <x:f>COUNTIF(Prospectos!J2:J91,E49)</x:f>
        <x:v>1</x:v>
      </x:c>
      <x:c r="G49" s="32" t="n">
        <x:f>F49/$B$7</x:f>
        <x:v>0.009174311926605505</x:v>
      </x:c>
    </x:row>
    <x:row r="50">
      <x:c r="E50" t="str">
        <x:v>Materiales / construcción</x:v>
      </x:c>
      <x:c r="F50" t="n">
        <x:f>COUNTIF(Prospectos!J2:J91,E50)</x:f>
        <x:v>1</x:v>
      </x:c>
      <x:c r="G50" s="32" t="n">
        <x:f>F50/$B$7</x:f>
        <x:v>0.009174311926605505</x:v>
      </x:c>
    </x:row>
    <x:row r="51">
      <x:c r="E51" t="str">
        <x:v>Materiales / obra</x:v>
      </x:c>
      <x:c r="F51" t="n">
        <x:f>COUNTIF(Prospectos!J2:J91,E51)</x:f>
        <x:v>1</x:v>
      </x:c>
      <x:c r="G51" s="32" t="n">
        <x:f>F51/$B$7</x:f>
        <x:v>0.009174311926605505</x:v>
      </x:c>
    </x:row>
    <x:row r="52">
      <x:c r="E52" t="str">
        <x:v>Metalúrgica</x:v>
      </x:c>
      <x:c r="F52" t="n">
        <x:f>COUNTIF(Prospectos!J2:J91,E52)</x:f>
        <x:v>1</x:v>
      </x:c>
      <x:c r="G52" s="32" t="n">
        <x:f>F52/$B$7</x:f>
        <x:v>0.009174311926605505</x:v>
      </x:c>
    </x:row>
    <x:row r="53">
      <x:c r="E53" t="str">
        <x:v>Metalúrgica / acero inoxidable</x:v>
      </x:c>
      <x:c r="F53" t="n">
        <x:f>COUNTIF(Prospectos!J2:J91,E53)</x:f>
        <x:v>1</x:v>
      </x:c>
      <x:c r="G53" s="32" t="n">
        <x:f>F53/$B$7</x:f>
        <x:v>0.009174311926605505</x:v>
      </x:c>
    </x:row>
    <x:row r="54">
      <x:c r="E54" t="str">
        <x:v>Metalúrgica / acoplados / semirremolques</x:v>
      </x:c>
      <x:c r="F54" t="n">
        <x:f>COUNTIF(Prospectos!J2:J91,E54)</x:f>
        <x:v>1</x:v>
      </x:c>
      <x:c r="G54" s="32" t="n">
        <x:f>F54/$B$7</x:f>
        <x:v>0.009174311926605505</x:v>
      </x:c>
    </x:row>
    <x:row r="55">
      <x:c r="E55" t="str">
        <x:v>Metalúrgica / alquiler herramientas</x:v>
      </x:c>
      <x:c r="F55" t="n">
        <x:f>COUNTIF(Prospectos!J2:J91,E55)</x:f>
        <x:v>1</x:v>
      </x:c>
      <x:c r="G55" s="32" t="n">
        <x:f>F55/$B$7</x:f>
        <x:v>0.009174311926605505</x:v>
      </x:c>
    </x:row>
    <x:row r="56">
      <x:c r="E56" t="str">
        <x:v>Molino / alimentos balanceados</x:v>
      </x:c>
      <x:c r="F56" t="n">
        <x:f>COUNTIF(Prospectos!J2:J91,E56)</x:f>
        <x:v>1</x:v>
      </x:c>
      <x:c r="G56" s="32" t="n">
        <x:f>F56/$B$7</x:f>
        <x:v>0.009174311926605505</x:v>
      </x:c>
    </x:row>
    <x:row r="57">
      <x:c r="E57" t="str">
        <x:v>Motores eléctricos / agroindustria</x:v>
      </x:c>
      <x:c r="F57" t="n">
        <x:f>COUNTIF(Prospectos!J2:J91,E57)</x:f>
        <x:v>1</x:v>
      </x:c>
      <x:c r="G57" s="32" t="n">
        <x:f>F57/$B$7</x:f>
        <x:v>0.009174311926605505</x:v>
      </x:c>
    </x:row>
    <x:row r="58">
      <x:c r="E58" t="str">
        <x:v>Movimiento de suelo</x:v>
      </x:c>
      <x:c r="F58" t="n">
        <x:f>COUNTIF(Prospectos!J2:J91,E58)</x:f>
        <x:v>1</x:v>
      </x:c>
      <x:c r="G58" s="32" t="n">
        <x:f>F58/$B$7</x:f>
        <x:v>0.009174311926605505</x:v>
      </x:c>
    </x:row>
    <x:row r="59">
      <x:c r="E59" t="str">
        <x:v>Nutrición animal</x:v>
      </x:c>
      <x:c r="F59" t="n">
        <x:f>COUNTIF(Prospectos!J2:J91,E59)</x:f>
        <x:v>1</x:v>
      </x:c>
      <x:c r="G59" s="32" t="n">
        <x:f>F59/$B$7</x:f>
        <x:v>0.009174311926605505</x:v>
      </x:c>
    </x:row>
    <x:row r="60">
      <x:c r="E60" t="str">
        <x:v>Piezas para maquinaria agrícola</x:v>
      </x:c>
      <x:c r="F60" t="n">
        <x:f>COUNTIF(Prospectos!J2:J91,E60)</x:f>
        <x:v>1</x:v>
      </x:c>
      <x:c r="G60" s="32" t="n">
        <x:f>F60/$B$7</x:f>
        <x:v>0.009174311926605505</x:v>
      </x:c>
    </x:row>
    <x:row r="61">
      <x:c r="E61" t="str">
        <x:v>Pinturas / químicos</x:v>
      </x:c>
      <x:c r="F61" t="n">
        <x:f>COUNTIF(Prospectos!J2:J91,E61)</x:f>
        <x:v>1</x:v>
      </x:c>
      <x:c r="G61" s="32" t="n">
        <x:f>F61/$B$7</x:f>
        <x:v>0.009174311926605505</x:v>
      </x:c>
    </x:row>
    <x:row r="62">
      <x:c r="E62" t="str">
        <x:v>Piscinas / fibra</x:v>
      </x:c>
      <x:c r="F62" t="n">
        <x:f>COUNTIF(Prospectos!J2:J91,E62)</x:f>
        <x:v>1</x:v>
      </x:c>
      <x:c r="G62" s="32" t="n">
        <x:f>F62/$B$7</x:f>
        <x:v>0.009174311926605505</x:v>
      </x:c>
    </x:row>
    <x:row r="63">
      <x:c r="E63" t="str">
        <x:v>Planta industrial / alimentos</x:v>
      </x:c>
      <x:c r="F63" t="n">
        <x:f>COUNTIF(Prospectos!J2:J91,E63)</x:f>
        <x:v>1</x:v>
      </x:c>
      <x:c r="G63" s="32" t="n">
        <x:f>F63/$B$7</x:f>
        <x:v>0.009174311926605505</x:v>
      </x:c>
    </x:row>
    <x:row r="64">
      <x:c r="E64" t="str">
        <x:v>Planta láctea / agroindustria</x:v>
      </x:c>
      <x:c r="F64" t="n">
        <x:f>COUNTIF(Prospectos!J2:J91,E64)</x:f>
        <x:v>1</x:v>
      </x:c>
      <x:c r="G64" s="32" t="n">
        <x:f>F64/$B$7</x:f>
        <x:v>0.009174311926605505</x:v>
      </x:c>
    </x:row>
    <x:row r="65">
      <x:c r="E65" t="str">
        <x:v>Plásticos / embalaje</x:v>
      </x:c>
      <x:c r="F65" t="n">
        <x:f>COUNTIF(Prospectos!J2:J91,E65)</x:f>
        <x:v>1</x:v>
      </x:c>
      <x:c r="G65" s="32" t="n">
        <x:f>F65/$B$7</x:f>
        <x:v>0.009174311926605505</x:v>
      </x:c>
    </x:row>
    <x:row r="66">
      <x:c r="E66" t="str">
        <x:v>Premoldeados / construcción</x:v>
      </x:c>
      <x:c r="F66" t="n">
        <x:f>COUNTIF(Prospectos!J2:J91,E66)</x:f>
        <x:v>1</x:v>
      </x:c>
      <x:c r="G66" s="32" t="n">
        <x:f>F66/$B$7</x:f>
        <x:v>0.009174311926605505</x:v>
      </x:c>
    </x:row>
    <x:row r="67">
      <x:c r="E67" t="str">
        <x:v>Procesamiento de vidrio</x:v>
      </x:c>
      <x:c r="F67" t="n">
        <x:f>COUNTIF(Prospectos!J2:J91,E67)</x:f>
        <x:v>1</x:v>
      </x:c>
      <x:c r="G67" s="32" t="n">
        <x:f>F67/$B$7</x:f>
        <x:v>0.009174311926605505</x:v>
      </x:c>
    </x:row>
    <x:row r="68">
      <x:c r="E68" t="str">
        <x:v>Proveedor de equipos agrícolas</x:v>
      </x:c>
      <x:c r="F68" t="n">
        <x:f>COUNTIF(Prospectos!J2:J91,E68)</x:f>
        <x:v>1</x:v>
      </x:c>
      <x:c r="G68" s="32" t="n">
        <x:f>F68/$B$7</x:f>
        <x:v>0.009174311926605505</x:v>
      </x:c>
    </x:row>
    <x:row r="69">
      <x:c r="E69" t="str">
        <x:v>Químicos / industria láctea</x:v>
      </x:c>
      <x:c r="F69" t="n">
        <x:f>COUNTIF(Prospectos!J2:J91,E69)</x:f>
        <x:v>1</x:v>
      </x:c>
      <x:c r="G69" s="32" t="n">
        <x:f>F69/$B$7</x:f>
        <x:v>0.009174311926605505</x:v>
      </x:c>
    </x:row>
    <x:row r="70">
      <x:c r="E70" t="str">
        <x:v>Remolques / semirremolques</x:v>
      </x:c>
      <x:c r="F70" t="n">
        <x:f>COUNTIF(Prospectos!J2:J91,E70)</x:f>
        <x:v>1</x:v>
      </x:c>
      <x:c r="G70" s="32" t="n">
        <x:f>F70/$B$7</x:f>
        <x:v>0.009174311926605505</x:v>
      </x:c>
    </x:row>
    <x:row r="71">
      <x:c r="E71" t="str">
        <x:v>Remolques / trailers</x:v>
      </x:c>
      <x:c r="F71" t="n">
        <x:f>COUNTIF(Prospectos!J2:J91,E71)</x:f>
        <x:v>1</x:v>
      </x:c>
      <x:c r="G71" s="32" t="n">
        <x:f>F71/$B$7</x:f>
        <x:v>0.009174311926605505</x:v>
      </x:c>
    </x:row>
    <x:row r="72">
      <x:c r="E72" t="str">
        <x:v>Repuestos / maquinaria agrícola</x:v>
      </x:c>
      <x:c r="F72" t="n">
        <x:f>COUNTIF(Prospectos!J2:J91,E72)</x:f>
        <x:v>1</x:v>
      </x:c>
      <x:c r="G72" s="32" t="n">
        <x:f>F72/$B$7</x:f>
        <x:v>0.009174311926605505</x:v>
      </x:c>
    </x:row>
    <x:row r="73">
      <x:c r="E73" t="str">
        <x:v>Sistemas contra incendio</x:v>
      </x:c>
      <x:c r="F73" t="n">
        <x:f>COUNTIF(Prospectos!J2:J91,E73)</x:f>
        <x:v>1</x:v>
      </x:c>
      <x:c r="G73" s="32" t="n">
        <x:f>F73/$B$7</x:f>
        <x:v>0.009174311926605505</x:v>
      </x:c>
    </x:row>
    <x:row r="74">
      <x:c r="E74" t="str">
        <x:v>Tableros / columnas de alumbrado</x:v>
      </x:c>
      <x:c r="F74" t="n">
        <x:f>COUNTIF(Prospectos!J2:J91,E74)</x:f>
        <x:v>1</x:v>
      </x:c>
      <x:c r="G74" s="32" t="n">
        <x:f>F74/$B$7</x:f>
        <x:v>0.009174311926605505</x:v>
      </x:c>
    </x:row>
    <x:row r="75">
      <x:c r="E75" t="str">
        <x:v>Tableros eléctricos / control</x:v>
      </x:c>
      <x:c r="F75" t="n">
        <x:f>COUNTIF(Prospectos!J2:J91,E75)</x:f>
        <x:v>1</x:v>
      </x:c>
      <x:c r="G75" s="32" t="n">
        <x:f>F75/$B$7</x:f>
        <x:v>0.009174311926605505</x:v>
      </x:c>
    </x:row>
    <x:row r="76">
      <x:c r="E76" t="str">
        <x:v>Tableros eléctricos / industria</x:v>
      </x:c>
      <x:c r="F76" t="n">
        <x:f>COUNTIF(Prospectos!J2:J91,E76)</x:f>
        <x:v>1</x:v>
      </x:c>
      <x:c r="G76" s="32" t="n">
        <x:f>F76/$B$7</x:f>
        <x:v>0.009174311926605505</x:v>
      </x:c>
    </x:row>
    <x:row r="77">
      <x:c r="E77" t="str">
        <x:v>Transformadores / equipos eléctricos</x:v>
      </x:c>
      <x:c r="F77" t="n">
        <x:f>COUNTIF(Prospectos!J2:J91,E77)</x:f>
        <x:v>1</x:v>
      </x:c>
      <x:c r="G77" s="32" t="n">
        <x:f>F77/$B$7</x:f>
        <x:v>0.009174311926605505</x:v>
      </x:c>
    </x:row>
    <x:row r="78">
      <x:c r="E78" t="str">
        <x:v>Transformadores / mantenimiento</x:v>
      </x:c>
      <x:c r="F78" t="n">
        <x:f>COUNTIF(Prospectos!J2:J91,E78)</x:f>
        <x:v>1</x:v>
      </x:c>
      <x:c r="G78" s="32" t="n">
        <x:f>F78/$B$7</x:f>
        <x:v>0.009174311926605505</x:v>
      </x:c>
    </x:row>
    <x:row r="79">
      <x:c r="E79" t="str">
        <x:v>Transporte / logística</x:v>
      </x:c>
      <x:c r="F79" t="n">
        <x:f>COUNTIF(Prospectos!J2:J91,E79)</x:f>
        <x:v>1</x:v>
      </x:c>
      <x:c r="G79" s="32" t="n">
        <x:f>F79/$B$7</x:f>
        <x:v>0.009174311926605505</x:v>
      </x:c>
    </x:row>
    <x:row r="80">
      <x:c r="E80" t="str">
        <x:v>Transporte de mercancías</x:v>
      </x:c>
      <x:c r="F80" t="n">
        <x:f>COUNTIF(Prospectos!J2:J91,E80)</x:f>
        <x:v>1</x:v>
      </x:c>
      <x:c r="G80" s="32" t="n">
        <x:f>F80/$B$7</x:f>
        <x:v>0.009174311926605505</x:v>
      </x:c>
    </x:row>
    <x:row r="81">
      <x:c r="E81" t="str">
        <x:v>Áridos / materiales</x:v>
      </x:c>
      <x:c r="F81" t="n">
        <x:f>COUNTIF(Prospectos!J2:J91,E81)</x:f>
        <x:v>1</x:v>
      </x:c>
      <x:c r="G81" s="32" t="n">
        <x:f>F81/$B$7</x:f>
        <x:v>0.009174311926605505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d84bb7fdcc9e4397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32" hidden="0" customWidth="1"/>
    <x:col min="4" max="4" width="8" hidden="0" customWidth="1"/>
    <x:col min="5" max="5" width="23" hidden="0" customWidth="1"/>
    <x:col min="6" max="6" width="42" hidden="0" customWidth="1"/>
    <x:col min="7" max="7" width="28" hidden="0" customWidth="1"/>
    <x:col min="8" max="8" width="42" hidden="0" customWidth="1"/>
    <x:col min="9" max="9" width="40" hidden="0" customWidth="1"/>
    <x:col min="10" max="10" width="38" hidden="0" customWidth="1"/>
    <x:col min="11" max="11" width="38" hidden="0" customWidth="1"/>
    <x:col min="12" max="12" width="24" hidden="0" customWidth="1"/>
  </x:cols>
  <x:sheetData>
    <x:row r="1">
      <x:c r="A1" s="17" t="str">
        <x:v>RUTA COMERCIAL A+ · VILLA MARÍA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2">
      <x:c r="A2" s="21" t="str">
        <x:v>Ordenada por corredor; confirmar contacto antes de salir. A+ del PILT sin domicilio exacto quedan para enriquecer.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4">
      <x:c r="A4" s="6" t="str">
        <x:v>Orden</x:v>
      </x:c>
      <x:c r="B4" s="6" t="str">
        <x:v>Zona</x:v>
      </x:c>
      <x:c r="C4" s="6" t="str">
        <x:v>Empresa</x:v>
      </x:c>
      <x:c r="D4" s="6" t="str">
        <x:v>Score</x:v>
      </x:c>
      <x:c r="E4" s="6" t="str">
        <x:v>Teléfono</x:v>
      </x:c>
      <x:c r="F4" s="6" t="str">
        <x:v>Dirección</x:v>
      </x:c>
      <x:c r="G4" s="6" t="str">
        <x:v>Preguntar por</x:v>
      </x:c>
      <x:c r="H4" s="6" t="str">
        <x:v>Necesidad</x:v>
      </x:c>
      <x:c r="I4" s="6" t="str">
        <x:v>Oferta PRESOL</x:v>
      </x:c>
      <x:c r="J4" s="6" t="str">
        <x:v>Acción</x:v>
      </x:c>
      <x:c r="K4" s="6" t="str">
        <x:v>Google Maps</x:v>
      </x:c>
      <x:c r="L4" s="6" t="str">
        <x:v>Fuente</x:v>
      </x:c>
    </x:row>
    <x:row r="5">
      <x:c r="A5" s="12" t="n">
        <x:v>1</x:v>
      </x:c>
      <x:c r="B5" s="12" t="str">
        <x:v>PILT / RN9 km 551,5</x:v>
      </x:c>
      <x:c r="C5" s="12" t="str">
        <x:v>Pedrolga</x:v>
      </x:c>
      <x:c r="D5" s="12" t="n">
        <x:v>100</x:v>
      </x:c>
      <x:c r="E5" s="12" t="str">
        <x:v>+54 353 4252853</x:v>
      </x:c>
      <x:c r="F5" s="12" t="str">
        <x:v>PILT, RN9 km 551,5, Villa María, Córdoba</x:v>
      </x:c>
      <x:c r="G5" s="12" t="str">
        <x:v>operaciones / tráfico / mantenimiento</x:v>
      </x:c>
      <x:c r="H5" s="12" t="str">
        <x:v>Overflow y derivación de cargas/equipos que requieren plataforma, malacate o hidrogrúa.</x:v>
      </x:c>
      <x:c r="I5" s="12" t="str">
        <x:v>Capacidad complementaria: plataforma 20 tn + hidrogrúa + malacate.</x:v>
      </x:c>
      <x:c r="J5" s="12" t="str">
        <x:v>Pedir tráfico/operaciones; ofrecer acuerdo de derivaciones y contingencias.</x:v>
      </x:c>
      <x:c r="K5" s="12" t="str">
        <x:v>https://www.google.com/maps/search/?api=1&amp;query=Pedrolga%2C+PILT%2C+RN9+km+551%2C5%2C+Villa+Mar%C3%ADa%2C+C%C3%B3rdoba</x:v>
      </x:c>
      <x:c r="L5" s="12" t="str">
        <x:v>Web oficial</x:v>
      </x:c>
    </x:row>
    <x:row r="6">
      <x:c r="A6" s="12" t="n">
        <x:v>2</x:v>
      </x:c>
      <x:c r="B6" s="12" t="str">
        <x:v>PILT / RN9 km 551,5</x:v>
      </x:c>
      <x:c r="C6" s="12" t="str">
        <x:v>Terramar Logística - Villa María</x:v>
      </x:c>
      <x:c r="D6" s="12" t="n">
        <x:v>100</x:v>
      </x:c>
      <x:c r="E6" s="12" t="str">
        <x:v>0353 4236807</x:v>
      </x:c>
      <x:c r="F6" s="12" t="str">
        <x:v>RN9 km 551,5, PILT, Villa María, Córdoba</x:v>
      </x:c>
      <x:c r="G6" s="12" t="str">
        <x:v>operaciones / tráfico / logística</x:v>
      </x:c>
      <x:c r="H6" s="12" t="str">
        <x:v>Overflow y derivación de cargas/equipos que requieren plataforma, malacate o hidrogrúa.</x:v>
      </x:c>
      <x:c r="I6" s="12" t="str">
        <x:v>Capacidad complementaria: plataforma 20 tn + hidrogrúa + malacate.</x:v>
      </x:c>
      <x:c r="J6" s="12" t="str">
        <x:v>Pedir tráfico/operaciones; ofrecer acuerdo de derivaciones y contingencias.</x:v>
      </x:c>
      <x:c r="K6" s="12" t="str">
        <x:v>https://www.google.com/maps/search/?api=1&amp;query=Terramar+Log%C3%ADstica+-+Villa+Mar%C3%ADa%2C+RN9+km+551%2C5%2C+PILT%2C+Villa+Mar%C3%ADa%2C+C%C3%B3rdoba</x:v>
      </x:c>
      <x:c r="L6" s="12" t="str">
        <x:v>Web oficial</x:v>
      </x:c>
    </x:row>
    <x:row r="7">
      <x:c r="A7" s="12" t="n">
        <x:v>3</x:v>
      </x:c>
      <x:c r="B7" s="12" t="str">
        <x:v>RN9 km 551–556</x:v>
      </x:c>
      <x:c r="C7" s="12" t="str">
        <x:v>Industrias Cormetal S.A.</x:v>
      </x:c>
      <x:c r="D7" s="12" t="n">
        <x:v>100</x:v>
      </x:c>
      <x:c r="E7" s="12" t="str">
        <x:v>0353 4610900</x:v>
      </x:c>
      <x:c r="F7" s="12" t="str">
        <x:v>RN9 km 556, Villa María, Córdoba</x:v>
      </x:c>
      <x:c r="G7" s="12" t="str">
        <x:v>producción / expedición / logística</x:v>
      </x:c>
      <x:c r="H7" s="12" t="str">
        <x:v>Movilización de camiones, acoplados, semirremolques o unidades que no pueden circular; despachos de fábrica.</x:v>
      </x:c>
      <x:c r="I7" s="12" t="str">
        <x:v>Plataforma 20 tn + malacate + hidrogrúa según maniobra.</x:v>
      </x:c>
      <x:c r="J7" s="12" t="str">
        <x:v>Pedir expedición/taller/logística; consultar movimientos mensuales y pesos.</x:v>
      </x:c>
      <x:c r="K7" s="12" t="str">
        <x:v>https://www.google.com/maps/search/?api=1&amp;query=Industrias+Cormetal+S.A.%2C+RN9+km+556%2C+Villa+Mar%C3%ADa%2C+C%C3%B3rdoba</x:v>
      </x:c>
      <x:c r="L7" s="12" t="str">
        <x:v>Portal Industrial</x:v>
      </x:c>
    </x:row>
    <x:row r="8">
      <x:c r="A8" s="12" t="n">
        <x:v>4</x:v>
      </x:c>
      <x:c r="B8" s="12" t="str">
        <x:v>AU9 km 560–563</x:v>
      </x:c>
      <x:c r="C8" s="12" t="str">
        <x:v>BAUMAR SAS</x:v>
      </x:c>
      <x:c r="D8" s="12" t="n">
        <x:v>100</x:v>
      </x:c>
      <x:c r="E8" s="12" t="str">
        <x:v>+54 353 4014200</x:v>
      </x:c>
      <x:c r="F8" s="12" t="str">
        <x:v>Colectora AU9 km 561, Villa María, Córdoba</x:v>
      </x:c>
      <x:c r="G8" s="12" t="str">
        <x:v>alquileres / logística / posventa</x:v>
      </x:c>
      <x:c r="H8" s="12" t="str">
        <x:v>Entrega/retiro de maquinaria, usados, service y traslados entre cliente, taller y campo/obra.</x:v>
      </x:c>
      <x:c r="I8" s="12" t="str">
        <x:v>Plataforma 20 tn + malacate + hidrogrúa de apoyo + seguro/GPS.</x:v>
      </x:c>
      <x:c r="J8" s="12" t="str">
        <x:v>Pedir logística/posventa; relevar equipos, pesos y frecuencia mensual.</x:v>
      </x:c>
      <x:c r="K8" s="12" t="str">
        <x:v>https://www.google.com/maps/search/?api=1&amp;query=BAUMAR+SAS%2C+Colectora+AU9+km+561%2C+Villa+Mar%C3%ADa%2C+C%C3%B3rdoba</x:v>
      </x:c>
      <x:c r="L8" s="12" t="str">
        <x:v>Web oficial</x:v>
      </x:c>
    </x:row>
    <x:row r="9">
      <x:c r="A9" s="12" t="n">
        <x:v>5</x:v>
      </x:c>
      <x:c r="B9" s="12" t="str">
        <x:v>AU9 km 560–563</x:v>
      </x:c>
      <x:c r="C9" s="12" t="str">
        <x:v>Caon - Concesionario Oficial CASE IH</x:v>
      </x:c>
      <x:c r="D9" s="12" t="n">
        <x:v>100</x:v>
      </x:c>
      <x:c r="E9" s="12" t="str">
        <x:v>+54 353 6560791</x:v>
      </x:c>
      <x:c r="F9" s="12" t="str">
        <x:v>Au Córdoba - Rosario km 560, Villa María, Córdoba</x:v>
      </x:c>
      <x:c r="G9" s="12" t="str">
        <x:v>gerencia / logística / posventa</x:v>
      </x:c>
      <x:c r="H9" s="12" t="str">
        <x:v>Entrega/retiro de maquinaria, usados, service y traslados entre cliente, taller y campo/obra.</x:v>
      </x:c>
      <x:c r="I9" s="12" t="str">
        <x:v>Plataforma 20 tn + malacate + hidrogrúa de apoyo + seguro/GPS.</x:v>
      </x:c>
      <x:c r="J9" s="12" t="str">
        <x:v>Pedir logística/posventa; relevar equipos, pesos y frecuencia mensual.</x:v>
      </x:c>
      <x:c r="K9" s="12" t="str">
        <x:v>https://www.google.com/maps/search/?api=1&amp;query=Caon+-+Concesionario+Oficial+CASE+IH%2C+Au+C%C3%B3rdoba+-+Rosario+km+560%2C+Villa+Mar%C3%ADa%2C+C%C3%B3rdoba</x:v>
      </x:c>
      <x:c r="L9" s="12" t="str">
        <x:v>Case IH oficial</x:v>
      </x:c>
    </x:row>
    <x:row r="10">
      <x:c r="A10" s="12" t="n">
        <x:v>6</x:v>
      </x:c>
      <x:c r="B10" s="12" t="str">
        <x:v>AU9 km 560–563</x:v>
      </x:c>
      <x:c r="C10" s="12" t="str">
        <x:v>SCANIA Región Centro Villa María</x:v>
      </x:c>
      <x:c r="D10" s="12" t="n">
        <x:v>99</x:v>
      </x:c>
      <x:c r="E10" s="12" t="str">
        <x:v>+54 353 4783255</x:v>
      </x:c>
      <x:c r="F10" s="12" t="str">
        <x:v>Colectora AU Córdoba-Rosario km 562, Villa María, Córdoba</x:v>
      </x:c>
      <x:c r="G10" s="12" t="str">
        <x:v>posventa / logística / usados</x:v>
      </x:c>
      <x:c r="H10" s="12" t="str">
        <x:v>Entrega/retiro de maquinaria, usados, service y traslados entre cliente, taller y campo/obra.</x:v>
      </x:c>
      <x:c r="I10" s="12" t="str">
        <x:v>Plataforma 20 tn + malacate + hidrogrúa de apoyo + seguro/GPS.</x:v>
      </x:c>
      <x:c r="J10" s="12" t="str">
        <x:v>Pedir logística/posventa; relevar equipos, pesos y frecuencia mensual.</x:v>
      </x:c>
      <x:c r="K10" s="12" t="str">
        <x:v>https://www.google.com/maps/search/?api=1&amp;query=SCANIA+Regi%C3%B3n+Centro+Villa+Mar%C3%ADa%2C+Colectora+AU+C%C3%B3rdoba-Rosario+km+562%2C+Villa+Mar%C3%ADa%2C+C%C3%B3rdoba</x:v>
      </x:c>
      <x:c r="L10" s="12" t="str">
        <x:v>Google Business</x:v>
      </x:c>
    </x:row>
    <x:row r="11">
      <x:c r="A11" s="12" t="n">
        <x:v>7</x:v>
      </x:c>
      <x:c r="B11" s="12" t="str">
        <x:v>AU9 km 560–563</x:v>
      </x:c>
      <x:c r="C11" s="12" t="str">
        <x:v>SALA - Villa María</x:v>
      </x:c>
      <x:c r="D11" s="12" t="n">
        <x:v>95</x:v>
      </x:c>
      <x:c r="E11" s="12" t="str">
        <x:v>+54 9 358 4870793</x:v>
      </x:c>
      <x:c r="F11" s="12" t="str">
        <x:v>Av. Colectora, AU9 km 563, Villa María, Córdoba</x:v>
      </x:c>
      <x:c r="G11" s="12" t="str">
        <x:v>logística / ventas / posventa</x:v>
      </x:c>
      <x:c r="H11" s="12" t="str">
        <x:v>Entrega/retiro de maquinaria, usados, service y traslados entre cliente, taller y campo/obra.</x:v>
      </x:c>
      <x:c r="I11" s="12" t="str">
        <x:v>Plataforma 20 tn + malacate + hidrogrúa de apoyo + seguro/GPS.</x:v>
      </x:c>
      <x:c r="J11" s="12" t="str">
        <x:v>Pedir logística/posventa; relevar equipos, pesos y frecuencia mensual.</x:v>
      </x:c>
      <x:c r="K11" s="12" t="str">
        <x:v>https://www.google.com/maps/search/?api=1&amp;query=SALA+-+Villa+Mar%C3%ADa%2C+Av.+Colectora%2C+AU9+km+563%2C+Villa+Mar%C3%ADa%2C+C%C3%B3rdoba</x:v>
      </x:c>
      <x:c r="L11" s="12" t="str">
        <x:v>Google Business</x:v>
      </x:c>
    </x:row>
    <x:row r="12">
      <x:c r="A12" s="12" t="n">
        <x:v>8</x:v>
      </x:c>
      <x:c r="B12" s="12" t="str">
        <x:v>AU9 / Colectora Sur</x:v>
      </x:c>
      <x:c r="C12" s="12" t="str">
        <x:v>Pauny - Comercializadora Pauny</x:v>
      </x:c>
      <x:c r="D12" s="12" t="n">
        <x:v>99</x:v>
      </x:c>
      <x:c r="E12" s="12" t="str">
        <x:v>+54 353 5002145</x:v>
      </x:c>
      <x:c r="F12" s="12" t="str">
        <x:v>Colectora Sur esq. Francisco García, AU Córdoba-Rosario, Villa María, Córdoba</x:v>
      </x:c>
      <x:c r="G12" s="12" t="str">
        <x:v>logística / ventas / posventa</x:v>
      </x:c>
      <x:c r="H12" s="12" t="str">
        <x:v>Entrega/retiro de maquinaria, usados, service y traslados entre cliente, taller y campo/obra.</x:v>
      </x:c>
      <x:c r="I12" s="12" t="str">
        <x:v>Plataforma 20 tn + malacate + hidrogrúa de apoyo + seguro/GPS.</x:v>
      </x:c>
      <x:c r="J12" s="12" t="str">
        <x:v>Pedir logística/posventa; relevar equipos, pesos y frecuencia mensual.</x:v>
      </x:c>
      <x:c r="K12" s="12" t="str">
        <x:v>https://www.google.com/maps/search/?api=1&amp;query=Pauny+-+Comercializadora+Pauny%2C+Colectora+Sur+esq.+Francisco+Garc%C3%ADa%2C+AU+C%C3%B3rdoba-Rosario%2C+Villa+Mar%C3%ADa%2C+C%C3%B3rdoba</x:v>
      </x:c>
      <x:c r="L12" s="12" t="str">
        <x:v>Tanzi concesionarios</x:v>
      </x:c>
    </x:row>
    <x:row r="13">
      <x:c r="A13" s="12" t="n">
        <x:v>9</x:v>
      </x:c>
      <x:c r="B13" s="12" t="str">
        <x:v>AU9</x:v>
      </x:c>
      <x:c r="C13" s="12" t="str">
        <x:v>LatinaCam Villa María - Volvo Trucks &amp; Buses</x:v>
      </x:c>
      <x:c r="D13" s="12" t="n">
        <x:v>97</x:v>
      </x:c>
      <x:c r="E13" s="12" t="str">
        <x:v>+54 351 4928750</x:v>
      </x:c>
      <x:c r="F13" s="12" t="str">
        <x:v>Autopista Córdoba-Rosario, Villa María, Córdoba</x:v>
      </x:c>
      <x:c r="G13" s="12" t="str">
        <x:v>posventa / logística / usados</x:v>
      </x:c>
      <x:c r="H13" s="12" t="str">
        <x:v>Entrega/retiro de maquinaria, usados, service y traslados entre cliente, taller y campo/obra.</x:v>
      </x:c>
      <x:c r="I13" s="12" t="str">
        <x:v>Plataforma 20 tn + malacate + hidrogrúa de apoyo + seguro/GPS.</x:v>
      </x:c>
      <x:c r="J13" s="12" t="str">
        <x:v>Pedir logística/posventa; relevar equipos, pesos y frecuencia mensual.</x:v>
      </x:c>
      <x:c r="K13" s="12" t="str">
        <x:v>https://www.google.com/maps/search/?api=1&amp;query=LatinaCam+Villa+Mar%C3%ADa+-+Volvo+Trucks+%26+Buses%2C+Autopista+C%C3%B3rdoba-Rosario%2C+Villa+Mar%C3%ADa%2C+C%C3%B3rdoba</x:v>
      </x:c>
      <x:c r="L13" s="12" t="str">
        <x:v>Google Business</x:v>
      </x:c>
    </x:row>
    <x:row r="14">
      <x:c r="A14" s="12" t="n">
        <x:v>10</x:v>
      </x:c>
      <x:c r="B14" s="12" t="str">
        <x:v>RN158 / Área 158</x:v>
      </x:c>
      <x:c r="C14" s="12" t="str">
        <x:v>Agro GM Sucursal Villa María</x:v>
      </x:c>
      <x:c r="D14" s="12" t="n">
        <x:v>98</x:v>
      </x:c>
      <x:c r="E14" s="12" t="str">
        <x:v>+54 353 6560055</x:v>
      </x:c>
      <x:c r="F14" s="12" t="str">
        <x:v>Área 158 km 154,5, Villa María, Córdoba</x:v>
      </x:c>
      <x:c r="G14" s="12" t="str">
        <x:v>logística / posventa / ventas</x:v>
      </x:c>
      <x:c r="H14" s="12" t="str">
        <x:v>Entrega/retiro de maquinaria, usados, service y traslados entre cliente, taller y campo/obra.</x:v>
      </x:c>
      <x:c r="I14" s="12" t="str">
        <x:v>Plataforma 20 tn + malacate + hidrogrúa de apoyo + seguro/GPS.</x:v>
      </x:c>
      <x:c r="J14" s="12" t="str">
        <x:v>Pedir logística/posventa; relevar equipos, pesos y frecuencia mensual.</x:v>
      </x:c>
      <x:c r="K14" s="12" t="str">
        <x:v>https://www.google.com/maps/search/?api=1&amp;query=Agro+GM+Sucursal+Villa+Mar%C3%ADa%2C+%C3%81rea+158+km+154%2C5%2C+Villa+Mar%C3%ADa%2C+C%C3%B3rdoba</x:v>
      </x:c>
      <x:c r="L14" s="12" t="str">
        <x:v>Google Business</x:v>
      </x:c>
    </x:row>
    <x:row r="15">
      <x:c r="A15" s="12" t="n">
        <x:v>11</x:v>
      </x:c>
      <x:c r="B15" s="12" t="str">
        <x:v>RN158 / Área 158</x:v>
      </x:c>
      <x:c r="C15" s="12" t="str">
        <x:v>GEMELO MAQUINARIAS</x:v>
      </x:c>
      <x:c r="D15" s="12" t="n">
        <x:v>98</x:v>
      </x:c>
      <x:c r="E15" s="12" t="str">
        <x:v>+54 353 6573496</x:v>
      </x:c>
      <x:c r="F15" s="12" t="str">
        <x:v>RN158 km 156, Villa María, Córdoba</x:v>
      </x:c>
      <x:c r="G15" s="12" t="str">
        <x:v>producción / expedición</x:v>
      </x:c>
      <x:c r="H15" s="12" t="str">
        <x:v>Entrega/retiro de maquinaria, usados, service y traslados entre cliente, taller y campo/obra.</x:v>
      </x:c>
      <x:c r="I15" s="12" t="str">
        <x:v>Plataforma 20 tn + malacate + hidrogrúa de apoyo + seguro/GPS.</x:v>
      </x:c>
      <x:c r="J15" s="12" t="str">
        <x:v>Pedir logística/posventa; relevar equipos, pesos y frecuencia mensual.</x:v>
      </x:c>
      <x:c r="K15" s="12" t="str">
        <x:v>https://www.google.com/maps/search/?api=1&amp;query=GEMELO+MAQUINARIAS%2C+RN158+km+156%2C+Villa+Mar%C3%ADa%2C+C%C3%B3rdoba</x:v>
      </x:c>
      <x:c r="L15" s="12" t="str">
        <x:v>Google Business</x:v>
      </x:c>
    </x:row>
    <x:row r="16">
      <x:c r="A16" s="12" t="n">
        <x:v>12</x:v>
      </x:c>
      <x:c r="B16" s="12" t="str">
        <x:v>RN158 / Área 158</x:v>
      </x:c>
      <x:c r="C16" s="12" t="str">
        <x:v>Delpino Implementos Agrícolas</x:v>
      </x:c>
      <x:c r="D16" s="12" t="n">
        <x:v>96</x:v>
      </x:c>
      <x:c r="E16" s="12" t="str">
        <x:v>+54 353 4238829</x:v>
      </x:c>
      <x:c r="F16" s="12" t="str">
        <x:v>RN158 151, Villa María, Córdoba</x:v>
      </x:c>
      <x:c r="G16" s="12" t="str">
        <x:v>producción / expedición / ventas</x:v>
      </x:c>
      <x:c r="H16" s="12" t="str">
        <x:v>Entrega/retiro de maquinaria, usados, service y traslados entre cliente, taller y campo/obra.</x:v>
      </x:c>
      <x:c r="I16" s="12" t="str">
        <x:v>Plataforma 20 tn + malacate + hidrogrúa de apoyo + seguro/GPS.</x:v>
      </x:c>
      <x:c r="J16" s="12" t="str">
        <x:v>Pedir logística/posventa; relevar equipos, pesos y frecuencia mensual.</x:v>
      </x:c>
      <x:c r="K16" s="12" t="str">
        <x:v>https://www.google.com/maps/search/?api=1&amp;query=Delpino+Implementos+Agr%C3%ADcolas%2C+RN158+151%2C+Villa+Mar%C3%ADa%2C+C%C3%B3rdoba</x:v>
      </x:c>
      <x:c r="L16" s="12" t="str">
        <x:v>Google Business</x:v>
      </x:c>
    </x:row>
    <x:row r="17">
      <x:c r="A17" s="12" t="n">
        <x:v>13</x:v>
      </x:c>
      <x:c r="B17" s="12" t="str">
        <x:v>Av. Perón / Ruta 9</x:v>
      </x:c>
      <x:c r="C17" s="12" t="str">
        <x:v>Cristante Hnos. - Sucursal Villa María</x:v>
      </x:c>
      <x:c r="D17" s="12" t="n">
        <x:v>96</x:v>
      </x:c>
      <x:c r="E17" s="12" t="str">
        <x:v>0353 4203132</x:v>
      </x:c>
      <x:c r="F17" s="12" t="str">
        <x:v>Av. Presidente Perón 2370, Villa María, Córdoba</x:v>
      </x:c>
      <x:c r="G17" s="12" t="str">
        <x:v>logística / posventa / ventas</x:v>
      </x:c>
      <x:c r="H17" s="12" t="str">
        <x:v>Entrega/retiro de maquinaria, usados, service y traslados entre cliente, taller y campo/obra.</x:v>
      </x:c>
      <x:c r="I17" s="12" t="str">
        <x:v>Plataforma 20 tn + malacate + hidrogrúa de apoyo + seguro/GPS.</x:v>
      </x:c>
      <x:c r="J17" s="12" t="str">
        <x:v>Pedir logística/posventa; relevar equipos, pesos y frecuencia mensual.</x:v>
      </x:c>
      <x:c r="K17" s="12" t="str">
        <x:v>https://www.google.com/maps/search/?api=1&amp;query=Cristante+Hnos.+-+Sucursal+Villa+Mar%C3%ADa%2C+Av.+Presidente+Per%C3%B3n+2370%2C+Villa+Mar%C3%ADa%2C+C%C3%B3rdoba</x:v>
      </x:c>
      <x:c r="L17" s="12" t="str">
        <x:v>Web oficial</x:v>
      </x:c>
    </x:row>
    <x:row r="18">
      <x:c r="A18" s="12" t="n">
        <x:v>14</x:v>
      </x:c>
      <x:c r="B18" s="12" t="str">
        <x:v>Av. Perón / Industrial</x:v>
      </x:c>
      <x:c r="C18" s="12" t="str">
        <x:v>GEMA ARGENTINA</x:v>
      </x:c>
      <x:c r="D18" s="12" t="n">
        <x:v>98</x:v>
      </x:c>
      <x:c r="E18" s="12" t="str">
        <x:v>+54 353 4257703</x:v>
      </x:c>
      <x:c r="F18" s="12" t="str">
        <x:v>Av. Presidente Perón y Paso de la Patria, Villa María, Córdoba</x:v>
      </x:c>
      <x:c r="G18" s="12" t="str">
        <x:v>producción / expedición / logística</x:v>
      </x:c>
      <x:c r="H18" s="12" t="str">
        <x:v>Entrega/retiro de maquinaria, usados, service y traslados entre cliente, taller y campo/obra.</x:v>
      </x:c>
      <x:c r="I18" s="12" t="str">
        <x:v>Plataforma 20 tn + malacate + hidrogrúa de apoyo + seguro/GPS.</x:v>
      </x:c>
      <x:c r="J18" s="12" t="str">
        <x:v>Pedir logística/posventa; relevar equipos, pesos y frecuencia mensual.</x:v>
      </x:c>
      <x:c r="K18" s="12" t="str">
        <x:v>https://www.google.com/maps/search/?api=1&amp;query=GEMA+ARGENTINA%2C+Av.+Presidente+Per%C3%B3n+y+Paso+de+la+Patria%2C+Villa+Mar%C3%ADa%2C+C%C3%B3rdoba</x:v>
      </x:c>
      <x:c r="L18" s="12" t="str">
        <x:v>Google Business</x:v>
      </x:c>
    </x:row>
    <x:row r="19">
      <x:c r="A19" s="12" t="n">
        <x:v>15</x:v>
      </x:c>
      <x:c r="B19" s="12" t="str">
        <x:v>Av. Perón / Industrial</x:v>
      </x:c>
      <x:c r="C19" s="12" t="str">
        <x:v>SURCAR SRL</x:v>
      </x:c>
      <x:c r="D19" s="12" t="n">
        <x:v>94</x:v>
      </x:c>
      <x:c r="E19" s="12" t="str">
        <x:v>+54 351 7002987</x:v>
      </x:c>
      <x:c r="F19" s="12" t="str">
        <x:v>Av. Presidente Perón 2987, Villa María, Córdoba</x:v>
      </x:c>
      <x:c r="G19" s="12" t="str">
        <x:v>ventas / logística / posventa</x:v>
      </x:c>
      <x:c r="H19" s="12" t="str">
        <x:v>Movimientos de equipos o cargas especiales asociados a la operación.</x:v>
      </x:c>
      <x:c r="I19" s="12" t="str">
        <x:v>Plataforma 20 tn + hidrogrúa + malacate según necesidad.</x:v>
      </x:c>
      <x:c r="J19" s="12" t="str">
        <x:v>Contactar operaciones/logística y relevar movimientos actuales.</x:v>
      </x:c>
      <x:c r="K19" s="12" t="str">
        <x:v>https://www.google.com/maps/search/?api=1&amp;query=SURCAR+SRL%2C+Av.+Presidente+Per%C3%B3n+2987%2C+Villa+Mar%C3%ADa%2C+C%C3%B3rdoba</x:v>
      </x:c>
      <x:c r="L19" s="12" t="str">
        <x:v>Google Business</x:v>
      </x:c>
    </x:row>
    <x:row r="20">
      <x:c r="A20" s="12" t="n">
        <x:v>16</x:v>
      </x:c>
      <x:c r="B20" s="12" t="str">
        <x:v>Av. Perón / Industrial</x:v>
      </x:c>
      <x:c r="C20" s="12" t="str">
        <x:v>Gastón López Autoelevadores</x:v>
      </x:c>
      <x:c r="D20" s="12" t="n">
        <x:v>92</x:v>
      </x:c>
      <x:c r="E20" s="12" t="str">
        <x:v>+54 353 5105452</x:v>
      </x:c>
      <x:c r="F20" s="12" t="str">
        <x:v>Av. Presidente Perón 3183, Villa María, Córdoba</x:v>
      </x:c>
      <x:c r="G20" s="12" t="str">
        <x:v>dueño / service / logística</x:v>
      </x:c>
      <x:c r="H20" s="12" t="str">
        <x:v>Entrega/retiro de equipos de elevación y apoyo en maniobras o posicionamiento.</x:v>
      </x:c>
      <x:c r="I20" s="12" t="str">
        <x:v>Plataforma 20 tn + malacate + hidrogrúa.</x:v>
      </x:c>
      <x:c r="J20" s="12" t="str">
        <x:v>Pedir operaciones/alquileres; relevar flota, pesos y zonas de servicio.</x:v>
      </x:c>
      <x:c r="K20" s="12" t="str">
        <x:v>https://www.google.com/maps/search/?api=1&amp;query=Gast%C3%B3n+L%C3%B3pez+Autoelevadores%2C+Av.+Presidente+Per%C3%B3n+3183%2C+Villa+Mar%C3%ADa%2C+C%C3%B3rdoba</x:v>
      </x:c>
      <x:c r="L20" s="12" t="str">
        <x:v>Google Business</x:v>
      </x:c>
    </x:row>
    <x:row r="21">
      <x:c r="A21" s="12" t="n">
        <x:v>17</x:v>
      </x:c>
      <x:c r="B21" s="12" t="str">
        <x:v>Porfirio Seppey / Industrial</x:v>
      </x:c>
      <x:c r="C21" s="12" t="str">
        <x:v>MB Logística - Autoelevadores</x:v>
      </x:c>
      <x:c r="D21" s="12" t="n">
        <x:v>97</x:v>
      </x:c>
      <x:c r="E21" s="12" t="str">
        <x:v>0353 4065634</x:v>
      </x:c>
      <x:c r="F21" s="12" t="str">
        <x:v>Porfirio Seppey 1807, Villa María, Córdoba</x:v>
      </x:c>
      <x:c r="G21" s="12" t="str">
        <x:v>alquileres / logística / mantenimiento</x:v>
      </x:c>
      <x:c r="H21" s="12" t="str">
        <x:v>Entrega/retiro de equipos de elevación y apoyo en maniobras o posicionamiento.</x:v>
      </x:c>
      <x:c r="I21" s="12" t="str">
        <x:v>Plataforma 20 tn + malacate + hidrogrúa.</x:v>
      </x:c>
      <x:c r="J21" s="12" t="str">
        <x:v>Pedir operaciones/alquileres; relevar flota, pesos y zonas de servicio.</x:v>
      </x:c>
      <x:c r="K21" s="12" t="str">
        <x:v>https://www.google.com/maps/search/?api=1&amp;query=MB+Log%C3%ADstica+-+Autoelevadores%2C+Porfirio+Seppey+1807%2C+Villa+Mar%C3%ADa%2C+C%C3%B3rdoba</x:v>
      </x:c>
      <x:c r="L21" s="12" t="str">
        <x:v>Google Business</x:v>
      </x:c>
    </x:row>
    <x:row r="22">
      <x:c r="A22" s="12" t="n">
        <x:v>18</x:v>
      </x:c>
      <x:c r="B22" s="12" t="str">
        <x:v>Porfirio Seppey / Industrial</x:v>
      </x:c>
      <x:c r="C22" s="12" t="str">
        <x:v>GRÚAS VILLA MARÍA S.R.L.</x:v>
      </x:c>
      <x:c r="D22" s="12" t="n">
        <x:v>96</x:v>
      </x:c>
      <x:c r="E22" s="12" t="str">
        <x:v>+54 9 353 4294901</x:v>
      </x:c>
      <x:c r="F22" s="12" t="str">
        <x:v>Porfirio Seppey 595, Villa María, Córdoba</x:v>
      </x:c>
      <x:c r="G22" s="12" t="str">
        <x:v>operaciones / logística</x:v>
      </x:c>
      <x:c r="H22" s="12" t="str">
        <x:v>Entrega/retiro de equipos de elevación y apoyo en maniobras o posicionamiento.</x:v>
      </x:c>
      <x:c r="I22" s="12" t="str">
        <x:v>Plataforma 20 tn + malacate + hidrogrúa.</x:v>
      </x:c>
      <x:c r="J22" s="12" t="str">
        <x:v>Pedir operaciones/alquileres; relevar flota, pesos y zonas de servicio.</x:v>
      </x:c>
      <x:c r="K22" s="12" t="str">
        <x:v>https://www.google.com/maps/search/?api=1&amp;query=GR%C3%9AAS+VILLA+MAR%C3%8DA+S.R.L.%2C+Porfirio+Seppey+595%2C+Villa+Mar%C3%ADa%2C+C%C3%B3rdoba</x:v>
      </x:c>
      <x:c r="L22" s="12" t="str">
        <x:v>Google Business</x:v>
      </x:c>
    </x:row>
    <x:row r="23">
      <x:c r="A23" s="12" t="n">
        <x:v>19</x:v>
      </x:c>
      <x:c r="B23" s="12" t="str">
        <x:v>Porfirio Seppey / Industrial</x:v>
      </x:c>
      <x:c r="C23" s="12" t="str">
        <x:v>Izajes Villa María S.R.L.</x:v>
      </x:c>
      <x:c r="D23" s="12" t="n">
        <x:v>94</x:v>
      </x:c>
      <x:c r="E23" s="12" t="str">
        <x:v>+54 353 5668799</x:v>
      </x:c>
      <x:c r="F23" s="12" t="str">
        <x:v>Porfirio Seppey 585, Villa María, Córdoba</x:v>
      </x:c>
      <x:c r="G23" s="12" t="str">
        <x:v>operaciones / certificaciones / logística</x:v>
      </x:c>
      <x:c r="H23" s="12" t="str">
        <x:v>Entrega/retiro de equipos de elevación y apoyo en maniobras o posicionamiento.</x:v>
      </x:c>
      <x:c r="I23" s="12" t="str">
        <x:v>Plataforma 20 tn + malacate + hidrogrúa.</x:v>
      </x:c>
      <x:c r="J23" s="12" t="str">
        <x:v>Pedir operaciones/alquileres; relevar flota, pesos y zonas de servicio.</x:v>
      </x:c>
      <x:c r="K23" s="12" t="str">
        <x:v>https://www.google.com/maps/search/?api=1&amp;query=Izajes+Villa+Mar%C3%ADa+S.R.L.%2C+Porfirio+Seppey+585%2C+Villa+Mar%C3%ADa%2C+C%C3%B3rdoba</x:v>
      </x:c>
      <x:c r="L23" s="12" t="str">
        <x:v>Google Business</x:v>
      </x:c>
    </x:row>
    <x:row r="24">
      <x:c r="A24" s="12" t="n">
        <x:v>20</x:v>
      </x:c>
      <x:c r="B24" s="12" t="str">
        <x:v>Porfirio Seppey / Industrial</x:v>
      </x:c>
      <x:c r="C24" s="12" t="str">
        <x:v>MW Agropartes</x:v>
      </x:c>
      <x:c r="D24" s="12" t="n">
        <x:v>92</x:v>
      </x:c>
      <x:c r="E24" s="12" t="str">
        <x:v>+54 9 353 4232403</x:v>
      </x:c>
      <x:c r="F24" s="12" t="str">
        <x:v>Porfirio Seppey 1300, Villa María, Córdoba</x:v>
      </x:c>
      <x:c r="G24" s="12" t="str">
        <x:v>producción / expedición</x:v>
      </x:c>
      <x:c r="H24" s="12" t="str">
        <x:v>Entrega/retiro de maquinaria, usados, service y traslados entre cliente, taller y campo/obra.</x:v>
      </x:c>
      <x:c r="I24" s="12" t="str">
        <x:v>Plataforma 20 tn + malacate + hidrogrúa de apoyo + seguro/GPS.</x:v>
      </x:c>
      <x:c r="J24" s="12" t="str">
        <x:v>Pedir logística/posventa; relevar equipos, pesos y frecuencia mensual.</x:v>
      </x:c>
      <x:c r="K24" s="12" t="str">
        <x:v>https://www.google.com/maps/search/?api=1&amp;query=MW+Agropartes%2C+Porfirio+Seppey+1300%2C+Villa+Mar%C3%ADa%2C+C%C3%B3rdoba</x:v>
      </x:c>
      <x:c r="L24" s="12" t="str">
        <x:v>Google Business</x:v>
      </x:c>
    </x:row>
    <x:row r="25">
      <x:c r="A25" s="12" t="n">
        <x:v>21</x:v>
      </x:c>
      <x:c r="B25" s="12" t="str">
        <x:v>Porfirio Seppey / Industrial</x:v>
      </x:c>
      <x:c r="C25" s="12" t="str">
        <x:v>Fábrica de Carrocerías Remolques Trailers</x:v>
      </x:c>
      <x:c r="D25" s="12" t="n">
        <x:v>91</x:v>
      </x:c>
      <x:c r="E25" s="12" t="str">
        <x:v>+54 353 5657975</x:v>
      </x:c>
      <x:c r="F25" s="12" t="str">
        <x:v>Porfirio Seppey 1389, Villa María, Córdoba</x:v>
      </x:c>
      <x:c r="G25" s="12" t="str">
        <x:v>producción / expedición</x:v>
      </x:c>
      <x:c r="H25" s="12" t="str">
        <x:v>Movilización de camiones, acoplados, semirremolques o unidades que no pueden circular; despachos de fábrica.</x:v>
      </x:c>
      <x:c r="I25" s="12" t="str">
        <x:v>Plataforma 20 tn + malacate + hidrogrúa según maniobra.</x:v>
      </x:c>
      <x:c r="J25" s="12" t="str">
        <x:v>Pedir expedición/taller/logística; consultar movimientos mensuales y pesos.</x:v>
      </x:c>
      <x:c r="K25" s="12" t="str">
        <x:v>https://www.google.com/maps/search/?api=1&amp;query=F%C3%A1brica+de+Carrocer%C3%ADas+Remolques+Trailers%2C+Porfirio+Seppey+1389%2C+Villa+Mar%C3%ADa%2C+C%C3%B3rdoba</x:v>
      </x:c>
      <x:c r="L25" s="12" t="str">
        <x:v>Google Business</x:v>
      </x:c>
    </x:row>
    <x:row r="26">
      <x:c r="A26" s="12" t="n">
        <x:v>22</x:v>
      </x:c>
      <x:c r="B26" s="12" t="str">
        <x:v>Urbano industrial</x:v>
      </x:c>
      <x:c r="C26" s="12" t="str">
        <x:v>Bartolomé Cerutti SRL - New Holland</x:v>
      </x:c>
      <x:c r="D26" s="12" t="n">
        <x:v>99</x:v>
      </x:c>
      <x:c r="E26" s="12" t="str">
        <x:v>0353 4522560 / 0353 154208761</x:v>
      </x:c>
      <x:c r="F26" s="12" t="str">
        <x:v>Larrabure 1100, Villa María, Córdoba</x:v>
      </x:c>
      <x:c r="G26" s="12" t="str">
        <x:v>logística / posventa / usados</x:v>
      </x:c>
      <x:c r="H26" s="12" t="str">
        <x:v>Entrega/retiro de maquinaria, usados, service y traslados entre cliente, taller y campo/obra.</x:v>
      </x:c>
      <x:c r="I26" s="12" t="str">
        <x:v>Plataforma 20 tn + malacate + hidrogrúa de apoyo + seguro/GPS.</x:v>
      </x:c>
      <x:c r="J26" s="12" t="str">
        <x:v>Pedir logística/posventa; relevar equipos, pesos y frecuencia mensual.</x:v>
      </x:c>
      <x:c r="K26" s="12" t="str">
        <x:v>https://www.google.com/maps/search/?api=1&amp;query=Bartolom%C3%A9+Cerutti+SRL+-+New+Holland%2C+Larrabure+1100%2C+Villa+Mar%C3%ADa%2C+C%C3%B3rdoba</x:v>
      </x:c>
      <x:c r="L26" s="12" t="str">
        <x:v>Web oficial</x:v>
      </x:c>
    </x:row>
    <x:row r="27">
      <x:c r="A27" s="12" t="n">
        <x:v>23</x:v>
      </x:c>
      <x:c r="B27" s="12" t="str">
        <x:v>Urbano industrial</x:v>
      </x:c>
      <x:c r="C27" s="12" t="str">
        <x:v>Managro Autopista</x:v>
      </x:c>
      <x:c r="D27" s="12" t="n">
        <x:v>95</x:v>
      </x:c>
      <x:c r="E27" s="12" t="str">
        <x:v>+54 353 4282774</x:v>
      </x:c>
      <x:c r="F27" s="12" t="str">
        <x:v>M. J. Suppo 216, Villa María, Córdoba</x:v>
      </x:c>
      <x:c r="G27" s="12" t="str">
        <x:v>producción / logística / expedición</x:v>
      </x:c>
      <x:c r="H27" s="12" t="str">
        <x:v>Entrega/retiro de maquinaria, usados, service y traslados entre cliente, taller y campo/obra.</x:v>
      </x:c>
      <x:c r="I27" s="12" t="str">
        <x:v>Plataforma 20 tn + malacate + hidrogrúa de apoyo + seguro/GPS.</x:v>
      </x:c>
      <x:c r="J27" s="12" t="str">
        <x:v>Pedir logística/posventa; relevar equipos, pesos y frecuencia mensual.</x:v>
      </x:c>
      <x:c r="K27" s="12" t="str">
        <x:v>https://www.google.com/maps/search/?api=1&amp;query=Managro+Autopista%2C+M.+J.+Suppo+216%2C+Villa+Mar%C3%ADa%2C+C%C3%B3rdoba</x:v>
      </x:c>
      <x:c r="L27" s="12" t="str">
        <x:v>Google Business</x:v>
      </x:c>
    </x:row>
    <x:row r="28">
      <x:c r="A28" s="12" t="n">
        <x:v>24</x:v>
      </x:c>
      <x:c r="B28" s="12" t="str">
        <x:v>Urbano industrial</x:v>
      </x:c>
      <x:c r="C28" s="12" t="str">
        <x:v>Larrosa Camiones</x:v>
      </x:c>
      <x:c r="D28" s="12" t="n">
        <x:v>90</x:v>
      </x:c>
      <x:c r="E28" s="12" t="str">
        <x:v>0353 4531301</x:v>
      </x:c>
      <x:c r="F28" s="12" t="str">
        <x:v>Chiclana y Larrabure, Villa María, Córdoba</x:v>
      </x:c>
      <x:c r="G28" s="12" t="str">
        <x:v>ventas / taller / logística</x:v>
      </x:c>
      <x:c r="H28" s="12" t="str">
        <x:v>Movilización de camiones, acoplados, semirremolques o unidades que no pueden circular; despachos de fábrica.</x:v>
      </x:c>
      <x:c r="I28" s="12" t="str">
        <x:v>Plataforma 20 tn + malacate + hidrogrúa según maniobra.</x:v>
      </x:c>
      <x:c r="J28" s="12" t="str">
        <x:v>Pedir expedición/taller/logística; consultar movimientos mensuales y pesos.</x:v>
      </x:c>
      <x:c r="K28" s="12" t="str">
        <x:v>https://www.google.com/maps/search/?api=1&amp;query=Larrosa+Camiones%2C+Chiclana+y+Larrabure%2C+Villa+Mar%C3%ADa%2C+C%C3%B3rdoba</x:v>
      </x:c>
      <x:c r="L28" s="12" t="str">
        <x:v>Google Business</x:v>
      </x:c>
    </x:row>
    <x:row r="29">
      <x:c r="A29" s="12" t="n">
        <x:v>25</x:v>
      </x:c>
      <x:c r="B29" s="12" t="str">
        <x:v>Urbano</x:v>
      </x:c>
      <x:c r="C29" s="12" t="str">
        <x:v>Terranova Movimiento de Suelo</x:v>
      </x:c>
      <x:c r="D29" s="12" t="n">
        <x:v>100</x:v>
      </x:c>
      <x:c r="E29" s="12" t="str">
        <x:v>+54 353 4065207</x:v>
      </x:c>
      <x:c r="F29" s="12" t="str">
        <x:v>Ascasubi 577, Villa María, Córdoba</x:v>
      </x:c>
      <x:c r="G29" s="12" t="str">
        <x:v>dueño / operaciones / equipos</x:v>
      </x:c>
      <x:c r="H29" s="12" t="str">
        <x:v>Traslados interobra de excavadoras, retroexcavadoras, minicargadoras, rodillos y equipos viales.</x:v>
      </x:c>
      <x:c r="I29" s="12" t="str">
        <x:v>Plataforma 20 tn + malacate + seguro/GPS.</x:v>
      </x:c>
      <x:c r="J29" s="12" t="str">
        <x:v>Pedir dueño/jefe de equipos; relevar flota, pesos y frecuencia interobra.</x:v>
      </x:c>
      <x:c r="K29" s="12" t="str">
        <x:v>https://www.google.com/maps/search/?api=1&amp;query=Terranova+Movimiento+de+Suelo%2C+Ascasubi+577%2C+Villa+Mar%C3%ADa%2C+C%C3%B3rdoba</x:v>
      </x:c>
      <x:c r="L29" s="12" t="str">
        <x:v>Google Business</x:v>
      </x:c>
    </x:row>
    <x:row r="30">
      <x:c r="A30" s="12" t="n">
        <x:v>26</x:v>
      </x:c>
      <x:c r="B30" s="12" t="str">
        <x:v>Centro / urbano</x:v>
      </x:c>
      <x:c r="C30" s="12" t="str">
        <x:v>VM Agrícola</x:v>
      </x:c>
      <x:c r="D30" s="12" t="n">
        <x:v>94</x:v>
      </x:c>
      <x:c r="E30" s="12" t="str">
        <x:v>+54 353 5695760</x:v>
      </x:c>
      <x:c r="F30" s="12" t="str">
        <x:v>Salta 270, Villa María, Córdoba</x:v>
      </x:c>
      <x:c r="G30" s="12" t="str">
        <x:v>dueño / ventas / logística</x:v>
      </x:c>
      <x:c r="H30" s="12" t="str">
        <x:v>Entrega/retiro de maquinaria, usados, service y traslados entre cliente, taller y campo/obra.</x:v>
      </x:c>
      <x:c r="I30" s="12" t="str">
        <x:v>Plataforma 20 tn + malacate + hidrogrúa de apoyo + seguro/GPS.</x:v>
      </x:c>
      <x:c r="J30" s="12" t="str">
        <x:v>Pedir logística/posventa; relevar equipos, pesos y frecuencia mensual.</x:v>
      </x:c>
      <x:c r="K30" s="12" t="str">
        <x:v>https://www.google.com/maps/search/?api=1&amp;query=VM+Agr%C3%ADcola%2C+Salta+270%2C+Villa+Mar%C3%ADa%2C+C%C3%B3rdoba</x:v>
      </x:c>
      <x:c r="L30" s="12" t="str">
        <x:v>Google Business</x:v>
      </x:c>
    </x:row>
    <x:row r="31">
      <x:c r="A31" s="12" t="n">
        <x:v>27</x:v>
      </x:c>
      <x:c r="B31" s="12" t="str">
        <x:v>Av. Colón</x:v>
      </x:c>
      <x:c r="C31" s="12" t="str">
        <x:v>Villa María Camiones</x:v>
      </x:c>
      <x:c r="D31" s="12" t="n">
        <x:v>89</x:v>
      </x:c>
      <x:c r="E31" s="12" t="str">
        <x:v>+54 353 6570697</x:v>
      </x:c>
      <x:c r="F31" s="12" t="str">
        <x:v>Av. Colón 1600, Villa María, Córdoba</x:v>
      </x:c>
      <x:c r="G31" s="12" t="str">
        <x:v>ventas / taller / logística</x:v>
      </x:c>
      <x:c r="H31" s="12" t="str">
        <x:v>Movilización de camiones, acoplados, semirremolques o unidades que no pueden circular; despachos de fábrica.</x:v>
      </x:c>
      <x:c r="I31" s="12" t="str">
        <x:v>Plataforma 20 tn + malacate + hidrogrúa según maniobra.</x:v>
      </x:c>
      <x:c r="J31" s="12" t="str">
        <x:v>Pedir expedición/taller/logística; consultar movimientos mensuales y pesos.</x:v>
      </x:c>
      <x:c r="K31" s="12" t="str">
        <x:v>https://www.google.com/maps/search/?api=1&amp;query=Villa+Mar%C3%ADa+Camiones%2C+Av.+Col%C3%B3n+1600%2C+Villa+Mar%C3%ADa%2C+C%C3%B3rdoba</x:v>
      </x:c>
      <x:c r="L31" s="12" t="str">
        <x:v>Google Business</x:v>
      </x:c>
    </x:row>
    <x:row r="32">
      <x:c r="A32" s="12" t="n">
        <x:v>28</x:v>
      </x:c>
      <x:c r="B32" s="12" t="str">
        <x:v>PILT / acceso industrial</x:v>
      </x:c>
      <x:c r="C32" s="12" t="str">
        <x:v>Metalúrgica JAP</x:v>
      </x:c>
      <x:c r="D32" s="12" t="n">
        <x:v>99</x:v>
      </x:c>
      <x:c r="E32" s="12" t="str">
        <x:v>+54 353 6563732 / +54 353 5657977</x:v>
      </x:c>
      <x:c r="F32" s="12" t="str">
        <x:v>J. Carlos Avalle 6058, Villa María, Córdoba</x:v>
      </x:c>
      <x:c r="G32" s="12" t="str">
        <x:v>dueño / producción / expedición</x:v>
      </x:c>
      <x:c r="H32" s="12" t="str">
        <x:v>Movilización de camiones, acoplados, semirremolques o unidades que no pueden circular; despachos de fábrica.</x:v>
      </x:c>
      <x:c r="I32" s="12" t="str">
        <x:v>Plataforma 20 tn + malacate + hidrogrúa según maniobra.</x:v>
      </x:c>
      <x:c r="J32" s="12" t="str">
        <x:v>Pedir expedición/taller/logística; consultar movimientos mensuales y pesos.</x:v>
      </x:c>
      <x:c r="K32" s="12" t="str">
        <x:v>https://www.google.com/maps/search/?api=1&amp;query=Metal%C3%BArgica+JAP%2C+J.+Carlos+Avalle+6058%2C+Villa+Mar%C3%ADa%2C+C%C3%B3rdoba</x:v>
      </x:c>
      <x:c r="L32" s="12" t="str">
        <x:v>Web oficial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035e3e26c33242d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32" hidden="0" customWidth="1"/>
    <x:col min="4" max="4" width="42" hidden="0" customWidth="1"/>
    <x:col min="5" max="5" width="42" hidden="0" customWidth="1"/>
    <x:col min="6" max="6" width="42" hidden="0" customWidth="1"/>
    <x:col min="7" max="7" width="14" hidden="0" customWidth="1"/>
    <x:col min="8" max="8" width="24" hidden="0" customWidth="1"/>
    <x:col min="9" max="9" width="28" hidden="0" customWidth="1"/>
  </x:cols>
  <x:sheetData>
    <x:row r="1">
      <x:c r="A1" s="17" t="str">
        <x:v>PRESOL · RUTAS GOOGLE MAPS · VILLA MARÍA</x:v>
      </x:c>
      <x:c r="B1" s="17"/>
      <x:c r="C1" s="17"/>
      <x:c r="D1" s="17"/>
      <x:c r="E1" s="17"/>
      <x:c r="F1" s="17"/>
      <x:c r="G1" s="17"/>
      <x:c r="H1" s="17"/>
      <x:c r="I1" s="17"/>
    </x:row>
    <x:row r="3">
      <x:c r="A3" s="6" t="str">
        <x:v>Circuito</x:v>
      </x:c>
      <x:c r="B3" s="6" t="str">
        <x:v>Paradas</x:v>
      </x:c>
      <x:c r="C3" s="6" t="str">
        <x:v>Criterio</x:v>
      </x:c>
      <x:c r="D3" s="6" t="str">
        <x:v>Abrir ruta completa</x:v>
      </x:c>
    </x:row>
    <x:row r="4">
      <x:c r="A4" t="str">
        <x:v>Circuito 1 · PILT / RN9</x:v>
      </x:c>
      <x:c r="B4" t="n">
        <x:v>4</x:v>
      </x:c>
      <x:c r="C4" t="str">
        <x:v>Agrupado por corredor para minimizar retrocesos.</x:v>
      </x:c>
      <x:c r="D4" s="34" t="str">
        <x:v>https://www.google.com/maps/dir/?api=1&amp;origin=RN9+km+551%2C5%2C+Villa+Mar%C3%ADa%2C+C%C3%B3rdoba&amp;destination=RN9+km+556%2C+Villa+Mar%C3%ADa%2C+C%C3%B3rdoba&amp;travelmode=driving&amp;waypoints=RN9+km+551%2C5%2C+Villa+Mar%C3%ADa%2C+C%C3%B3rdoba%7CRN9+km+556%2C+Villa+Mar%C3%ADa%2C+C%C3%B3rdoba</x:v>
      </x:c>
    </x:row>
    <x:row r="5">
      <x:c r="A5" t="str">
        <x:v>Circuito 2 · AU9 / Colectoras</x:v>
      </x:c>
      <x:c r="B5" t="n">
        <x:v>6</x:v>
      </x:c>
      <x:c r="C5" t="str">
        <x:v>Agrupado por corredor para minimizar retrocesos.</x:v>
      </x:c>
      <x:c r="D5" s="34" t="str">
        <x:v>https://www.google.com/maps/dir/?api=1&amp;origin=AU+C%C3%B3rdoba+-+Rosario+km+560%2C+Villa+Mar%C3%ADa%2C+C%C3%B3rdoba&amp;destination=Autopista+C%C3%B3rdoba-Rosario%2C+Villa+Mar%C3%ADa%2C+C%C3%B3rdoba&amp;travelmode=driving&amp;waypoints=Colectora+AU9+km+561%2C+Villa+Mar%C3%ADa%2C+C%C3%B3rdoba%7CColectora+AU+C%C3%B3rdoba-Rosario+km+562%2C+Villa+Mar%C3%ADa%2C+C%C3%B3rdoba%7CAU9+km+563%2C+Villa+Mar%C3%ADa%2C+C%C3%B3rdoba%7CColectora+Sur+esq.+Francisco+Garc%C3%ADa%2C+Villa+Mar%C3%ADa%2C+C%C3%B3rdoba</x:v>
      </x:c>
    </x:row>
    <x:row r="6">
      <x:c r="A6" t="str">
        <x:v>Circuito 3 · RN158 / Perón / Seppey</x:v>
      </x:c>
      <x:c r="B6" t="n">
        <x:v>10</x:v>
      </x:c>
      <x:c r="C6" t="str">
        <x:v>Agrupado por corredor para minimizar retrocesos.</x:v>
      </x:c>
      <x:c r="D6" s="34" t="str">
        <x:v>https://www.google.com/maps/dir/?api=1&amp;origin=%C3%81rea+158+km+154%2C5%2C+Villa+Mar%C3%ADa%2C+C%C3%B3rdoba&amp;destination=Porfirio+Seppey+585%2C+Villa+Mar%C3%ADa%2C+C%C3%B3rdoba&amp;travelmode=driving&amp;waypoints=RN158+km+156%2C+Villa+Mar%C3%ADa%2C+C%C3%B3rdoba%7CRN158+151%2C+Villa+Mar%C3%ADa%2C+C%C3%B3rdoba%7CAv.+Presidente+Per%C3%B3n+2370%2C+Villa+Mar%C3%ADa%2C+C%C3%B3rdoba%7CAv.+Presidente+Per%C3%B3n+2987%2C+Villa+Mar%C3%ADa%2C+C%C3%B3rdoba%7CAv.+Presidente+Per%C3%B3n+3183%2C+Villa+Mar%C3%ADa%2C+C%C3%B3rdoba%7CPorfirio+Seppey+1807%2C+Villa+Mar%C3%ADa%2C+C%C3%B3rdoba%7CPorfirio+Seppey+1300%2C+Villa+Mar%C3%ADa%2C+C%C3%B3rdoba%7CPorfirio+Seppey+595%2C+Villa+Mar%C3%ADa%2C+C%C3%B3rdoba</x:v>
      </x:c>
    </x:row>
    <x:row r="9">
      <x:c r="A9" s="6" t="str">
        <x:v>Circuito</x:v>
      </x:c>
      <x:c r="B9" s="6" t="str">
        <x:v>Orden</x:v>
      </x:c>
      <x:c r="C9" s="6" t="str">
        <x:v>Empresa</x:v>
      </x:c>
      <x:c r="D9" s="6" t="str">
        <x:v>Dirección</x:v>
      </x:c>
      <x:c r="E9" s="6" t="str">
        <x:v>Mapa individual</x:v>
      </x:c>
      <x:c r="F9" s="6" t="str">
        <x:v>Ruta completa</x:v>
      </x:c>
      <x:c r="G9" s="6" t="str">
        <x:v>Estado visita</x:v>
      </x:c>
      <x:c r="H9" s="6" t="str">
        <x:v>Teléfono</x:v>
      </x:c>
      <x:c r="I9" s="6" t="str">
        <x:v>Preguntar por</x:v>
      </x:c>
    </x:row>
    <x:row r="10">
      <x:c r="A10" s="12" t="str">
        <x:v>C1</x:v>
      </x:c>
      <x:c r="B10" s="12" t="n">
        <x:v>1</x:v>
      </x:c>
      <x:c r="C10" s="12" t="str">
        <x:v>Terramar Logística - Villa María</x:v>
      </x:c>
      <x:c r="D10" s="12" t="str">
        <x:v>RN9 km 551,5, Villa María, Córdoba</x:v>
      </x:c>
      <x:c r="E10" s="12" t="str">
        <x:v>https://www.google.com/maps/search/?api=1&amp;query=Terramar+Log%C3%ADstica+-+Villa+Mar%C3%ADa%2C+RN9+km+551%2C5%2C+Villa+Mar%C3%ADa%2C+C%C3%B3rdoba</x:v>
      </x:c>
      <x:c r="F10" s="12" t="str">
        <x:v>https://www.google.com/maps/dir/?api=1&amp;origin=RN9+km+551%2C5%2C+Villa+Mar%C3%ADa%2C+C%C3%B3rdoba&amp;destination=RN9+km+556%2C+Villa+Mar%C3%ADa%2C+C%C3%B3rdoba&amp;travelmode=driving&amp;waypoints=RN9+km+551%2C5%2C+Villa+Mar%C3%ADa%2C+C%C3%B3rdoba%7CRN9+km+556%2C+Villa+Mar%C3%ADa%2C+C%C3%B3rdoba</x:v>
      </x:c>
      <x:c r="G10" s="12" t="str">
        <x:v>Pendiente</x:v>
      </x:c>
      <x:c r="H10" s="12" t="str">
        <x:v>0353 4236807</x:v>
      </x:c>
      <x:c r="I10" s="12" t="str">
        <x:v>operaciones / tráfico / logística</x:v>
      </x:c>
    </x:row>
    <x:row r="11">
      <x:c r="A11" s="12" t="str">
        <x:v>C1</x:v>
      </x:c>
      <x:c r="B11" s="12" t="n">
        <x:v>2</x:v>
      </x:c>
      <x:c r="C11" s="12" t="str">
        <x:v>Pedrolga</x:v>
      </x:c>
      <x:c r="D11" s="12" t="str">
        <x:v>RN9 km 551,5, Villa María, Córdoba</x:v>
      </x:c>
      <x:c r="E11" s="12" t="str">
        <x:v>https://www.google.com/maps/search/?api=1&amp;query=Pedrolga%2C+RN9+km+551%2C5%2C+Villa+Mar%C3%ADa%2C+C%C3%B3rdoba</x:v>
      </x:c>
      <x:c r="F11" s="12" t="str"/>
      <x:c r="G11" s="12" t="str">
        <x:v>Pendiente</x:v>
      </x:c>
      <x:c r="H11" s="12" t="str">
        <x:v>+54 353 4252853</x:v>
      </x:c>
      <x:c r="I11" s="12" t="str">
        <x:v>operaciones / tráfico / mantenimiento</x:v>
      </x:c>
    </x:row>
    <x:row r="12">
      <x:c r="A12" s="12" t="str">
        <x:v>C1</x:v>
      </x:c>
      <x:c r="B12" s="12" t="n">
        <x:v>3</x:v>
      </x:c>
      <x:c r="C12" s="12" t="str">
        <x:v>Industrias Cormetal S.A.</x:v>
      </x:c>
      <x:c r="D12" s="12" t="str">
        <x:v>RN9 km 556, Villa María, Córdoba</x:v>
      </x:c>
      <x:c r="E12" s="12" t="str">
        <x:v>https://www.google.com/maps/search/?api=1&amp;query=Industrias+Cormetal+S.A.%2C+RN9+km+556%2C+Villa+Mar%C3%ADa%2C+C%C3%B3rdoba</x:v>
      </x:c>
      <x:c r="F12" s="12" t="str"/>
      <x:c r="G12" s="12" t="str">
        <x:v>Pendiente</x:v>
      </x:c>
      <x:c r="H12" s="12" t="str">
        <x:v>0353 4610900</x:v>
      </x:c>
      <x:c r="I12" s="12" t="str">
        <x:v>producción / expedición / logística</x:v>
      </x:c>
    </x:row>
    <x:row r="13">
      <x:c r="A13" s="12" t="str">
        <x:v>C1</x:v>
      </x:c>
      <x:c r="B13" s="12" t="n">
        <x:v>4</x:v>
      </x:c>
      <x:c r="C13" s="12" t="str">
        <x:v>Coterra Hormigones</x:v>
      </x:c>
      <x:c r="D13" s="12" t="str">
        <x:v>RN9 km 556, Villa María, Córdoba</x:v>
      </x:c>
      <x:c r="E13" s="12" t="str">
        <x:v>https://www.google.com/maps/search/?api=1&amp;query=Coterra+Hormigones%2C+RN9+km+556%2C+Villa+Mar%C3%ADa%2C+C%C3%B3rdoba</x:v>
      </x:c>
      <x:c r="F13" s="12" t="str"/>
      <x:c r="G13" s="12" t="str">
        <x:v>Pendiente</x:v>
      </x:c>
      <x:c r="H13" s="12" t="str">
        <x:v>0353 4610900</x:v>
      </x:c>
      <x:c r="I13" s="12" t="str">
        <x:v>planta / mantenimiento / logística</x:v>
      </x:c>
    </x:row>
    <x:row r="14">
      <x:c r="A14" s="12" t="str">
        <x:v>C2</x:v>
      </x:c>
      <x:c r="B14" s="12" t="n">
        <x:v>1</x:v>
      </x:c>
      <x:c r="C14" s="12" t="str">
        <x:v>Caon - Concesionario Oficial CASE IH</x:v>
      </x:c>
      <x:c r="D14" s="12" t="str">
        <x:v>AU Córdoba - Rosario km 560, Villa María, Córdoba</x:v>
      </x:c>
      <x:c r="E14" s="12" t="str">
        <x:v>https://www.google.com/maps/search/?api=1&amp;query=Caon+-+Concesionario+Oficial+CASE+IH%2C+AU+C%C3%B3rdoba+-+Rosario+km+560%2C+Villa+Mar%C3%ADa%2C+C%C3%B3rdoba</x:v>
      </x:c>
      <x:c r="F14" s="12" t="str">
        <x:v>https://www.google.com/maps/dir/?api=1&amp;origin=AU+C%C3%B3rdoba+-+Rosario+km+560%2C+Villa+Mar%C3%ADa%2C+C%C3%B3rdoba&amp;destination=Autopista+C%C3%B3rdoba-Rosario%2C+Villa+Mar%C3%ADa%2C+C%C3%B3rdoba&amp;travelmode=driving&amp;waypoints=Colectora+AU9+km+561%2C+Villa+Mar%C3%ADa%2C+C%C3%B3rdoba%7CColectora+AU+C%C3%B3rdoba-Rosario+km+562%2C+Villa+Mar%C3%ADa%2C+C%C3%B3rdoba%7CAU9+km+563%2C+Villa+Mar%C3%ADa%2C+C%C3%B3rdoba%7CColectora+Sur+esq.+Francisco+Garc%C3%ADa%2C+Villa+Mar%C3%ADa%2C+C%C3%B3rdoba</x:v>
      </x:c>
      <x:c r="G14" s="12" t="str">
        <x:v>Pendiente</x:v>
      </x:c>
      <x:c r="H14" s="12" t="str">
        <x:v>+54 353 6560791</x:v>
      </x:c>
      <x:c r="I14" s="12" t="str">
        <x:v>gerencia / logística / posventa</x:v>
      </x:c>
    </x:row>
    <x:row r="15">
      <x:c r="A15" s="12" t="str">
        <x:v>C2</x:v>
      </x:c>
      <x:c r="B15" s="12" t="n">
        <x:v>2</x:v>
      </x:c>
      <x:c r="C15" s="12" t="str">
        <x:v>BAUMAR SAS</x:v>
      </x:c>
      <x:c r="D15" s="12" t="str">
        <x:v>Colectora AU9 km 561, Villa María, Córdoba</x:v>
      </x:c>
      <x:c r="E15" s="12" t="str">
        <x:v>https://www.google.com/maps/search/?api=1&amp;query=BAUMAR+SAS%2C+Colectora+AU9+km+561%2C+Villa+Mar%C3%ADa%2C+C%C3%B3rdoba</x:v>
      </x:c>
      <x:c r="F15" s="12" t="str"/>
      <x:c r="G15" s="12" t="str">
        <x:v>Pendiente</x:v>
      </x:c>
      <x:c r="H15" s="12" t="str">
        <x:v>+54 353 4014200</x:v>
      </x:c>
      <x:c r="I15" s="12" t="str">
        <x:v>alquileres / logística / posventa</x:v>
      </x:c>
    </x:row>
    <x:row r="16">
      <x:c r="A16" s="12" t="str">
        <x:v>C2</x:v>
      </x:c>
      <x:c r="B16" s="12" t="n">
        <x:v>3</x:v>
      </x:c>
      <x:c r="C16" s="12" t="str">
        <x:v>SCANIA Región Centro Villa María</x:v>
      </x:c>
      <x:c r="D16" s="12" t="str">
        <x:v>Colectora AU Córdoba-Rosario km 562, Villa María, Córdoba</x:v>
      </x:c>
      <x:c r="E16" s="12" t="str">
        <x:v>https://www.google.com/maps/search/?api=1&amp;query=SCANIA+Regi%C3%B3n+Centro+Villa+Mar%C3%ADa%2C+Colectora+AU+C%C3%B3rdoba-Rosario+km+562%2C+Villa+Mar%C3%ADa%2C+C%C3%B3rdoba</x:v>
      </x:c>
      <x:c r="F16" s="12" t="str"/>
      <x:c r="G16" s="12" t="str">
        <x:v>Pendiente</x:v>
      </x:c>
      <x:c r="H16" s="12" t="str">
        <x:v>+54 353 4783255</x:v>
      </x:c>
      <x:c r="I16" s="12" t="str">
        <x:v>posventa / logística / usados</x:v>
      </x:c>
    </x:row>
    <x:row r="17">
      <x:c r="A17" s="12" t="str">
        <x:v>C2</x:v>
      </x:c>
      <x:c r="B17" s="12" t="n">
        <x:v>4</x:v>
      </x:c>
      <x:c r="C17" s="12" t="str">
        <x:v>SALA - Villa María</x:v>
      </x:c>
      <x:c r="D17" s="12" t="str">
        <x:v>AU9 km 563, Villa María, Córdoba</x:v>
      </x:c>
      <x:c r="E17" s="12" t="str">
        <x:v>https://www.google.com/maps/search/?api=1&amp;query=SALA+-+Villa+Mar%C3%ADa%2C+AU9+km+563%2C+Villa+Mar%C3%ADa%2C+C%C3%B3rdoba</x:v>
      </x:c>
      <x:c r="F17" s="12" t="str"/>
      <x:c r="G17" s="12" t="str">
        <x:v>Pendiente</x:v>
      </x:c>
      <x:c r="H17" s="12" t="str">
        <x:v>+54 9 358 4870793</x:v>
      </x:c>
      <x:c r="I17" s="12" t="str">
        <x:v>logística / ventas / posventa</x:v>
      </x:c>
    </x:row>
    <x:row r="18">
      <x:c r="A18" s="12" t="str">
        <x:v>C2</x:v>
      </x:c>
      <x:c r="B18" s="12" t="n">
        <x:v>5</x:v>
      </x:c>
      <x:c r="C18" s="12" t="str">
        <x:v>Pauny - Comercializadora Pauny</x:v>
      </x:c>
      <x:c r="D18" s="12" t="str">
        <x:v>Colectora Sur esq. Francisco García, Villa María, Córdoba</x:v>
      </x:c>
      <x:c r="E18" s="12" t="str">
        <x:v>https://www.google.com/maps/search/?api=1&amp;query=Pauny+-+Comercializadora+Pauny%2C+Colectora+Sur+esq.+Francisco+Garc%C3%ADa%2C+Villa+Mar%C3%ADa%2C+C%C3%B3rdoba</x:v>
      </x:c>
      <x:c r="F18" s="12" t="str"/>
      <x:c r="G18" s="12" t="str">
        <x:v>Pendiente</x:v>
      </x:c>
      <x:c r="H18" s="12" t="str">
        <x:v>+54 353 5002145</x:v>
      </x:c>
      <x:c r="I18" s="12" t="str">
        <x:v>logística / ventas / posventa</x:v>
      </x:c>
    </x:row>
    <x:row r="19">
      <x:c r="A19" s="12" t="str">
        <x:v>C2</x:v>
      </x:c>
      <x:c r="B19" s="12" t="n">
        <x:v>6</x:v>
      </x:c>
      <x:c r="C19" s="12" t="str">
        <x:v>LatinaCam Villa María - Volvo Trucks &amp; Buses</x:v>
      </x:c>
      <x:c r="D19" s="12" t="str">
        <x:v>Autopista Córdoba-Rosario, Villa María, Córdoba</x:v>
      </x:c>
      <x:c r="E19" s="12" t="str">
        <x:v>https://www.google.com/maps/search/?api=1&amp;query=LatinaCam+Villa+Mar%C3%ADa+-+Volvo+Trucks+%26+Buses%2C+Autopista+C%C3%B3rdoba-Rosario%2C+Villa+Mar%C3%ADa%2C+C%C3%B3rdoba</x:v>
      </x:c>
      <x:c r="F19" s="12" t="str"/>
      <x:c r="G19" s="12" t="str">
        <x:v>Pendiente</x:v>
      </x:c>
      <x:c r="H19" s="12" t="str">
        <x:v>+54 351 4928750</x:v>
      </x:c>
      <x:c r="I19" s="12" t="str">
        <x:v>posventa / logística / usados</x:v>
      </x:c>
    </x:row>
    <x:row r="20">
      <x:c r="A20" s="12" t="str">
        <x:v>C3</x:v>
      </x:c>
      <x:c r="B20" s="12" t="n">
        <x:v>1</x:v>
      </x:c>
      <x:c r="C20" s="12" t="str">
        <x:v>Agro GM Sucursal Villa María</x:v>
      </x:c>
      <x:c r="D20" s="12" t="str">
        <x:v>Área 158 km 154,5, Villa María, Córdoba</x:v>
      </x:c>
      <x:c r="E20" s="12" t="str">
        <x:v>https://www.google.com/maps/search/?api=1&amp;query=Agro+GM+Sucursal+Villa+Mar%C3%ADa%2C+%C3%81rea+158+km+154%2C5%2C+Villa+Mar%C3%ADa%2C+C%C3%B3rdoba</x:v>
      </x:c>
      <x:c r="F20" s="12" t="str">
        <x:v>https://www.google.com/maps/dir/?api=1&amp;origin=%C3%81rea+158+km+154%2C5%2C+Villa+Mar%C3%ADa%2C+C%C3%B3rdoba&amp;destination=Porfirio+Seppey+585%2C+Villa+Mar%C3%ADa%2C+C%C3%B3rdoba&amp;travelmode=driving&amp;waypoints=RN158+km+156%2C+Villa+Mar%C3%ADa%2C+C%C3%B3rdoba%7CRN158+151%2C+Villa+Mar%C3%ADa%2C+C%C3%B3rdoba%7CAv.+Presidente+Per%C3%B3n+2370%2C+Villa+Mar%C3%ADa%2C+C%C3%B3rdoba%7CAv.+Presidente+Per%C3%B3n+2987%2C+Villa+Mar%C3%ADa%2C+C%C3%B3rdoba%7CAv.+Presidente+Per%C3%B3n+3183%2C+Villa+Mar%C3%ADa%2C+C%C3%B3rdoba%7CPorfirio+Seppey+1807%2C+Villa+Mar%C3%ADa%2C+C%C3%B3rdoba%7CPorfirio+Seppey+1300%2C+Villa+Mar%C3%ADa%2C+C%C3%B3rdoba%7CPorfirio+Seppey+595%2C+Villa+Mar%C3%ADa%2C+C%C3%B3rdoba</x:v>
      </x:c>
      <x:c r="G20" s="12" t="str">
        <x:v>Pendiente</x:v>
      </x:c>
      <x:c r="H20" s="12" t="str">
        <x:v>+54 353 6560055</x:v>
      </x:c>
      <x:c r="I20" s="12" t="str">
        <x:v>logística / posventa / ventas</x:v>
      </x:c>
    </x:row>
    <x:row r="21">
      <x:c r="A21" s="12" t="str">
        <x:v>C3</x:v>
      </x:c>
      <x:c r="B21" s="12" t="n">
        <x:v>2</x:v>
      </x:c>
      <x:c r="C21" s="12" t="str">
        <x:v>GEMELO MAQUINARIAS</x:v>
      </x:c>
      <x:c r="D21" s="12" t="str">
        <x:v>RN158 km 156, Villa María, Córdoba</x:v>
      </x:c>
      <x:c r="E21" s="12" t="str">
        <x:v>https://www.google.com/maps/search/?api=1&amp;query=GEMELO+MAQUINARIAS%2C+RN158+km+156%2C+Villa+Mar%C3%ADa%2C+C%C3%B3rdoba</x:v>
      </x:c>
      <x:c r="F21" s="12" t="str"/>
      <x:c r="G21" s="12" t="str">
        <x:v>Pendiente</x:v>
      </x:c>
      <x:c r="H21" s="12" t="str">
        <x:v>+54 353 6573496</x:v>
      </x:c>
      <x:c r="I21" s="12" t="str">
        <x:v>producción / expedición</x:v>
      </x:c>
    </x:row>
    <x:row r="22">
      <x:c r="A22" s="12" t="str">
        <x:v>C3</x:v>
      </x:c>
      <x:c r="B22" s="12" t="n">
        <x:v>3</x:v>
      </x:c>
      <x:c r="C22" s="12" t="str">
        <x:v>Delpino Implementos Agrícolas</x:v>
      </x:c>
      <x:c r="D22" s="12" t="str">
        <x:v>RN158 151, Villa María, Córdoba</x:v>
      </x:c>
      <x:c r="E22" s="12" t="str">
        <x:v>https://www.google.com/maps/search/?api=1&amp;query=Delpino+Implementos+Agr%C3%ADcolas%2C+RN158+151%2C+Villa+Mar%C3%ADa%2C+C%C3%B3rdoba</x:v>
      </x:c>
      <x:c r="F22" s="12" t="str"/>
      <x:c r="G22" s="12" t="str">
        <x:v>Pendiente</x:v>
      </x:c>
      <x:c r="H22" s="12" t="str">
        <x:v>+54 353 4238829</x:v>
      </x:c>
      <x:c r="I22" s="12" t="str">
        <x:v>producción / expedición / ventas</x:v>
      </x:c>
    </x:row>
    <x:row r="23">
      <x:c r="A23" s="12" t="str">
        <x:v>C3</x:v>
      </x:c>
      <x:c r="B23" s="12" t="n">
        <x:v>4</x:v>
      </x:c>
      <x:c r="C23" s="12" t="str">
        <x:v>Cristante Hnos. - Sucursal Villa María</x:v>
      </x:c>
      <x:c r="D23" s="12" t="str">
        <x:v>Av. Presidente Perón 2370, Villa María, Córdoba</x:v>
      </x:c>
      <x:c r="E23" s="12" t="str">
        <x:v>https://www.google.com/maps/search/?api=1&amp;query=Cristante+Hnos.+-+Sucursal+Villa+Mar%C3%ADa%2C+Av.+Presidente+Per%C3%B3n+2370%2C+Villa+Mar%C3%ADa%2C+C%C3%B3rdoba</x:v>
      </x:c>
      <x:c r="F23" s="12" t="str"/>
      <x:c r="G23" s="12" t="str">
        <x:v>Pendiente</x:v>
      </x:c>
      <x:c r="H23" s="12" t="str">
        <x:v>0353 4203132</x:v>
      </x:c>
      <x:c r="I23" s="12" t="str">
        <x:v>logística / posventa / ventas</x:v>
      </x:c>
    </x:row>
    <x:row r="24">
      <x:c r="A24" s="12" t="str">
        <x:v>C3</x:v>
      </x:c>
      <x:c r="B24" s="12" t="n">
        <x:v>5</x:v>
      </x:c>
      <x:c r="C24" s="12" t="str">
        <x:v>SURCAR SRL</x:v>
      </x:c>
      <x:c r="D24" s="12" t="str">
        <x:v>Av. Presidente Perón 2987, Villa María, Córdoba</x:v>
      </x:c>
      <x:c r="E24" s="12" t="str">
        <x:v>https://www.google.com/maps/search/?api=1&amp;query=SURCAR+SRL%2C+Av.+Presidente+Per%C3%B3n+2987%2C+Villa+Mar%C3%ADa%2C+C%C3%B3rdoba</x:v>
      </x:c>
      <x:c r="F24" s="12" t="str"/>
      <x:c r="G24" s="12" t="str">
        <x:v>Pendiente</x:v>
      </x:c>
      <x:c r="H24" s="12" t="str">
        <x:v>+54 351 7002987</x:v>
      </x:c>
      <x:c r="I24" s="12" t="str">
        <x:v>ventas / logística / posventa</x:v>
      </x:c>
    </x:row>
    <x:row r="25">
      <x:c r="A25" s="12" t="str">
        <x:v>C3</x:v>
      </x:c>
      <x:c r="B25" s="12" t="n">
        <x:v>6</x:v>
      </x:c>
      <x:c r="C25" s="12" t="str">
        <x:v>Gastón López Autoelevadores</x:v>
      </x:c>
      <x:c r="D25" s="12" t="str">
        <x:v>Av. Presidente Perón 3183, Villa María, Córdoba</x:v>
      </x:c>
      <x:c r="E25" s="12" t="str">
        <x:v>https://www.google.com/maps/search/?api=1&amp;query=Gast%C3%B3n+L%C3%B3pez+Autoelevadores%2C+Av.+Presidente+Per%C3%B3n+3183%2C+Villa+Mar%C3%ADa%2C+C%C3%B3rdoba</x:v>
      </x:c>
      <x:c r="F25" s="12" t="str"/>
      <x:c r="G25" s="12" t="str">
        <x:v>Pendiente</x:v>
      </x:c>
      <x:c r="H25" s="12" t="str">
        <x:v>+54 353 5105452</x:v>
      </x:c>
      <x:c r="I25" s="12" t="str">
        <x:v>dueño / service / logística</x:v>
      </x:c>
    </x:row>
    <x:row r="26">
      <x:c r="A26" s="12" t="str">
        <x:v>C3</x:v>
      </x:c>
      <x:c r="B26" s="12" t="n">
        <x:v>7</x:v>
      </x:c>
      <x:c r="C26" s="12" t="str">
        <x:v>MB Logística - Autoelevadores</x:v>
      </x:c>
      <x:c r="D26" s="12" t="str">
        <x:v>Porfirio Seppey 1807, Villa María, Córdoba</x:v>
      </x:c>
      <x:c r="E26" s="12" t="str">
        <x:v>https://www.google.com/maps/search/?api=1&amp;query=MB+Log%C3%ADstica+-+Autoelevadores%2C+Porfirio+Seppey+1807%2C+Villa+Mar%C3%ADa%2C+C%C3%B3rdoba</x:v>
      </x:c>
      <x:c r="F26" s="12" t="str"/>
      <x:c r="G26" s="12" t="str">
        <x:v>Pendiente</x:v>
      </x:c>
      <x:c r="H26" s="12" t="str">
        <x:v>0353 4065634</x:v>
      </x:c>
      <x:c r="I26" s="12" t="str">
        <x:v>alquileres / logística / mantenimiento</x:v>
      </x:c>
    </x:row>
    <x:row r="27">
      <x:c r="A27" s="12" t="str">
        <x:v>C3</x:v>
      </x:c>
      <x:c r="B27" s="12" t="n">
        <x:v>8</x:v>
      </x:c>
      <x:c r="C27" s="12" t="str">
        <x:v>MW Agropartes</x:v>
      </x:c>
      <x:c r="D27" s="12" t="str">
        <x:v>Porfirio Seppey 1300, Villa María, Córdoba</x:v>
      </x:c>
      <x:c r="E27" s="12" t="str">
        <x:v>https://www.google.com/maps/search/?api=1&amp;query=MW+Agropartes%2C+Porfirio+Seppey+1300%2C+Villa+Mar%C3%ADa%2C+C%C3%B3rdoba</x:v>
      </x:c>
      <x:c r="F27" s="12" t="str"/>
      <x:c r="G27" s="12" t="str">
        <x:v>Pendiente</x:v>
      </x:c>
      <x:c r="H27" s="12" t="str">
        <x:v>+54 9 353 4232403</x:v>
      </x:c>
      <x:c r="I27" s="12" t="str">
        <x:v>producción / expedición</x:v>
      </x:c>
    </x:row>
    <x:row r="28">
      <x:c r="A28" s="12" t="str">
        <x:v>C3</x:v>
      </x:c>
      <x:c r="B28" s="12" t="n">
        <x:v>9</x:v>
      </x:c>
      <x:c r="C28" s="12" t="str">
        <x:v>GRÚAS VILLA MARÍA S.R.L.</x:v>
      </x:c>
      <x:c r="D28" s="12" t="str">
        <x:v>Porfirio Seppey 595, Villa María, Córdoba</x:v>
      </x:c>
      <x:c r="E28" s="12" t="str">
        <x:v>https://www.google.com/maps/search/?api=1&amp;query=GR%C3%9AAS+VILLA+MAR%C3%8DA+S.R.L.%2C+Porfirio+Seppey+595%2C+Villa+Mar%C3%ADa%2C+C%C3%B3rdoba</x:v>
      </x:c>
      <x:c r="F28" s="12" t="str"/>
      <x:c r="G28" s="12" t="str">
        <x:v>Pendiente</x:v>
      </x:c>
      <x:c r="H28" s="12" t="str">
        <x:v>+54 9 353 4294901</x:v>
      </x:c>
      <x:c r="I28" s="12" t="str">
        <x:v>operaciones / logística</x:v>
      </x:c>
    </x:row>
    <x:row r="29">
      <x:c r="A29" s="12" t="str">
        <x:v>C3</x:v>
      </x:c>
      <x:c r="B29" s="12" t="n">
        <x:v>10</x:v>
      </x:c>
      <x:c r="C29" s="12" t="str">
        <x:v>Izajes Villa María S.R.L.</x:v>
      </x:c>
      <x:c r="D29" s="12" t="str">
        <x:v>Porfirio Seppey 585, Villa María, Córdoba</x:v>
      </x:c>
      <x:c r="E29" s="12" t="str">
        <x:v>https://www.google.com/maps/search/?api=1&amp;query=Izajes+Villa+Mar%C3%ADa+S.R.L.%2C+Porfirio+Seppey+585%2C+Villa+Mar%C3%ADa%2C+C%C3%B3rdoba</x:v>
      </x:c>
      <x:c r="F29" s="12" t="str"/>
      <x:c r="G29" s="12" t="str">
        <x:v>Pendiente</x:v>
      </x:c>
      <x:c r="H29" s="12" t="str">
        <x:v>+54 353 5668799</x:v>
      </x:c>
      <x:c r="I29" s="12" t="str">
        <x:v>operaciones / certificaciones / logística</x:v>
      </x:c>
    </x:row>
  </x:sheetData>
  <x:mergeCells>
    <x:mergeCell ref="A1:I1"/>
  </x:mergeCells>
  <x:dataValidations count="1">
    <x:dataValidation type="list" sqref="G10:G29">
      <x:formula1>"Pendiente,Visitado,Reprogramar,No visitar"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6774dfed4741a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8" hidden="0" customWidth="1"/>
    <x:col min="3" max="3" width="32" hidden="0" customWidth="1"/>
    <x:col min="4" max="4" width="22" hidden="0" customWidth="1"/>
    <x:col min="5" max="5" width="13" hidden="0" customWidth="1"/>
    <x:col min="6" max="6" width="28" hidden="0" customWidth="1"/>
    <x:col min="7" max="7" width="42" hidden="0" customWidth="1"/>
    <x:col min="8" max="8" width="26" hidden="0" customWidth="1"/>
    <x:col min="9" max="9" width="48" hidden="0" customWidth="1"/>
  </x:cols>
  <x:sheetData>
    <x:row r="1">
      <x:c r="A1" s="6" t="str">
        <x:v>ID</x:v>
      </x:c>
      <x:c r="B1" s="6" t="str">
        <x:v>Clase</x:v>
      </x:c>
      <x:c r="C1" s="6" t="str">
        <x:v>Empresa</x:v>
      </x:c>
      <x:c r="D1" s="6" t="str">
        <x:v>Teléfonos</x:v>
      </x:c>
      <x:c r="E1" s="6" t="str">
        <x:v>Calidad</x:v>
      </x:c>
      <x:c r="F1" s="6" t="str">
        <x:v>Preguntar por</x:v>
      </x:c>
      <x:c r="G1" s="6" t="str">
        <x:v>Dirección</x:v>
      </x:c>
      <x:c r="H1" s="6" t="str">
        <x:v>Fuente</x:v>
      </x:c>
      <x:c r="I1" s="6" t="str">
        <x:v>URL fuente</x:v>
      </x:c>
    </x:row>
    <x:row r="2">
      <x:c r="A2" s="12" t="str">
        <x:v>VM-001</x:v>
      </x:c>
      <x:c r="B2" s="12" t="str">
        <x:v>A+</x:v>
      </x:c>
      <x:c r="C2" s="12" t="str">
        <x:v>BAUMAR SAS</x:v>
      </x:c>
      <x:c r="D2" s="12" t="str">
        <x:v>+54 353 4014200</x:v>
      </x:c>
      <x:c r="E2" s="12" t="str">
        <x:v>OK</x:v>
      </x:c>
      <x:c r="F2" s="12" t="str">
        <x:v>alquileres / logística / posventa</x:v>
      </x:c>
      <x:c r="G2" s="12" t="str">
        <x:v>Colectora AU9 km 561, Villa María, Córdoba</x:v>
      </x:c>
      <x:c r="H2" s="12" t="str">
        <x:v>Web oficial</x:v>
      </x:c>
      <x:c r="I2" s="12" t="str">
        <x:v>https://baumar.ar/</x:v>
      </x:c>
    </x:row>
    <x:row r="3">
      <x:c r="A3" s="12" t="str">
        <x:v>VM-002</x:v>
      </x:c>
      <x:c r="B3" s="12" t="str">
        <x:v>A+</x:v>
      </x:c>
      <x:c r="C3" s="12" t="str">
        <x:v>Caon - Concesionario Oficial CASE IH</x:v>
      </x:c>
      <x:c r="D3" s="12" t="str">
        <x:v>+54 353 6560791</x:v>
      </x:c>
      <x:c r="E3" s="12" t="str">
        <x:v>OK</x:v>
      </x:c>
      <x:c r="F3" s="12" t="str">
        <x:v>gerencia / logística / posventa</x:v>
      </x:c>
      <x:c r="G3" s="12" t="str">
        <x:v>Au Córdoba - Rosario km 560, Villa María, Córdoba</x:v>
      </x:c>
      <x:c r="H3" s="12" t="str">
        <x:v>Case IH oficial</x:v>
      </x:c>
      <x:c r="I3" s="12" t="str">
        <x:v>https://media.cnh.com/latin-america-spanish/case-ih/cih-latest-news/red-case-ih--grupo-caon-inaugura-su-nueva-casa-central-en-villa-maria-y-fortalece-su-presencia-en-el/s/69d3be6a-6799-451d-973c-223cb239e0e5</x:v>
      </x:c>
    </x:row>
    <x:row r="4">
      <x:c r="A4" s="12" t="str">
        <x:v>VM-003</x:v>
      </x:c>
      <x:c r="B4" s="12" t="str">
        <x:v>A+</x:v>
      </x:c>
      <x:c r="C4" s="12" t="str">
        <x:v>Industrias Cormetal S.A.</x:v>
      </x:c>
      <x:c r="D4" s="12" t="str">
        <x:v>0353 4610900</x:v>
      </x:c>
      <x:c r="E4" s="12" t="str">
        <x:v>OK</x:v>
      </x:c>
      <x:c r="F4" s="12" t="str">
        <x:v>producción / expedición / logística</x:v>
      </x:c>
      <x:c r="G4" s="12" t="str">
        <x:v>RN9 km 556, Villa María, Córdoba</x:v>
      </x:c>
      <x:c r="H4" s="12" t="str">
        <x:v>Portal Industrial</x:v>
      </x:c>
      <x:c r="I4" s="12" t="str">
        <x:v>https://www.portal-industrial.com.ar/empresa/industrias-cormetal-sa/8686/</x:v>
      </x:c>
    </x:row>
    <x:row r="5">
      <x:c r="A5" s="12" t="str">
        <x:v>VM-004</x:v>
      </x:c>
      <x:c r="B5" s="12" t="str">
        <x:v>A+</x:v>
      </x:c>
      <x:c r="C5" s="12" t="str">
        <x:v>Pedrolga</x:v>
      </x:c>
      <x:c r="D5" s="12" t="str">
        <x:v>+54 353 4252853</x:v>
      </x:c>
      <x:c r="E5" s="12" t="str">
        <x:v>OK</x:v>
      </x:c>
      <x:c r="F5" s="12" t="str">
        <x:v>operaciones / tráfico / mantenimiento</x:v>
      </x:c>
      <x:c r="G5" s="12" t="str">
        <x:v>PILT, RN9 km 551,5, Villa María, Córdoba</x:v>
      </x:c>
      <x:c r="H5" s="12" t="str">
        <x:v>Web oficial</x:v>
      </x:c>
      <x:c r="I5" s="12" t="str">
        <x:v>https://pedrolga.com/servicio-almacenamiento-frio</x:v>
      </x:c>
    </x:row>
    <x:row r="6">
      <x:c r="A6" s="12" t="str">
        <x:v>VM-005</x:v>
      </x:c>
      <x:c r="B6" s="12" t="str">
        <x:v>A+</x:v>
      </x:c>
      <x:c r="C6" s="12" t="str">
        <x:v>Terramar Logística - Villa María</x:v>
      </x:c>
      <x:c r="D6" s="12" t="str">
        <x:v>0353 4236807</x:v>
      </x:c>
      <x:c r="E6" s="12" t="str">
        <x:v>OK</x:v>
      </x:c>
      <x:c r="F6" s="12" t="str">
        <x:v>operaciones / tráfico / logística</x:v>
      </x:c>
      <x:c r="G6" s="12" t="str">
        <x:v>RN9 km 551,5, PILT, Villa María, Córdoba</x:v>
      </x:c>
      <x:c r="H6" s="12" t="str">
        <x:v>Web oficial</x:v>
      </x:c>
      <x:c r="I6" s="12" t="str">
        <x:v>https://www.terramarlogistica.com.ar/contenedoresvillamaria/</x:v>
      </x:c>
    </x:row>
    <x:row r="7">
      <x:c r="A7" s="12" t="str">
        <x:v>VM-006</x:v>
      </x:c>
      <x:c r="B7" s="12" t="str">
        <x:v>A+</x:v>
      </x:c>
      <x:c r="C7" s="12" t="str">
        <x:v>Terranova Movimiento de Suelo</x:v>
      </x:c>
      <x:c r="D7" s="12" t="str">
        <x:v>+54 353 4065207</x:v>
      </x:c>
      <x:c r="E7" s="12" t="str">
        <x:v>OK</x:v>
      </x:c>
      <x:c r="F7" s="12" t="str">
        <x:v>dueño / operaciones / equipos</x:v>
      </x:c>
      <x:c r="G7" s="12" t="str">
        <x:v>Ascasubi 577, Villa María, Córdoba</x:v>
      </x:c>
      <x:c r="H7" s="12" t="str">
        <x:v>Google Business</x:v>
      </x:c>
      <x:c r="I7" s="12" t="str">
        <x:v>https://www.google.com/maps/search/?api=1&amp;query=Terranova+Movimiento+de+Suelo%2C+Ascasubi+577%2C+Villa+Mar%C3%ADa%2C+C%C3%B3rdoba</x:v>
      </x:c>
    </x:row>
    <x:row r="8">
      <x:c r="A8" s="12" t="str">
        <x:v>VM-007</x:v>
      </x:c>
      <x:c r="B8" s="12" t="str">
        <x:v>A+</x:v>
      </x:c>
      <x:c r="C8" s="12" t="str">
        <x:v>Bartolomé Cerutti SRL - New Holland</x:v>
      </x:c>
      <x:c r="D8" s="12" t="str">
        <x:v>0353 4522560 / 0353 154208761</x:v>
      </x:c>
      <x:c r="E8" s="12" t="str">
        <x:v>OK</x:v>
      </x:c>
      <x:c r="F8" s="12" t="str">
        <x:v>logística / posventa / usados</x:v>
      </x:c>
      <x:c r="G8" s="12" t="str">
        <x:v>Larrabure 1100, Villa María, Córdoba</x:v>
      </x:c>
      <x:c r="H8" s="12" t="str">
        <x:v>Web oficial</x:v>
      </x:c>
      <x:c r="I8" s="12" t="str">
        <x:v>https://bartolomecerutti.com.ar/</x:v>
      </x:c>
    </x:row>
    <x:row r="9">
      <x:c r="A9" s="12" t="str">
        <x:v>VM-008</x:v>
      </x:c>
      <x:c r="B9" s="12" t="str">
        <x:v>A+</x:v>
      </x:c>
      <x:c r="C9" s="12" t="str">
        <x:v>Metalúrgica JAP</x:v>
      </x:c>
      <x:c r="D9" s="12" t="str">
        <x:v>+54 353 6563732 / +54 353 5657977</x:v>
      </x:c>
      <x:c r="E9" s="12" t="str">
        <x:v>OK</x:v>
      </x:c>
      <x:c r="F9" s="12" t="str">
        <x:v>dueño / producción / expedición</x:v>
      </x:c>
      <x:c r="G9" s="12" t="str">
        <x:v>J. Carlos Avalle 6058, Villa María, Córdoba</x:v>
      </x:c>
      <x:c r="H9" s="12" t="str">
        <x:v>Web oficial</x:v>
      </x:c>
      <x:c r="I9" s="12" t="str">
        <x:v>https://www.metalurgicajap.com/</x:v>
      </x:c>
    </x:row>
    <x:row r="10">
      <x:c r="A10" s="12" t="str">
        <x:v>VM-009</x:v>
      </x:c>
      <x:c r="B10" s="12" t="str">
        <x:v>A+</x:v>
      </x:c>
      <x:c r="C10" s="12" t="str">
        <x:v>Pauny - Comercializadora Pauny</x:v>
      </x:c>
      <x:c r="D10" s="12" t="str">
        <x:v>+54 353 5002145</x:v>
      </x:c>
      <x:c r="E10" s="12" t="str">
        <x:v>OK</x:v>
      </x:c>
      <x:c r="F10" s="12" t="str">
        <x:v>logística / ventas / posventa</x:v>
      </x:c>
      <x:c r="G10" s="12" t="str">
        <x:v>Colectora Sur esq. Francisco García, AU Córdoba-Rosario, Villa María, Córdoba</x:v>
      </x:c>
      <x:c r="H10" s="12" t="str">
        <x:v>Tanzi concesionarios</x:v>
      </x:c>
      <x:c r="I10" s="12" t="str">
        <x:v>https://www.tanzi.com.ar/concesionarios.php</x:v>
      </x:c>
    </x:row>
    <x:row r="11">
      <x:c r="A11" s="12" t="str">
        <x:v>VM-010</x:v>
      </x:c>
      <x:c r="B11" s="12" t="str">
        <x:v>A+</x:v>
      </x:c>
      <x:c r="C11" s="12" t="str">
        <x:v>SCANIA Región Centro Villa María</x:v>
      </x:c>
      <x:c r="D11" s="12" t="str">
        <x:v>+54 353 4783255</x:v>
      </x:c>
      <x:c r="E11" s="12" t="str">
        <x:v>OK</x:v>
      </x:c>
      <x:c r="F11" s="12" t="str">
        <x:v>posventa / logística / usados</x:v>
      </x:c>
      <x:c r="G11" s="12" t="str">
        <x:v>Colectora AU Córdoba-Rosario km 562, Villa María, Córdoba</x:v>
      </x:c>
      <x:c r="H11" s="12" t="str">
        <x:v>Google Business</x:v>
      </x:c>
      <x:c r="I11" s="12" t="str">
        <x:v>https://www.google.com/maps/search/?api=1&amp;query=SCANIA+Regi%C3%B3n+Centro+Villa+Mar%C3%ADa%2C+Colectora+AU+C%C3%B3rdoba-Rosario+km+562%2C+Villa+Mar%C3%ADa%2C+C%C3%B3rdoba</x:v>
      </x:c>
    </x:row>
    <x:row r="12">
      <x:c r="A12" s="12" t="str">
        <x:v>VM-011</x:v>
      </x:c>
      <x:c r="B12" s="12" t="str">
        <x:v>A+</x:v>
      </x:c>
      <x:c r="C12" s="12" t="str">
        <x:v>Agro GM Sucursal Villa María</x:v>
      </x:c>
      <x:c r="D12" s="12" t="str">
        <x:v>+54 353 6560055</x:v>
      </x:c>
      <x:c r="E12" s="12" t="str">
        <x:v>OK</x:v>
      </x:c>
      <x:c r="F12" s="12" t="str">
        <x:v>logística / posventa / ventas</x:v>
      </x:c>
      <x:c r="G12" s="12" t="str">
        <x:v>Área 158 km 154,5, Villa María, Córdoba</x:v>
      </x:c>
      <x:c r="H12" s="12" t="str">
        <x:v>Google Business</x:v>
      </x:c>
      <x:c r="I12" s="12" t="str">
        <x:v>https://www.google.com/maps/search/?api=1&amp;query=Agro+GM+Sucursal+Villa+Mar%C3%ADa%2C+%C3%81rea+158+km+154%2C5%2C+Villa+Mar%C3%ADa%2C+C%C3%B3rdoba</x:v>
      </x:c>
    </x:row>
    <x:row r="13">
      <x:c r="A13" s="12" t="str">
        <x:v>VM-012</x:v>
      </x:c>
      <x:c r="B13" s="12" t="str">
        <x:v>A+</x:v>
      </x:c>
      <x:c r="C13" s="12" t="str">
        <x:v>GEMA ARGENTINA</x:v>
      </x:c>
      <x:c r="D13" s="12" t="str">
        <x:v>+54 353 4257703</x:v>
      </x:c>
      <x:c r="E13" s="12" t="str">
        <x:v>OK</x:v>
      </x:c>
      <x:c r="F13" s="12" t="str">
        <x:v>producción / expedición / logística</x:v>
      </x:c>
      <x:c r="G13" s="12" t="str">
        <x:v>Av. Presidente Perón y Paso de la Patria, Villa María, Córdoba</x:v>
      </x:c>
      <x:c r="H13" s="12" t="str">
        <x:v>Google Business</x:v>
      </x:c>
      <x:c r="I13" s="12" t="str">
        <x:v>https://www.google.com/maps/search/?api=1&amp;query=GEMA+ARGENTINA%2C+Av.+Presidente+Per%C3%B3n+y+Paso+de+la+Patria%2C+Villa+Mar%C3%ADa%2C+C%C3%B3rdoba</x:v>
      </x:c>
    </x:row>
    <x:row r="14">
      <x:c r="A14" s="12" t="str">
        <x:v>VM-013</x:v>
      </x:c>
      <x:c r="B14" s="12" t="str">
        <x:v>A+</x:v>
      </x:c>
      <x:c r="C14" s="12" t="str">
        <x:v>GEMELO MAQUINARIAS</x:v>
      </x:c>
      <x:c r="D14" s="12" t="str">
        <x:v>+54 353 6573496</x:v>
      </x:c>
      <x:c r="E14" s="12" t="str">
        <x:v>OK</x:v>
      </x:c>
      <x:c r="F14" s="12" t="str">
        <x:v>producción / expedición</x:v>
      </x:c>
      <x:c r="G14" s="12" t="str">
        <x:v>RN158 km 156, Villa María, Córdoba</x:v>
      </x:c>
      <x:c r="H14" s="12" t="str">
        <x:v>Google Business</x:v>
      </x:c>
      <x:c r="I14" s="12" t="str">
        <x:v>https://www.google.com/maps/search/?api=1&amp;query=GEMELO+MAQUINARIAS%2C+RN158+km+156%2C+Villa+Mar%C3%ADa%2C+C%C3%B3rdoba</x:v>
      </x:c>
    </x:row>
    <x:row r="15">
      <x:c r="A15" s="12" t="str">
        <x:v>VM-014</x:v>
      </x:c>
      <x:c r="B15" s="12" t="str">
        <x:v>A+</x:v>
      </x:c>
      <x:c r="C15" s="12" t="str">
        <x:v>LatinaCam Villa María - Volvo Trucks &amp; Buses</x:v>
      </x:c>
      <x:c r="D15" s="12" t="str">
        <x:v>+54 351 4928750</x:v>
      </x:c>
      <x:c r="E15" s="12" t="str">
        <x:v>OK</x:v>
      </x:c>
      <x:c r="F15" s="12" t="str">
        <x:v>posventa / logística / usados</x:v>
      </x:c>
      <x:c r="G15" s="12" t="str">
        <x:v>Autopista Córdoba-Rosario, Villa María, Córdoba</x:v>
      </x:c>
      <x:c r="H15" s="12" t="str">
        <x:v>Google Business</x:v>
      </x:c>
      <x:c r="I15" s="12" t="str">
        <x:v>https://www.google.com/maps/search/?api=1&amp;query=LatinaCam+Villa+Mar%C3%ADa%2C+Autopista+C%C3%B3rdoba-Rosario%2C+Villa+Mar%C3%ADa%2C+C%C3%B3rdoba</x:v>
      </x:c>
    </x:row>
    <x:row r="16">
      <x:c r="A16" s="12" t="str">
        <x:v>VM-015</x:v>
      </x:c>
      <x:c r="B16" s="12" t="str">
        <x:v>A+</x:v>
      </x:c>
      <x:c r="C16" s="12" t="str">
        <x:v>MB Logística - Autoelevadores</x:v>
      </x:c>
      <x:c r="D16" s="12" t="str">
        <x:v>0353 4065634</x:v>
      </x:c>
      <x:c r="E16" s="12" t="str">
        <x:v>OK</x:v>
      </x:c>
      <x:c r="F16" s="12" t="str">
        <x:v>alquileres / logística / mantenimiento</x:v>
      </x:c>
      <x:c r="G16" s="12" t="str">
        <x:v>Porfirio Seppey 1807, Villa María, Córdoba</x:v>
      </x:c>
      <x:c r="H16" s="12" t="str">
        <x:v>Google Business</x:v>
      </x:c>
      <x:c r="I16" s="12" t="str">
        <x:v>https://www.google.com/maps/search/?api=1&amp;query=MB+Log%C3%ADstica+Villa+Mar%C3%ADa%2C+Porfirio+Seppey+1807%2C+Villa+Mar%C3%ADa%2C+C%C3%B3rdoba</x:v>
      </x:c>
    </x:row>
    <x:row r="17">
      <x:c r="A17" s="12" t="str">
        <x:v>VM-016</x:v>
      </x:c>
      <x:c r="B17" s="12" t="str">
        <x:v>A+</x:v>
      </x:c>
      <x:c r="C17" s="12" t="str">
        <x:v>Cristante Hnos. - Sucursal Villa María</x:v>
      </x:c>
      <x:c r="D17" s="12" t="str">
        <x:v>0353 4203132</x:v>
      </x:c>
      <x:c r="E17" s="12" t="str">
        <x:v>OK</x:v>
      </x:c>
      <x:c r="F17" s="12" t="str">
        <x:v>logística / posventa / ventas</x:v>
      </x:c>
      <x:c r="G17" s="12" t="str">
        <x:v>Av. Presidente Perón 2370, Villa María, Córdoba</x:v>
      </x:c>
      <x:c r="H17" s="12" t="str">
        <x:v>Web oficial</x:v>
      </x:c>
      <x:c r="I17" s="12" t="str">
        <x:v>https://www.cristantehnos.com.ar/</x:v>
      </x:c>
    </x:row>
    <x:row r="18">
      <x:c r="A18" s="12" t="str">
        <x:v>VM-017</x:v>
      </x:c>
      <x:c r="B18" s="12" t="str">
        <x:v>A+</x:v>
      </x:c>
      <x:c r="C18" s="12" t="str">
        <x:v>Delpino Implementos Agrícolas</x:v>
      </x:c>
      <x:c r="D18" s="12" t="str">
        <x:v>+54 353 4238829</x:v>
      </x:c>
      <x:c r="E18" s="12" t="str">
        <x:v>OK</x:v>
      </x:c>
      <x:c r="F18" s="12" t="str">
        <x:v>producción / expedición / ventas</x:v>
      </x:c>
      <x:c r="G18" s="12" t="str">
        <x:v>RN158 151, Villa María, Córdoba</x:v>
      </x:c>
      <x:c r="H18" s="12" t="str">
        <x:v>Google Business</x:v>
      </x:c>
      <x:c r="I18" s="12" t="str">
        <x:v>https://www.google.com/maps/search/?api=1&amp;query=Delpino+Implementos+Agr%C3%ADcolas%2C+RN158+151%2C+Villa+Mar%C3%ADa%2C+C%C3%B3rdoba</x:v>
      </x:c>
    </x:row>
    <x:row r="19">
      <x:c r="A19" s="12" t="str">
        <x:v>VM-018</x:v>
      </x:c>
      <x:c r="B19" s="12" t="str">
        <x:v>A+</x:v>
      </x:c>
      <x:c r="C19" s="12" t="str">
        <x:v>GRÚAS VILLA MARÍA S.R.L.</x:v>
      </x:c>
      <x:c r="D19" s="12" t="str">
        <x:v>+54 9 353 4294901</x:v>
      </x:c>
      <x:c r="E19" s="12" t="str">
        <x:v>OK</x:v>
      </x:c>
      <x:c r="F19" s="12" t="str">
        <x:v>operaciones / logística</x:v>
      </x:c>
      <x:c r="G19" s="12" t="str">
        <x:v>Porfirio Seppey 595, Villa María, Córdoba</x:v>
      </x:c>
      <x:c r="H19" s="12" t="str">
        <x:v>Google Business</x:v>
      </x:c>
      <x:c r="I19" s="12" t="str">
        <x:v>https://www.google.com/maps/search/?api=1&amp;query=GR%C3%9AAS+VILLA+MAR%C3%8DA+S.R.L.%2C+Porfirio+Seppey+595%2C+Villa+Mar%C3%ADa%2C+C%C3%B3rdoba</x:v>
      </x:c>
    </x:row>
    <x:row r="20">
      <x:c r="A20" s="12" t="str">
        <x:v>VM-019</x:v>
      </x:c>
      <x:c r="B20" s="12" t="str">
        <x:v>A+</x:v>
      </x:c>
      <x:c r="C20" s="12" t="str">
        <x:v>Managro Autopista</x:v>
      </x:c>
      <x:c r="D20" s="12" t="str">
        <x:v>+54 353 4282774</x:v>
      </x:c>
      <x:c r="E20" s="12" t="str">
        <x:v>OK</x:v>
      </x:c>
      <x:c r="F20" s="12" t="str">
        <x:v>producción / logística / expedición</x:v>
      </x:c>
      <x:c r="G20" s="12" t="str">
        <x:v>M. J. Suppo 216, Villa María, Córdoba</x:v>
      </x:c>
      <x:c r="H20" s="12" t="str">
        <x:v>Google Business</x:v>
      </x:c>
      <x:c r="I20" s="12" t="str">
        <x:v>https://www.google.com/maps/search/?api=1&amp;query=Managro+Autopista%2C+M.+J.+Suppo+216%2C+Villa+Mar%C3%ADa%2C+C%C3%B3rdoba</x:v>
      </x:c>
    </x:row>
    <x:row r="21">
      <x:c r="A21" s="12" t="str">
        <x:v>VM-020</x:v>
      </x:c>
      <x:c r="B21" s="12" t="str">
        <x:v>A+</x:v>
      </x:c>
      <x:c r="C21" s="12" t="str">
        <x:v>SALA - Villa María</x:v>
      </x:c>
      <x:c r="D21" s="12" t="str">
        <x:v>+54 9 358 4870793</x:v>
      </x:c>
      <x:c r="E21" s="12" t="str">
        <x:v>OK</x:v>
      </x:c>
      <x:c r="F21" s="12" t="str">
        <x:v>logística / ventas / posventa</x:v>
      </x:c>
      <x:c r="G21" s="12" t="str">
        <x:v>Av. Colectora, AU9 km 563, Villa María, Córdoba</x:v>
      </x:c>
      <x:c r="H21" s="12" t="str">
        <x:v>Google Business</x:v>
      </x:c>
      <x:c r="I21" s="12" t="str">
        <x:v>https://www.google.com/maps/search/?api=1&amp;query=SALA+Villa+Mar%C3%ADa%2C+AU9+km+563%2C+Villa+Mar%C3%ADa%2C+C%C3%B3rdoba</x:v>
      </x:c>
    </x:row>
    <x:row r="22">
      <x:c r="A22" s="12" t="str">
        <x:v>VM-021</x:v>
      </x:c>
      <x:c r="B22" s="12" t="str">
        <x:v>A+</x:v>
      </x:c>
      <x:c r="C22" s="12" t="str">
        <x:v>Izajes Villa María S.R.L.</x:v>
      </x:c>
      <x:c r="D22" s="12" t="str">
        <x:v>+54 353 5668799</x:v>
      </x:c>
      <x:c r="E22" s="12" t="str">
        <x:v>OK</x:v>
      </x:c>
      <x:c r="F22" s="12" t="str">
        <x:v>operaciones / certificaciones / logística</x:v>
      </x:c>
      <x:c r="G22" s="12" t="str">
        <x:v>Porfirio Seppey 585, Villa María, Córdoba</x:v>
      </x:c>
      <x:c r="H22" s="12" t="str">
        <x:v>Google Business</x:v>
      </x:c>
      <x:c r="I22" s="12" t="str">
        <x:v>https://www.google.com/maps/search/?api=1&amp;query=Izajes+Villa+Mar%C3%ADa+S.R.L.%2C+Porfirio+Seppey+585%2C+Villa+Mar%C3%ADa%2C+C%C3%B3rdoba</x:v>
      </x:c>
    </x:row>
    <x:row r="23">
      <x:c r="A23" s="12" t="str">
        <x:v>VM-022</x:v>
      </x:c>
      <x:c r="B23" s="12" t="str">
        <x:v>A+</x:v>
      </x:c>
      <x:c r="C23" s="12" t="str">
        <x:v>Moray Precision Planting</x:v>
      </x:c>
      <x:c r="D23" s="12" t="str">
        <x:v>A verificar</x:v>
      </x:c>
      <x:c r="E23" s="12" t="str">
        <x:v>A verificar</x:v>
      </x:c>
      <x:c r="F23" s="12" t="str">
        <x:v>servicio a sembradoras / logística</x:v>
      </x:c>
      <x:c r="G23" s="12" t="str">
        <x:v>Parque Industrial, Logístico y Tecnológico (PILT), RN9 km 551,5, Villa María, Córdoba</x:v>
      </x:c>
      <x:c r="H23" s="12" t="str">
        <x:v>PILT / Municipalidad</x:v>
      </x:c>
      <x:c r="I23" s="12" t="str">
        <x:v>https://pilt.com.ar/parque-industrial/nueva-empresa-se-suma-al-parque-industrial/</x:v>
      </x:c>
    </x:row>
    <x:row r="24">
      <x:c r="A24" s="12" t="str">
        <x:v>VM-023</x:v>
      </x:c>
      <x:c r="B24" s="12" t="str">
        <x:v>A+</x:v>
      </x:c>
      <x:c r="C24" s="12" t="str">
        <x:v>Nuevo Remolques Trailer S.A.</x:v>
      </x:c>
      <x:c r="D24" s="12" t="str">
        <x:v>A verificar</x:v>
      </x:c>
      <x:c r="E24" s="12" t="str">
        <x:v>A verificar</x:v>
      </x:c>
      <x:c r="F24" s="12" t="str">
        <x:v>producción / expedición</x:v>
      </x:c>
      <x:c r="G24" s="12" t="str">
        <x:v>Parque Industrial, Logístico y Tecnológico (PILT), RN9 km 551,5, Villa María, Córdoba</x:v>
      </x:c>
      <x:c r="H24" s="12" t="str">
        <x:v>Dateas - parque industrial</x:v>
      </x:c>
      <x:c r="I24" s="12" t="str">
        <x:v>https://www.dateas.com/es/explore/industrias-parque-industrial-villa-maria?page=3</x:v>
      </x:c>
    </x:row>
    <x:row r="25">
      <x:c r="A25" s="12" t="str">
        <x:v>VM-024</x:v>
      </x:c>
      <x:c r="B25" s="12" t="str">
        <x:v>A+</x:v>
      </x:c>
      <x:c r="C25" s="12" t="str">
        <x:v>SURCAR SRL</x:v>
      </x:c>
      <x:c r="D25" s="12" t="str">
        <x:v>+54 351 7002987</x:v>
      </x:c>
      <x:c r="E25" s="12" t="str">
        <x:v>OK</x:v>
      </x:c>
      <x:c r="F25" s="12" t="str">
        <x:v>ventas / logística / posventa</x:v>
      </x:c>
      <x:c r="G25" s="12" t="str">
        <x:v>Av. Presidente Perón 2987, Villa María, Córdoba</x:v>
      </x:c>
      <x:c r="H25" s="12" t="str">
        <x:v>Google Business</x:v>
      </x:c>
      <x:c r="I25" s="12" t="str">
        <x:v>https://www.google.com/maps/search/?api=1&amp;query=SURCAR+SRL%2C+Av.+Presidente+Per%C3%B3n+2987%2C+Villa+Mar%C3%ADa%2C+C%C3%B3rdoba</x:v>
      </x:c>
    </x:row>
    <x:row r="26">
      <x:c r="A26" s="12" t="str">
        <x:v>VM-025</x:v>
      </x:c>
      <x:c r="B26" s="12" t="str">
        <x:v>A+</x:v>
      </x:c>
      <x:c r="C26" s="12" t="str">
        <x:v>VM Agrícola</x:v>
      </x:c>
      <x:c r="D26" s="12" t="str">
        <x:v>+54 353 5695760</x:v>
      </x:c>
      <x:c r="E26" s="12" t="str">
        <x:v>OK</x:v>
      </x:c>
      <x:c r="F26" s="12" t="str">
        <x:v>dueño / ventas / logística</x:v>
      </x:c>
      <x:c r="G26" s="12" t="str">
        <x:v>Salta 270, Villa María, Córdoba</x:v>
      </x:c>
      <x:c r="H26" s="12" t="str">
        <x:v>Google Business</x:v>
      </x:c>
      <x:c r="I26" s="12" t="str">
        <x:v>https://www.google.com/maps/search/?api=1&amp;query=VM+Agr%C3%ADcola%2C+Salta+270%2C+Villa+Mar%C3%ADa%2C+C%C3%B3rdoba</x:v>
      </x:c>
    </x:row>
    <x:row r="27">
      <x:c r="A27" s="12" t="str">
        <x:v>VM-026</x:v>
      </x:c>
      <x:c r="B27" s="12" t="str">
        <x:v>A+</x:v>
      </x:c>
      <x:c r="C27" s="12" t="str">
        <x:v>COATA Córdoba</x:v>
      </x:c>
      <x:c r="D27" s="12" t="str">
        <x:v>0351 4557919 / 4553311</x:v>
      </x:c>
      <x:c r="E27" s="12" t="str">
        <x:v>OK</x:v>
      </x:c>
      <x:c r="F27" s="12" t="str">
        <x:v>operaciones / tráfico</x:v>
      </x:c>
      <x:c r="G27" s="12" t="str">
        <x:v>Parque Industrial, Logístico y Tecnológico (PILT), RN9 km 551,5, Villa María, Córdoba</x:v>
      </x:c>
      <x:c r="H27" s="12" t="str">
        <x:v>Dateas - parque industrial</x:v>
      </x:c>
      <x:c r="I27" s="12" t="str">
        <x:v>https://www.dateas.com/es/explore/industrias-parque-industrial-villa-maria?page=1</x:v>
      </x:c>
    </x:row>
    <x:row r="28">
      <x:c r="A28" s="12" t="str">
        <x:v>VM-027</x:v>
      </x:c>
      <x:c r="B28" s="12" t="str">
        <x:v>A+</x:v>
      </x:c>
      <x:c r="C28" s="12" t="str">
        <x:v>Gastón López Autoelevadores</x:v>
      </x:c>
      <x:c r="D28" s="12" t="str">
        <x:v>+54 353 5105452</x:v>
      </x:c>
      <x:c r="E28" s="12" t="str">
        <x:v>OK</x:v>
      </x:c>
      <x:c r="F28" s="12" t="str">
        <x:v>dueño / service / logística</x:v>
      </x:c>
      <x:c r="G28" s="12" t="str">
        <x:v>Av. Presidente Perón 3183, Villa María, Córdoba</x:v>
      </x:c>
      <x:c r="H28" s="12" t="str">
        <x:v>Google Business</x:v>
      </x:c>
      <x:c r="I28" s="12" t="str">
        <x:v>https://www.google.com/maps/search/?api=1&amp;query=Gast%C3%B3n+L%C3%B3pez+Autoelevadores%2C+Av.+Presidente+Per%C3%B3n+3183%2C+Villa+Mar%C3%ADa%2C+C%C3%B3rdoba</x:v>
      </x:c>
    </x:row>
    <x:row r="29">
      <x:c r="A29" s="12" t="str">
        <x:v>VM-028</x:v>
      </x:c>
      <x:c r="B29" s="12" t="str">
        <x:v>A+</x:v>
      </x:c>
      <x:c r="C29" s="12" t="str">
        <x:v>INDUTAMB SRL</x:v>
      </x:c>
      <x:c r="D29" s="12" t="str">
        <x:v>0353 5657870</x:v>
      </x:c>
      <x:c r="E29" s="12" t="str">
        <x:v>OK</x:v>
      </x:c>
      <x:c r="F29" s="12" t="str">
        <x:v>producción / expedición</x:v>
      </x:c>
      <x:c r="G29" s="12" t="str">
        <x:v>Parque Industrial, Logístico y Tecnológico (PILT), RN9 km 551,5, Villa María, Córdoba</x:v>
      </x:c>
      <x:c r="H29" s="12" t="str">
        <x:v>Dateas - parque industrial</x:v>
      </x:c>
      <x:c r="I29" s="12" t="str">
        <x:v>https://www.dateas.com/es/explore/industrias-parque-industrial-villa-maria?page=2</x:v>
      </x:c>
    </x:row>
    <x:row r="30">
      <x:c r="A30" s="12" t="str">
        <x:v>VM-029</x:v>
      </x:c>
      <x:c r="B30" s="12" t="str">
        <x:v>A+</x:v>
      </x:c>
      <x:c r="C30" s="12" t="str">
        <x:v>Metalquímica Banchio Hnos. S.A.</x:v>
      </x:c>
      <x:c r="D30" s="12" t="str">
        <x:v>A verificar</x:v>
      </x:c>
      <x:c r="E30" s="12" t="str">
        <x:v>A verificar</x:v>
      </x:c>
      <x:c r="F30" s="12" t="str">
        <x:v>producción / expedición</x:v>
      </x:c>
      <x:c r="G30" s="12" t="str">
        <x:v>Parque Industrial, Logístico y Tecnológico (PILT), RN9 km 551,5, Villa María, Córdoba</x:v>
      </x:c>
      <x:c r="H30" s="12" t="str">
        <x:v>Dateas - parque industrial</x:v>
      </x:c>
      <x:c r="I30" s="12" t="str">
        <x:v>https://www.dateas.com/es/explore/industrias-parque-industrial-villa-maria?page=3</x:v>
      </x:c>
    </x:row>
    <x:row r="31">
      <x:c r="A31" s="12" t="str">
        <x:v>VM-030</x:v>
      </x:c>
      <x:c r="B31" s="12" t="str">
        <x:v>A+</x:v>
      </x:c>
      <x:c r="C31" s="12" t="str">
        <x:v>MW Agropartes</x:v>
      </x:c>
      <x:c r="D31" s="12" t="str">
        <x:v>+54 9 353 4232403</x:v>
      </x:c>
      <x:c r="E31" s="12" t="str">
        <x:v>OK</x:v>
      </x:c>
      <x:c r="F31" s="12" t="str">
        <x:v>producción / expedición</x:v>
      </x:c>
      <x:c r="G31" s="12" t="str">
        <x:v>Porfirio Seppey 1300, Villa María, Córdoba</x:v>
      </x:c>
      <x:c r="H31" s="12" t="str">
        <x:v>Google Business</x:v>
      </x:c>
      <x:c r="I31" s="12" t="str">
        <x:v>https://www.google.com/maps/search/?api=1&amp;query=MW+Agropartes%2C+Porfirio+Seppey+1300%2C+Villa+Mar%C3%ADa%2C+C%C3%B3rdoba</x:v>
      </x:c>
    </x:row>
    <x:row r="32">
      <x:c r="A32" s="12" t="str">
        <x:v>VM-031</x:v>
      </x:c>
      <x:c r="B32" s="12" t="str">
        <x:v>A+</x:v>
      </x:c>
      <x:c r="C32" s="12" t="str">
        <x:v>Fábrica de Carrocerías Remolques Trailers</x:v>
      </x:c>
      <x:c r="D32" s="12" t="str">
        <x:v>+54 353 5657975</x:v>
      </x:c>
      <x:c r="E32" s="12" t="str">
        <x:v>OK</x:v>
      </x:c>
      <x:c r="F32" s="12" t="str">
        <x:v>producción / expedición</x:v>
      </x:c>
      <x:c r="G32" s="12" t="str">
        <x:v>Porfirio Seppey 1389, Villa María, Córdoba</x:v>
      </x:c>
      <x:c r="H32" s="12" t="str">
        <x:v>Google Business</x:v>
      </x:c>
      <x:c r="I32" s="12" t="str">
        <x:v>https://www.google.com/maps/search/?api=1&amp;query=F%C3%A1brica+de+Carrocer%C3%ADas+Remolques+Trailers%2C+Porfirio+Seppey+1389%2C+Villa+Mar%C3%ADa%2C+C%C3%B3rdoba</x:v>
      </x:c>
    </x:row>
    <x:row r="33">
      <x:c r="A33" s="12" t="str">
        <x:v>VM-032</x:v>
      </x:c>
      <x:c r="B33" s="12" t="str">
        <x:v>A+</x:v>
      </x:c>
      <x:c r="C33" s="12" t="str">
        <x:v>Tallone Esteban</x:v>
      </x:c>
      <x:c r="D33" s="12" t="str">
        <x:v>0353 5083578 / 4880252</x:v>
      </x:c>
      <x:c r="E33" s="12" t="str">
        <x:v>OK</x:v>
      </x:c>
      <x:c r="F33" s="12" t="str">
        <x:v>producción / expedición</x:v>
      </x:c>
      <x:c r="G33" s="12" t="str">
        <x:v>Parque Industrial, Logístico y Tecnológico (PILT), RN9 km 551,5, Villa María, Córdoba</x:v>
      </x:c>
      <x:c r="H33" s="12" t="str">
        <x:v>Dateas - parque industrial</x:v>
      </x:c>
      <x:c r="I33" s="12" t="str">
        <x:v>https://www.dateas.com/es/explore/industrias-parque-industrial-villa-maria/tallone-esteban-95</x:v>
      </x:c>
    </x:row>
    <x:row r="34">
      <x:c r="A34" s="12" t="str">
        <x:v>VM-033</x:v>
      </x:c>
      <x:c r="B34" s="12" t="str">
        <x:v>A+</x:v>
      </x:c>
      <x:c r="C34" s="12" t="str">
        <x:v>Larrosa Camiones</x:v>
      </x:c>
      <x:c r="D34" s="12" t="str">
        <x:v>0353 4531301</x:v>
      </x:c>
      <x:c r="E34" s="12" t="str">
        <x:v>OK</x:v>
      </x:c>
      <x:c r="F34" s="12" t="str">
        <x:v>ventas / taller / logística</x:v>
      </x:c>
      <x:c r="G34" s="12" t="str">
        <x:v>Chiclana y Larrabure, Villa María, Córdoba</x:v>
      </x:c>
      <x:c r="H34" s="12" t="str">
        <x:v>Google Business</x:v>
      </x:c>
      <x:c r="I34" s="12" t="str">
        <x:v>https://www.google.com/maps/search/?api=1&amp;query=Larrosa+Camiones%2C+Chiclana+y+Larrabure%2C+Villa+Mar%C3%ADa%2C+C%C3%B3rdoba</x:v>
      </x:c>
    </x:row>
    <x:row r="35">
      <x:c r="A35" s="12" t="str">
        <x:v>VM-034</x:v>
      </x:c>
      <x:c r="B35" s="12" t="str">
        <x:v>A+</x:v>
      </x:c>
      <x:c r="C35" s="12" t="str">
        <x:v>MR Logística</x:v>
      </x:c>
      <x:c r="D35" s="12" t="str">
        <x:v>A verificar</x:v>
      </x:c>
      <x:c r="E35" s="12" t="str">
        <x:v>A verificar</x:v>
      </x:c>
      <x:c r="F35" s="12" t="str">
        <x:v>operaciones / tráfico</x:v>
      </x:c>
      <x:c r="G35" s="12" t="str">
        <x:v>Parque Industrial, Logístico y Tecnológico (PILT), RN9 km 551,5, Villa María, Córdoba</x:v>
      </x:c>
      <x:c r="H35" s="12" t="str">
        <x:v>Dateas - parque industrial</x:v>
      </x:c>
      <x:c r="I35" s="12" t="str">
        <x:v>https://www.dateas.com/es/explore/industrias-parque-industrial-villa-maria?page=3</x:v>
      </x:c>
    </x:row>
    <x:row r="36">
      <x:c r="A36" s="12" t="str">
        <x:v>VM-035</x:v>
      </x:c>
      <x:c r="B36" s="12" t="str">
        <x:v>A+</x:v>
      </x:c>
      <x:c r="C36" s="12" t="str">
        <x:v>Stainless Steel Manufacturers SRL</x:v>
      </x:c>
      <x:c r="D36" s="12" t="str">
        <x:v>A verificar</x:v>
      </x:c>
      <x:c r="E36" s="12" t="str">
        <x:v>A verificar</x:v>
      </x:c>
      <x:c r="F36" s="12" t="str">
        <x:v>producción / proyectos / logística</x:v>
      </x:c>
      <x:c r="G36" s="12" t="str">
        <x:v>Parque Industrial, Logístico y Tecnológico (PILT), RN9 km 551,5, Villa María, Córdoba</x:v>
      </x:c>
      <x:c r="H36" s="12" t="str">
        <x:v>Dateas - parque industrial</x:v>
      </x:c>
      <x:c r="I36" s="12" t="str">
        <x:v>https://www.dateas.com/es/explore/industrias-parque-industrial-villa-maria?page=4</x:v>
      </x:c>
    </x:row>
    <x:row r="37">
      <x:c r="A37" s="12" t="str">
        <x:v>VM-036</x:v>
      </x:c>
      <x:c r="B37" s="12" t="str">
        <x:v>A+</x:v>
      </x:c>
      <x:c r="C37" s="12" t="str">
        <x:v>Villa María Camiones</x:v>
      </x:c>
      <x:c r="D37" s="12" t="str">
        <x:v>+54 353 6570697</x:v>
      </x:c>
      <x:c r="E37" s="12" t="str">
        <x:v>OK</x:v>
      </x:c>
      <x:c r="F37" s="12" t="str">
        <x:v>ventas / taller / logística</x:v>
      </x:c>
      <x:c r="G37" s="12" t="str">
        <x:v>Av. Colón 1600, Villa María, Córdoba</x:v>
      </x:c>
      <x:c r="H37" s="12" t="str">
        <x:v>Google Business</x:v>
      </x:c>
      <x:c r="I37" s="12" t="str">
        <x:v>https://www.google.com/maps/search/?api=1&amp;query=Villa+Mar%C3%ADa+Camiones%2C+Av.+Col%C3%B3n+1600%2C+Villa+Mar%C3%ADa%2C+C%C3%B3rdoba</x:v>
      </x:c>
    </x:row>
    <x:row r="38">
      <x:c r="A38" s="12" t="str">
        <x:v>VM-037</x:v>
      </x:c>
      <x:c r="B38" s="12" t="str">
        <x:v>A</x:v>
      </x:c>
      <x:c r="C38" s="12" t="str">
        <x:v>Coterra Hormigones</x:v>
      </x:c>
      <x:c r="D38" s="12" t="str">
        <x:v>0353 4610900</x:v>
      </x:c>
      <x:c r="E38" s="12" t="str">
        <x:v>OK</x:v>
      </x:c>
      <x:c r="F38" s="12" t="str">
        <x:v>planta / mantenimiento / logística</x:v>
      </x:c>
      <x:c r="G38" s="12" t="str">
        <x:v>RN9 km 556, Villa María, Córdoba</x:v>
      </x:c>
      <x:c r="H38" s="12" t="str">
        <x:v>Google Business</x:v>
      </x:c>
      <x:c r="I38" s="12" t="str">
        <x:v>https://www.google.com/maps/search/?api=1&amp;query=Coterra+Hormigones%2C+RN9+km+556%2C+Villa+Mar%C3%ADa%2C+C%C3%B3rdoba</x:v>
      </x:c>
    </x:row>
    <x:row r="39">
      <x:c r="A39" s="12" t="str">
        <x:v>VM-038</x:v>
      </x:c>
      <x:c r="B39" s="12" t="str">
        <x:v>A</x:v>
      </x:c>
      <x:c r="C39" s="12" t="str">
        <x:v>La Marchesina</x:v>
      </x:c>
      <x:c r="D39" s="12" t="str">
        <x:v>0353 4530967</x:v>
      </x:c>
      <x:c r="E39" s="12" t="str">
        <x:v>OK</x:v>
      </x:c>
      <x:c r="F39" s="12" t="str">
        <x:v>planta / logística / mantenimiento</x:v>
      </x:c>
      <x:c r="G39" s="12" t="str">
        <x:v>Calafate 1255, Villa María, Córdoba</x:v>
      </x:c>
      <x:c r="H39" s="12" t="str">
        <x:v>Google Business</x:v>
      </x:c>
      <x:c r="I39" s="12" t="str">
        <x:v>https://www.google.com/maps/search/?api=1&amp;query=La+Marchesina%2C+Calafate+1255%2C+Villa+Mar%C3%ADa%2C+C%C3%B3rdoba</x:v>
      </x:c>
    </x:row>
    <x:row r="40">
      <x:c r="A40" s="12" t="str">
        <x:v>VM-039</x:v>
      </x:c>
      <x:c r="B40" s="12" t="str">
        <x:v>A</x:v>
      </x:c>
      <x:c r="C40" s="12" t="str">
        <x:v>Estructuras Metálicas "Brazo Fuerte"</x:v>
      </x:c>
      <x:c r="D40" s="12" t="str">
        <x:v>0353 4213479</x:v>
      </x:c>
      <x:c r="E40" s="12" t="str">
        <x:v>OK</x:v>
      </x:c>
      <x:c r="F40" s="12" t="str">
        <x:v>producción / montaje / logística</x:v>
      </x:c>
      <x:c r="G40" s="12" t="str">
        <x:v>Porfirio Seppey 1213, Villa María, Córdoba</x:v>
      </x:c>
      <x:c r="H40" s="12" t="str">
        <x:v>Google Business</x:v>
      </x:c>
      <x:c r="I40" s="12" t="str">
        <x:v>https://www.google.com/maps/search/?api=1&amp;query=Estructuras+Met%C3%A1licas+Brazo+Fuerte%2C+Porfirio+Seppey+1213%2C+Villa+Mar%C3%ADa%2C+C%C3%B3rdoba</x:v>
      </x:c>
    </x:row>
    <x:row r="41">
      <x:c r="A41" s="12" t="str">
        <x:v>VM-040</x:v>
      </x:c>
      <x:c r="B41" s="12" t="str">
        <x:v>A</x:v>
      </x:c>
      <x:c r="C41" s="12" t="str">
        <x:v>Magno</x:v>
      </x:c>
      <x:c r="D41" s="12" t="str">
        <x:v>A verificar</x:v>
      </x:c>
      <x:c r="E41" s="12" t="str">
        <x:v>A verificar</x:v>
      </x:c>
      <x:c r="F41" s="12" t="str">
        <x:v>producción / logística / proyectos</x:v>
      </x:c>
      <x:c r="G41" s="12" t="str">
        <x:v>Parque Industrial, Logístico y Tecnológico (PILT), RN9 km 551,5, Villa María, Córdoba</x:v>
      </x:c>
      <x:c r="H41" s="12" t="str">
        <x:v>Municipalidad</x:v>
      </x:c>
      <x:c r="I41" s="12" t="str">
        <x:v>https://villamaria.gob.ar/novedades/2025/7/27/la-empresa-local-magno-proyecta-la-construccion-de-su-planta-en-el-parque-industrial</x:v>
      </x:c>
    </x:row>
    <x:row r="42">
      <x:c r="A42" s="12" t="str">
        <x:v>VM-041</x:v>
      </x:c>
      <x:c r="B42" s="12" t="str">
        <x:v>A</x:v>
      </x:c>
      <x:c r="C42" s="12" t="str">
        <x:v>Hidrocentro Servicios S.R.L.</x:v>
      </x:c>
      <x:c r="D42" s="12" t="str">
        <x:v>A verificar</x:v>
      </x:c>
      <x:c r="E42" s="12" t="str">
        <x:v>A verificar</x:v>
      </x:c>
      <x:c r="F42" s="12" t="str">
        <x:v>proyectos / montaje / logística</x:v>
      </x:c>
      <x:c r="G42" s="12" t="str">
        <x:v>Parque Industrial, Logístico y Tecnológico (PILT), RN9 km 551,5, Villa María, Córdoba</x:v>
      </x:c>
      <x:c r="H42" s="12" t="str">
        <x:v>Dateas - parque industrial</x:v>
      </x:c>
      <x:c r="I42" s="12" t="str">
        <x:v>https://www.dateas.com/es/explore/industrias-parque-industrial-villa-maria?page=2</x:v>
      </x:c>
    </x:row>
    <x:row r="43">
      <x:c r="A43" s="12" t="str">
        <x:v>VM-042</x:v>
      </x:c>
      <x:c r="B43" s="12" t="str">
        <x:v>A</x:v>
      </x:c>
      <x:c r="C43" s="12" t="str">
        <x:v>Lácteos La Cristina S.A.</x:v>
      </x:c>
      <x:c r="D43" s="12" t="str">
        <x:v>0353 4548043</x:v>
      </x:c>
      <x:c r="E43" s="12" t="str">
        <x:v>OK</x:v>
      </x:c>
      <x:c r="F43" s="12" t="str">
        <x:v>mantenimiento / compras / planta</x:v>
      </x:c>
      <x:c r="G43" s="12" t="str">
        <x:v>Av. General Savio 3500, Villa María, Córdoba</x:v>
      </x:c>
      <x:c r="H43" s="12" t="str">
        <x:v>Web oficial</x:v>
      </x:c>
      <x:c r="I43" s="12" t="str">
        <x:v>https://lcsuero.com/quienes-somos.html</x:v>
      </x:c>
    </x:row>
    <x:row r="44">
      <x:c r="A44" s="12" t="str">
        <x:v>VM-043</x:v>
      </x:c>
      <x:c r="B44" s="12" t="str">
        <x:v>A</x:v>
      </x:c>
      <x:c r="C44" s="12" t="str">
        <x:v>TALLER METALÚRGICO VM S.A. (TAL-MET)</x:v>
      </x:c>
      <x:c r="D44" s="12" t="str">
        <x:v>0353 6563274</x:v>
      </x:c>
      <x:c r="E44" s="12" t="str">
        <x:v>OK</x:v>
      </x:c>
      <x:c r="F44" s="12" t="str">
        <x:v>dueño / producción / expedición</x:v>
      </x:c>
      <x:c r="G44" s="12" t="str">
        <x:v>Bv. Argentino 2010, Villa María, Córdoba</x:v>
      </x:c>
      <x:c r="H44" s="12" t="str">
        <x:v>Google Business</x:v>
      </x:c>
      <x:c r="I44" s="12" t="str">
        <x:v>https://www.google.com/maps/search/?api=1&amp;query=TALLER+METAL%C3%9ARGICO+VM+S.A.%2C+Bv.+Argentino+2010%2C+Villa+Mar%C3%ADa%2C+C%C3%B3rdoba</x:v>
      </x:c>
    </x:row>
    <x:row r="45">
      <x:c r="A45" s="12" t="str">
        <x:v>VM-044</x:v>
      </x:c>
      <x:c r="B45" s="12" t="str">
        <x:v>A</x:v>
      </x:c>
      <x:c r="C45" s="12" t="str">
        <x:v>Gas Carbónico Chiantore SAI</x:v>
      </x:c>
      <x:c r="D45" s="12" t="str">
        <x:v>A verificar</x:v>
      </x:c>
      <x:c r="E45" s="12" t="str">
        <x:v>A verificar</x:v>
      </x:c>
      <x:c r="F45" s="12" t="str">
        <x:v>producción / montaje / logística</x:v>
      </x:c>
      <x:c r="G45" s="12" t="str">
        <x:v>Parque Industrial, Logístico y Tecnológico (PILT), RN9 km 551,5, Villa María, Córdoba</x:v>
      </x:c>
      <x:c r="H45" s="12" t="str">
        <x:v>Dateas - parque industrial</x:v>
      </x:c>
      <x:c r="I45" s="12" t="str">
        <x:v>https://www.dateas.com/es/explore/industrias-parque-industrial-villa-maria?page=2</x:v>
      </x:c>
    </x:row>
    <x:row r="46">
      <x:c r="A46" s="12" t="str">
        <x:v>VM-045</x:v>
      </x:c>
      <x:c r="B46" s="12" t="str">
        <x:v>A</x:v>
      </x:c>
      <x:c r="C46" s="12" t="str">
        <x:v>Metalúrgica Técnica Estructuras Toro</x:v>
      </x:c>
      <x:c r="D46" s="12" t="str">
        <x:v>A verificar</x:v>
      </x:c>
      <x:c r="E46" s="12" t="str">
        <x:v>A verificar</x:v>
      </x:c>
      <x:c r="F46" s="12" t="str">
        <x:v>producción / montaje / expedición</x:v>
      </x:c>
      <x:c r="G46" s="12" t="str">
        <x:v>Parque Industrial, Logístico y Tecnológico (PILT), RN9 km 551,5, Villa María, Córdoba</x:v>
      </x:c>
      <x:c r="H46" s="12" t="str">
        <x:v>Dateas - parque industrial</x:v>
      </x:c>
      <x:c r="I46" s="12" t="str">
        <x:v>https://www.dateas.com/es/explore/industrias-parque-industrial-villa-maria?page=3</x:v>
      </x:c>
    </x:row>
    <x:row r="47">
      <x:c r="A47" s="12" t="str">
        <x:v>VM-046</x:v>
      </x:c>
      <x:c r="B47" s="12" t="str">
        <x:v>A</x:v>
      </x:c>
      <x:c r="C47" s="12" t="str">
        <x:v>Abastecimientos S.A.</x:v>
      </x:c>
      <x:c r="D47" s="12" t="str">
        <x:v>A verificar</x:v>
      </x:c>
      <x:c r="E47" s="12" t="str">
        <x:v>A verificar</x:v>
      </x:c>
      <x:c r="F47" s="12" t="str">
        <x:v>logística / depósito / operaciones</x:v>
      </x:c>
      <x:c r="G47" s="12" t="str">
        <x:v>Parque Industrial, Logístico y Tecnológico (PILT), RN9 km 551,5, Villa María, Córdoba</x:v>
      </x:c>
      <x:c r="H47" s="12" t="str">
        <x:v>Municipalidad</x:v>
      </x:c>
      <x:c r="I47" s="12" t="str">
        <x:v>https://www.villamaria.gob.ar/noticias/2024/11/30/villa-maria-mas-innovadora-dos-empresas-locales-expanden-su-infraestructura</x:v>
      </x:c>
    </x:row>
    <x:row r="48">
      <x:c r="A48" s="12" t="str">
        <x:v>VM-047</x:v>
      </x:c>
      <x:c r="B48" s="12" t="str">
        <x:v>A</x:v>
      </x:c>
      <x:c r="C48" s="12" t="str">
        <x:v>Insumos SAR SRL</x:v>
      </x:c>
      <x:c r="D48" s="12" t="str">
        <x:v>0353 5101460</x:v>
      </x:c>
      <x:c r="E48" s="12" t="str">
        <x:v>OK</x:v>
      </x:c>
      <x:c r="F48" s="12" t="str">
        <x:v>logística / producción / mantenimiento</x:v>
      </x:c>
      <x:c r="G48" s="12" t="str">
        <x:v>Ángel Ayassa 6248, PILT, Villa María, Córdoba</x:v>
      </x:c>
      <x:c r="H48" s="12" t="str">
        <x:v>PILT oficial</x:v>
      </x:c>
      <x:c r="I48" s="12" t="str">
        <x:v>https://pilt.com.ar/parque-industrial/insumos-sar-srl/</x:v>
      </x:c>
    </x:row>
    <x:row r="49">
      <x:c r="A49" s="12" t="str">
        <x:v>VM-048</x:v>
      </x:c>
      <x:c r="B49" s="12" t="str">
        <x:v>A</x:v>
      </x:c>
      <x:c r="C49" s="12" t="str">
        <x:v>Jover Berruti José</x:v>
      </x:c>
      <x:c r="D49" s="12" t="str">
        <x:v>A verificar</x:v>
      </x:c>
      <x:c r="E49" s="12" t="str">
        <x:v>A verificar</x:v>
      </x:c>
      <x:c r="F49" s="12" t="str">
        <x:v>producción / montaje</x:v>
      </x:c>
      <x:c r="G49" s="12" t="str">
        <x:v>Parque Industrial, Logístico y Tecnológico (PILT), RN9 km 551,5, Villa María, Córdoba</x:v>
      </x:c>
      <x:c r="H49" s="12" t="str">
        <x:v>Dateas - parque industrial</x:v>
      </x:c>
      <x:c r="I49" s="12" t="str">
        <x:v>https://www.dateas.com/es/explore/industrias-parque-industrial-villa-maria?page=3</x:v>
      </x:c>
    </x:row>
    <x:row r="50">
      <x:c r="A50" s="12" t="str">
        <x:v>VM-049</x:v>
      </x:c>
      <x:c r="B50" s="12" t="str">
        <x:v>A</x:v>
      </x:c>
      <x:c r="C50" s="12" t="str">
        <x:v>NOAL</x:v>
      </x:c>
      <x:c r="D50" s="12" t="str">
        <x:v>0353 4531901</x:v>
      </x:c>
      <x:c r="E50" s="12" t="str">
        <x:v>OK</x:v>
      </x:c>
      <x:c r="F50" s="12" t="str">
        <x:v>mantenimiento / logística / planta</x:v>
      </x:c>
      <x:c r="G50" s="12" t="str">
        <x:v>Ruta Provincial 2, Villa María, Córdoba</x:v>
      </x:c>
      <x:c r="H50" s="12" t="str">
        <x:v>Google Business</x:v>
      </x:c>
      <x:c r="I50" s="12" t="str">
        <x:v>https://www.google.com/maps/search/?api=1&amp;query=NOAL%2C+Ruta+Provincial+2%2C+Villa+Mar%C3%ADa%2C+C%C3%B3rdoba</x:v>
      </x:c>
    </x:row>
    <x:row r="51">
      <x:c r="A51" s="12" t="str">
        <x:v>VM-050</x:v>
      </x:c>
      <x:c r="B51" s="12" t="str">
        <x:v>A</x:v>
      </x:c>
      <x:c r="C51" s="12" t="str">
        <x:v>Premoldeados San Martín</x:v>
      </x:c>
      <x:c r="D51" s="12" t="str">
        <x:v>+54 9 353 5083380</x:v>
      </x:c>
      <x:c r="E51" s="12" t="str">
        <x:v>OK</x:v>
      </x:c>
      <x:c r="F51" s="12" t="str">
        <x:v>producción / logística</x:v>
      </x:c>
      <x:c r="G51" s="12" t="str">
        <x:v>Entre Ríos 2236, Villa María, Córdoba</x:v>
      </x:c>
      <x:c r="H51" s="12" t="str">
        <x:v>Google Business</x:v>
      </x:c>
      <x:c r="I51" s="12" t="str">
        <x:v>https://www.google.com/maps/search/?api=1&amp;query=Premoldeados+San+Mart%C3%ADn%2C+Entre+R%C3%ADos+2236%2C+Villa+Mar%C3%ADa%2C+C%C3%B3rdoba</x:v>
      </x:c>
    </x:row>
    <x:row r="52">
      <x:c r="A52" s="12" t="str">
        <x:v>VM-051</x:v>
      </x:c>
      <x:c r="B52" s="12" t="str">
        <x:v>A</x:v>
      </x:c>
      <x:c r="C52" s="12" t="str">
        <x:v>Todo Ingredientes S.A.</x:v>
      </x:c>
      <x:c r="D52" s="12" t="str">
        <x:v>0353 4780902</x:v>
      </x:c>
      <x:c r="E52" s="12" t="str">
        <x:v>OK</x:v>
      </x:c>
      <x:c r="F52" s="12" t="str">
        <x:v>logística / mantenimiento / planta</x:v>
      </x:c>
      <x:c r="G52" s="12" t="str">
        <x:v>Emilio Werner 6441, PILT, Villa María, Córdoba</x:v>
      </x:c>
      <x:c r="H52" s="12" t="str">
        <x:v>Google Business</x:v>
      </x:c>
      <x:c r="I52" s="12" t="str">
        <x:v>https://www.google.com/maps/search/?api=1&amp;query=Todo+Ingredientes+S.A.%2C+Emilio+Werner+6441%2C+Villa+Mar%C3%ADa%2C+C%C3%B3rdoba</x:v>
      </x:c>
    </x:row>
    <x:row r="53">
      <x:c r="A53" s="12" t="str">
        <x:v>VM-052</x:v>
      </x:c>
      <x:c r="B53" s="12" t="str">
        <x:v>A</x:v>
      </x:c>
      <x:c r="C53" s="12" t="str">
        <x:v>Villa María Cereales SRL</x:v>
      </x:c>
      <x:c r="D53" s="12" t="str">
        <x:v>0353 4256404</x:v>
      </x:c>
      <x:c r="E53" s="12" t="str">
        <x:v>OK</x:v>
      </x:c>
      <x:c r="F53" s="12" t="str">
        <x:v>planta / logística / mantenimiento</x:v>
      </x:c>
      <x:c r="G53" s="12" t="str">
        <x:v>RN9 km 553, Villa María, Córdoba</x:v>
      </x:c>
      <x:c r="H53" s="12" t="str">
        <x:v>Google Business</x:v>
      </x:c>
      <x:c r="I53" s="12" t="str">
        <x:v>https://www.google.com/maps/search/?api=1&amp;query=Villa+Mar%C3%ADa+Cereales+SRL%2C+RN9+km+553%2C+Villa+Mar%C3%ADa%2C+C%C3%B3rdoba</x:v>
      </x:c>
    </x:row>
    <x:row r="54">
      <x:c r="A54" s="12" t="str">
        <x:v>VM-053</x:v>
      </x:c>
      <x:c r="B54" s="12" t="str">
        <x:v>A</x:v>
      </x:c>
      <x:c r="C54" s="12" t="str">
        <x:v>Mayo Transformadores S.R.L.</x:v>
      </x:c>
      <x:c r="D54" s="12" t="str">
        <x:v>A verificar</x:v>
      </x:c>
      <x:c r="E54" s="12" t="str">
        <x:v>A verificar</x:v>
      </x:c>
      <x:c r="F54" s="12" t="str">
        <x:v>producción / logística</x:v>
      </x:c>
      <x:c r="G54" s="12" t="str">
        <x:v>Parque Industrial, Logístico y Tecnológico (PILT), RN9 km 551,5, Villa María, Córdoba</x:v>
      </x:c>
      <x:c r="H54" s="12" t="str">
        <x:v>Dateas - parque industrial</x:v>
      </x:c>
      <x:c r="I54" s="12" t="str">
        <x:v>https://www.dateas.com/es/explore/industrias-parque-industrial-villa-maria?page=3</x:v>
      </x:c>
    </x:row>
    <x:row r="55">
      <x:c r="A55" s="12" t="str">
        <x:v>VM-054</x:v>
      </x:c>
      <x:c r="B55" s="12" t="str">
        <x:v>A</x:v>
      </x:c>
      <x:c r="C55" s="12" t="str">
        <x:v>Raíces S.R.L.</x:v>
      </x:c>
      <x:c r="D55" s="12" t="str">
        <x:v>A verificar</x:v>
      </x:c>
      <x:c r="E55" s="12" t="str">
        <x:v>A verificar</x:v>
      </x:c>
      <x:c r="F55" s="12" t="str">
        <x:v>producción / montaje</x:v>
      </x:c>
      <x:c r="G55" s="12" t="str">
        <x:v>Parque Industrial, Logístico y Tecnológico (PILT), RN9 km 551,5, Villa María, Córdoba</x:v>
      </x:c>
      <x:c r="H55" s="12" t="str">
        <x:v>Dateas - parque industrial</x:v>
      </x:c>
      <x:c r="I55" s="12" t="str">
        <x:v>https://www.dateas.com/es/explore/industrias-parque-industrial-villa-maria?page=4</x:v>
      </x:c>
    </x:row>
    <x:row r="56">
      <x:c r="A56" s="12" t="str">
        <x:v>VM-055</x:v>
      </x:c>
      <x:c r="B56" s="12" t="str">
        <x:v>A</x:v>
      </x:c>
      <x:c r="C56" s="12" t="str">
        <x:v>RJA Áridos</x:v>
      </x:c>
      <x:c r="D56" s="12" t="str">
        <x:v>+54 351 2433176</x:v>
      </x:c>
      <x:c r="E56" s="12" t="str">
        <x:v>OK</x:v>
      </x:c>
      <x:c r="F56" s="12" t="str">
        <x:v>operaciones / logística</x:v>
      </x:c>
      <x:c r="G56" s="12" t="str">
        <x:v>Villa María, Córdoba</x:v>
      </x:c>
      <x:c r="H56" s="12" t="str">
        <x:v>Google Business</x:v>
      </x:c>
      <x:c r="I56" s="12" t="str">
        <x:v>https://www.google.com/maps/search/?api=1&amp;query=RJA+%C3%81ridos%2C+Villa+Mar%C3%ADa%2C+C%C3%B3rdoba</x:v>
      </x:c>
    </x:row>
    <x:row r="57">
      <x:c r="A57" s="12" t="str">
        <x:v>VM-056</x:v>
      </x:c>
      <x:c r="B57" s="12" t="str">
        <x:v>A</x:v>
      </x:c>
      <x:c r="C57" s="12" t="str">
        <x:v>Frigorífico La Pequeña SRL</x:v>
      </x:c>
      <x:c r="D57" s="12" t="str">
        <x:v>0353 4197312</x:v>
      </x:c>
      <x:c r="E57" s="12" t="str">
        <x:v>OK</x:v>
      </x:c>
      <x:c r="F57" s="12" t="str">
        <x:v>mantenimiento / logística / planta</x:v>
      </x:c>
      <x:c r="G57" s="12" t="str">
        <x:v>Carlos Avalle, Villa María, Córdoba</x:v>
      </x:c>
      <x:c r="H57" s="12" t="str">
        <x:v>Google Business</x:v>
      </x:c>
      <x:c r="I57" s="12" t="str">
        <x:v>https://www.google.com/maps/search/?api=1&amp;query=Frigor%C3%ADfico+La+Peque%C3%B1a+SRL%2C+Carlos+Avalle%2C+Villa+Mar%C3%ADa%2C+C%C3%B3rdoba</x:v>
      </x:c>
    </x:row>
    <x:row r="58">
      <x:c r="A58" s="12" t="str">
        <x:v>VM-057</x:v>
      </x:c>
      <x:c r="B58" s="12" t="str">
        <x:v>A</x:v>
      </x:c>
      <x:c r="C58" s="12" t="str">
        <x:v>Industria Sudamericana de Botta</x:v>
      </x:c>
      <x:c r="D58" s="12" t="str">
        <x:v>0353 4520259 / 4527451</x:v>
      </x:c>
      <x:c r="E58" s="12" t="str">
        <x:v>OK</x:v>
      </x:c>
      <x:c r="F58" s="12" t="str">
        <x:v>producción / expedición</x:v>
      </x:c>
      <x:c r="G58" s="12" t="str">
        <x:v>Parque Industrial, Logístico y Tecnológico (PILT), RN9 km 551,5, Villa María, Córdoba</x:v>
      </x:c>
      <x:c r="H58" s="12" t="str">
        <x:v>Dateas - parque industrial</x:v>
      </x:c>
      <x:c r="I58" s="12" t="str">
        <x:v>https://www.dateas.com/es/explore/industrias-parque-industrial-villa-maria/industria-sudamericana-de-botta-felipe-lisandro-58</x:v>
      </x:c>
    </x:row>
    <x:row r="59">
      <x:c r="A59" s="12" t="str">
        <x:v>VM-058</x:v>
      </x:c>
      <x:c r="B59" s="12" t="str">
        <x:v>A</x:v>
      </x:c>
      <x:c r="C59" s="12" t="str">
        <x:v>Inoxidables Villa María SRL</x:v>
      </x:c>
      <x:c r="D59" s="12" t="str">
        <x:v>A verificar</x:v>
      </x:c>
      <x:c r="E59" s="12" t="str">
        <x:v>A verificar</x:v>
      </x:c>
      <x:c r="F59" s="12" t="str">
        <x:v>producción / expedición</x:v>
      </x:c>
      <x:c r="G59" s="12" t="str">
        <x:v>Parque Industrial, Logístico y Tecnológico (PILT), RN9 km 551,5, Villa María, Córdoba</x:v>
      </x:c>
      <x:c r="H59" s="12" t="str">
        <x:v>Dateas - parque industrial</x:v>
      </x:c>
      <x:c r="I59" s="12" t="str">
        <x:v>https://www.dateas.com/es/explore/industrias-parque-industrial-villa-maria?page=3</x:v>
      </x:c>
    </x:row>
    <x:row r="60">
      <x:c r="A60" s="12" t="str">
        <x:v>VM-059</x:v>
      </x:c>
      <x:c r="B60" s="12" t="str">
        <x:v>A</x:v>
      </x:c>
      <x:c r="C60" s="12" t="str">
        <x:v>Mercado Libre Centro Logístico Villa María</x:v>
      </x:c>
      <x:c r="D60" s="12" t="str">
        <x:v>A verificar</x:v>
      </x:c>
      <x:c r="E60" s="12" t="str">
        <x:v>A verificar</x:v>
      </x:c>
      <x:c r="F60" s="12" t="str">
        <x:v>operaciones / mantenimiento / facility</x:v>
      </x:c>
      <x:c r="G60" s="12" t="str">
        <x:v>Colectora Sur km 563 N°1189, Villa María, Córdoba</x:v>
      </x:c>
      <x:c r="H60" s="12" t="str">
        <x:v>Google Business</x:v>
      </x:c>
      <x:c r="I60" s="12" t="str">
        <x:v>https://www.google.com/maps/search/?api=1&amp;query=Mercado+Libre+Centro+Log%C3%ADstico+Villa+Mar%C3%ADa%2C+Colectora+Sur+km+563+N%C2%B01189%2C+Villa+Mar%C3%ADa%2C+C%C3%B3rdoba</x:v>
      </x:c>
    </x:row>
    <x:row r="61">
      <x:c r="A61" s="12" t="str">
        <x:v>VM-060</x:v>
      </x:c>
      <x:c r="B61" s="12" t="str">
        <x:v>A</x:v>
      </x:c>
      <x:c r="C61" s="12" t="str">
        <x:v>Metalúrgica Pablo Bruno</x:v>
      </x:c>
      <x:c r="D61" s="12" t="str">
        <x:v>0353 4129025</x:v>
      </x:c>
      <x:c r="E61" s="12" t="str">
        <x:v>OK</x:v>
      </x:c>
      <x:c r="F61" s="12" t="str">
        <x:v>producción / alquileres / logística</x:v>
      </x:c>
      <x:c r="G61" s="12" t="str">
        <x:v>Buenos Aires 2424, Villa María, Córdoba</x:v>
      </x:c>
      <x:c r="H61" s="12" t="str">
        <x:v>Google Business</x:v>
      </x:c>
      <x:c r="I61" s="12" t="str">
        <x:v>https://www.google.com/maps/search/?api=1&amp;query=Metal%C3%BArgica+Pablo+Bruno%2C+Buenos+Aires+2424%2C+Villa+Mar%C3%ADa%2C+C%C3%B3rdoba</x:v>
      </x:c>
    </x:row>
    <x:row r="62">
      <x:c r="A62" s="12" t="str">
        <x:v>VM-061</x:v>
      </x:c>
      <x:c r="B62" s="12" t="str">
        <x:v>A</x:v>
      </x:c>
      <x:c r="C62" s="12" t="str">
        <x:v>S.A. Molinos Fénix</x:v>
      </x:c>
      <x:c r="D62" s="12" t="str">
        <x:v>0353 4528107</x:v>
      </x:c>
      <x:c r="E62" s="12" t="str">
        <x:v>OK</x:v>
      </x:c>
      <x:c r="F62" s="12" t="str">
        <x:v>mantenimiento / planta / logística</x:v>
      </x:c>
      <x:c r="G62" s="12" t="str">
        <x:v>Leandro N. Alem y Salta, Villa María, Córdoba</x:v>
      </x:c>
      <x:c r="H62" s="12" t="str">
        <x:v>Google Business</x:v>
      </x:c>
      <x:c r="I62" s="12" t="str">
        <x:v>https://www.google.com/maps/search/?api=1&amp;query=S.A.+Molinos+F%C3%A9nix%2C+Leandro+N.+Alem+y+Salta%2C+Villa+Mar%C3%ADa%2C+C%C3%B3rdoba</x:v>
      </x:c>
    </x:row>
    <x:row r="63">
      <x:c r="A63" s="12" t="str">
        <x:v>VM-062</x:v>
      </x:c>
      <x:c r="B63" s="12" t="str">
        <x:v>A</x:v>
      </x:c>
      <x:c r="C63" s="12" t="str">
        <x:v>Servicios Agroindustria SRL</x:v>
      </x:c>
      <x:c r="D63" s="12" t="str">
        <x:v>0353 4531126</x:v>
      </x:c>
      <x:c r="E63" s="12" t="str">
        <x:v>OK</x:v>
      </x:c>
      <x:c r="F63" s="12" t="str">
        <x:v>service / logística / mantenimiento</x:v>
      </x:c>
      <x:c r="G63" s="12" t="str">
        <x:v>Bv. Vélez Sarsfield 1243, Villa María, Córdoba</x:v>
      </x:c>
      <x:c r="H63" s="12" t="str">
        <x:v>Google Business</x:v>
      </x:c>
      <x:c r="I63" s="12" t="str">
        <x:v>https://www.google.com/maps/search/?api=1&amp;query=Servicios+Agroindustria+SRL%2C+Bv.+V%C3%A9lez+Sarsfield+1243%2C+Villa+Mar%C3%ADa%2C+C%C3%B3rdoba</x:v>
      </x:c>
    </x:row>
    <x:row r="64">
      <x:c r="A64" s="12" t="str">
        <x:v>VM-063</x:v>
      </x:c>
      <x:c r="B64" s="12" t="str">
        <x:v>A</x:v>
      </x:c>
      <x:c r="C64" s="12" t="str">
        <x:v>Transbus SRL</x:v>
      </x:c>
      <x:c r="D64" s="12" t="str">
        <x:v>A verificar</x:v>
      </x:c>
      <x:c r="E64" s="12" t="str">
        <x:v>A verificar</x:v>
      </x:c>
      <x:c r="F64" s="12" t="str">
        <x:v>operaciones / tráfico</x:v>
      </x:c>
      <x:c r="G64" s="12" t="str">
        <x:v>Parque Industrial, Logístico y Tecnológico (PILT), RN9 km 551,5, Villa María, Córdoba</x:v>
      </x:c>
      <x:c r="H64" s="12" t="str">
        <x:v>Dateas - parque industrial</x:v>
      </x:c>
      <x:c r="I64" s="12" t="str">
        <x:v>https://www.dateas.com/es/explore/industrias-parque-industrial-villa-maria?page=4</x:v>
      </x:c>
    </x:row>
    <x:row r="65">
      <x:c r="A65" s="12" t="str">
        <x:v>VM-064</x:v>
      </x:c>
      <x:c r="B65" s="12" t="str">
        <x:v>A</x:v>
      </x:c>
      <x:c r="C65" s="12" t="str">
        <x:v>Abelcar</x:v>
      </x:c>
      <x:c r="D65" s="12" t="str">
        <x:v>0353 4538000</x:v>
      </x:c>
      <x:c r="E65" s="12" t="str">
        <x:v>OK</x:v>
      </x:c>
      <x:c r="F65" s="12" t="str">
        <x:v>proyectos / logística / expedición</x:v>
      </x:c>
      <x:c r="G65" s="12" t="str">
        <x:v>Arenales 2220, Villa María, Córdoba</x:v>
      </x:c>
      <x:c r="H65" s="12" t="str">
        <x:v>Municipalidad</x:v>
      </x:c>
      <x:c r="I65" s="12" t="str">
        <x:v>https://www.villamaria.gob.ar/noticias/2024/11/30/villa-maria-mas-innovadora-dos-empresas-locales-expanden-su-infraestructura</x:v>
      </x:c>
    </x:row>
    <x:row r="66">
      <x:c r="A66" s="12" t="str">
        <x:v>VM-065</x:v>
      </x:c>
      <x:c r="B66" s="12" t="str">
        <x:v>A</x:v>
      </x:c>
      <x:c r="C66" s="12" t="str">
        <x:v>Don Primo S.A.</x:v>
      </x:c>
      <x:c r="D66" s="12" t="str">
        <x:v>A verificar</x:v>
      </x:c>
      <x:c r="E66" s="12" t="str">
        <x:v>A verificar</x:v>
      </x:c>
      <x:c r="F66" s="12" t="str">
        <x:v>producción / montaje / logística</x:v>
      </x:c>
      <x:c r="G66" s="12" t="str">
        <x:v>Parque Industrial, Logístico y Tecnológico (PILT), RN9 km 551,5, Villa María, Córdoba</x:v>
      </x:c>
      <x:c r="H66" s="12" t="str">
        <x:v>Dateas - parque industrial</x:v>
      </x:c>
      <x:c r="I66" s="12" t="str">
        <x:v>https://www.dateas.com/es/explore/industrias-parque-industrial-villa-maria?page=1</x:v>
      </x:c>
    </x:row>
    <x:row r="67">
      <x:c r="A67" s="12" t="str">
        <x:v>VM-066</x:v>
      </x:c>
      <x:c r="B67" s="12" t="str">
        <x:v>A</x:v>
      </x:c>
      <x:c r="C67" s="12" t="str">
        <x:v>Radio Electrón S.A.</x:v>
      </x:c>
      <x:c r="D67" s="12" t="str">
        <x:v>A verificar</x:v>
      </x:c>
      <x:c r="E67" s="12" t="str">
        <x:v>A verificar</x:v>
      </x:c>
      <x:c r="F67" s="12" t="str">
        <x:v>producción / proyectos / logística</x:v>
      </x:c>
      <x:c r="G67" s="12" t="str">
        <x:v>Parque Industrial, Logístico y Tecnológico (PILT), RN9 km 551,5, Villa María, Córdoba</x:v>
      </x:c>
      <x:c r="H67" s="12" t="str">
        <x:v>Dateas - parque industrial</x:v>
      </x:c>
      <x:c r="I67" s="12" t="str">
        <x:v>https://www.dateas.com/es/explore/industrias-parque-industrial-villa-maria?page=4</x:v>
      </x:c>
    </x:row>
    <x:row r="68">
      <x:c r="A68" s="12" t="str">
        <x:v>VM-067</x:v>
      </x:c>
      <x:c r="B68" s="12" t="str">
        <x:v>A</x:v>
      </x:c>
      <x:c r="C68" s="12" t="str">
        <x:v>Centro Construcciones S.R.L.</x:v>
      </x:c>
      <x:c r="D68" s="12" t="str">
        <x:v>0353 4282568</x:v>
      </x:c>
      <x:c r="E68" s="12" t="str">
        <x:v>OK</x:v>
      </x:c>
      <x:c r="F68" s="12" t="str">
        <x:v>logística / operaciones</x:v>
      </x:c>
      <x:c r="G68" s="12" t="str">
        <x:v>Av. Presidente Perón esq. Fitz Roy, Villa María, Córdoba</x:v>
      </x:c>
      <x:c r="H68" s="12" t="str">
        <x:v>Google Business</x:v>
      </x:c>
      <x:c r="I68" s="12" t="str">
        <x:v>https://www.google.com/maps/search/?api=1&amp;query=Centro+Construcciones+S.R.L.%2C+Av.+Presidente+Per%C3%B3n+esq.+Fitz+Roy%2C+Villa+Mar%C3%ADa%2C+C%C3%B3rdoba</x:v>
      </x:c>
    </x:row>
    <x:row r="69">
      <x:c r="A69" s="12" t="str">
        <x:v>VM-068</x:v>
      </x:c>
      <x:c r="B69" s="12" t="str">
        <x:v>A</x:v>
      </x:c>
      <x:c r="C69" s="12" t="str">
        <x:v>Ferrero y Mattio S.R.L.</x:v>
      </x:c>
      <x:c r="D69" s="12" t="str">
        <x:v>A verificar</x:v>
      </x:c>
      <x:c r="E69" s="12" t="str">
        <x:v>A verificar</x:v>
      </x:c>
      <x:c r="F69" s="12" t="str">
        <x:v>producción / expedición</x:v>
      </x:c>
      <x:c r="G69" s="12" t="str">
        <x:v>Parque Industrial, Logístico y Tecnológico (PILT), RN9 km 551,5, Villa María, Córdoba</x:v>
      </x:c>
      <x:c r="H69" s="12" t="str">
        <x:v>Dateas - parque industrial</x:v>
      </x:c>
      <x:c r="I69" s="12" t="str">
        <x:v>https://www.dateas.com/es/explore/industrias-parque-industrial-villa-maria?page=2</x:v>
      </x:c>
    </x:row>
    <x:row r="70">
      <x:c r="A70" s="12" t="str">
        <x:v>VM-069</x:v>
      </x:c>
      <x:c r="B70" s="12" t="str">
        <x:v>A</x:v>
      </x:c>
      <x:c r="C70" s="12" t="str">
        <x:v>Transporte TM</x:v>
      </x:c>
      <x:c r="D70" s="12" t="str">
        <x:v>0353 4204210</x:v>
      </x:c>
      <x:c r="E70" s="12" t="str">
        <x:v>OK</x:v>
      </x:c>
      <x:c r="F70" s="12" t="str">
        <x:v>tráfico / operaciones</x:v>
      </x:c>
      <x:c r="G70" s="12" t="str">
        <x:v>Porfirio Seppey 446, Villa María, Córdoba</x:v>
      </x:c>
      <x:c r="H70" s="12" t="str">
        <x:v>Google Business</x:v>
      </x:c>
      <x:c r="I70" s="12" t="str">
        <x:v>https://www.google.com/maps/search/?api=1&amp;query=Transporte+TM%2C+Porfirio+Seppey+446%2C+Villa+Mar%C3%ADa%2C+C%C3%B3rdoba</x:v>
      </x:c>
    </x:row>
    <x:row r="71">
      <x:c r="A71" s="12" t="str">
        <x:v>VM-070</x:v>
      </x:c>
      <x:c r="B71" s="12" t="str">
        <x:v>A</x:v>
      </x:c>
      <x:c r="C71" s="12" t="str">
        <x:v>Fuyana Rodrigo</x:v>
      </x:c>
      <x:c r="D71" s="12" t="str">
        <x:v>A verificar</x:v>
      </x:c>
      <x:c r="E71" s="12" t="str">
        <x:v>A verificar</x:v>
      </x:c>
      <x:c r="F71" s="12" t="str">
        <x:v>producción / proyectos</x:v>
      </x:c>
      <x:c r="G71" s="12" t="str">
        <x:v>Parque Industrial, Logístico y Tecnológico (PILT), RN9 km 551,5, Villa María, Córdoba</x:v>
      </x:c>
      <x:c r="H71" s="12" t="str">
        <x:v>Dateas - parque industrial</x:v>
      </x:c>
      <x:c r="I71" s="12" t="str">
        <x:v>https://www.dateas.com/es/explore/industrias-parque-industrial-villa-maria?page=2</x:v>
      </x:c>
    </x:row>
    <x:row r="72">
      <x:c r="A72" s="12" t="str">
        <x:v>VM-071</x:v>
      </x:c>
      <x:c r="B72" s="12" t="str">
        <x:v>A</x:v>
      </x:c>
      <x:c r="C72" s="12" t="str">
        <x:v>Remolques del Centro</x:v>
      </x:c>
      <x:c r="D72" s="12" t="str">
        <x:v>+54 9 353 4175182</x:v>
      </x:c>
      <x:c r="E72" s="12" t="str">
        <x:v>OK</x:v>
      </x:c>
      <x:c r="F72" s="12" t="str">
        <x:v>dueño / expedición / ventas</x:v>
      </x:c>
      <x:c r="G72" s="12" t="str">
        <x:v>Catamarca 2190, Villa María, Córdoba</x:v>
      </x:c>
      <x:c r="H72" s="12" t="str">
        <x:v>Google Business</x:v>
      </x:c>
      <x:c r="I72" s="12" t="str">
        <x:v>https://www.google.com/maps/search/?api=1&amp;query=Remolques+del+Centro%2C+Catamarca+2190%2C+Villa+Mar%C3%ADa%2C+C%C3%B3rdoba</x:v>
      </x:c>
    </x:row>
    <x:row r="73">
      <x:c r="A73" s="12" t="str">
        <x:v>VM-072</x:v>
      </x:c>
      <x:c r="B73" s="12" t="str">
        <x:v>A</x:v>
      </x:c>
      <x:c r="C73" s="12" t="str">
        <x:v>Valfre Sebastián Antonio</x:v>
      </x:c>
      <x:c r="D73" s="12" t="str">
        <x:v>A verificar</x:v>
      </x:c>
      <x:c r="E73" s="12" t="str">
        <x:v>A verificar</x:v>
      </x:c>
      <x:c r="F73" s="12" t="str">
        <x:v>producción / logística</x:v>
      </x:c>
      <x:c r="G73" s="12" t="str">
        <x:v>Parque Industrial, Logístico y Tecnológico (PILT), RN9 km 551,5, Villa María, Córdoba</x:v>
      </x:c>
      <x:c r="H73" s="12" t="str">
        <x:v>Dateas - parque industrial</x:v>
      </x:c>
      <x:c r="I73" s="12" t="str">
        <x:v>https://www.dateas.com/es/explore/industrias-parque-industrial-villa-maria?page=5</x:v>
      </x:c>
    </x:row>
    <x:row r="74">
      <x:c r="A74" s="12" t="str">
        <x:v>VM-073</x:v>
      </x:c>
      <x:c r="B74" s="12" t="str">
        <x:v>A</x:v>
      </x:c>
      <x:c r="C74" s="12" t="str">
        <x:v>Agro Repuestos Villa María</x:v>
      </x:c>
      <x:c r="D74" s="12" t="str">
        <x:v>0353 4783991</x:v>
      </x:c>
      <x:c r="E74" s="12" t="str">
        <x:v>OK</x:v>
      </x:c>
      <x:c r="F74" s="12" t="str">
        <x:v>gerencia / logística / service</x:v>
      </x:c>
      <x:c r="G74" s="12" t="str">
        <x:v>Área 158, RN158, Villa María, Córdoba</x:v>
      </x:c>
      <x:c r="H74" s="12" t="str">
        <x:v>Google Business</x:v>
      </x:c>
      <x:c r="I74" s="12" t="str">
        <x:v>https://www.google.com/maps/search/?api=1&amp;query=Agro+Repuestos+Villa+Mar%C3%ADa%2C+%C3%81rea+158%2C+RN158%2C+Villa+Mar%C3%ADa%2C+C%C3%B3rdoba</x:v>
      </x:c>
    </x:row>
    <x:row r="75">
      <x:c r="A75" s="12" t="str">
        <x:v>VM-074</x:v>
      </x:c>
      <x:c r="B75" s="12" t="str">
        <x:v>A</x:v>
      </x:c>
      <x:c r="C75" s="12" t="str">
        <x:v>Auxilios y Grúas MARPAT</x:v>
      </x:c>
      <x:c r="D75" s="12" t="str">
        <x:v>+54 3468 642819</x:v>
      </x:c>
      <x:c r="E75" s="12" t="str">
        <x:v>OK</x:v>
      </x:c>
      <x:c r="F75" s="12" t="str">
        <x:v>operaciones / flota</x:v>
      </x:c>
      <x:c r="G75" s="12" t="str">
        <x:v>José Ingenieros 782, Villa María, Córdoba</x:v>
      </x:c>
      <x:c r="H75" s="12" t="str">
        <x:v>Google Business</x:v>
      </x:c>
      <x:c r="I75" s="12" t="str">
        <x:v>https://www.google.com/maps/search/?api=1&amp;query=Auxilios+y+Gr%C3%BAas+MARPAT%2C+Jos%C3%A9+Ingenieros+782%2C+Villa+Mar%C3%ADa%2C+C%C3%B3rdoba</x:v>
      </x:c>
    </x:row>
    <x:row r="76">
      <x:c r="A76" s="12" t="str">
        <x:v>VM-075</x:v>
      </x:c>
      <x:c r="B76" s="12" t="str">
        <x:v>A</x:v>
      </x:c>
      <x:c r="C76" s="12" t="str">
        <x:v>Ranco Materiales - Villa María</x:v>
      </x:c>
      <x:c r="D76" s="12" t="str">
        <x:v>0353 4549200</x:v>
      </x:c>
      <x:c r="E76" s="12" t="str">
        <x:v>OK</x:v>
      </x:c>
      <x:c r="F76" s="12" t="str">
        <x:v>logística / depósito</x:v>
      </x:c>
      <x:c r="G76" s="12" t="str">
        <x:v>Bv. Vélez Sarsfield 659, Villa María, Córdoba</x:v>
      </x:c>
      <x:c r="H76" s="12" t="str">
        <x:v>Google Business</x:v>
      </x:c>
      <x:c r="I76" s="12" t="str">
        <x:v>https://www.google.com/maps/search/?api=1&amp;query=Ranco+Materiales+Villa+Mar%C3%ADa%2C+Bv.+V%C3%A9lez+Sarsfield+659%2C+Villa+Mar%C3%ADa%2C+C%C3%B3rdoba</x:v>
      </x:c>
    </x:row>
    <x:row r="77">
      <x:c r="A77" s="12" t="str">
        <x:v>VM-076</x:v>
      </x:c>
      <x:c r="B77" s="12" t="str">
        <x:v>A</x:v>
      </x:c>
      <x:c r="C77" s="12" t="str">
        <x:v>Mino Transporte</x:v>
      </x:c>
      <x:c r="D77" s="12" t="str">
        <x:v>0353 4524207</x:v>
      </x:c>
      <x:c r="E77" s="12" t="str">
        <x:v>OK</x:v>
      </x:c>
      <x:c r="F77" s="12" t="str">
        <x:v>tráfico / operaciones</x:v>
      </x:c>
      <x:c r="G77" s="12" t="str">
        <x:v>Catamarca 192, Villa María, Córdoba</x:v>
      </x:c>
      <x:c r="H77" s="12" t="str">
        <x:v>Google Business</x:v>
      </x:c>
      <x:c r="I77" s="12" t="str">
        <x:v>https://www.google.com/maps/search/?api=1&amp;query=Mino+Transporte%2C+Catamarca+192%2C+Villa+Mar%C3%ADa%2C+C%C3%B3rdoba</x:v>
      </x:c>
    </x:row>
    <x:row r="78">
      <x:c r="A78" s="12" t="str">
        <x:v>VM-077</x:v>
      </x:c>
      <x:c r="B78" s="12" t="str">
        <x:v>A</x:v>
      </x:c>
      <x:c r="C78" s="12" t="str">
        <x:v>Vetro SRL</x:v>
      </x:c>
      <x:c r="D78" s="12" t="str">
        <x:v>A verificar</x:v>
      </x:c>
      <x:c r="E78" s="12" t="str">
        <x:v>A verificar</x:v>
      </x:c>
      <x:c r="F78" s="12" t="str">
        <x:v>producción / logística</x:v>
      </x:c>
      <x:c r="G78" s="12" t="str">
        <x:v>Parque Industrial, Logístico y Tecnológico (PILT), RN9 km 551,5, Villa María, Córdoba</x:v>
      </x:c>
      <x:c r="H78" s="12" t="str">
        <x:v>Dateas - parque industrial</x:v>
      </x:c>
      <x:c r="I78" s="12" t="str">
        <x:v>https://www.dateas.com/es/explore/industrias-parque-industrial-villa-maria?page=5</x:v>
      </x:c>
    </x:row>
    <x:row r="79">
      <x:c r="A79" s="12" t="str">
        <x:v>VM-078</x:v>
      </x:c>
      <x:c r="B79" s="12" t="str">
        <x:v>A</x:v>
      </x:c>
      <x:c r="C79" s="12" t="str">
        <x:v>Poligar S.R.L.</x:v>
      </x:c>
      <x:c r="D79" s="12" t="str">
        <x:v>A verificar</x:v>
      </x:c>
      <x:c r="E79" s="12" t="str">
        <x:v>A verificar</x:v>
      </x:c>
      <x:c r="F79" s="12" t="str">
        <x:v>producción / logística</x:v>
      </x:c>
      <x:c r="G79" s="12" t="str">
        <x:v>Parque Industrial, Logístico y Tecnológico (PILT), RN9 km 551,5, Villa María, Córdoba</x:v>
      </x:c>
      <x:c r="H79" s="12" t="str">
        <x:v>Dateas - parque industrial</x:v>
      </x:c>
      <x:c r="I79" s="12" t="str">
        <x:v>https://www.dateas.com/es/explore/industrias-parque-industrial-villa-maria?page=4</x:v>
      </x:c>
    </x:row>
    <x:row r="80">
      <x:c r="A80" s="12" t="str">
        <x:v>VM-079</x:v>
      </x:c>
      <x:c r="B80" s="12" t="str">
        <x:v>B</x:v>
      </x:c>
      <x:c r="C80" s="12" t="str">
        <x:v>Don Emilio S.R.L.</x:v>
      </x:c>
      <x:c r="D80" s="12" t="str">
        <x:v>A verificar</x:v>
      </x:c>
      <x:c r="E80" s="12" t="str">
        <x:v>A verificar</x:v>
      </x:c>
      <x:c r="F80" s="12" t="str">
        <x:v>planta / mantenimiento</x:v>
      </x:c>
      <x:c r="G80" s="12" t="str">
        <x:v>Parque Industrial, Logístico y Tecnológico (PILT), RN9 km 551,5, Villa María, Córdoba</x:v>
      </x:c>
      <x:c r="H80" s="12" t="str">
        <x:v>Dateas - parque industrial</x:v>
      </x:c>
      <x:c r="I80" s="12" t="str">
        <x:v>https://www.dateas.com/es/explore/industrias-parque-industrial-villa-maria?page=1</x:v>
      </x:c>
    </x:row>
    <x:row r="81">
      <x:c r="A81" s="12" t="str">
        <x:v>VM-080</x:v>
      </x:c>
      <x:c r="B81" s="12" t="str">
        <x:v>B</x:v>
      </x:c>
      <x:c r="C81" s="12" t="str">
        <x:v>Gigante Aquiles Domingo</x:v>
      </x:c>
      <x:c r="D81" s="12" t="str">
        <x:v>A verificar</x:v>
      </x:c>
      <x:c r="E81" s="12" t="str">
        <x:v>A verificar</x:v>
      </x:c>
      <x:c r="F81" s="12" t="str">
        <x:v>producción / mantenimiento</x:v>
      </x:c>
      <x:c r="G81" s="12" t="str">
        <x:v>Parque Industrial, Logístico y Tecnológico (PILT), RN9 km 551,5, Villa María, Córdoba</x:v>
      </x:c>
      <x:c r="H81" s="12" t="str">
        <x:v>Dateas - parque industrial</x:v>
      </x:c>
      <x:c r="I81" s="12" t="str">
        <x:v>https://www.dateas.com/es/explore/industrias-parque-industrial-villa-maria?page=2</x:v>
      </x:c>
    </x:row>
    <x:row r="82">
      <x:c r="A82" s="12" t="str">
        <x:v>VM-081</x:v>
      </x:c>
      <x:c r="B82" s="12" t="str">
        <x:v>B</x:v>
      </x:c>
      <x:c r="C82" s="12" t="str">
        <x:v>Gribaudo Carlos Daniel</x:v>
      </x:c>
      <x:c r="D82" s="12" t="str">
        <x:v>A verificar</x:v>
      </x:c>
      <x:c r="E82" s="12" t="str">
        <x:v>A verificar</x:v>
      </x:c>
      <x:c r="F82" s="12" t="str">
        <x:v>producción / expedición</x:v>
      </x:c>
      <x:c r="G82" s="12" t="str">
        <x:v>Parque Industrial, Logístico y Tecnológico (PILT), RN9 km 551,5, Villa María, Córdoba</x:v>
      </x:c>
      <x:c r="H82" s="12" t="str">
        <x:v>Dateas - parque industrial</x:v>
      </x:c>
      <x:c r="I82" s="12" t="str">
        <x:v>https://www.dateas.com/es/explore/industrias-parque-industrial-villa-maria?page=2</x:v>
      </x:c>
    </x:row>
    <x:row r="83">
      <x:c r="A83" s="12" t="str">
        <x:v>VM-083</x:v>
      </x:c>
      <x:c r="B83" s="12" t="str">
        <x:v>B</x:v>
      </x:c>
      <x:c r="C83" s="12" t="str">
        <x:v>Don Américo S.R.L.</x:v>
      </x:c>
      <x:c r="D83" s="12" t="str">
        <x:v>A verificar</x:v>
      </x:c>
      <x:c r="E83" s="12" t="str">
        <x:v>A verificar</x:v>
      </x:c>
      <x:c r="F83" s="12" t="str">
        <x:v>planta / logística</x:v>
      </x:c>
      <x:c r="G83" s="12" t="str">
        <x:v>Parque Industrial, Logístico y Tecnológico (PILT), RN9 km 551,5, Villa María, Córdoba</x:v>
      </x:c>
      <x:c r="H83" s="12" t="str">
        <x:v>Dateas - parque industrial</x:v>
      </x:c>
      <x:c r="I83" s="12" t="str">
        <x:v>https://www.dateas.com/es/explore/industrias-parque-industrial-villa-maria?page=1</x:v>
      </x:c>
    </x:row>
    <x:row r="84">
      <x:c r="A84" s="12" t="str">
        <x:v>VM-084</x:v>
      </x:c>
      <x:c r="B84" s="12" t="str">
        <x:v>B</x:v>
      </x:c>
      <x:c r="C84" s="12" t="str">
        <x:v>G &amp; G Motors S.R.L.</x:v>
      </x:c>
      <x:c r="D84" s="12" t="str">
        <x:v>A verificar</x:v>
      </x:c>
      <x:c r="E84" s="12" t="str">
        <x:v>A verificar</x:v>
      </x:c>
      <x:c r="F84" s="12" t="str">
        <x:v>planta / logística</x:v>
      </x:c>
      <x:c r="G84" s="12" t="str">
        <x:v>Parque Industrial, Logístico y Tecnológico (PILT), RN9 km 551,5, Villa María, Córdoba</x:v>
      </x:c>
      <x:c r="H84" s="12" t="str">
        <x:v>Dateas - parque industrial</x:v>
      </x:c>
      <x:c r="I84" s="12" t="str">
        <x:v>https://www.dateas.com/es/explore/industrias-parque-industrial-villa-maria?page=2</x:v>
      </x:c>
    </x:row>
    <x:row r="85">
      <x:c r="A85" s="12" t="str">
        <x:v>VM-085</x:v>
      </x:c>
      <x:c r="B85" s="12" t="str">
        <x:v>B</x:v>
      </x:c>
      <x:c r="C85" s="12" t="str">
        <x:v>La Chiquita SRL</x:v>
      </x:c>
      <x:c r="D85" s="12" t="str">
        <x:v>A verificar</x:v>
      </x:c>
      <x:c r="E85" s="12" t="str">
        <x:v>A verificar</x:v>
      </x:c>
      <x:c r="F85" s="12" t="str">
        <x:v>planta / mantenimiento</x:v>
      </x:c>
      <x:c r="G85" s="12" t="str">
        <x:v>Parque Industrial, Logístico y Tecnológico (PILT), RN9 km 551,5, Villa María, Córdoba</x:v>
      </x:c>
      <x:c r="H85" s="12" t="str">
        <x:v>Dateas - parque industrial</x:v>
      </x:c>
      <x:c r="I85" s="12" t="str">
        <x:v>https://www.dateas.com/es/explore/industrias-parque-industrial-villa-maria?page=3</x:v>
      </x:c>
    </x:row>
    <x:row r="86">
      <x:c r="A86" s="12" t="str">
        <x:v>VM-086</x:v>
      </x:c>
      <x:c r="B86" s="12" t="str">
        <x:v>B</x:v>
      </x:c>
      <x:c r="C86" s="12" t="str">
        <x:v>ENINDER</x:v>
      </x:c>
      <x:c r="D86" s="12" t="str">
        <x:v>A verificar</x:v>
      </x:c>
      <x:c r="E86" s="12" t="str">
        <x:v>A verificar</x:v>
      </x:c>
      <x:c r="F86" s="12" t="str">
        <x:v>planta / mantenimiento</x:v>
      </x:c>
      <x:c r="G86" s="12" t="str">
        <x:v>Parque Industrial, Logístico y Tecnológico (PILT), RN9 km 551,5, Villa María, Córdoba</x:v>
      </x:c>
      <x:c r="H86" s="12" t="str">
        <x:v>Dateas - parque industrial</x:v>
      </x:c>
      <x:c r="I86" s="12" t="str">
        <x:v>https://www.dateas.com/es/explore/industrias-parque-industrial-villa-maria?page=1</x:v>
      </x:c>
    </x:row>
    <x:row r="87">
      <x:c r="A87" s="12" t="str">
        <x:v>VM-087</x:v>
      </x:c>
      <x:c r="B87" s="12" t="str">
        <x:v>B</x:v>
      </x:c>
      <x:c r="C87" s="12" t="str">
        <x:v>Pollería Porporatto S.A.</x:v>
      </x:c>
      <x:c r="D87" s="12" t="str">
        <x:v>A verificar</x:v>
      </x:c>
      <x:c r="E87" s="12" t="str">
        <x:v>A verificar</x:v>
      </x:c>
      <x:c r="F87" s="12" t="str">
        <x:v>planta / logística</x:v>
      </x:c>
      <x:c r="G87" s="12" t="str">
        <x:v>Parque Industrial, Logístico y Tecnológico (PILT), RN9 km 551,5, Villa María, Córdoba</x:v>
      </x:c>
      <x:c r="H87" s="12" t="str">
        <x:v>Dateas - parque industrial</x:v>
      </x:c>
      <x:c r="I87" s="12" t="str">
        <x:v>https://www.dateas.com/es/explore/industrias-parque-industrial-villa-maria?page=4</x:v>
      </x:c>
    </x:row>
    <x:row r="88">
      <x:c r="A88" s="12" t="str">
        <x:v>VM-089</x:v>
      </x:c>
      <x:c r="B88" s="12" t="str">
        <x:v>B</x:v>
      </x:c>
      <x:c r="C88" s="12" t="str">
        <x:v>Cativelli S.R.L.</x:v>
      </x:c>
      <x:c r="D88" s="12" t="str">
        <x:v>A verificar</x:v>
      </x:c>
      <x:c r="E88" s="12" t="str">
        <x:v>A verificar</x:v>
      </x:c>
      <x:c r="F88" s="12" t="str">
        <x:v>planta / logística</x:v>
      </x:c>
      <x:c r="G88" s="12" t="str">
        <x:v>Parque Industrial, Logístico y Tecnológico (PILT), RN9 km 551,5, Villa María, Córdoba</x:v>
      </x:c>
      <x:c r="H88" s="12" t="str">
        <x:v>Dateas - parque industrial</x:v>
      </x:c>
      <x:c r="I88" s="12" t="str">
        <x:v>https://www.dateas.com/es/explore/industrias-parque-industrial-villa-maria?page=1</x:v>
      </x:c>
    </x:row>
    <x:row r="89">
      <x:c r="A89" s="12" t="str">
        <x:v>VM-090</x:v>
      </x:c>
      <x:c r="B89" s="12" t="str">
        <x:v>B</x:v>
      </x:c>
      <x:c r="C89" s="12" t="str">
        <x:v>Destefanis (DIPAEMA)</x:v>
      </x:c>
      <x:c r="D89" s="12" t="str">
        <x:v>A verificar</x:v>
      </x:c>
      <x:c r="E89" s="12" t="str">
        <x:v>A verificar</x:v>
      </x:c>
      <x:c r="F89" s="12" t="str">
        <x:v>planta / mantenimiento</x:v>
      </x:c>
      <x:c r="G89" s="12" t="str">
        <x:v>Parque Industrial, Logístico y Tecnológico (PILT), RN9 km 551,5, Villa María, Córdoba</x:v>
      </x:c>
      <x:c r="H89" s="12" t="str">
        <x:v>Dateas - parque industrial</x:v>
      </x:c>
      <x:c r="I89" s="12" t="str">
        <x:v>https://www.dateas.com/es/explore/industrias-parque-industrial-villa-maria?page=1</x:v>
      </x:c>
    </x:row>
    <x:row r="90">
      <x:c r="A90" t="str">
        <x:v>VM-091</x:v>
      </x:c>
      <x:c r="B90" t="str">
        <x:v>A+</x:v>
      </x:c>
      <x:c r="C90" t="str">
        <x:v>PRARIZZI MAQUINARIAS</x:v>
      </x:c>
      <x:c r="D90" t="str">
        <x:v>0353 4014084 / 03471 593470</x:v>
      </x:c>
      <x:c r="E90" t="str">
        <x:v>OK</x:v>
      </x:c>
      <x:c r="F90" t="str">
        <x:v>ventas / logística / usados</x:v>
      </x:c>
      <x:c r="G90" t="str">
        <x:v>Ruta 158 km 153 / AU9, Villa María, Córdoba</x:v>
      </x:c>
      <x:c r="H90" t="str">
        <x:v>Agroads</x:v>
      </x:c>
      <x:c r="I90" t="str">
        <x:v>https://www.agroads.com.ar/detalle.asp?clasi=1003380</x:v>
      </x:c>
    </x:row>
    <x:row r="91">
      <x:c r="A91" t="str">
        <x:v>VM-092</x:v>
      </x:c>
      <x:c r="B91" t="str">
        <x:v>A+</x:v>
      </x:c>
      <x:c r="C91" t="str">
        <x:v>Tu Fierro Importado</x:v>
      </x:c>
      <x:c r="D91" t="str">
        <x:v>+54 9 353 4089754</x:v>
      </x:c>
      <x:c r="E91" t="str">
        <x:v>OK</x:v>
      </x:c>
      <x:c r="F91" t="str">
        <x:v>ventas / importaciones / logística</x:v>
      </x:c>
      <x:c r="G91" t="str">
        <x:v>Villa María, Córdoba</x:v>
      </x:c>
      <x:c r="H91" t="str">
        <x:v>Web oficial</x:v>
      </x:c>
      <x:c r="I91" t="str">
        <x:v>https://tufierroimportado.com.ar/</x:v>
      </x:c>
    </x:row>
    <x:row r="92">
      <x:c r="A92" t="str">
        <x:v>VM-093</x:v>
      </x:c>
      <x:c r="B92" t="str">
        <x:v>A+</x:v>
      </x:c>
      <x:c r="C92" t="str">
        <x:v>Agromos</x:v>
      </x:c>
      <x:c r="D92" t="str">
        <x:v>0353 4222447</x:v>
      </x:c>
      <x:c r="E92" t="str">
        <x:v>OK</x:v>
      </x:c>
      <x:c r="F92" t="str">
        <x:v>ventas / usados / logística</x:v>
      </x:c>
      <x:c r="G92" t="str">
        <x:v>Intendente Horacio Cabeza 3073, Villa María, Córdoba</x:v>
      </x:c>
      <x:c r="H92" t="str">
        <x:v>Google Business + Agroads</x:v>
      </x:c>
      <x:c r="I92" t="str">
        <x:v>https://www.agroads.com.ar/seccion.asp?loc=6&amp;prov=8&amp;subcat=10&amp;tipo=usado</x:v>
      </x:c>
    </x:row>
    <x:row r="93">
      <x:c r="A93" t="str">
        <x:v>VM-094</x:v>
      </x:c>
      <x:c r="B93" t="str">
        <x:v>A+</x:v>
      </x:c>
      <x:c r="C93" t="str">
        <x:v>TRACTOFORCE</x:v>
      </x:c>
      <x:c r="D93" t="str">
        <x:v>0353 4188963</x:v>
      </x:c>
      <x:c r="E93" t="str">
        <x:v>OK</x:v>
      </x:c>
      <x:c r="F93" t="str">
        <x:v>ventas / logística / service</x:v>
      </x:c>
      <x:c r="G93" t="str">
        <x:v>RN9 km 561, Villa María, Córdoba</x:v>
      </x:c>
      <x:c r="H93" t="str">
        <x:v>Google Business</x:v>
      </x:c>
      <x:c r="I93" t="str">
        <x:v>https://www.google.com/maps/search/?api=1&amp;query=TRACTOFORCE%2C+RN9+km+561%2C+Villa+Mar%C3%ADa%2C+C%C3%B3rdoba</x:v>
      </x:c>
    </x:row>
    <x:row r="94">
      <x:c r="A94" t="str">
        <x:v>VM-095</x:v>
      </x:c>
      <x:c r="B94" t="str">
        <x:v>A+</x:v>
      </x:c>
      <x:c r="C94" t="str">
        <x:v>Metalfor Villa María</x:v>
      </x:c>
      <x:c r="D94" t="str">
        <x:v>0353 4614731</x:v>
      </x:c>
      <x:c r="E94" t="str">
        <x:v>OK</x:v>
      </x:c>
      <x:c r="F94" t="str">
        <x:v>ventas / service / logística</x:v>
      </x:c>
      <x:c r="G94" t="str">
        <x:v>Av. Presidente Perón 2795, Villa María, Córdoba</x:v>
      </x:c>
      <x:c r="H94" t="str">
        <x:v>Google Business + directorio local</x:v>
      </x:c>
      <x:c r="I94" t="str">
        <x:v>https://buscador5900.com.ar/agro/equipamiento/maquinaria-agricola-y-repuestos</x:v>
      </x:c>
    </x:row>
    <x:row r="95">
      <x:c r="A95" t="str">
        <x:v>VM-096</x:v>
      </x:c>
      <x:c r="B95" t="str">
        <x:v>A+</x:v>
      </x:c>
      <x:c r="C95" t="str">
        <x:v>Cherasco S.R.L. Maquinas Agrícolas</x:v>
      </x:c>
      <x:c r="D95" t="str">
        <x:v>A verificar</x:v>
      </x:c>
      <x:c r="E95" t="str">
        <x:v>A verificar</x:v>
      </x:c>
      <x:c r="F95" t="str">
        <x:v>ventas / logística / usados</x:v>
      </x:c>
      <x:c r="G95" t="str">
        <x:v>RN9 km 552-553, Villa María, Córdoba</x:v>
      </x:c>
      <x:c r="H95" t="str">
        <x:v>Agroads + registro empresario</x:v>
      </x:c>
      <x:c r="I95" t="str">
        <x:v>https://www.agroads.com.ar/seccion.asp?cat=2&amp;loc=6&amp;prov=8</x:v>
      </x:c>
    </x:row>
    <x:row r="96">
      <x:c r="A96" t="str">
        <x:v>VM-097</x:v>
      </x:c>
      <x:c r="B96" t="str">
        <x:v>A+</x:v>
      </x:c>
      <x:c r="C96" t="str">
        <x:v>AgroChery</x:v>
      </x:c>
      <x:c r="D96" t="str">
        <x:v>0353 4282774</x:v>
      </x:c>
      <x:c r="E96" t="str">
        <x:v>OK</x:v>
      </x:c>
      <x:c r="F96" t="str">
        <x:v>ventas / logística / service</x:v>
      </x:c>
      <x:c r="G96" t="str">
        <x:v>M. J. Suppo 216, Villa María, Córdoba</x:v>
      </x:c>
      <x:c r="H96" t="str">
        <x:v>Google Business</x:v>
      </x:c>
      <x:c r="I96" t="str">
        <x:v>https://www.google.com/maps/search/?api=1&amp;query=AgroChery%2C+M.+J.+Suppo+216%2C+Villa+Mar%C3%ADa%2C+C%C3%B3rdoba</x:v>
      </x:c>
    </x:row>
    <x:row r="97">
      <x:c r="A97" t="str">
        <x:v>VM-098</x:v>
      </x:c>
      <x:c r="B97" t="str">
        <x:v>A+</x:v>
      </x:c>
      <x:c r="C97" t="str">
        <x:v>AMD Servicios SRL</x:v>
      </x:c>
      <x:c r="D97" t="str">
        <x:v>0353 4012059</x:v>
      </x:c>
      <x:c r="E97" t="str">
        <x:v>OK</x:v>
      </x:c>
      <x:c r="F97" t="str">
        <x:v>alquileres / operaciones / logística</x:v>
      </x:c>
      <x:c r="G97" t="str">
        <x:v>J. Muller 427, Villa María, Córdoba</x:v>
      </x:c>
      <x:c r="H97" t="str">
        <x:v>Google Business</x:v>
      </x:c>
      <x:c r="I97" t="str">
        <x:v>https://www.google.com/maps/search/?api=1&amp;query=AMD+Servicios+SRL%2C+J.+Muller+427%2C+Villa+Mar%C3%ADa%2C+C%C3%B3rdoba</x:v>
      </x:c>
    </x:row>
    <x:row r="98">
      <x:c r="A98" t="str">
        <x:v>VM-099</x:v>
      </x:c>
      <x:c r="B98" t="str">
        <x:v>A+</x:v>
      </x:c>
      <x:c r="C98" t="str">
        <x:v>RR Agrícola Maquinarias</x:v>
      </x:c>
      <x:c r="D98" t="str">
        <x:v>0353 4538056</x:v>
      </x:c>
      <x:c r="E98" t="str">
        <x:v>OK</x:v>
      </x:c>
      <x:c r="F98" t="str">
        <x:v>ventas / logística / service</x:v>
      </x:c>
      <x:c r="G98" t="str">
        <x:v>RN9 km 553, Villa María, Córdoba</x:v>
      </x:c>
      <x:c r="H98" t="str">
        <x:v>Directorio local</x:v>
      </x:c>
      <x:c r="I98" t="str">
        <x:v>https://buscador5900.com.ar/agro/equipamiento/maquinaria-agricola-y-repuestos</x:v>
      </x:c>
    </x:row>
    <x:row r="99">
      <x:c r="A99" t="str">
        <x:v>VM-100</x:v>
      </x:c>
      <x:c r="B99" t="str">
        <x:v>A+</x:v>
      </x:c>
      <x:c r="C99" t="str">
        <x:v>SALSITECO S.A.</x:v>
      </x:c>
      <x:c r="D99" t="str">
        <x:v>0353 4524006</x:v>
      </x:c>
      <x:c r="E99" t="str">
        <x:v>OK</x:v>
      </x:c>
      <x:c r="F99" t="str">
        <x:v>jefe de obra / equipos / operaciones</x:v>
      </x:c>
      <x:c r="G99" t="str">
        <x:v>José Ingenieros 625, Villa María, Córdoba</x:v>
      </x:c>
      <x:c r="H99" t="str">
        <x:v>Web oficial</x:v>
      </x:c>
      <x:c r="I99" t="str">
        <x:v>https://salsiteco.com.ar/empresa.php</x:v>
      </x:c>
    </x:row>
    <x:row r="100">
      <x:c r="A100" t="str">
        <x:v>VM-101</x:v>
      </x:c>
      <x:c r="B100" t="str">
        <x:v>A+</x:v>
      </x:c>
      <x:c r="C100" t="str">
        <x:v>Movimiento de suelo Alexis Moreno</x:v>
      </x:c>
      <x:c r="D100" t="str">
        <x:v>A verificar</x:v>
      </x:c>
      <x:c r="E100" t="str">
        <x:v>A verificar</x:v>
      </x:c>
      <x:c r="F100" t="str">
        <x:v>dueño / operaciones / equipos</x:v>
      </x:c>
      <x:c r="G100" t="str">
        <x:v>Aconquija 2323, Villa María, Córdoba</x:v>
      </x:c>
      <x:c r="H100" t="str">
        <x:v>Google Business</x:v>
      </x:c>
      <x:c r="I100" t="str">
        <x:v>https://www.google.com/maps/search/?api=1&amp;query=Movimiento+de+suelo+Alexis+Moreno%2C+Aconquija+2323%2C+Villa+Mar%C3%ADa%2C+C%C3%B3rdoba</x:v>
      </x:c>
    </x:row>
    <x:row r="101">
      <x:c r="A101" t="str">
        <x:v>VM-102</x:v>
      </x:c>
      <x:c r="B101" t="str">
        <x:v>A+</x:v>
      </x:c>
      <x:c r="C101" t="str">
        <x:v>Pla Centro de Distribuciones</x:v>
      </x:c>
      <x:c r="D101" t="str">
        <x:v>0353 4614161</x:v>
      </x:c>
      <x:c r="E101" t="str">
        <x:v>OK</x:v>
      </x:c>
      <x:c r="F101" t="str">
        <x:v>ventas / logística / repuestos</x:v>
      </x:c>
      <x:c r="G101" t="str">
        <x:v>Av. Presidente Perón 3566, Villa María, Córdoba</x:v>
      </x:c>
      <x:c r="H101" t="str">
        <x:v>Directorio local</x:v>
      </x:c>
      <x:c r="I101" t="str">
        <x:v>https://buscador5900.com.ar/agro/equipamiento/maquinaria-agricola-y-repuestos</x:v>
      </x:c>
    </x:row>
    <x:row r="102">
      <x:c r="A102" t="str">
        <x:v>VM-103</x:v>
      </x:c>
      <x:c r="B102" t="str">
        <x:v>A+</x:v>
      </x:c>
      <x:c r="C102" t="str">
        <x:v>Roberto Mosoni Venta de Tractores</x:v>
      </x:c>
      <x:c r="D102" t="str">
        <x:v>0353 156566469</x:v>
      </x:c>
      <x:c r="E102" t="str">
        <x:v>OK</x:v>
      </x:c>
      <x:c r="F102" t="str">
        <x:v>dueño / ventas / logística</x:v>
      </x:c>
      <x:c r="G102" t="str">
        <x:v>Av. Presidente Perón 988, Villa María, Córdoba</x:v>
      </x:c>
      <x:c r="H102" t="str">
        <x:v>Directorio local</x:v>
      </x:c>
      <x:c r="I102" t="str">
        <x:v>https://www.buscador5900.com.ar/agro/equipamiento</x:v>
      </x:c>
    </x:row>
    <x:row r="103">
      <x:c r="A103" t="str">
        <x:v>VM-104</x:v>
      </x:c>
      <x:c r="B103" t="str">
        <x:v>A</x:v>
      </x:c>
      <x:c r="C103" t="str">
        <x:v>URBA Constructora</x:v>
      </x:c>
      <x:c r="D103" t="str">
        <x:v>0353 4295173</x:v>
      </x:c>
      <x:c r="E103" t="str">
        <x:v>OK</x:v>
      </x:c>
      <x:c r="F103" t="str">
        <x:v>obras / compras / logística</x:v>
      </x:c>
      <x:c r="G103" t="str">
        <x:v>Bv. Vélez Sarsfield 1170 Piso 3 Of. 12, Villa María, Córdoba</x:v>
      </x:c>
      <x:c r="H103" t="str">
        <x:v>Web oficial</x:v>
      </x:c>
      <x:c r="I103" t="str">
        <x:v>https://urbaconstructora.com/</x:v>
      </x:c>
    </x:row>
    <x:row r="104">
      <x:c r="A104" t="str">
        <x:v>VM-105</x:v>
      </x:c>
      <x:c r="B104" t="str">
        <x:v>A</x:v>
      </x:c>
      <x:c r="C104" t="str">
        <x:v>Arinco SA - Obras de Ingeniería</x:v>
      </x:c>
      <x:c r="D104" t="str">
        <x:v>0353 4222251</x:v>
      </x:c>
      <x:c r="E104" t="str">
        <x:v>OK</x:v>
      </x:c>
      <x:c r="F104" t="str">
        <x:v>obras / equipos / logística</x:v>
      </x:c>
      <x:c r="G104" t="str">
        <x:v>Parque Industrial, Villa María, Córdoba</x:v>
      </x:c>
      <x:c r="H104" t="str">
        <x:v>Google Business</x:v>
      </x:c>
      <x:c r="I104" t="str">
        <x:v>https://www.google.com/maps/search/?api=1&amp;query=Arinco+SA+Obras+de+Ingenier%C3%ADa%2C+Parque+Industrial%2C+Villa+Mar%C3%ADa%2C+C%C3%B3rdoba</x:v>
      </x:c>
    </x:row>
    <x:row r="105">
      <x:c r="A105" t="str">
        <x:v>VM-106</x:v>
      </x:c>
      <x:c r="B105" t="str">
        <x:v>A</x:v>
      </x:c>
      <x:c r="C105" t="str">
        <x:v>Ombu Máquinas Agrícolas</x:v>
      </x:c>
      <x:c r="D105" t="str">
        <x:v>A verificar</x:v>
      </x:c>
      <x:c r="E105" t="str">
        <x:v>A verificar</x:v>
      </x:c>
      <x:c r="F105" t="str">
        <x:v>ventas / logística / repuestos</x:v>
      </x:c>
      <x:c r="G105" t="str">
        <x:v>Porfirio Seppey 1217, Villa María, Córdoba</x:v>
      </x:c>
      <x:c r="H105" t="str">
        <x:v>Directorio local</x:v>
      </x:c>
      <x:c r="I105" t="str">
        <x:v>https://buscador5900.com.ar/agro/equipamiento/maquinaria-agricola-y-repuestos</x:v>
      </x:c>
    </x:row>
    <x:row r="106">
      <x:c r="A106" t="str">
        <x:v>VM-107</x:v>
      </x:c>
      <x:c r="B106" t="str">
        <x:v>A</x:v>
      </x:c>
      <x:c r="C106" t="str">
        <x:v>MAQUINAS Y SERVICIOS RURALES</x:v>
      </x:c>
      <x:c r="D106" t="str">
        <x:v>A verificar</x:v>
      </x:c>
      <x:c r="E106" t="str">
        <x:v>A verificar</x:v>
      </x:c>
      <x:c r="F106" t="str">
        <x:v>dueño / operaciones / logística</x:v>
      </x:c>
      <x:c r="G106" t="str">
        <x:v>Ramiro Suárez 1750, Villa María, Córdoba</x:v>
      </x:c>
      <x:c r="H106" t="str">
        <x:v>Google Business</x:v>
      </x:c>
      <x:c r="I106" t="str">
        <x:v>https://www.google.com/maps/search/?api=1&amp;query=MAQUINAS+Y+SERVICIOS+RURALES%2C+Ramiro+Su%C3%A1rez+1750%2C+Villa+Mar%C3%ADa%2C+C%C3%B3rdoba</x:v>
      </x:c>
    </x:row>
    <x:row r="107">
      <x:c r="A107" t="str">
        <x:v>VM-108</x:v>
      </x:c>
      <x:c r="B107" t="str">
        <x:v>A</x:v>
      </x:c>
      <x:c r="C107" t="str">
        <x:v>MP Servicios</x:v>
      </x:c>
      <x:c r="D107" t="str">
        <x:v>0353 4291984</x:v>
      </x:c>
      <x:c r="E107" t="str">
        <x:v>OK</x:v>
      </x:c>
      <x:c r="F107" t="str">
        <x:v>dueño / operaciones</x:v>
      </x:c>
      <x:c r="G107" t="str">
        <x:v>C. Agapito Albert, Villa María, Córdoba</x:v>
      </x:c>
      <x:c r="H107" t="str">
        <x:v>Google Business</x:v>
      </x:c>
      <x:c r="I107" t="str">
        <x:v>https://www.google.com/maps/search/?api=1&amp;query=MP+Servicios%2C+C.+Agapito+Albert%2C+Villa+Mar%C3%ADa%2C+C%C3%B3rdoba</x:v>
      </x:c>
    </x:row>
  </x:sheetData>
  <x:conditionalFormatting sqref="E2:E89">
    <x:cfRule type="expression" dxfId="4" priority="1">
      <x:formula>E2="A verificar"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3295d35a7e749c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20" hidden="0" customWidth="1"/>
    <x:col min="4" max="4" width="16" hidden="0" customWidth="1"/>
  </x:cols>
  <x:sheetData>
    <x:row r="1">
      <x:c r="A1" s="17" t="str">
        <x:v>SERVICIOS PRESOL · OPORTUNIDAD VILLA MARÍA</x:v>
      </x:c>
      <x:c r="B1" s="17"/>
      <x:c r="C1" s="17"/>
      <x:c r="D1" s="17"/>
    </x:row>
    <x:row r="3">
      <x:c r="A3" s="6" t="str">
        <x:v>Servicio</x:v>
      </x:c>
      <x:c r="B3" s="6" t="str">
        <x:v>Descripción</x:v>
      </x:c>
      <x:c r="C3" s="6" t="str">
        <x:v>Prospectos compatibles</x:v>
      </x:c>
      <x:c r="D3" s="6" t="str">
        <x:v>% universo</x:v>
      </x:c>
    </x:row>
    <x:row r="4">
      <x:c r="A4" t="str">
        <x:v>Plataforma 20 tn</x:v>
      </x:c>
      <x:c r="B4" t="str">
        <x:v>Maquinaria, camiones, remolques y equipos pesados.</x:v>
      </x:c>
      <x:c r="C4" t="n">
        <x:f>COUNTIF(Prospectos!AE2:AE91,"*Plataforma*")</x:f>
        <x:v>0</x:v>
      </x:c>
      <x:c r="D4" s="32" t="n">
        <x:f>C4/COUNTA(Prospectos!H2:H91)</x:f>
        <x:v>0</x:v>
      </x:c>
    </x:row>
    <x:row r="5">
      <x:c r="A5" t="str">
        <x:v>Hidrogrúa</x:v>
      </x:c>
      <x:c r="B5" t="str">
        <x:v>Carga/descarga y posicionamiento en planta, obra o cliente.</x:v>
      </x:c>
      <x:c r="C5" t="n">
        <x:f>COUNTIF(Prospectos!AE2:AE91,"*Hidrogrúa*")</x:f>
        <x:v>0</x:v>
      </x:c>
      <x:c r="D5" s="32" t="n">
        <x:f>C5/COUNTA(Prospectos!H2:H91)</x:f>
        <x:v>0</x:v>
      </x:c>
    </x:row>
    <x:row r="6">
      <x:c r="A6" t="str">
        <x:v>Malacate</x:v>
      </x:c>
      <x:c r="B6" t="str">
        <x:v>Carga de equipos sin autonomía o averiados.</x:v>
      </x:c>
      <x:c r="C6" t="n">
        <x:f>COUNTIF(Prospectos!AE2:AE91,"*Malacate*")</x:f>
        <x:v>0</x:v>
      </x:c>
      <x:c r="D6" s="32" t="n">
        <x:f>C6/COUNTA(Prospectos!H2:H91)</x:f>
        <x:v>0</x:v>
      </x:c>
    </x:row>
    <x:row r="7">
      <x:c r="A7" t="str">
        <x:v>Percha para pallets</x:v>
      </x:c>
      <x:c r="B7" t="str">
        <x:v>Cargas paletizadas y movimientos especiales compatibles.</x:v>
      </x:c>
      <x:c r="C7" t="n">
        <x:f>COUNTIF(Prospectos!AE2:AE91,"*Percha*")</x:f>
        <x:v>0</x:v>
      </x:c>
      <x:c r="D7" s="32" t="n">
        <x:f>C7/COUNTA(Prospectos!H2:H91)</x:f>
        <x:v>0</x:v>
      </x:c>
    </x:row>
    <x:row r="8">
      <x:c r="A8" t="str">
        <x:v>Entrega/retiro equipos</x:v>
      </x:c>
      <x:c r="B8" t="str">
        <x:v>Dealers, rental, service y posventa.</x:v>
      </x:c>
      <x:c r="C8" t="n">
        <x:f>COUNTIF(Prospectos!AE2:AE91,"*Entrega/retiro*")</x:f>
        <x:v>0</x:v>
      </x:c>
      <x:c r="D8" s="32" t="n">
        <x:f>C8/COUNTA(Prospectos!H2:H91)</x:f>
        <x:v>0</x:v>
      </x:c>
    </x:row>
    <x:row r="9">
      <x:c r="A9" t="str">
        <x:v>Traslados interobra</x:v>
      </x:c>
      <x:c r="B9" t="str">
        <x:v>Movimiento de equipos entre frentes de obra.</x:v>
      </x:c>
      <x:c r="C9" t="n">
        <x:f>COUNTIF(Prospectos!AE2:AE91,"*Traslados*")</x:f>
        <x:v>0</x:v>
      </x:c>
      <x:c r="D9" s="32" t="n">
        <x:f>C9/COUNTA(Prospectos!H2:H91)</x:f>
        <x:v>0</x:v>
      </x:c>
    </x:row>
    <x:row r="10">
      <x:c r="A10" t="str">
        <x:v>Seguro/GPS</x:v>
      </x:c>
      <x:c r="B10" t="str">
        <x:v>Trazabilidad para maquinaria y equipos de alto valor.</x:v>
      </x:c>
      <x:c r="C10" t="n">
        <x:f>COUNTIF(Prospectos!AE2:AE91,"*Seguro/GPS*")</x:f>
        <x:v>0</x:v>
      </x:c>
      <x:c r="D10" s="32" t="n">
        <x:f>C10/COUNTA(Prospectos!H2:H91)</x:f>
        <x:v>0</x:v>
      </x:c>
    </x:row>
    <x:row r="11">
      <x:c r="A11" t="str">
        <x:v>Subcontratación</x:v>
      </x:c>
      <x:c r="B11" t="str">
        <x:v>Capacidad complementaria para transportistas y logísticos.</x:v>
      </x:c>
      <x:c r="C11" t="n">
        <x:f>COUNTIF(Prospectos!AE2:AE91,"*Subcontratación*")</x:f>
        <x:v>0</x:v>
      </x:c>
      <x:c r="D11" s="32" t="n">
        <x:f>C11/COUNTA(Prospectos!H2:H91)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32" hidden="0" customWidth="1"/>
    <x:col min="4" max="4" width="30" hidden="0" customWidth="1"/>
    <x:col min="5" max="5" width="22" hidden="0" customWidth="1"/>
    <x:col min="6" max="6" width="42" hidden="0" customWidth="1"/>
    <x:col min="7" max="7" width="27" hidden="0" customWidth="1"/>
    <x:col min="8" max="8" width="48" hidden="0" customWidth="1"/>
    <x:col min="9" max="9" width="12" hidden="0" customWidth="1"/>
    <x:col min="10" max="10" width="26" hidden="0" customWidth="1"/>
    <x:col min="11" max="11" width="48" hidden="0" customWidth="1"/>
    <x:col min="12" max="12" width="40" hidden="0" customWidth="1"/>
  </x:cols>
  <x:sheetData>
    <x:row r="1">
      <x:c r="A1" s="17" t="str">
        <x:v>RASTRILLAJE PILT · PARQUE INDUSTRIAL, LOGÍSTICO Y TECNOLÓGICO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2">
      <x:c r="A2" s="21" t="str">
        <x:v>Cruce de fuentes actuales/oficiales y dataset secundario. Registros con calidad Media deben validarse antes de visita.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4">
      <x:c r="A4" s="6" t="str">
        <x:v>Clase</x:v>
      </x:c>
      <x:c r="B4" s="6" t="str">
        <x:v>Score</x:v>
      </x:c>
      <x:c r="C4" s="6" t="str">
        <x:v>Empresa</x:v>
      </x:c>
      <x:c r="D4" s="6" t="str">
        <x:v>Categoría</x:v>
      </x:c>
      <x:c r="E4" s="6" t="str">
        <x:v>Teléfono</x:v>
      </x:c>
      <x:c r="F4" s="6" t="str">
        <x:v>Dirección</x:v>
      </x:c>
      <x:c r="G4" s="6" t="str">
        <x:v>Preguntar por</x:v>
      </x:c>
      <x:c r="H4" s="6" t="str">
        <x:v>Evidencia</x:v>
      </x:c>
      <x:c r="I4" s="6" t="str">
        <x:v>Calidad</x:v>
      </x:c>
      <x:c r="J4" s="6" t="str">
        <x:v>Fuente</x:v>
      </x:c>
      <x:c r="K4" s="6" t="str">
        <x:v>URL</x:v>
      </x:c>
      <x:c r="L4" s="6" t="str">
        <x:v>Google Maps</x:v>
      </x:c>
    </x:row>
    <x:row r="5">
      <x:c r="A5" s="12" t="str">
        <x:v>A+</x:v>
      </x:c>
      <x:c r="B5" s="12" t="n">
        <x:v>100</x:v>
      </x:c>
      <x:c r="C5" s="12" t="str">
        <x:v>Pedrolga</x:v>
      </x:c>
      <x:c r="D5" s="12" t="str">
        <x:v>Logística / almacenamiento / transporte</x:v>
      </x:c>
      <x:c r="E5" s="12" t="str">
        <x:v>+54 353 4252853</x:v>
      </x:c>
      <x:c r="F5" s="12" t="str">
        <x:v>PILT, RN9 km 551,5, Villa María, Córdoba</x:v>
      </x:c>
      <x:c r="G5" s="12" t="str">
        <x:v>operaciones / tráfico / mantenimiento</x:v>
      </x:c>
      <x:c r="H5" s="12" t="str">
        <x:v>Transporte terrestre, almacenamiento y depósito fiscal refrigerado.</x:v>
      </x:c>
      <x:c r="I5" s="12" t="str">
        <x:v>Alta</x:v>
      </x:c>
      <x:c r="J5" s="12" t="str">
        <x:v>Web oficial</x:v>
      </x:c>
      <x:c r="K5" s="12" t="str">
        <x:v>https://pedrolga.com/servicio-almacenamiento-frio</x:v>
      </x:c>
      <x:c r="L5" s="12" t="str">
        <x:v>https://www.google.com/maps/search/?api=1&amp;query=Pedrolga%2C+PILT%2C+RN9+km+551%2C5%2C+Villa+Mar%C3%ADa%2C+C%C3%B3rdoba</x:v>
      </x:c>
    </x:row>
    <x:row r="6">
      <x:c r="A6" s="12" t="str">
        <x:v>A+</x:v>
      </x:c>
      <x:c r="B6" s="12" t="n">
        <x:v>100</x:v>
      </x:c>
      <x:c r="C6" s="12" t="str">
        <x:v>Terramar Logística - Villa María</x:v>
      </x:c>
      <x:c r="D6" s="12" t="str">
        <x:v>Logística / contenedores / depósito fiscal</x:v>
      </x:c>
      <x:c r="E6" s="12" t="str">
        <x:v>0353 4236807</x:v>
      </x:c>
      <x:c r="F6" s="12" t="str">
        <x:v>RN9 km 551,5, PILT, Villa María, Córdoba</x:v>
      </x:c>
      <x:c r="G6" s="12" t="str">
        <x:v>operaciones / tráfico / logística</x:v>
      </x:c>
      <x:c r="H6" s="12" t="str">
        <x:v>Terminal de contenedores y servicios logísticos dentro del PILT.</x:v>
      </x:c>
      <x:c r="I6" s="12" t="str">
        <x:v>Alta</x:v>
      </x:c>
      <x:c r="J6" s="12" t="str">
        <x:v>Web oficial</x:v>
      </x:c>
      <x:c r="K6" s="12" t="str">
        <x:v>https://www.terramarlogistica.com.ar/contenedoresvillamaria/</x:v>
      </x:c>
      <x:c r="L6" s="12" t="str">
        <x:v>https://www.google.com/maps/search/?api=1&amp;query=Terramar+Log%C3%ADstica+-+Villa+Mar%C3%ADa%2C+RN9+km+551%2C5%2C+PILT%2C+Villa+Mar%C3%ADa%2C+C%C3%B3rdoba</x:v>
      </x:c>
    </x:row>
    <x:row r="7">
      <x:c r="A7" s="12" t="str">
        <x:v>A+</x:v>
      </x:c>
      <x:c r="B7" s="12" t="n">
        <x:v>99</x:v>
      </x:c>
      <x:c r="C7" s="12" t="str">
        <x:v>Metalúrgica JAP</x:v>
      </x:c>
      <x:c r="D7" s="12" t="str">
        <x:v>Carrocerías / trailers / estructuras</x:v>
      </x:c>
      <x:c r="E7" s="12" t="str">
        <x:v>+54 353 6563732 / +54 353 5657977</x:v>
      </x:c>
      <x:c r="F7" s="12" t="str">
        <x:v>J. Carlos Avalle 6058, Villa María, Córdoba</x:v>
      </x:c>
      <x:c r="G7" s="12" t="str">
        <x:v>dueño / producción / expedición</x:v>
      </x:c>
      <x:c r="H7" s="12" t="str">
        <x:v>Carrozados, trailers, estructuras metálicas y certificaciones de izaje.</x:v>
      </x:c>
      <x:c r="I7" s="12" t="str">
        <x:v>Alta</x:v>
      </x:c>
      <x:c r="J7" s="12" t="str">
        <x:v>Web oficial</x:v>
      </x:c>
      <x:c r="K7" s="12" t="str">
        <x:v>https://www.metalurgicajap.com/</x:v>
      </x:c>
      <x:c r="L7" s="12" t="str">
        <x:v>https://www.google.com/maps/search/?api=1&amp;query=Metal%C3%BArgica+JAP%2C+J.+Carlos+Avalle+6058%2C+Villa+Mar%C3%ADa%2C+C%C3%B3rdoba</x:v>
      </x:c>
    </x:row>
    <x:row r="8">
      <x:c r="A8" s="12" t="str">
        <x:v>A+</x:v>
      </x:c>
      <x:c r="B8" s="12" t="n">
        <x:v>94</x:v>
      </x:c>
      <x:c r="C8" s="12" t="str">
        <x:v>Moray Precision Planting</x:v>
      </x:c>
      <x:c r="D8" s="12" t="str">
        <x:v>Agricultura de precisión / sembradoras</x:v>
      </x:c>
      <x:c r="E8" s="12" t="str">
        <x:v>A verificar</x:v>
      </x:c>
      <x:c r="F8" s="12" t="str">
        <x:v>Parque Industrial, Logístico y Tecnológico (PILT), RN9 km 551,5, Villa María, Córdoba</x:v>
      </x:c>
      <x:c r="G8" s="12" t="str">
        <x:v>servicio a sembradoras / logística</x:v>
      </x:c>
      <x:c r="H8" s="12" t="str">
        <x:v>Centro especializado en sembradoras: chequeos, reparación e incorporación de tecnología.</x:v>
      </x:c>
      <x:c r="I8" s="12" t="str">
        <x:v>Alta</x:v>
      </x:c>
      <x:c r="J8" s="12" t="str">
        <x:v>PILT / Municipalidad</x:v>
      </x:c>
      <x:c r="K8" s="12" t="str">
        <x:v>https://pilt.com.ar/parque-industrial/nueva-empresa-se-suma-al-parque-industrial/</x:v>
      </x:c>
      <x:c r="L8" s="12" t="str">
        <x:v>https://www.google.com/maps/search/?api=1&amp;query=Moray+Precision+Planting%2C+Parque+Industrial%2C+Log%C3%ADstico+y+Tecnol%C3%B3gico+%28PILT%29%2C+RN9+km+551%2C5%2C+Villa+Mar%C3%ADa%2C+C%C3%B3rdoba</x:v>
      </x:c>
    </x:row>
    <x:row r="9">
      <x:c r="A9" s="12" t="str">
        <x:v>A+</x:v>
      </x:c>
      <x:c r="B9" s="12" t="n">
        <x:v>94</x:v>
      </x:c>
      <x:c r="C9" s="12" t="str">
        <x:v>Nuevo Remolques Trailer S.A.</x:v>
      </x:c>
      <x:c r="D9" s="12" t="str">
        <x:v>Remolques / semirremolques</x:v>
      </x:c>
      <x:c r="E9" s="12" t="str">
        <x:v>A verificar</x:v>
      </x:c>
      <x:c r="F9" s="12" t="str">
        <x:v>Parque Industrial, Logístico y Tecnológico (PILT), RN9 km 551,5, Villa María, Córdoba</x:v>
      </x:c>
      <x:c r="G9" s="12" t="str">
        <x:v>producción / expedición</x:v>
      </x:c>
      <x:c r="H9" s="12" t="str">
        <x:v>Carrocerías para vehículos, remolques y semirremolques.</x:v>
      </x:c>
      <x:c r="I9" s="12" t="str">
        <x:v>Media</x:v>
      </x:c>
      <x:c r="J9" s="12" t="str">
        <x:v>Dateas - parque industrial</x:v>
      </x:c>
      <x:c r="K9" s="12" t="str">
        <x:v>https://www.dateas.com/es/explore/industrias-parque-industrial-villa-maria?page=3</x:v>
      </x:c>
      <x:c r="L9" s="12" t="str">
        <x:v>https://www.google.com/maps/search/?api=1&amp;query=Nuevo+Remolques+Trailer+S.A.%2C+Parque+Industrial%2C+Log%C3%ADstico+y+Tecnol%C3%B3gico+%28PILT%29%2C+RN9+km+551%2C5%2C+Villa+Mar%C3%ADa%2C+C%C3%B3rdoba</x:v>
      </x:c>
    </x:row>
    <x:row r="10">
      <x:c r="A10" s="12" t="str">
        <x:v>A+</x:v>
      </x:c>
      <x:c r="B10" s="12" t="n">
        <x:v>93</x:v>
      </x:c>
      <x:c r="C10" s="12" t="str">
        <x:v>COATA Córdoba</x:v>
      </x:c>
      <x:c r="D10" s="12" t="str">
        <x:v>Logística / transporte</x:v>
      </x:c>
      <x:c r="E10" s="12" t="str">
        <x:v>0351 4557919 / 4553311</x:v>
      </x:c>
      <x:c r="F10" s="12" t="str">
        <x:v>Parque Industrial, Logístico y Tecnológico (PILT), RN9 km 551,5, Villa María, Córdoba</x:v>
      </x:c>
      <x:c r="G10" s="12" t="str">
        <x:v>operaciones / tráfico</x:v>
      </x:c>
      <x:c r="H10" s="12" t="str">
        <x:v>Establecimiento de logística radicado en el Parque Industrial.</x:v>
      </x:c>
      <x:c r="I10" s="12" t="str">
        <x:v>Media</x:v>
      </x:c>
      <x:c r="J10" s="12" t="str">
        <x:v>Dateas - parque industrial</x:v>
      </x:c>
      <x:c r="K10" s="12" t="str">
        <x:v>https://www.dateas.com/es/explore/industrias-parque-industrial-villa-maria?page=1</x:v>
      </x:c>
      <x:c r="L10" s="12" t="str">
        <x:v>https://www.google.com/maps/search/?api=1&amp;query=COATA+C%C3%B3rdoba%2C+Parque+Industrial%2C+Log%C3%ADstico+y+Tecnol%C3%B3gico+%28PILT%29%2C+RN9+km+551%2C5%2C+Villa+Mar%C3%ADa%2C+C%C3%B3rdoba</x:v>
      </x:c>
    </x:row>
    <x:row r="11">
      <x:c r="A11" s="12" t="str">
        <x:v>A+</x:v>
      </x:c>
      <x:c r="B11" s="12" t="n">
        <x:v>92</x:v>
      </x:c>
      <x:c r="C11" s="12" t="str">
        <x:v>INDUTAMB SRL</x:v>
      </x:c>
      <x:c r="D11" s="12" t="str">
        <x:v>Equipos e implementos agropecuarios</x:v>
      </x:c>
      <x:c r="E11" s="12" t="str">
        <x:v>0353 5657870</x:v>
      </x:c>
      <x:c r="F11" s="12" t="str">
        <x:v>Parque Industrial, Logístico y Tecnológico (PILT), RN9 km 551,5, Villa María, Córdoba</x:v>
      </x:c>
      <x:c r="G11" s="12" t="str">
        <x:v>producción / expedición</x:v>
      </x:c>
      <x:c r="H11" s="12" t="str">
        <x:v>Ensamblado de equipos e implementos de uso agropecuario.</x:v>
      </x:c>
      <x:c r="I11" s="12" t="str">
        <x:v>Media</x:v>
      </x:c>
      <x:c r="J11" s="12" t="str">
        <x:v>Dateas - parque industrial</x:v>
      </x:c>
      <x:c r="K11" s="12" t="str">
        <x:v>https://www.dateas.com/es/explore/industrias-parque-industrial-villa-maria?page=2</x:v>
      </x:c>
      <x:c r="L11" s="12" t="str">
        <x:v>https://www.google.com/maps/search/?api=1&amp;query=INDUTAMB+SRL%2C+Parque+Industrial%2C+Log%C3%ADstico+y+Tecnol%C3%B3gico+%28PILT%29%2C+RN9+km+551%2C5%2C+Villa+Mar%C3%ADa%2C+C%C3%B3rdoba</x:v>
      </x:c>
    </x:row>
    <x:row r="12">
      <x:c r="A12" s="12" t="str">
        <x:v>A+</x:v>
      </x:c>
      <x:c r="B12" s="12" t="n">
        <x:v>92</x:v>
      </x:c>
      <x:c r="C12" s="12" t="str">
        <x:v>Metalquímica Banchio Hnos. S.A.</x:v>
      </x:c>
      <x:c r="D12" s="12" t="str">
        <x:v>Furgones térmicos / metalmecánica</x:v>
      </x:c>
      <x:c r="E12" s="12" t="str">
        <x:v>A verificar</x:v>
      </x:c>
      <x:c r="F12" s="12" t="str">
        <x:v>Parque Industrial, Logístico y Tecnológico (PILT), RN9 km 551,5, Villa María, Córdoba</x:v>
      </x:c>
      <x:c r="G12" s="12" t="str">
        <x:v>producción / expedición</x:v>
      </x:c>
      <x:c r="H12" s="12" t="str">
        <x:v>Fabricación de furgones térmicos y anexos.</x:v>
      </x:c>
      <x:c r="I12" s="12" t="str">
        <x:v>Media</x:v>
      </x:c>
      <x:c r="J12" s="12" t="str">
        <x:v>Dateas - parque industrial</x:v>
      </x:c>
      <x:c r="K12" s="12" t="str">
        <x:v>https://www.dateas.com/es/explore/industrias-parque-industrial-villa-maria?page=3</x:v>
      </x:c>
      <x:c r="L12" s="12" t="str">
        <x:v>https://www.google.com/maps/search/?api=1&amp;query=Metalqu%C3%ADmica+Banchio+Hnos.+S.A.%2C+Parque+Industrial%2C+Log%C3%ADstico+y+Tecnol%C3%B3gico+%28PILT%29%2C+RN9+km+551%2C5%2C+Villa+Mar%C3%ADa%2C+C%C3%B3rdoba</x:v>
      </x:c>
    </x:row>
    <x:row r="13">
      <x:c r="A13" s="12" t="str">
        <x:v>A+</x:v>
      </x:c>
      <x:c r="B13" s="12" t="n">
        <x:v>91</x:v>
      </x:c>
      <x:c r="C13" s="12" t="str">
        <x:v>Tallone Esteban</x:v>
      </x:c>
      <x:c r="D13" s="12" t="str">
        <x:v>Piezas para maquinaria agrícola</x:v>
      </x:c>
      <x:c r="E13" s="12" t="str">
        <x:v>0353 5083578 / 4880252</x:v>
      </x:c>
      <x:c r="F13" s="12" t="str">
        <x:v>Parque Industrial, Logístico y Tecnológico (PILT), RN9 km 551,5, Villa María, Córdoba</x:v>
      </x:c>
      <x:c r="G13" s="12" t="str">
        <x:v>producción / expedición</x:v>
      </x:c>
      <x:c r="H13" s="12" t="str">
        <x:v>Fabricación de piezas para maquinarias agrícolas.</x:v>
      </x:c>
      <x:c r="I13" s="12" t="str">
        <x:v>Media</x:v>
      </x:c>
      <x:c r="J13" s="12" t="str">
        <x:v>Dateas - parque industrial</x:v>
      </x:c>
      <x:c r="K13" s="12" t="str">
        <x:v>https://www.dateas.com/es/explore/industrias-parque-industrial-villa-maria/tallone-esteban-95</x:v>
      </x:c>
      <x:c r="L13" s="12" t="str">
        <x:v>https://www.google.com/maps/search/?api=1&amp;query=Tallone+Esteban%2C+Parque+Industrial%2C+Log%C3%ADstico+y+Tecnol%C3%B3gico+%28PILT%29%2C+RN9+km+551%2C5%2C+Villa+Mar%C3%ADa%2C+C%C3%B3rdoba</x:v>
      </x:c>
    </x:row>
    <x:row r="14">
      <x:c r="A14" s="12" t="str">
        <x:v>A+</x:v>
      </x:c>
      <x:c r="B14" s="12" t="n">
        <x:v>90</x:v>
      </x:c>
      <x:c r="C14" s="12" t="str">
        <x:v>MR Logística</x:v>
      </x:c>
      <x:c r="D14" s="12" t="str">
        <x:v>Logística / servicios</x:v>
      </x:c>
      <x:c r="E14" s="12" t="str">
        <x:v>A verificar</x:v>
      </x:c>
      <x:c r="F14" s="12" t="str">
        <x:v>Parque Industrial, Logístico y Tecnológico (PILT), RN9 km 551,5, Villa María, Córdoba</x:v>
      </x:c>
      <x:c r="G14" s="12" t="str">
        <x:v>operaciones / tráfico</x:v>
      </x:c>
      <x:c r="H14" s="12" t="str">
        <x:v>Establecimiento de logística, comercial y de servicios.</x:v>
      </x:c>
      <x:c r="I14" s="12" t="str">
        <x:v>Media</x:v>
      </x:c>
      <x:c r="J14" s="12" t="str">
        <x:v>Dateas - parque industrial</x:v>
      </x:c>
      <x:c r="K14" s="12" t="str">
        <x:v>https://www.dateas.com/es/explore/industrias-parque-industrial-villa-maria?page=3</x:v>
      </x:c>
      <x:c r="L14" s="12" t="str">
        <x:v>https://www.google.com/maps/search/?api=1&amp;query=MR+Log%C3%ADstica%2C+Parque+Industrial%2C+Log%C3%ADstico+y+Tecnol%C3%B3gico+%28PILT%29%2C+RN9+km+551%2C5%2C+Villa+Mar%C3%ADa%2C+C%C3%B3rdoba</x:v>
      </x:c>
    </x:row>
    <x:row r="15">
      <x:c r="A15" s="12" t="str">
        <x:v>A+</x:v>
      </x:c>
      <x:c r="B15" s="12" t="n">
        <x:v>90</x:v>
      </x:c>
      <x:c r="C15" s="12" t="str">
        <x:v>Stainless Steel Manufacturers SRL</x:v>
      </x:c>
      <x:c r="D15" s="12" t="str">
        <x:v>Maquinaria industrial / automatización</x:v>
      </x:c>
      <x:c r="E15" s="12" t="str">
        <x:v>A verificar</x:v>
      </x:c>
      <x:c r="F15" s="12" t="str">
        <x:v>Parque Industrial, Logístico y Tecnológico (PILT), RN9 km 551,5, Villa María, Córdoba</x:v>
      </x:c>
      <x:c r="G15" s="12" t="str">
        <x:v>producción / proyectos / logística</x:v>
      </x:c>
      <x:c r="H15" s="12" t="str">
        <x:v>Fabricación de maquinaria, líneas de producción, envase y embalaje.</x:v>
      </x:c>
      <x:c r="I15" s="12" t="str">
        <x:v>Media</x:v>
      </x:c>
      <x:c r="J15" s="12" t="str">
        <x:v>Dateas - parque industrial</x:v>
      </x:c>
      <x:c r="K15" s="12" t="str">
        <x:v>https://www.dateas.com/es/explore/industrias-parque-industrial-villa-maria?page=4</x:v>
      </x:c>
      <x:c r="L15" s="12" t="str">
        <x:v>https://www.google.com/maps/search/?api=1&amp;query=Stainless+Steel+Manufacturers+SRL%2C+Parque+Industrial%2C+Log%C3%ADstico+y+Tecnol%C3%B3gico+%28PILT%29%2C+RN9+km+551%2C5%2C+Villa+Mar%C3%ADa%2C+C%C3%B3rdoba</x:v>
      </x:c>
    </x:row>
    <x:row r="16">
      <x:c r="A16" s="12" t="str">
        <x:v>A</x:v>
      </x:c>
      <x:c r="B16" s="12" t="n">
        <x:v>86</x:v>
      </x:c>
      <x:c r="C16" s="12" t="str">
        <x:v>Magno</x:v>
      </x:c>
      <x:c r="D16" s="12" t="str">
        <x:v>Equipos agroindustriales / tecnología</x:v>
      </x:c>
      <x:c r="E16" s="12" t="str">
        <x:v>A verificar</x:v>
      </x:c>
      <x:c r="F16" s="12" t="str">
        <x:v>Parque Industrial, Logístico y Tecnológico (PILT), RN9 km 551,5, Villa María, Córdoba</x:v>
      </x:c>
      <x:c r="G16" s="12" t="str">
        <x:v>producción / logística / proyectos</x:v>
      </x:c>
      <x:c r="H16" s="12" t="str">
        <x:v>Sistema de pasteurización y distribución de leche para terneros; nueva planta proyectada.</x:v>
      </x:c>
      <x:c r="I16" s="12" t="str">
        <x:v>Alta</x:v>
      </x:c>
      <x:c r="J16" s="12" t="str">
        <x:v>Municipalidad</x:v>
      </x:c>
      <x:c r="K16" s="12" t="str">
        <x:v>https://villamaria.gob.ar/novedades/2025/7/27/la-empresa-local-magno-proyecta-la-construccion-de-su-planta-en-el-parque-industrial</x:v>
      </x:c>
      <x:c r="L16" s="12" t="str">
        <x:v>https://www.google.com/maps/search/?api=1&amp;query=Magno%2C+Parque+Industrial%2C+Log%C3%ADstico+y+Tecnol%C3%B3gico+%28PILT%29%2C+RN9+km+551%2C5%2C+Villa+Mar%C3%ADa%2C+C%C3%B3rdoba</x:v>
      </x:c>
    </x:row>
    <x:row r="17">
      <x:c r="A17" s="12" t="str">
        <x:v>A</x:v>
      </x:c>
      <x:c r="B17" s="12" t="n">
        <x:v>85</x:v>
      </x:c>
      <x:c r="C17" s="12" t="str">
        <x:v>Hidrocentro Servicios S.R.L.</x:v>
      </x:c>
      <x:c r="D17" s="12" t="str">
        <x:v>Bombas / estaciones de bombeo</x:v>
      </x:c>
      <x:c r="E17" s="12" t="str">
        <x:v>A verificar</x:v>
      </x:c>
      <x:c r="F17" s="12" t="str">
        <x:v>Parque Industrial, Logístico y Tecnológico (PILT), RN9 km 551,5, Villa María, Córdoba</x:v>
      </x:c>
      <x:c r="G17" s="12" t="str">
        <x:v>proyectos / montaje / logística</x:v>
      </x:c>
      <x:c r="H17" s="12" t="str">
        <x:v>Fabricación y montaje de estaciones de bombeo y bombas de extracción.</x:v>
      </x:c>
      <x:c r="I17" s="12" t="str">
        <x:v>Media</x:v>
      </x:c>
      <x:c r="J17" s="12" t="str">
        <x:v>Dateas - parque industrial</x:v>
      </x:c>
      <x:c r="K17" s="12" t="str">
        <x:v>https://www.dateas.com/es/explore/industrias-parque-industrial-villa-maria?page=2</x:v>
      </x:c>
      <x:c r="L17" s="12" t="str">
        <x:v>https://www.google.com/maps/search/?api=1&amp;query=Hidrocentro+Servicios+S.R.L.%2C+Parque+Industrial%2C+Log%C3%ADstico+y+Tecnol%C3%B3gico+%28PILT%29%2C+RN9+km+551%2C5%2C+Villa+Mar%C3%ADa%2C+C%C3%B3rdoba</x:v>
      </x:c>
    </x:row>
    <x:row r="18">
      <x:c r="A18" s="12" t="str">
        <x:v>A</x:v>
      </x:c>
      <x:c r="B18" s="12" t="n">
        <x:v>83</x:v>
      </x:c>
      <x:c r="C18" s="12" t="str">
        <x:v>Gas Carbónico Chiantore SAI</x:v>
      </x:c>
      <x:c r="D18" s="12" t="str">
        <x:v>Equipos industriales / CO2</x:v>
      </x:c>
      <x:c r="E18" s="12" t="str">
        <x:v>A verificar</x:v>
      </x:c>
      <x:c r="F18" s="12" t="str">
        <x:v>Parque Industrial, Logístico y Tecnológico (PILT), RN9 km 551,5, Villa María, Córdoba</x:v>
      </x:c>
      <x:c r="G18" s="12" t="str">
        <x:v>producción / montaje / logística</x:v>
      </x:c>
      <x:c r="H18" s="12" t="str">
        <x:v>Armado de equipos para almacenamiento de CO2.</x:v>
      </x:c>
      <x:c r="I18" s="12" t="str">
        <x:v>Media</x:v>
      </x:c>
      <x:c r="J18" s="12" t="str">
        <x:v>Dateas - parque industrial</x:v>
      </x:c>
      <x:c r="K18" s="12" t="str">
        <x:v>https://www.dateas.com/es/explore/industrias-parque-industrial-villa-maria?page=2</x:v>
      </x:c>
      <x:c r="L18" s="12" t="str">
        <x:v>https://www.google.com/maps/search/?api=1&amp;query=Gas+Carb%C3%B3nico+Chiantore+SAI%2C+Parque+Industrial%2C+Log%C3%ADstico+y+Tecnol%C3%B3gico+%28PILT%29%2C+RN9+km+551%2C5%2C+Villa+Mar%C3%ADa%2C+C%C3%B3rdoba</x:v>
      </x:c>
    </x:row>
    <x:row r="19">
      <x:c r="A19" s="12" t="str">
        <x:v>A</x:v>
      </x:c>
      <x:c r="B19" s="12" t="n">
        <x:v>83</x:v>
      </x:c>
      <x:c r="C19" s="12" t="str">
        <x:v>Metalúrgica Técnica Estructuras Toro</x:v>
      </x:c>
      <x:c r="D19" s="12" t="str">
        <x:v>Estructuras metálicas</x:v>
      </x:c>
      <x:c r="E19" s="12" t="str">
        <x:v>A verificar</x:v>
      </x:c>
      <x:c r="F19" s="12" t="str">
        <x:v>Parque Industrial, Logístico y Tecnológico (PILT), RN9 km 551,5, Villa María, Córdoba</x:v>
      </x:c>
      <x:c r="G19" s="12" t="str">
        <x:v>producción / montaje / expedición</x:v>
      </x:c>
      <x:c r="H19" s="12" t="str">
        <x:v>Fabricación de estructuras metálicas y afines.</x:v>
      </x:c>
      <x:c r="I19" s="12" t="str">
        <x:v>Media</x:v>
      </x:c>
      <x:c r="J19" s="12" t="str">
        <x:v>Dateas - parque industrial</x:v>
      </x:c>
      <x:c r="K19" s="12" t="str">
        <x:v>https://www.dateas.com/es/explore/industrias-parque-industrial-villa-maria?page=3</x:v>
      </x:c>
      <x:c r="L19" s="12" t="str">
        <x:v>https://www.google.com/maps/search/?api=1&amp;query=Metal%C3%BArgica+T%C3%A9cnica+Estructuras+Toro%2C+Parque+Industrial%2C+Log%C3%ADstico+y+Tecnol%C3%B3gico+%28PILT%29%2C+RN9+km+551%2C5%2C+Villa+Mar%C3%ADa%2C+C%C3%B3rdoba</x:v>
      </x:c>
    </x:row>
    <x:row r="20">
      <x:c r="A20" s="12" t="str">
        <x:v>A</x:v>
      </x:c>
      <x:c r="B20" s="12" t="n">
        <x:v>82</x:v>
      </x:c>
      <x:c r="C20" s="12" t="str">
        <x:v>Abastecimientos S.A.</x:v>
      </x:c>
      <x:c r="D20" s="12" t="str">
        <x:v>Insumos industriales / logística</x:v>
      </x:c>
      <x:c r="E20" s="12" t="str">
        <x:v>A verificar</x:v>
      </x:c>
      <x:c r="F20" s="12" t="str">
        <x:v>Parque Industrial, Logístico y Tecnológico (PILT), RN9 km 551,5, Villa María, Córdoba</x:v>
      </x:c>
      <x:c r="G20" s="12" t="str">
        <x:v>logística / depósito / operaciones</x:v>
      </x:c>
      <x:c r="H20" s="12" t="str">
        <x:v>Tercer depósito en el PILT; especialidades para industria alimenticia, farmacéutica, agrícola y renovables.</x:v>
      </x:c>
      <x:c r="I20" s="12" t="str">
        <x:v>Alta</x:v>
      </x:c>
      <x:c r="J20" s="12" t="str">
        <x:v>Municipalidad</x:v>
      </x:c>
      <x:c r="K20" s="12" t="str">
        <x:v>https://www.villamaria.gob.ar/noticias/2024/11/30/villa-maria-mas-innovadora-dos-empresas-locales-expanden-su-infraestructura</x:v>
      </x:c>
      <x:c r="L20" s="12" t="str">
        <x:v>https://www.google.com/maps/search/?api=1&amp;query=Abastecimientos+S.A.%2C+Parque+Industrial%2C+Log%C3%ADstico+y+Tecnol%C3%B3gico+%28PILT%29%2C+RN9+km+551%2C5%2C+Villa+Mar%C3%ADa%2C+C%C3%B3rdoba</x:v>
      </x:c>
    </x:row>
    <x:row r="21">
      <x:c r="A21" s="12" t="str">
        <x:v>A</x:v>
      </x:c>
      <x:c r="B21" s="12" t="n">
        <x:v>82</x:v>
      </x:c>
      <x:c r="C21" s="12" t="str">
        <x:v>Insumos SAR SRL</x:v>
      </x:c>
      <x:c r="D21" s="12" t="str">
        <x:v>Químicos / industria láctea</x:v>
      </x:c>
      <x:c r="E21" s="12" t="str">
        <x:v>0353 5101460</x:v>
      </x:c>
      <x:c r="F21" s="12" t="str">
        <x:v>Ángel Ayassa 6248, PILT, Villa María, Córdoba</x:v>
      </x:c>
      <x:c r="G21" s="12" t="str">
        <x:v>logística / producción / mantenimiento</x:v>
      </x:c>
      <x:c r="H21" s="12" t="str">
        <x:v>Insumos alimenticios/lácteos y productos químicos; planta en el PILT.</x:v>
      </x:c>
      <x:c r="I21" s="12" t="str">
        <x:v>Alta</x:v>
      </x:c>
      <x:c r="J21" s="12" t="str">
        <x:v>PILT oficial</x:v>
      </x:c>
      <x:c r="K21" s="12" t="str">
        <x:v>https://pilt.com.ar/parque-industrial/insumos-sar-srl/</x:v>
      </x:c>
      <x:c r="L21" s="12" t="str">
        <x:v>https://www.google.com/maps/search/?api=1&amp;query=Insumos+SAR+SRL%2C+%C3%81ngel+Ayassa+6248%2C+PILT%2C+Villa+Mar%C3%ADa%2C+C%C3%B3rdoba</x:v>
      </x:c>
    </x:row>
    <x:row r="22">
      <x:c r="A22" s="12" t="str">
        <x:v>A</x:v>
      </x:c>
      <x:c r="B22" s="12" t="n">
        <x:v>82</x:v>
      </x:c>
      <x:c r="C22" s="12" t="str">
        <x:v>Jover Berruti José</x:v>
      </x:c>
      <x:c r="D22" s="12" t="str">
        <x:v>Estructuras metálicas</x:v>
      </x:c>
      <x:c r="E22" s="12" t="str">
        <x:v>A verificar</x:v>
      </x:c>
      <x:c r="F22" s="12" t="str">
        <x:v>Parque Industrial, Logístico y Tecnológico (PILT), RN9 km 551,5, Villa María, Córdoba</x:v>
      </x:c>
      <x:c r="G22" s="12" t="str">
        <x:v>producción / montaje</x:v>
      </x:c>
      <x:c r="H22" s="12" t="str">
        <x:v>Fábrica de estructuras metálicas.</x:v>
      </x:c>
      <x:c r="I22" s="12" t="str">
        <x:v>Media</x:v>
      </x:c>
      <x:c r="J22" s="12" t="str">
        <x:v>Dateas - parque industrial</x:v>
      </x:c>
      <x:c r="K22" s="12" t="str">
        <x:v>https://www.dateas.com/es/explore/industrias-parque-industrial-villa-maria?page=3</x:v>
      </x:c>
      <x:c r="L22" s="12" t="str">
        <x:v>https://www.google.com/maps/search/?api=1&amp;query=Jover+Berruti+Jos%C3%A9%2C+Parque+Industrial%2C+Log%C3%ADstico+y+Tecnol%C3%B3gico+%28PILT%29%2C+RN9+km+551%2C5%2C+Villa+Mar%C3%ADa%2C+C%C3%B3rdoba</x:v>
      </x:c>
    </x:row>
    <x:row r="23">
      <x:c r="A23" s="12" t="str">
        <x:v>A</x:v>
      </x:c>
      <x:c r="B23" s="12" t="n">
        <x:v>82</x:v>
      </x:c>
      <x:c r="C23" s="12" t="str">
        <x:v>Todo Ingredientes S.A.</x:v>
      </x:c>
      <x:c r="D23" s="12" t="str">
        <x:v>Ingredientes / industria alimenticia</x:v>
      </x:c>
      <x:c r="E23" s="12" t="str">
        <x:v>0353 4780902</x:v>
      </x:c>
      <x:c r="F23" s="12" t="str">
        <x:v>Emilio Werner 6441, PILT, Villa María, Córdoba</x:v>
      </x:c>
      <x:c r="G23" s="12" t="str">
        <x:v>logística / mantenimiento / planta</x:v>
      </x:c>
      <x:c r="H23" s="12" t="str">
        <x:v>Suministro y fabricación para industria alimenticia.</x:v>
      </x:c>
      <x:c r="I23" s="12" t="str">
        <x:v>Alta</x:v>
      </x:c>
      <x:c r="J23" s="12" t="str">
        <x:v>Google Business</x:v>
      </x:c>
      <x:c r="K23" s="12" t="str">
        <x:v>https://www.google.com/maps/search/?api=1&amp;query=Todo+Ingredientes+S.A.%2C+Emilio+Werner+6441%2C+Villa+Mar%C3%ADa%2C+C%C3%B3rdoba</x:v>
      </x:c>
      <x:c r="L23" s="12" t="str">
        <x:v>https://www.google.com/maps/search/?api=1&amp;query=Todo+Ingredientes+S.A.%2C+Emilio+Werner+6441%2C+PILT%2C+Villa+Mar%C3%ADa%2C+C%C3%B3rdoba</x:v>
      </x:c>
    </x:row>
    <x:row r="24">
      <x:c r="A24" s="12" t="str">
        <x:v>A</x:v>
      </x:c>
      <x:c r="B24" s="12" t="n">
        <x:v>82</x:v>
      </x:c>
      <x:c r="C24" s="12" t="str">
        <x:v>Villa María Cereales SRL</x:v>
      </x:c>
      <x:c r="D24" s="12" t="str">
        <x:v>Cereales / agroindustria</x:v>
      </x:c>
      <x:c r="E24" s="12" t="str">
        <x:v>0353 4256404</x:v>
      </x:c>
      <x:c r="F24" s="12" t="str">
        <x:v>RN9 km 553, Villa María, Córdoba</x:v>
      </x:c>
      <x:c r="G24" s="12" t="str">
        <x:v>planta / logística / mantenimiento</x:v>
      </x:c>
      <x:c r="H24" s="12" t="str">
        <x:v>Operación cerealera sobre corredor RN9.</x:v>
      </x:c>
      <x:c r="I24" s="12" t="str">
        <x:v>Alta</x:v>
      </x:c>
      <x:c r="J24" s="12" t="str">
        <x:v>Google Business</x:v>
      </x:c>
      <x:c r="K24" s="12" t="str">
        <x:v>https://www.google.com/maps/search/?api=1&amp;query=Villa+Mar%C3%ADa+Cereales+SRL%2C+RN9+km+553%2C+Villa+Mar%C3%ADa%2C+C%C3%B3rdoba</x:v>
      </x:c>
      <x:c r="L24" s="12" t="str">
        <x:v>https://www.google.com/maps/search/?api=1&amp;query=Villa+Mar%C3%ADa+Cereales+SRL%2C+RN9+km+553%2C+Villa+Mar%C3%ADa%2C+C%C3%B3rdoba</x:v>
      </x:c>
    </x:row>
    <x:row r="25">
      <x:c r="A25" s="12" t="str">
        <x:v>A</x:v>
      </x:c>
      <x:c r="B25" s="12" t="n">
        <x:v>81</x:v>
      </x:c>
      <x:c r="C25" s="12" t="str">
        <x:v>Mayo Transformadores S.R.L.</x:v>
      </x:c>
      <x:c r="D25" s="12" t="str">
        <x:v>Transformadores / equipos eléctricos</x:v>
      </x:c>
      <x:c r="E25" s="12" t="str">
        <x:v>A verificar</x:v>
      </x:c>
      <x:c r="F25" s="12" t="str">
        <x:v>Parque Industrial, Logístico y Tecnológico (PILT), RN9 km 551,5, Villa María, Córdoba</x:v>
      </x:c>
      <x:c r="G25" s="12" t="str">
        <x:v>producción / logística</x:v>
      </x:c>
      <x:c r="H25" s="12" t="str">
        <x:v>Núcleos para transformadores y anexos.</x:v>
      </x:c>
      <x:c r="I25" s="12" t="str">
        <x:v>Media</x:v>
      </x:c>
      <x:c r="J25" s="12" t="str">
        <x:v>Dateas - parque industrial</x:v>
      </x:c>
      <x:c r="K25" s="12" t="str">
        <x:v>https://www.dateas.com/es/explore/industrias-parque-industrial-villa-maria?page=3</x:v>
      </x:c>
      <x:c r="L25" s="12" t="str">
        <x:v>https://www.google.com/maps/search/?api=1&amp;query=Mayo+Transformadores+S.R.L.%2C+Parque+Industrial%2C+Log%C3%ADstico+y+Tecnol%C3%B3gico+%28PILT%29%2C+RN9+km+551%2C5%2C+Villa+Mar%C3%ADa%2C+C%C3%B3rdoba</x:v>
      </x:c>
    </x:row>
    <x:row r="26">
      <x:c r="A26" s="12" t="str">
        <x:v>A</x:v>
      </x:c>
      <x:c r="B26" s="12" t="n">
        <x:v>81</x:v>
      </x:c>
      <x:c r="C26" s="12" t="str">
        <x:v>Raíces S.R.L.</x:v>
      </x:c>
      <x:c r="D26" s="12" t="str">
        <x:v>Galpones / estructuras</x:v>
      </x:c>
      <x:c r="E26" s="12" t="str">
        <x:v>A verificar</x:v>
      </x:c>
      <x:c r="F26" s="12" t="str">
        <x:v>Parque Industrial, Logístico y Tecnológico (PILT), RN9 km 551,5, Villa María, Córdoba</x:v>
      </x:c>
      <x:c r="G26" s="12" t="str">
        <x:v>producción / montaje</x:v>
      </x:c>
      <x:c r="H26" s="12" t="str">
        <x:v>Fabricación de galpones.</x:v>
      </x:c>
      <x:c r="I26" s="12" t="str">
        <x:v>Media</x:v>
      </x:c>
      <x:c r="J26" s="12" t="str">
        <x:v>Dateas - parque industrial</x:v>
      </x:c>
      <x:c r="K26" s="12" t="str">
        <x:v>https://www.dateas.com/es/explore/industrias-parque-industrial-villa-maria?page=4</x:v>
      </x:c>
      <x:c r="L26" s="12" t="str">
        <x:v>https://www.google.com/maps/search/?api=1&amp;query=Ra%C3%ADces+S.R.L.%2C+Parque+Industrial%2C+Log%C3%ADstico+y+Tecnol%C3%B3gico+%28PILT%29%2C+RN9+km+551%2C5%2C+Villa+Mar%C3%ADa%2C+C%C3%B3rdoba</x:v>
      </x:c>
    </x:row>
    <x:row r="27">
      <x:c r="A27" s="12" t="str">
        <x:v>A</x:v>
      </x:c>
      <x:c r="B27" s="12" t="n">
        <x:v>80</x:v>
      </x:c>
      <x:c r="C27" s="12" t="str">
        <x:v>Industria Sudamericana de Botta</x:v>
      </x:c>
      <x:c r="D27" s="12" t="str">
        <x:v>Estructuras / equipamiento metálico</x:v>
      </x:c>
      <x:c r="E27" s="12" t="str">
        <x:v>0353 4520259 / 4527451</x:v>
      </x:c>
      <x:c r="F27" s="12" t="str">
        <x:v>Parque Industrial, Logístico y Tecnológico (PILT), RN9 km 551,5, Villa María, Córdoba</x:v>
      </x:c>
      <x:c r="G27" s="12" t="str">
        <x:v>producción / expedición</x:v>
      </x:c>
      <x:c r="H27" s="12" t="str">
        <x:v>Estructuras metálicas de estanterías y equipamiento comercial.</x:v>
      </x:c>
      <x:c r="I27" s="12" t="str">
        <x:v>Media</x:v>
      </x:c>
      <x:c r="J27" s="12" t="str">
        <x:v>Dateas - parque industrial</x:v>
      </x:c>
      <x:c r="K27" s="12" t="str">
        <x:v>https://www.dateas.com/es/explore/industrias-parque-industrial-villa-maria/industria-sudamericana-de-botta-felipe-lisandro-58</x:v>
      </x:c>
      <x:c r="L27" s="12" t="str">
        <x:v>https://www.google.com/maps/search/?api=1&amp;query=Industria+Sudamericana+de+Botta%2C+Parque+Industrial%2C+Log%C3%ADstico+y+Tecnol%C3%B3gico+%28PILT%29%2C+RN9+km+551%2C5%2C+Villa+Mar%C3%ADa%2C+C%C3%B3rdoba</x:v>
      </x:c>
    </x:row>
    <x:row r="28">
      <x:c r="A28" s="12" t="str">
        <x:v>A</x:v>
      </x:c>
      <x:c r="B28" s="12" t="n">
        <x:v>80</x:v>
      </x:c>
      <x:c r="C28" s="12" t="str">
        <x:v>Inoxidables Villa María SRL</x:v>
      </x:c>
      <x:c r="D28" s="12" t="str">
        <x:v>Metalúrgica / acero inoxidable</x:v>
      </x:c>
      <x:c r="E28" s="12" t="str">
        <x:v>A verificar</x:v>
      </x:c>
      <x:c r="F28" s="12" t="str">
        <x:v>Parque Industrial, Logístico y Tecnológico (PILT), RN9 km 551,5, Villa María, Córdoba</x:v>
      </x:c>
      <x:c r="G28" s="12" t="str">
        <x:v>producción / expedición</x:v>
      </x:c>
      <x:c r="H28" s="12" t="str">
        <x:v>Fabricación de productos de hierro y acero.</x:v>
      </x:c>
      <x:c r="I28" s="12" t="str">
        <x:v>Media</x:v>
      </x:c>
      <x:c r="J28" s="12" t="str">
        <x:v>Dateas - parque industrial</x:v>
      </x:c>
      <x:c r="K28" s="12" t="str">
        <x:v>https://www.dateas.com/es/explore/industrias-parque-industrial-villa-maria?page=3</x:v>
      </x:c>
      <x:c r="L28" s="12" t="str">
        <x:v>https://www.google.com/maps/search/?api=1&amp;query=Inoxidables+Villa+Mar%C3%ADa+SRL%2C+Parque+Industrial%2C+Log%C3%ADstico+y+Tecnol%C3%B3gico+%28PILT%29%2C+RN9+km+551%2C5%2C+Villa+Mar%C3%ADa%2C+C%C3%B3rdoba</x:v>
      </x:c>
    </x:row>
    <x:row r="29">
      <x:c r="A29" s="12" t="str">
        <x:v>A</x:v>
      </x:c>
      <x:c r="B29" s="12" t="n">
        <x:v>80</x:v>
      </x:c>
      <x:c r="C29" s="12" t="str">
        <x:v>Transbus SRL</x:v>
      </x:c>
      <x:c r="D29" s="12" t="str">
        <x:v>Logística / transporte</x:v>
      </x:c>
      <x:c r="E29" s="12" t="str">
        <x:v>A verificar</x:v>
      </x:c>
      <x:c r="F29" s="12" t="str">
        <x:v>Parque Industrial, Logístico y Tecnológico (PILT), RN9 km 551,5, Villa María, Córdoba</x:v>
      </x:c>
      <x:c r="G29" s="12" t="str">
        <x:v>operaciones / tráfico</x:v>
      </x:c>
      <x:c r="H29" s="12" t="str">
        <x:v>Establecimiento de logística.</x:v>
      </x:c>
      <x:c r="I29" s="12" t="str">
        <x:v>Media</x:v>
      </x:c>
      <x:c r="J29" s="12" t="str">
        <x:v>Dateas - parque industrial</x:v>
      </x:c>
      <x:c r="K29" s="12" t="str">
        <x:v>https://www.dateas.com/es/explore/industrias-parque-industrial-villa-maria?page=4</x:v>
      </x:c>
      <x:c r="L29" s="12" t="str">
        <x:v>https://www.google.com/maps/search/?api=1&amp;query=Transbus+SRL%2C+Parque+Industrial%2C+Log%C3%ADstico+y+Tecnol%C3%B3gico+%28PILT%29%2C+RN9+km+551%2C5%2C+Villa+Mar%C3%ADa%2C+C%C3%B3rdoba</x:v>
      </x:c>
    </x:row>
    <x:row r="30">
      <x:c r="A30" s="12" t="str">
        <x:v>A</x:v>
      </x:c>
      <x:c r="B30" s="12" t="n">
        <x:v>79</x:v>
      </x:c>
      <x:c r="C30" s="12" t="str">
        <x:v>Don Primo S.A.</x:v>
      </x:c>
      <x:c r="D30" s="12" t="str">
        <x:v>Sistemas contra incendio</x:v>
      </x:c>
      <x:c r="E30" s="12" t="str">
        <x:v>A verificar</x:v>
      </x:c>
      <x:c r="F30" s="12" t="str">
        <x:v>Parque Industrial, Logístico y Tecnológico (PILT), RN9 km 551,5, Villa María, Córdoba</x:v>
      </x:c>
      <x:c r="G30" s="12" t="str">
        <x:v>producción / montaje / logística</x:v>
      </x:c>
      <x:c r="H30" s="12" t="str">
        <x:v>Ensamblado y fabricación de accesorios para sistemas antiincendios.</x:v>
      </x:c>
      <x:c r="I30" s="12" t="str">
        <x:v>Media</x:v>
      </x:c>
      <x:c r="J30" s="12" t="str">
        <x:v>Dateas - parque industrial</x:v>
      </x:c>
      <x:c r="K30" s="12" t="str">
        <x:v>https://www.dateas.com/es/explore/industrias-parque-industrial-villa-maria?page=1</x:v>
      </x:c>
      <x:c r="L30" s="12" t="str">
        <x:v>https://www.google.com/maps/search/?api=1&amp;query=Don+Primo+S.A.%2C+Parque+Industrial%2C+Log%C3%ADstico+y+Tecnol%C3%B3gico+%28PILT%29%2C+RN9+km+551%2C5%2C+Villa+Mar%C3%ADa%2C+C%C3%B3rdoba</x:v>
      </x:c>
    </x:row>
    <x:row r="31">
      <x:c r="A31" s="12" t="str">
        <x:v>A</x:v>
      </x:c>
      <x:c r="B31" s="12" t="n">
        <x:v>79</x:v>
      </x:c>
      <x:c r="C31" s="12" t="str">
        <x:v>Radio Electrón S.A.</x:v>
      </x:c>
      <x:c r="D31" s="12" t="str">
        <x:v>Electromecánica / tableros</x:v>
      </x:c>
      <x:c r="E31" s="12" t="str">
        <x:v>A verificar</x:v>
      </x:c>
      <x:c r="F31" s="12" t="str">
        <x:v>Parque Industrial, Logístico y Tecnológico (PILT), RN9 km 551,5, Villa María, Córdoba</x:v>
      </x:c>
      <x:c r="G31" s="12" t="str">
        <x:v>producción / proyectos / logística</x:v>
      </x:c>
      <x:c r="H31" s="12" t="str">
        <x:v>Construcciones electromecánicas y armados de tableros.</x:v>
      </x:c>
      <x:c r="I31" s="12" t="str">
        <x:v>Media</x:v>
      </x:c>
      <x:c r="J31" s="12" t="str">
        <x:v>Dateas - parque industrial</x:v>
      </x:c>
      <x:c r="K31" s="12" t="str">
        <x:v>https://www.dateas.com/es/explore/industrias-parque-industrial-villa-maria?page=4</x:v>
      </x:c>
      <x:c r="L31" s="12" t="str">
        <x:v>https://www.google.com/maps/search/?api=1&amp;query=Radio+Electr%C3%B3n+S.A.%2C+Parque+Industrial%2C+Log%C3%ADstico+y+Tecnol%C3%B3gico+%28PILT%29%2C+RN9+km+551%2C5%2C+Villa+Mar%C3%ADa%2C+C%C3%B3rdoba</x:v>
      </x:c>
    </x:row>
    <x:row r="32">
      <x:c r="A32" s="12" t="str">
        <x:v>A</x:v>
      </x:c>
      <x:c r="B32" s="12" t="n">
        <x:v>78</x:v>
      </x:c>
      <x:c r="C32" s="12" t="str">
        <x:v>Ferrero y Mattio S.R.L.</x:v>
      </x:c>
      <x:c r="D32" s="12" t="str">
        <x:v>Tableros / columnas de alumbrado</x:v>
      </x:c>
      <x:c r="E32" s="12" t="str">
        <x:v>A verificar</x:v>
      </x:c>
      <x:c r="F32" s="12" t="str">
        <x:v>Parque Industrial, Logístico y Tecnológico (PILT), RN9 km 551,5, Villa María, Córdoba</x:v>
      </x:c>
      <x:c r="G32" s="12" t="str">
        <x:v>producción / expedición</x:v>
      </x:c>
      <x:c r="H32" s="12" t="str">
        <x:v>Tableros eléctricos y columnas de alumbrado.</x:v>
      </x:c>
      <x:c r="I32" s="12" t="str">
        <x:v>Media</x:v>
      </x:c>
      <x:c r="J32" s="12" t="str">
        <x:v>Dateas - parque industrial</x:v>
      </x:c>
      <x:c r="K32" s="12" t="str">
        <x:v>https://www.dateas.com/es/explore/industrias-parque-industrial-villa-maria?page=2</x:v>
      </x:c>
      <x:c r="L32" s="12" t="str">
        <x:v>https://www.google.com/maps/search/?api=1&amp;query=Ferrero+y+Mattio+S.R.L.%2C+Parque+Industrial%2C+Log%C3%ADstico+y+Tecnol%C3%B3gico+%28PILT%29%2C+RN9+km+551%2C5%2C+Villa+Mar%C3%ADa%2C+C%C3%B3rdoba</x:v>
      </x:c>
    </x:row>
    <x:row r="33">
      <x:c r="A33" s="12" t="str">
        <x:v>A</x:v>
      </x:c>
      <x:c r="B33" s="12" t="n">
        <x:v>77</x:v>
      </x:c>
      <x:c r="C33" s="12" t="str">
        <x:v>Fuyana Rodrigo</x:v>
      </x:c>
      <x:c r="D33" s="12" t="str">
        <x:v>Tableros eléctricos / control</x:v>
      </x:c>
      <x:c r="E33" s="12" t="str">
        <x:v>A verificar</x:v>
      </x:c>
      <x:c r="F33" s="12" t="str">
        <x:v>Parque Industrial, Logístico y Tecnológico (PILT), RN9 km 551,5, Villa María, Córdoba</x:v>
      </x:c>
      <x:c r="G33" s="12" t="str">
        <x:v>producción / proyectos</x:v>
      </x:c>
      <x:c r="H33" s="12" t="str">
        <x:v>Fabricación de tableros de control y comandos eléctricos.</x:v>
      </x:c>
      <x:c r="I33" s="12" t="str">
        <x:v>Media</x:v>
      </x:c>
      <x:c r="J33" s="12" t="str">
        <x:v>Dateas - parque industrial</x:v>
      </x:c>
      <x:c r="K33" s="12" t="str">
        <x:v>https://www.dateas.com/es/explore/industrias-parque-industrial-villa-maria?page=2</x:v>
      </x:c>
      <x:c r="L33" s="12" t="str">
        <x:v>https://www.google.com/maps/search/?api=1&amp;query=Fuyana+Rodrigo%2C+Parque+Industrial%2C+Log%C3%ADstico+y+Tecnol%C3%B3gico+%28PILT%29%2C+RN9+km+551%2C5%2C+Villa+Mar%C3%ADa%2C+C%C3%B3rdoba</x:v>
      </x:c>
    </x:row>
    <x:row r="34">
      <x:c r="A34" s="12" t="str">
        <x:v>A</x:v>
      </x:c>
      <x:c r="B34" s="12" t="n">
        <x:v>77</x:v>
      </x:c>
      <x:c r="C34" s="12" t="str">
        <x:v>Valfre Sebastián Antonio</x:v>
      </x:c>
      <x:c r="D34" s="12" t="str">
        <x:v>Contenedores / embalajes</x:v>
      </x:c>
      <x:c r="E34" s="12" t="str">
        <x:v>A verificar</x:v>
      </x:c>
      <x:c r="F34" s="12" t="str">
        <x:v>Parque Industrial, Logístico y Tecnológico (PILT), RN9 km 551,5, Villa María, Córdoba</x:v>
      </x:c>
      <x:c r="G34" s="12" t="str">
        <x:v>producción / logística</x:v>
      </x:c>
      <x:c r="H34" s="12" t="str">
        <x:v>Fabricación de contenedores para embalajes y exhibidores.</x:v>
      </x:c>
      <x:c r="I34" s="12" t="str">
        <x:v>Media</x:v>
      </x:c>
      <x:c r="J34" s="12" t="str">
        <x:v>Dateas - parque industrial</x:v>
      </x:c>
      <x:c r="K34" s="12" t="str">
        <x:v>https://www.dateas.com/es/explore/industrias-parque-industrial-villa-maria?page=5</x:v>
      </x:c>
      <x:c r="L34" s="12" t="str">
        <x:v>https://www.google.com/maps/search/?api=1&amp;query=Valfre+Sebasti%C3%A1n+Antonio%2C+Parque+Industrial%2C+Log%C3%ADstico+y+Tecnol%C3%B3gico+%28PILT%29%2C+RN9+km+551%2C5%2C+Villa+Mar%C3%ADa%2C+C%C3%B3rdoba</x:v>
      </x:c>
    </x:row>
    <x:row r="35">
      <x:c r="A35" s="12" t="str">
        <x:v>A</x:v>
      </x:c>
      <x:c r="B35" s="12" t="n">
        <x:v>75</x:v>
      </x:c>
      <x:c r="C35" s="12" t="str">
        <x:v>Vetro SRL</x:v>
      </x:c>
      <x:c r="D35" s="12" t="str">
        <x:v>Procesamiento de vidrio</x:v>
      </x:c>
      <x:c r="E35" s="12" t="str">
        <x:v>A verificar</x:v>
      </x:c>
      <x:c r="F35" s="12" t="str">
        <x:v>Parque Industrial, Logístico y Tecnológico (PILT), RN9 km 551,5, Villa María, Córdoba</x:v>
      </x:c>
      <x:c r="G35" s="12" t="str">
        <x:v>producción / logística</x:v>
      </x:c>
      <x:c r="H35" s="12" t="str">
        <x:v>Planta industrial procesadora de cristales.</x:v>
      </x:c>
      <x:c r="I35" s="12" t="str">
        <x:v>Media</x:v>
      </x:c>
      <x:c r="J35" s="12" t="str">
        <x:v>Dateas - parque industrial</x:v>
      </x:c>
      <x:c r="K35" s="12" t="str">
        <x:v>https://www.dateas.com/es/explore/industrias-parque-industrial-villa-maria?page=5</x:v>
      </x:c>
      <x:c r="L35" s="12" t="str">
        <x:v>https://www.google.com/maps/search/?api=1&amp;query=Vetro+SRL%2C+Parque+Industrial%2C+Log%C3%ADstico+y+Tecnol%C3%B3gico+%28PILT%29%2C+RN9+km+551%2C5%2C+Villa+Mar%C3%ADa%2C+C%C3%B3rdoba</x:v>
      </x:c>
    </x:row>
    <x:row r="36">
      <x:c r="A36" s="12" t="str">
        <x:v>A</x:v>
      </x:c>
      <x:c r="B36" s="12" t="n">
        <x:v>72</x:v>
      </x:c>
      <x:c r="C36" s="12" t="str">
        <x:v>Poligar S.R.L.</x:v>
      </x:c>
      <x:c r="D36" s="12" t="str">
        <x:v>Plásticos / embalaje</x:v>
      </x:c>
      <x:c r="E36" s="12" t="str">
        <x:v>A verificar</x:v>
      </x:c>
      <x:c r="F36" s="12" t="str">
        <x:v>Parque Industrial, Logístico y Tecnológico (PILT), RN9 km 551,5, Villa María, Córdoba</x:v>
      </x:c>
      <x:c r="G36" s="12" t="str">
        <x:v>producción / logística</x:v>
      </x:c>
      <x:c r="H36" s="12" t="str">
        <x:v>Bolsas de polietileno.</x:v>
      </x:c>
      <x:c r="I36" s="12" t="str">
        <x:v>Media</x:v>
      </x:c>
      <x:c r="J36" s="12" t="str">
        <x:v>Dateas - parque industrial</x:v>
      </x:c>
      <x:c r="K36" s="12" t="str">
        <x:v>https://www.dateas.com/es/explore/industrias-parque-industrial-villa-maria?page=4</x:v>
      </x:c>
      <x:c r="L36" s="12" t="str">
        <x:v>https://www.google.com/maps/search/?api=1&amp;query=Poligar+S.R.L.%2C+Parque+Industrial%2C+Log%C3%ADstico+y+Tecnol%C3%B3gico+%28PILT%29%2C+RN9+km+551%2C5%2C+Villa+Mar%C3%ADa%2C+C%C3%B3rdoba</x:v>
      </x:c>
    </x:row>
    <x:row r="37">
      <x:c r="A37" s="12" t="str">
        <x:v>B</x:v>
      </x:c>
      <x:c r="B37" s="12" t="n">
        <x:v>69</x:v>
      </x:c>
      <x:c r="C37" s="12" t="str">
        <x:v>Don Emilio S.R.L.</x:v>
      </x:c>
      <x:c r="D37" s="12" t="str">
        <x:v>Lácteos / secado de leche</x:v>
      </x:c>
      <x:c r="E37" s="12" t="str">
        <x:v>A verificar</x:v>
      </x:c>
      <x:c r="F37" s="12" t="str">
        <x:v>Parque Industrial, Logístico y Tecnológico (PILT), RN9 km 551,5, Villa María, Córdoba</x:v>
      </x:c>
      <x:c r="G37" s="12" t="str">
        <x:v>planta / mantenimiento</x:v>
      </x:c>
      <x:c r="H37" s="12" t="str">
        <x:v>Productos lácteos y secado de leche en polvo.</x:v>
      </x:c>
      <x:c r="I37" s="12" t="str">
        <x:v>Media</x:v>
      </x:c>
      <x:c r="J37" s="12" t="str">
        <x:v>Dateas - parque industrial</x:v>
      </x:c>
      <x:c r="K37" s="12" t="str">
        <x:v>https://www.dateas.com/es/explore/industrias-parque-industrial-villa-maria?page=1</x:v>
      </x:c>
      <x:c r="L37" s="12" t="str">
        <x:v>https://www.google.com/maps/search/?api=1&amp;query=Don+Emilio+S.R.L.%2C+Parque+Industrial%2C+Log%C3%ADstico+y+Tecnol%C3%B3gico+%28PILT%29%2C+RN9+km+551%2C5%2C+Villa+Mar%C3%ADa%2C+C%C3%B3rdoba</x:v>
      </x:c>
    </x:row>
    <x:row r="38">
      <x:c r="A38" s="12" t="str">
        <x:v>B</x:v>
      </x:c>
      <x:c r="B38" s="12" t="n">
        <x:v>69</x:v>
      </x:c>
      <x:c r="C38" s="12" t="str">
        <x:v>Gigante Aquiles Domingo</x:v>
      </x:c>
      <x:c r="D38" s="12" t="str">
        <x:v>Transformadores / mantenimiento</x:v>
      </x:c>
      <x:c r="E38" s="12" t="str">
        <x:v>A verificar</x:v>
      </x:c>
      <x:c r="F38" s="12" t="str">
        <x:v>Parque Industrial, Logístico y Tecnológico (PILT), RN9 km 551,5, Villa María, Córdoba</x:v>
      </x:c>
      <x:c r="G38" s="12" t="str">
        <x:v>producción / mantenimiento</x:v>
      </x:c>
      <x:c r="H38" s="12" t="str">
        <x:v>Fabricación y reparación de transformadores y tratamiento de aceite.</x:v>
      </x:c>
      <x:c r="I38" s="12" t="str">
        <x:v>Media</x:v>
      </x:c>
      <x:c r="J38" s="12" t="str">
        <x:v>Dateas - parque industrial</x:v>
      </x:c>
      <x:c r="K38" s="12" t="str">
        <x:v>https://www.dateas.com/es/explore/industrias-parque-industrial-villa-maria?page=2</x:v>
      </x:c>
      <x:c r="L38" s="12" t="str">
        <x:v>https://www.google.com/maps/search/?api=1&amp;query=Gigante+Aquiles+Domingo%2C+Parque+Industrial%2C+Log%C3%ADstico+y+Tecnol%C3%B3gico+%28PILT%29%2C+RN9+km+551%2C5%2C+Villa+Mar%C3%ADa%2C+C%C3%B3rdoba</x:v>
      </x:c>
    </x:row>
    <x:row r="39">
      <x:c r="A39" s="12" t="str">
        <x:v>B</x:v>
      </x:c>
      <x:c r="B39" s="12" t="n">
        <x:v>69</x:v>
      </x:c>
      <x:c r="C39" s="12" t="str">
        <x:v>Gribaudo Carlos Daniel</x:v>
      </x:c>
      <x:c r="D39" s="12" t="str">
        <x:v>Fundición / metalúrgica</x:v>
      </x:c>
      <x:c r="E39" s="12" t="str">
        <x:v>A verificar</x:v>
      </x:c>
      <x:c r="F39" s="12" t="str">
        <x:v>Parque Industrial, Logístico y Tecnológico (PILT), RN9 km 551,5, Villa María, Córdoba</x:v>
      </x:c>
      <x:c r="G39" s="12" t="str">
        <x:v>producción / expedición</x:v>
      </x:c>
      <x:c r="H39" s="12" t="str">
        <x:v>Fundición de elementos metálicos.</x:v>
      </x:c>
      <x:c r="I39" s="12" t="str">
        <x:v>Media</x:v>
      </x:c>
      <x:c r="J39" s="12" t="str">
        <x:v>Dateas - parque industrial</x:v>
      </x:c>
      <x:c r="K39" s="12" t="str">
        <x:v>https://www.dateas.com/es/explore/industrias-parque-industrial-villa-maria?page=2</x:v>
      </x:c>
      <x:c r="L39" s="12" t="str">
        <x:v>https://www.google.com/maps/search/?api=1&amp;query=Gribaudo+Carlos+Daniel%2C+Parque+Industrial%2C+Log%C3%ADstico+y+Tecnol%C3%B3gico+%28PILT%29%2C+RN9+km+551%2C5%2C+Villa+Mar%C3%ADa%2C+C%C3%B3rdoba</x:v>
      </x:c>
    </x:row>
    <x:row r="40">
      <x:c r="A40" s="12" t="str">
        <x:v>B</x:v>
      </x:c>
      <x:c r="B40" s="12" t="n">
        <x:v>67</x:v>
      </x:c>
      <x:c r="C40" s="12" t="str">
        <x:v>Don Américo S.R.L.</x:v>
      </x:c>
      <x:c r="D40" s="12" t="str">
        <x:v>Nutrición animal</x:v>
      </x:c>
      <x:c r="E40" s="12" t="str">
        <x:v>A verificar</x:v>
      </x:c>
      <x:c r="F40" s="12" t="str">
        <x:v>Parque Industrial, Logístico y Tecnológico (PILT), RN9 km 551,5, Villa María, Córdoba</x:v>
      </x:c>
      <x:c r="G40" s="12" t="str">
        <x:v>planta / logística</x:v>
      </x:c>
      <x:c r="H40" s="12" t="str">
        <x:v>Fábrica de productos para nutrición animal.</x:v>
      </x:c>
      <x:c r="I40" s="12" t="str">
        <x:v>Media</x:v>
      </x:c>
      <x:c r="J40" s="12" t="str">
        <x:v>Dateas - parque industrial</x:v>
      </x:c>
      <x:c r="K40" s="12" t="str">
        <x:v>https://www.dateas.com/es/explore/industrias-parque-industrial-villa-maria?page=1</x:v>
      </x:c>
      <x:c r="L40" s="12" t="str">
        <x:v>https://www.google.com/maps/search/?api=1&amp;query=Don+Am%C3%A9rico+S.R.L.%2C+Parque+Industrial%2C+Log%C3%ADstico+y+Tecnol%C3%B3gico+%28PILT%29%2C+RN9+km+551%2C5%2C+Villa+Mar%C3%ADa%2C+C%C3%B3rdoba</x:v>
      </x:c>
    </x:row>
    <x:row r="41">
      <x:c r="A41" s="12" t="str">
        <x:v>B</x:v>
      </x:c>
      <x:c r="B41" s="12" t="n">
        <x:v>67</x:v>
      </x:c>
      <x:c r="C41" s="12" t="str">
        <x:v>G &amp; G Motors S.R.L.</x:v>
      </x:c>
      <x:c r="D41" s="12" t="str">
        <x:v>Gases industriales / GNC</x:v>
      </x:c>
      <x:c r="E41" s="12" t="str">
        <x:v>A verificar</x:v>
      </x:c>
      <x:c r="F41" s="12" t="str">
        <x:v>Parque Industrial, Logístico y Tecnológico (PILT), RN9 km 551,5, Villa María, Córdoba</x:v>
      </x:c>
      <x:c r="G41" s="12" t="str">
        <x:v>planta / logística</x:v>
      </x:c>
      <x:c r="H41" s="12" t="str">
        <x:v>Centro de reprueba de cilindros y gases industriales/medicinales.</x:v>
      </x:c>
      <x:c r="I41" s="12" t="str">
        <x:v>Media</x:v>
      </x:c>
      <x:c r="J41" s="12" t="str">
        <x:v>Dateas - parque industrial</x:v>
      </x:c>
      <x:c r="K41" s="12" t="str">
        <x:v>https://www.dateas.com/es/explore/industrias-parque-industrial-villa-maria?page=2</x:v>
      </x:c>
      <x:c r="L41" s="12" t="str">
        <x:v>https://www.google.com/maps/search/?api=1&amp;query=G+%26+G+Motors+S.R.L.%2C+Parque+Industrial%2C+Log%C3%ADstico+y+Tecnol%C3%B3gico+%28PILT%29%2C+RN9+km+551%2C5%2C+Villa+Mar%C3%ADa%2C+C%C3%B3rdoba</x:v>
      </x:c>
    </x:row>
    <x:row r="42">
      <x:c r="A42" s="12" t="str">
        <x:v>B</x:v>
      </x:c>
      <x:c r="B42" s="12" t="n">
        <x:v>65</x:v>
      </x:c>
      <x:c r="C42" s="12" t="str">
        <x:v>La Chiquita SRL</x:v>
      </x:c>
      <x:c r="D42" s="12" t="str">
        <x:v>Frigorífico / alimentos</x:v>
      </x:c>
      <x:c r="E42" s="12" t="str">
        <x:v>A verificar</x:v>
      </x:c>
      <x:c r="F42" s="12" t="str">
        <x:v>Parque Industrial, Logístico y Tecnológico (PILT), RN9 km 551,5, Villa María, Córdoba</x:v>
      </x:c>
      <x:c r="G42" s="12" t="str">
        <x:v>planta / mantenimiento</x:v>
      </x:c>
      <x:c r="H42" s="12" t="str">
        <x:v>Productos y subproductos derivados de la carne.</x:v>
      </x:c>
      <x:c r="I42" s="12" t="str">
        <x:v>Media</x:v>
      </x:c>
      <x:c r="J42" s="12" t="str">
        <x:v>Dateas - parque industrial</x:v>
      </x:c>
      <x:c r="K42" s="12" t="str">
        <x:v>https://www.dateas.com/es/explore/industrias-parque-industrial-villa-maria?page=3</x:v>
      </x:c>
      <x:c r="L42" s="12" t="str">
        <x:v>https://www.google.com/maps/search/?api=1&amp;query=La+Chiquita+SRL%2C+Parque+Industrial%2C+Log%C3%ADstico+y+Tecnol%C3%B3gico+%28PILT%29%2C+RN9+km+551%2C5%2C+Villa+Mar%C3%ADa%2C+C%C3%B3rdoba</x:v>
      </x:c>
    </x:row>
    <x:row r="43">
      <x:c r="A43" s="12" t="str">
        <x:v>B</x:v>
      </x:c>
      <x:c r="B43" s="12" t="n">
        <x:v>64</x:v>
      </x:c>
      <x:c r="C43" s="12" t="str">
        <x:v>ENINDER</x:v>
      </x:c>
      <x:c r="D43" s="12" t="str">
        <x:v>Cámara de maduración de quesos</x:v>
      </x:c>
      <x:c r="E43" s="12" t="str">
        <x:v>A verificar</x:v>
      </x:c>
      <x:c r="F43" s="12" t="str">
        <x:v>Parque Industrial, Logístico y Tecnológico (PILT), RN9 km 551,5, Villa María, Córdoba</x:v>
      </x:c>
      <x:c r="G43" s="12" t="str">
        <x:v>planta / mantenimiento</x:v>
      </x:c>
      <x:c r="H43" s="12" t="str">
        <x:v>Cámara de maduración de quesos.</x:v>
      </x:c>
      <x:c r="I43" s="12" t="str">
        <x:v>Media</x:v>
      </x:c>
      <x:c r="J43" s="12" t="str">
        <x:v>Dateas - parque industrial</x:v>
      </x:c>
      <x:c r="K43" s="12" t="str">
        <x:v>https://www.dateas.com/es/explore/industrias-parque-industrial-villa-maria?page=1</x:v>
      </x:c>
      <x:c r="L43" s="12" t="str">
        <x:v>https://www.google.com/maps/search/?api=1&amp;query=ENINDER%2C+Parque+Industrial%2C+Log%C3%ADstico+y+Tecnol%C3%B3gico+%28PILT%29%2C+RN9+km+551%2C5%2C+Villa+Mar%C3%ADa%2C+C%C3%B3rdoba</x:v>
      </x:c>
    </x:row>
    <x:row r="44">
      <x:c r="A44" s="12" t="str">
        <x:v>B</x:v>
      </x:c>
      <x:c r="B44" s="12" t="n">
        <x:v>62</x:v>
      </x:c>
      <x:c r="C44" s="12" t="str">
        <x:v>Pollería Porporatto S.A.</x:v>
      </x:c>
      <x:c r="D44" s="12" t="str">
        <x:v>Alimentos / subproductos cárnicos</x:v>
      </x:c>
      <x:c r="E44" s="12" t="str">
        <x:v>A verificar</x:v>
      </x:c>
      <x:c r="F44" s="12" t="str">
        <x:v>Parque Industrial, Logístico y Tecnológico (PILT), RN9 km 551,5, Villa María, Córdoba</x:v>
      </x:c>
      <x:c r="G44" s="12" t="str">
        <x:v>planta / logística</x:v>
      </x:c>
      <x:c r="H44" s="12" t="str">
        <x:v>Planta industrial de subproductos cárnicos.</x:v>
      </x:c>
      <x:c r="I44" s="12" t="str">
        <x:v>Media</x:v>
      </x:c>
      <x:c r="J44" s="12" t="str">
        <x:v>Dateas - parque industrial</x:v>
      </x:c>
      <x:c r="K44" s="12" t="str">
        <x:v>https://www.dateas.com/es/explore/industrias-parque-industrial-villa-maria?page=4</x:v>
      </x:c>
      <x:c r="L44" s="12" t="str">
        <x:v>https://www.google.com/maps/search/?api=1&amp;query=Poller%C3%ADa+Porporatto+S.A.%2C+Parque+Industrial%2C+Log%C3%ADstico+y+Tecnol%C3%B3gico+%28PILT%29%2C+RN9+km+551%2C5%2C+Villa+Mar%C3%ADa%2C+C%C3%B3rdoba</x:v>
      </x:c>
    </x:row>
    <x:row r="45">
      <x:c r="A45" s="12" t="str">
        <x:v>B</x:v>
      </x:c>
      <x:c r="B45" s="12" t="n">
        <x:v>61</x:v>
      </x:c>
      <x:c r="C45" s="12" t="str">
        <x:v>Felipe Hnos S.A.</x:v>
      </x:c>
      <x:c r="D45" s="12" t="str">
        <x:v>Alimentos / deshidratados</x:v>
      </x:c>
      <x:c r="E45" s="12" t="str">
        <x:v>0353 4534918</x:v>
      </x:c>
      <x:c r="F45" s="12" t="str">
        <x:v>Parque Industrial, Logístico y Tecnológico (PILT), RN9 km 551,5, Villa María, Córdoba</x:v>
      </x:c>
      <x:c r="G45" s="12" t="str">
        <x:v>planta / logística</x:v>
      </x:c>
      <x:c r="H45" s="12" t="str">
        <x:v>Disecado y deshidratado de frutas y hortalizas.</x:v>
      </x:c>
      <x:c r="I45" s="12" t="str">
        <x:v>Media</x:v>
      </x:c>
      <x:c r="J45" s="12" t="str">
        <x:v>Dateas - parque industrial</x:v>
      </x:c>
      <x:c r="K45" s="12" t="str">
        <x:v>https://www.dateas.com/es/explore/industrias-parque-industrial-villa-maria/felipe-hnos-sa-40</x:v>
      </x:c>
      <x:c r="L45" s="12" t="str">
        <x:v>https://www.google.com/maps/search/?api=1&amp;query=Felipe+Hnos+S.A.%2C+Parque+Industrial%2C+Log%C3%ADstico+y+Tecnol%C3%B3gico+%28PILT%29%2C+RN9+km+551%2C5%2C+Villa+Mar%C3%ADa%2C+C%C3%B3rdoba</x:v>
      </x:c>
    </x:row>
    <x:row r="46">
      <x:c r="A46" s="12" t="str">
        <x:v>B</x:v>
      </x:c>
      <x:c r="B46" s="12" t="n">
        <x:v>60</x:v>
      </x:c>
      <x:c r="C46" s="12" t="str">
        <x:v>Cativelli S.R.L.</x:v>
      </x:c>
      <x:c r="D46" s="12" t="str">
        <x:v>Pinturas / químicos</x:v>
      </x:c>
      <x:c r="E46" s="12" t="str">
        <x:v>A verificar</x:v>
      </x:c>
      <x:c r="F46" s="12" t="str">
        <x:v>Parque Industrial, Logístico y Tecnológico (PILT), RN9 km 551,5, Villa María, Córdoba</x:v>
      </x:c>
      <x:c r="G46" s="12" t="str">
        <x:v>planta / logística</x:v>
      </x:c>
      <x:c r="H46" s="12" t="str">
        <x:v>Fabricación de pinturas.</x:v>
      </x:c>
      <x:c r="I46" s="12" t="str">
        <x:v>Media</x:v>
      </x:c>
      <x:c r="J46" s="12" t="str">
        <x:v>Dateas - parque industrial</x:v>
      </x:c>
      <x:c r="K46" s="12" t="str">
        <x:v>https://www.dateas.com/es/explore/industrias-parque-industrial-villa-maria?page=1</x:v>
      </x:c>
      <x:c r="L46" s="12" t="str">
        <x:v>https://www.google.com/maps/search/?api=1&amp;query=Cativelli+S.R.L.%2C+Parque+Industrial%2C+Log%C3%ADstico+y+Tecnol%C3%B3gico+%28PILT%29%2C+RN9+km+551%2C5%2C+Villa+Mar%C3%ADa%2C+C%C3%B3rdoba</x:v>
      </x:c>
    </x:row>
    <x:row r="47">
      <x:c r="A47" s="12" t="str">
        <x:v>B</x:v>
      </x:c>
      <x:c r="B47" s="12" t="n">
        <x:v>58</x:v>
      </x:c>
      <x:c r="C47" s="12" t="str">
        <x:v>Destefanis (DIPAEMA)</x:v>
      </x:c>
      <x:c r="D47" s="12" t="str">
        <x:v>Lácteos / quesos</x:v>
      </x:c>
      <x:c r="E47" s="12" t="str">
        <x:v>A verificar</x:v>
      </x:c>
      <x:c r="F47" s="12" t="str">
        <x:v>Parque Industrial, Logístico y Tecnológico (PILT), RN9 km 551,5, Villa María, Córdoba</x:v>
      </x:c>
      <x:c r="G47" s="12" t="str">
        <x:v>planta / mantenimiento</x:v>
      </x:c>
      <x:c r="H47" s="12" t="str">
        <x:v>Elaboración de quesos.</x:v>
      </x:c>
      <x:c r="I47" s="12" t="str">
        <x:v>Media</x:v>
      </x:c>
      <x:c r="J47" s="12" t="str">
        <x:v>Dateas - parque industrial</x:v>
      </x:c>
      <x:c r="K47" s="12" t="str">
        <x:v>https://www.dateas.com/es/explore/industrias-parque-industrial-villa-maria?page=1</x:v>
      </x:c>
      <x:c r="L47" s="12" t="str">
        <x:v>https://www.google.com/maps/search/?api=1&amp;query=Destefanis+%28DIPAEMA%29%2C+Parque+Industrial%2C+Log%C3%ADstico+y+Tecnol%C3%B3gico+%28PILT%29%2C+RN9+km+551%2C5%2C+Villa+Mar%C3%ADa%2C+C%C3%B3rdoba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13f72ab8a9ac42b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5" hidden="0" customWidth="1"/>
  </x:cols>
  <x:sheetData>
    <x:row r="1">
      <x:c r="A1" s="17" t="str">
        <x:v>GUÍA DE USO · PROSPECTOS VILLA MARÍA</x:v>
      </x:c>
      <x:c r="B1" s="17"/>
      <x:c r="C1" s="17"/>
      <x:c r="D1" s="17"/>
      <x:c r="E1" s="17"/>
      <x:c r="F1" s="17"/>
    </x:row>
    <x:row r="3">
      <x:c r="A3" s="6" t="str">
        <x:v>Tema</x:v>
      </x:c>
      <x:c r="B3" s="6" t="str">
        <x:v>Criterio / uso</x:v>
      </x:c>
    </x:row>
    <x:row r="4">
      <x:c r="A4" s="36" t="str">
        <x:v>ALCANCE</x:v>
      </x:c>
      <x:c r="B4" s="12" t="str">
        <x:v>Villa María ciudad + corredores operativos inmediatos AU9/RN9/RN158 y PILT.</x:v>
      </x:c>
    </x:row>
    <x:row r="5">
      <x:c r="A5" s="36" t="str">
        <x:v>CLASE A+</x:v>
      </x:c>
      <x:c r="B5" s="12" t="str">
        <x:v>Necesidad muy directa o recurrente: maquinaria, dealers, camiones, remolques, rental, grúas, movimiento de suelo y logística pesada.</x:v>
      </x:c>
    </x:row>
    <x:row r="6">
      <x:c r="A6" s="36" t="str">
        <x:v>CLASE A</x:v>
      </x:c>
      <x:c r="B6" s="12" t="str">
        <x:v>Alta afinidad: metalmecánica, industria, hormigón, agroindustria y plantas con movimientos de mantenimiento.</x:v>
      </x:c>
    </x:row>
    <x:row r="7">
      <x:c r="A7" s="36" t="str">
        <x:v>CLASE B</x:v>
      </x:c>
      <x:c r="B7" s="12" t="str">
        <x:v>Potencial complementario; calificar antes de visita.</x:v>
      </x:c>
    </x:row>
    <x:row r="8">
      <x:c r="A8" s="36" t="str">
        <x:v>PILT</x:v>
      </x:c>
      <x:c r="B8" s="12" t="str">
        <x:v>Hoja específica porque es el principal clúster industrial de Villa María.</x:v>
      </x:c>
    </x:row>
    <x:row r="9">
      <x:c r="A9" s="36" t="str">
        <x:v>RUTAS</x:v>
      </x:c>
      <x:c r="B9" s="12" t="str">
        <x:v>Tres circuitos Google Maps: PILT/RN9, AU9/Colectoras y RN158–Perón–Seppey.</x:v>
      </x:c>
    </x:row>
    <x:row r="10">
      <x:c r="A10" s="36" t="str">
        <x:v>CALIDAD DE DATO</x:v>
      </x:c>
      <x:c r="B10" s="12" t="str">
        <x:v>Alta = web oficial/Google Business/municipio. Media = dataset/directorio secundario; requiere validación.</x:v>
      </x:c>
    </x:row>
    <x:row r="11">
      <x:c r="A11" s="36" t="str">
        <x:v>SIGUIENTE PASO</x:v>
      </x:c>
      <x:c r="B11" s="12" t="str">
        <x:v>Contactar A+ primero, registrar frecuencia real, pesos, distancias y proveedor actual; recalibrar score con datos de campo.</x:v>
      </x:c>
    </x:row>
  </x:sheetData>
  <x:mergeCells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8" hidden="0" customWidth="1"/>
    <x:col min="4" max="4" width="8" hidden="0" customWidth="1"/>
    <x:col min="5" max="5" width="34" hidden="0" customWidth="1"/>
    <x:col min="6" max="6" width="36" hidden="0" customWidth="1"/>
    <x:col min="7" max="7" width="24" hidden="0" customWidth="1"/>
    <x:col min="8" max="8" width="42" hidden="0" customWidth="1"/>
    <x:col min="9" max="9" width="28" hidden="0" customWidth="1"/>
    <x:col min="10" max="10" width="54" hidden="0" customWidth="1"/>
    <x:col min="11" max="11" width="50" hidden="0" customWidth="1"/>
  </x:cols>
  <x:sheetData>
    <x:row r="1">
      <x:c r="A1" s="41" t="str">
        <x:v>Tipo</x:v>
      </x:c>
      <x:c r="B1" s="41" t="str">
        <x:v>ID</x:v>
      </x:c>
      <x:c r="C1" s="41" t="str">
        <x:v>Clase</x:v>
      </x:c>
      <x:c r="D1" s="41" t="str">
        <x:v>Score</x:v>
      </x:c>
      <x:c r="E1" s="41" t="str">
        <x:v>Empresa</x:v>
      </x:c>
      <x:c r="F1" s="41" t="str">
        <x:v>Rubro</x:v>
      </x:c>
      <x:c r="G1" s="41" t="str">
        <x:v>Teléfono</x:v>
      </x:c>
      <x:c r="H1" s="41" t="str">
        <x:v>Dirección</x:v>
      </x:c>
      <x:c r="I1" s="41" t="str">
        <x:v>Preguntar por</x:v>
      </x:c>
      <x:c r="J1" s="41" t="str">
        <x:v>Por qué interesa a PRESOL</x:v>
      </x:c>
      <x:c r="K1" s="41" t="str">
        <x:v>Fuente</x:v>
      </x:c>
    </x:row>
    <x:row r="2">
      <x:c r="A2" s="12" t="str">
        <x:v>REVISADO</x:v>
      </x:c>
      <x:c r="B2" s="12" t="str">
        <x:v>VM-007</x:v>
      </x:c>
      <x:c r="C2" s="12" t="str">
        <x:v>A+</x:v>
      </x:c>
      <x:c r="D2" s="12" t="n">
        <x:v>100</x:v>
      </x:c>
      <x:c r="E2" s="12" t="str">
        <x:v>Bartolomé Cerutti SRL - New Holland</x:v>
      </x:c>
      <x:c r="F2" s="12" t="str">
        <x:v>Tractores / cosechadoras / maquinaria New Holland</x:v>
      </x:c>
      <x:c r="G2" s="12" t="str">
        <x:v>0353 4522560 / 0353 154208761</x:v>
      </x:c>
      <x:c r="H2" s="12" t="str">
        <x:v>Larrabure 1100, Villa María</x:v>
      </x:c>
      <x:c r="I2" s="12" t="str">
        <x:v>logística / posventa / usados</x:v>
      </x:c>
      <x:c r="J2" s="12" t="str">
        <x:v>Venta real de cosechadoras, tractores y equipos; fuerte posventa y usados.</x:v>
      </x:c>
      <x:c r="K2" s="12" t="str">
        <x:v>https://www.agroads.com.ar/seccion.asp?cat=2&amp;loc=6&amp;prov=8</x:v>
      </x:c>
    </x:row>
    <x:row r="3">
      <x:c r="A3" s="12" t="str">
        <x:v>REVISADO</x:v>
      </x:c>
      <x:c r="B3" s="12" t="str">
        <x:v>VM-019</x:v>
      </x:c>
      <x:c r="C3" s="12" t="str">
        <x:v>A+</x:v>
      </x:c>
      <x:c r="D3" s="12" t="n">
        <x:v>99</x:v>
      </x:c>
      <x:c r="E3" s="12" t="str">
        <x:v>Managro Autopista</x:v>
      </x:c>
      <x:c r="F3" s="12" t="str">
        <x:v>Compra-venta de maquinaria agrícola y vial</x:v>
      </x:c>
      <x:c r="G3" s="12" t="str">
        <x:v>+54 353 6572882</x:v>
      </x:c>
      <x:c r="H3" s="12" t="str">
        <x:v>Av. Juan Domingo Perón y Panamá, Villa María</x:v>
      </x:c>
      <x:c r="I3" s="12" t="str">
        <x:v>ventas / logística / usados</x:v>
      </x:c>
      <x:c r="J3" s="12" t="str">
        <x:v>Se corrigieron domicilio/teléfono y perfil: compra-venta agrícola/vial.</x:v>
      </x:c>
      <x:c r="K3" s="12" t="str">
        <x:v>https://ar.linkedin.com/company/managro-implementos-agr%C3%ADcolas</x:v>
      </x:c>
    </x:row>
    <x:row r="4">
      <x:c r="A4" s="12" t="str">
        <x:v>REVISADO</x:v>
      </x:c>
      <x:c r="B4" s="12" t="str">
        <x:v>VM-025</x:v>
      </x:c>
      <x:c r="C4" s="12" t="str">
        <x:v>A+</x:v>
      </x:c>
      <x:c r="D4" s="12" t="n">
        <x:v>100</x:v>
      </x:c>
      <x:c r="E4" s="12" t="str">
        <x:v>VM Agrícola</x:v>
      </x:c>
      <x:c r="F4" s="12" t="str">
        <x:v>Tractores / cosechadoras / sembradoras / pulverizadoras</x:v>
      </x:c>
      <x:c r="G4" s="12" t="str">
        <x:v>+54 353 5695760</x:v>
      </x:c>
      <x:c r="H4" s="12" t="str">
        <x:v>Salta 270, Villa María</x:v>
      </x:c>
      <x:c r="I4" s="12" t="str">
        <x:v>ventas / usados / logística</x:v>
      </x:c>
      <x:c r="J4" s="12" t="str">
        <x:v>Amplio stock publicado; uno de los prospectos agro más fuertes de Villa María.</x:v>
      </x:c>
      <x:c r="K4" s="12" t="str">
        <x:v>https://www.agroads.com.ar/e/vm-agricola/</x:v>
      </x:c>
    </x:row>
    <x:row r="5">
      <x:c r="A5" s="12" t="str">
        <x:v>NUEVO</x:v>
      </x:c>
      <x:c r="B5" s="12" t="str">
        <x:v>VM-091</x:v>
      </x:c>
      <x:c r="C5" s="12" t="str">
        <x:v>A+</x:v>
      </x:c>
      <x:c r="D5" s="12" t="n">
        <x:v>100</x:v>
      </x:c>
      <x:c r="E5" s="12" t="str">
        <x:v>PRARIZZI MAQUINARIAS</x:v>
      </x:c>
      <x:c r="F5" s="12" t="str">
        <x:v>Concesionaria de maquinaria agrícola / pulverizadoras</x:v>
      </x:c>
      <x:c r="G5" s="12" t="str">
        <x:v>0353 4014084 / 03471 593470</x:v>
      </x:c>
      <x:c r="H5" s="12" t="str">
        <x:v>Ruta 158 km 153 / AU9, Villa María, Córdoba</x:v>
      </x:c>
      <x:c r="I5" s="12" t="str">
        <x:v>ventas / logística / usados</x:v>
      </x:c>
      <x:c r="J5" s="12" t="str">
        <x:v>Concesionaria de Villa María con ~90 publicaciones; pulverizadoras nuevas/usadas y otros implementos.</x:v>
      </x:c>
      <x:c r="K5" s="12" t="str">
        <x:v>https://www.agroads.com.ar/detalle.asp?clasi=1003380</x:v>
      </x:c>
    </x:row>
    <x:row r="6">
      <x:c r="A6" s="12" t="str">
        <x:v>NUEVO</x:v>
      </x:c>
      <x:c r="B6" s="12" t="str">
        <x:v>VM-092</x:v>
      </x:c>
      <x:c r="C6" s="12" t="str">
        <x:v>A+</x:v>
      </x:c>
      <x:c r="D6" s="12" t="n">
        <x:v>100</x:v>
      </x:c>
      <x:c r="E6" s="12" t="str">
        <x:v>Tu Fierro Importado</x:v>
      </x:c>
      <x:c r="F6" s="12" t="str">
        <x:v>Importación y venta de tractores, cosechadoras y maquinaria agrícola</x:v>
      </x:c>
      <x:c r="G6" s="12" t="str">
        <x:v>+54 9 353 4089754</x:v>
      </x:c>
      <x:c r="H6" s="12" t="str">
        <x:v>Villa María, Córdoba</x:v>
      </x:c>
      <x:c r="I6" s="12" t="str">
        <x:v>ventas / importaciones / logística</x:v>
      </x:c>
      <x:c r="J6" s="12" t="str">
        <x:v>Importa desde EE.UU. tractores, cosechadoras, pulverizadoras, picadoras y plataformas; entregas documentadas en 2025-2026.</x:v>
      </x:c>
      <x:c r="K6" s="12" t="str">
        <x:v>https://tufierroimportado.com.ar/</x:v>
      </x:c>
    </x:row>
    <x:row r="7">
      <x:c r="A7" s="12" t="str">
        <x:v>NUEVO</x:v>
      </x:c>
      <x:c r="B7" s="12" t="str">
        <x:v>VM-093</x:v>
      </x:c>
      <x:c r="C7" s="12" t="str">
        <x:v>A+</x:v>
      </x:c>
      <x:c r="D7" s="12" t="n">
        <x:v>99</x:v>
      </x:c>
      <x:c r="E7" s="12" t="str">
        <x:v>Agromos</x:v>
      </x:c>
      <x:c r="F7" s="12" t="str">
        <x:v>Concesionario de tractores y maquinaria agrícola</x:v>
      </x:c>
      <x:c r="G7" s="12" t="str">
        <x:v>0353 4222447</x:v>
      </x:c>
      <x:c r="H7" s="12" t="str">
        <x:v>Intendente Horacio Cabeza 3073, Villa María, Córdoba</x:v>
      </x:c>
      <x:c r="I7" s="12" t="str">
        <x:v>ventas / usados / logística</x:v>
      </x:c>
      <x:c r="J7" s="12" t="str">
        <x:v>Concesionario local con tractores Massey Ferguson, Valtra, New Holland, Deutz-Fahr y otros usados.</x:v>
      </x:c>
      <x:c r="K7" s="12" t="str">
        <x:v>https://www.agroads.com.ar/seccion.asp?loc=6&amp;prov=8&amp;subcat=10&amp;tipo=usado</x:v>
      </x:c>
    </x:row>
    <x:row r="8">
      <x:c r="A8" s="12" t="str">
        <x:v>NUEVO</x:v>
      </x:c>
      <x:c r="B8" s="12" t="str">
        <x:v>VM-094</x:v>
      </x:c>
      <x:c r="C8" s="12" t="str">
        <x:v>A+</x:v>
      </x:c>
      <x:c r="D8" s="12" t="n">
        <x:v>98</x:v>
      </x:c>
      <x:c r="E8" s="12" t="str">
        <x:v>TRACTOFORCE</x:v>
      </x:c>
      <x:c r="F8" s="12" t="str">
        <x:v>Concesionario de tractores</x:v>
      </x:c>
      <x:c r="G8" s="12" t="str">
        <x:v>0353 4188963</x:v>
      </x:c>
      <x:c r="H8" s="12" t="str">
        <x:v>RN9 km 561, Villa María, Córdoba</x:v>
      </x:c>
      <x:c r="I8" s="12" t="str">
        <x:v>ventas / logística / service</x:v>
      </x:c>
      <x:c r="J8" s="12" t="str">
        <x:v>Concesionario de tractores sobre RN9.</x:v>
      </x:c>
      <x:c r="K8" s="12" t="str">
        <x:v>https://www.google.com/maps/search/?api=1&amp;query=TRACTOFORCE%2C+RN9+km+561%2C+Villa+Mar%C3%ADa%2C+C%C3%B3rdoba</x:v>
      </x:c>
    </x:row>
    <x:row r="9">
      <x:c r="A9" s="12" t="str">
        <x:v>NUEVO</x:v>
      </x:c>
      <x:c r="B9" s="12" t="str">
        <x:v>VM-095</x:v>
      </x:c>
      <x:c r="C9" s="12" t="str">
        <x:v>A+</x:v>
      </x:c>
      <x:c r="D9" s="12" t="n">
        <x:v>98</x:v>
      </x:c>
      <x:c r="E9" s="12" t="str">
        <x:v>Metalfor Villa María</x:v>
      </x:c>
      <x:c r="F9" s="12" t="str">
        <x:v>Maquinaria agrícola / service / pulverizadoras</x:v>
      </x:c>
      <x:c r="G9" s="12" t="str">
        <x:v>0353 4614731</x:v>
      </x:c>
      <x:c r="H9" s="12" t="str">
        <x:v>Av. Presidente Perón 2795, Villa María, Córdoba</x:v>
      </x:c>
      <x:c r="I9" s="12" t="str">
        <x:v>ventas / service / logística</x:v>
      </x:c>
      <x:c r="J9" s="12" t="str">
        <x:v>Punto Metalfor en Villa María; maquinaria agrícola, repuestos y service.</x:v>
      </x:c>
      <x:c r="K9" s="12" t="str">
        <x:v>https://buscador5900.com.ar/agro/equipamiento/maquinaria-agricola-y-repuestos</x:v>
      </x:c>
    </x:row>
    <x:row r="10">
      <x:c r="A10" s="12" t="str">
        <x:v>NUEVO</x:v>
      </x:c>
      <x:c r="B10" s="12" t="str">
        <x:v>VM-096</x:v>
      </x:c>
      <x:c r="C10" s="12" t="str">
        <x:v>A+</x:v>
      </x:c>
      <x:c r="D10" s="12" t="n">
        <x:v>97</x:v>
      </x:c>
      <x:c r="E10" s="12" t="str">
        <x:v>Cherasco S.R.L. Maquinas Agrícolas</x:v>
      </x:c>
      <x:c r="F10" s="12" t="str">
        <x:v>Venta de maquinaria e implementos agrícolas</x:v>
      </x:c>
      <x:c r="G10" s="12" t="str">
        <x:v>A verificar</x:v>
      </x:c>
      <x:c r="H10" s="12" t="str">
        <x:v>RN9 km 552-553, Villa María, Córdoba</x:v>
      </x:c>
      <x:c r="I10" s="12" t="str">
        <x:v>ventas / logística / usados</x:v>
      </x:c>
      <x:c r="J10" s="12" t="str">
        <x:v>Comercializa sembradoras, embolsadoras y maquinaria; actividad registrada incluye tractores, cosechadoras e implementos.</x:v>
      </x:c>
      <x:c r="K10" s="12" t="str">
        <x:v>https://www.agroads.com.ar/seccion.asp?cat=2&amp;loc=6&amp;prov=8</x:v>
      </x:c>
    </x:row>
    <x:row r="11">
      <x:c r="A11" s="12" t="str">
        <x:v>NUEVO</x:v>
      </x:c>
      <x:c r="B11" s="12" t="str">
        <x:v>VM-097</x:v>
      </x:c>
      <x:c r="C11" s="12" t="str">
        <x:v>A+</x:v>
      </x:c>
      <x:c r="D11" s="12" t="n">
        <x:v>96</x:v>
      </x:c>
      <x:c r="E11" s="12" t="str">
        <x:v>AgroChery</x:v>
      </x:c>
      <x:c r="F11" s="12" t="str">
        <x:v>Concesionario de tractores</x:v>
      </x:c>
      <x:c r="G11" s="12" t="str">
        <x:v>0353 4282774</x:v>
      </x:c>
      <x:c r="H11" s="12" t="str">
        <x:v>M. J. Suppo 216, Villa María, Córdoba</x:v>
      </x:c>
      <x:c r="I11" s="12" t="str">
        <x:v>ventas / logística / service</x:v>
      </x:c>
      <x:c r="J11" s="12" t="str">
        <x:v>Concesionario local de tractores AgroChery.</x:v>
      </x:c>
      <x:c r="K11" s="12" t="str">
        <x:v>https://www.google.com/maps/search/?api=1&amp;query=AgroChery%2C+M.+J.+Suppo+216%2C+Villa+Mar%C3%ADa%2C+C%C3%B3rdoba</x:v>
      </x:c>
    </x:row>
    <x:row r="12">
      <x:c r="A12" s="12" t="str">
        <x:v>NUEVO</x:v>
      </x:c>
      <x:c r="B12" s="12" t="str">
        <x:v>VM-098</x:v>
      </x:c>
      <x:c r="C12" s="12" t="str">
        <x:v>A+</x:v>
      </x:c>
      <x:c r="D12" s="12" t="n">
        <x:v>96</x:v>
      </x:c>
      <x:c r="E12" s="12" t="str">
        <x:v>AMD Servicios SRL</x:v>
      </x:c>
      <x:c r="F12" s="12" t="str">
        <x:v>Alquiler de maquinaria y equipos industriales</x:v>
      </x:c>
      <x:c r="G12" s="12" t="str">
        <x:v>0353 4012059</x:v>
      </x:c>
      <x:c r="H12" s="12" t="str">
        <x:v>J. Muller 427, Villa María, Córdoba</x:v>
      </x:c>
      <x:c r="I12" s="12" t="str">
        <x:v>alquileres / operaciones / logística</x:v>
      </x:c>
      <x:c r="J12" s="12" t="str">
        <x:v>Empresa local de alquiler de maquinaria y equipos industriales.</x:v>
      </x:c>
      <x:c r="K12" s="12" t="str">
        <x:v>https://www.google.com/maps/search/?api=1&amp;query=AMD+Servicios+SRL%2C+J.+Muller+427%2C+Villa+Mar%C3%ADa%2C+C%C3%B3rdoba</x:v>
      </x:c>
    </x:row>
    <x:row r="13">
      <x:c r="A13" s="12" t="str">
        <x:v>NUEVO</x:v>
      </x:c>
      <x:c r="B13" s="12" t="str">
        <x:v>VM-099</x:v>
      </x:c>
      <x:c r="C13" s="12" t="str">
        <x:v>A+</x:v>
      </x:c>
      <x:c r="D13" s="12" t="n">
        <x:v>96</x:v>
      </x:c>
      <x:c r="E13" s="12" t="str">
        <x:v>RR Agrícola Maquinarias</x:v>
      </x:c>
      <x:c r="F13" s="12" t="str">
        <x:v>Venta de maquinaria agrícola</x:v>
      </x:c>
      <x:c r="G13" s="12" t="str">
        <x:v>0353 4538056</x:v>
      </x:c>
      <x:c r="H13" s="12" t="str">
        <x:v>RN9 km 553, Villa María, Córdoba</x:v>
      </x:c>
      <x:c r="I13" s="12" t="str">
        <x:v>ventas / logística / service</x:v>
      </x:c>
      <x:c r="J13" s="12" t="str">
        <x:v>Comercio local listado específicamente en maquinaria agrícola y repuestos.</x:v>
      </x:c>
      <x:c r="K13" s="12" t="str">
        <x:v>https://buscador5900.com.ar/agro/equipamiento/maquinaria-agricola-y-repuestos</x:v>
      </x:c>
    </x:row>
    <x:row r="14">
      <x:c r="A14" s="12" t="str">
        <x:v>NUEVO</x:v>
      </x:c>
      <x:c r="B14" s="12" t="str">
        <x:v>VM-100</x:v>
      </x:c>
      <x:c r="C14" s="12" t="str">
        <x:v>A+</x:v>
      </x:c>
      <x:c r="D14" s="12" t="n">
        <x:v>98</x:v>
      </x:c>
      <x:c r="E14" s="12" t="str">
        <x:v>SALSITECO S.A.</x:v>
      </x:c>
      <x:c r="F14" s="12" t="str">
        <x:v>Constructora / obras civiles / movimiento de suelo</x:v>
      </x:c>
      <x:c r="G14" s="12" t="str">
        <x:v>0353 4524006</x:v>
      </x:c>
      <x:c r="H14" s="12" t="str">
        <x:v>José Ingenieros 625, Villa María, Córdoba</x:v>
      </x:c>
      <x:c r="I14" s="12" t="str">
        <x:v>jefe de obra / equipos / operaciones</x:v>
      </x:c>
      <x:c r="J14" s="12" t="str">
        <x:v>Constructora local de obras públicas/privadas, acueductos, redes, movimientos de suelo; declara equipos y maquinarias propios.</x:v>
      </x:c>
      <x:c r="K14" s="12" t="str">
        <x:v>https://salsiteco.com.ar/empresa.php</x:v>
      </x:c>
    </x:row>
    <x:row r="15">
      <x:c r="A15" s="12" t="str">
        <x:v>NUEVO</x:v>
      </x:c>
      <x:c r="B15" s="12" t="str">
        <x:v>VM-101</x:v>
      </x:c>
      <x:c r="C15" s="12" t="str">
        <x:v>A+</x:v>
      </x:c>
      <x:c r="D15" s="12" t="n">
        <x:v>95</x:v>
      </x:c>
      <x:c r="E15" s="12" t="str">
        <x:v>Movimiento de suelo Alexis Moreno</x:v>
      </x:c>
      <x:c r="F15" s="12" t="str">
        <x:v>Movimiento de suelo</x:v>
      </x:c>
      <x:c r="G15" s="12" t="str">
        <x:v>A verificar</x:v>
      </x:c>
      <x:c r="H15" s="12" t="str">
        <x:v>Aconquija 2323, Villa María, Córdoba</x:v>
      </x:c>
      <x:c r="I15" s="12" t="str">
        <x:v>dueño / operaciones / equipos</x:v>
      </x:c>
      <x:c r="J15" s="12" t="str">
        <x:v>Empresa local de movimiento de tierras.</x:v>
      </x:c>
      <x:c r="K15" s="12" t="str">
        <x:v>https://www.google.com/maps/search/?api=1&amp;query=Movimiento+de+suelo+Alexis+Moreno%2C+Aconquija+2323%2C+Villa+Mar%C3%ADa%2C+C%C3%B3rdoba</x:v>
      </x:c>
    </x:row>
    <x:row r="16">
      <x:c r="A16" s="12" t="str">
        <x:v>NUEVO</x:v>
      </x:c>
      <x:c r="B16" s="12" t="str">
        <x:v>VM-102</x:v>
      </x:c>
      <x:c r="C16" s="12" t="str">
        <x:v>A+</x:v>
      </x:c>
      <x:c r="D16" s="12" t="n">
        <x:v>95</x:v>
      </x:c>
      <x:c r="E16" s="12" t="str">
        <x:v>Pla Centro de Distribuciones</x:v>
      </x:c>
      <x:c r="F16" s="12" t="str">
        <x:v>Maquinaria agrícola / pulverización</x:v>
      </x:c>
      <x:c r="G16" s="12" t="str">
        <x:v>0353 4614161</x:v>
      </x:c>
      <x:c r="H16" s="12" t="str">
        <x:v>Av. Presidente Perón 3566, Villa María, Córdoba</x:v>
      </x:c>
      <x:c r="I16" s="12" t="str">
        <x:v>ventas / logística / repuestos</x:v>
      </x:c>
      <x:c r="J16" s="12" t="str">
        <x:v>Centro local de distribución de maquinaria agrícola y repuestos.</x:v>
      </x:c>
      <x:c r="K16" s="12" t="str">
        <x:v>https://buscador5900.com.ar/agro/equipamiento/maquinaria-agricola-y-repuestos</x:v>
      </x:c>
    </x:row>
    <x:row r="17">
      <x:c r="A17" s="12" t="str">
        <x:v>NUEVO</x:v>
      </x:c>
      <x:c r="B17" s="12" t="str">
        <x:v>VM-103</x:v>
      </x:c>
      <x:c r="C17" s="12" t="str">
        <x:v>A+</x:v>
      </x:c>
      <x:c r="D17" s="12" t="n">
        <x:v>94</x:v>
      </x:c>
      <x:c r="E17" s="12" t="str">
        <x:v>Roberto Mosoni Venta de Tractores</x:v>
      </x:c>
      <x:c r="F17" s="12" t="str">
        <x:v>Venta de tractores</x:v>
      </x:c>
      <x:c r="G17" s="12" t="str">
        <x:v>0353 156566469</x:v>
      </x:c>
      <x:c r="H17" s="12" t="str">
        <x:v>Av. Presidente Perón 988, Villa María, Córdoba</x:v>
      </x:c>
      <x:c r="I17" s="12" t="str">
        <x:v>dueño / ventas / logística</x:v>
      </x:c>
      <x:c r="J17" s="12" t="str">
        <x:v>Comercio local dedicado a venta de tractores.</x:v>
      </x:c>
      <x:c r="K17" s="12" t="str">
        <x:v>https://www.buscador5900.com.ar/agro/equipamiento</x:v>
      </x:c>
    </x:row>
    <x:row r="18">
      <x:c r="A18" s="12" t="str">
        <x:v>NUEVO</x:v>
      </x:c>
      <x:c r="B18" s="12" t="str">
        <x:v>VM-104</x:v>
      </x:c>
      <x:c r="C18" s="12" t="str">
        <x:v>A</x:v>
      </x:c>
      <x:c r="D18" s="12" t="n">
        <x:v>88</x:v>
      </x:c>
      <x:c r="E18" s="12" t="str">
        <x:v>URBA Constructora</x:v>
      </x:c>
      <x:c r="F18" s="12" t="str">
        <x:v>Constructora / obra civil e instalaciones</x:v>
      </x:c>
      <x:c r="G18" s="12" t="str">
        <x:v>0353 4295173</x:v>
      </x:c>
      <x:c r="H18" s="12" t="str">
        <x:v>Bv. Vélez Sarsfield 1170 Piso 3 Of. 12, Villa María, Córdoba</x:v>
      </x:c>
      <x:c r="I18" s="12" t="str">
        <x:v>obras / compras / logística</x:v>
      </x:c>
      <x:c r="J18" s="12" t="str">
        <x:v>Proyectos de arquitectura e ingeniería, obra civil e instalaciones; más de 100.000 m² construidos.</x:v>
      </x:c>
      <x:c r="K18" s="12" t="str">
        <x:v>https://urbaconstructora.com/</x:v>
      </x:c>
    </x:row>
    <x:row r="19">
      <x:c r="A19" s="12" t="str">
        <x:v>NUEVO</x:v>
      </x:c>
      <x:c r="B19" s="12" t="str">
        <x:v>VM-105</x:v>
      </x:c>
      <x:c r="C19" s="12" t="str">
        <x:v>A</x:v>
      </x:c>
      <x:c r="D19" s="12" t="n">
        <x:v>87</x:v>
      </x:c>
      <x:c r="E19" s="12" t="str">
        <x:v>Arinco SA - Obras de Ingeniería</x:v>
      </x:c>
      <x:c r="F19" s="12" t="str">
        <x:v>Constructora / obras de ingeniería</x:v>
      </x:c>
      <x:c r="G19" s="12" t="str">
        <x:v>0353 4222251</x:v>
      </x:c>
      <x:c r="H19" s="12" t="str">
        <x:v>Parque Industrial, Villa María, Córdoba</x:v>
      </x:c>
      <x:c r="I19" s="12" t="str">
        <x:v>obras / equipos / logística</x:v>
      </x:c>
      <x:c r="J19" s="12" t="str">
        <x:v>Empresa constructora radicada en el Parque Industrial.</x:v>
      </x:c>
      <x:c r="K19" s="12" t="str">
        <x:v>https://www.google.com/maps/search/?api=1&amp;query=Arinco+SA+Obras+de+Ingenier%C3%ADa%2C+Parque+Industrial%2C+Villa+Mar%C3%ADa%2C+C%C3%B3rdoba</x:v>
      </x:c>
    </x:row>
    <x:row r="20">
      <x:c r="A20" s="12" t="str">
        <x:v>NUEVO</x:v>
      </x:c>
      <x:c r="B20" s="12" t="str">
        <x:v>VM-106</x:v>
      </x:c>
      <x:c r="C20" s="12" t="str">
        <x:v>A</x:v>
      </x:c>
      <x:c r="D20" s="12" t="n">
        <x:v>88</x:v>
      </x:c>
      <x:c r="E20" s="12" t="str">
        <x:v>Ombu Máquinas Agrícolas</x:v>
      </x:c>
      <x:c r="F20" s="12" t="str">
        <x:v>Maquinaria agrícola y repuestos</x:v>
      </x:c>
      <x:c r="G20" s="12" t="str">
        <x:v>A verificar</x:v>
      </x:c>
      <x:c r="H20" s="12" t="str">
        <x:v>Porfirio Seppey 1217, Villa María, Córdoba</x:v>
      </x:c>
      <x:c r="I20" s="12" t="str">
        <x:v>ventas / logística / repuestos</x:v>
      </x:c>
      <x:c r="J20" s="12" t="str">
        <x:v>Punto local listado en maquinaria agrícola y repuestos.</x:v>
      </x:c>
      <x:c r="K20" s="12" t="str">
        <x:v>https://buscador5900.com.ar/agro/equipamiento/maquinaria-agricola-y-repuestos</x:v>
      </x:c>
    </x:row>
    <x:row r="21">
      <x:c r="A21" s="12" t="str">
        <x:v>NUEVO</x:v>
      </x:c>
      <x:c r="B21" s="12" t="str">
        <x:v>VM-107</x:v>
      </x:c>
      <x:c r="C21" s="12" t="str">
        <x:v>A</x:v>
      </x:c>
      <x:c r="D21" s="12" t="n">
        <x:v>85</x:v>
      </x:c>
      <x:c r="E21" s="12" t="str">
        <x:v>MAQUINAS Y SERVICIOS RURALES</x:v>
      </x:c>
      <x:c r="F21" s="12" t="str">
        <x:v>Maquinaria / servicios rurales</x:v>
      </x:c>
      <x:c r="G21" s="12" t="str">
        <x:v>A verificar</x:v>
      </x:c>
      <x:c r="H21" s="12" t="str">
        <x:v>Ramiro Suárez 1750, Villa María, Córdoba</x:v>
      </x:c>
      <x:c r="I21" s="12" t="str">
        <x:v>dueño / operaciones / logística</x:v>
      </x:c>
      <x:c r="J21" s="12" t="str">
        <x:v>Fábrica/servicios rurales con operación local.</x:v>
      </x:c>
      <x:c r="K21" s="12" t="str">
        <x:v>https://www.google.com/maps/search/?api=1&amp;query=MAQUINAS+Y+SERVICIOS+RURALES%2C+Ramiro+Su%C3%A1rez+1750%2C+Villa+Mar%C3%ADa%2C+C%C3%B3rdoba</x:v>
      </x:c>
    </x:row>
    <x:row r="22">
      <x:c r="A22" s="12" t="str">
        <x:v>NUEVO</x:v>
      </x:c>
      <x:c r="B22" s="12" t="str">
        <x:v>VM-108</x:v>
      </x:c>
      <x:c r="C22" s="12" t="str">
        <x:v>A</x:v>
      </x:c>
      <x:c r="D22" s="12" t="n">
        <x:v>82</x:v>
      </x:c>
      <x:c r="E22" s="12" t="str">
        <x:v>MP Servicios</x:v>
      </x:c>
      <x:c r="F22" s="12" t="str">
        <x:v>Contratista / servicios de obra</x:v>
      </x:c>
      <x:c r="G22" s="12" t="str">
        <x:v>0353 4291984</x:v>
      </x:c>
      <x:c r="H22" s="12" t="str">
        <x:v>C. Agapito Albert, Villa María, Córdoba</x:v>
      </x:c>
      <x:c r="I22" s="12" t="str">
        <x:v>dueño / operaciones</x:v>
      </x:c>
      <x:c r="J22" s="12" t="str">
        <x:v>Contratista local; requiere calificación de flota y tipo de obra.</x:v>
      </x:c>
      <x:c r="K22" s="12" t="str">
        <x:v>https://www.google.com/maps/search/?api=1&amp;query=MP+Servicios%2C+C.+Agapito+Albert%2C+Villa+Mar%C3%ADa%2C+C%C3%B3rdoba</x:v>
      </x:c>
    </x:row>
    <x:row r="23">
      <x:c r="A23" s="12" t="str">
        <x:v>NUEVO</x:v>
      </x:c>
      <x:c r="B23" s="12" t="str">
        <x:v>VM-109</x:v>
      </x:c>
      <x:c r="C23" s="12" t="str">
        <x:v>B</x:v>
      </x:c>
      <x:c r="D23" s="12" t="n">
        <x:v>68</x:v>
      </x:c>
      <x:c r="E23" s="12" t="str">
        <x:v>DM Constructora</x:v>
      </x:c>
      <x:c r="F23" s="12" t="str">
        <x:v>Constructora</x:v>
      </x:c>
      <x:c r="G23" s="12" t="str">
        <x:v>0353 5632956 / 0353 4260498</x:v>
      </x:c>
      <x:c r="H23" s="12" t="str">
        <x:v>San Juan 1117, Villa María, Córdoba</x:v>
      </x:c>
      <x:c r="I23" s="12" t="str">
        <x:v>obras / compras</x:v>
      </x:c>
      <x:c r="J23" s="12" t="str">
        <x:v>Constructora local orientada principalmente a viviendas; potencial menor para transporte pesado.</x:v>
      </x:c>
      <x:c r="K23" s="12" t="str">
        <x:v>https://dmconstructora.com.ar/</x:v>
      </x:c>
    </x:row>
  </x:sheetData>
  <x:conditionalFormatting sqref="C2:C23">
    <x:cfRule type="expression" dxfId="9" priority="1">
      <x:formula>C2="A+"</x:formula>
    </x:cfRule>
    <x:cfRule type="expression" dxfId="10" priority="2">
      <x:formula>C2="A"</x:formula>
    </x:cfRule>
    <x:cfRule type="expression" dxfId="11" priority="3">
      <x:formula>C2="B"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a9aeb66fc04476c"/>
  </x:tableParts>
</x:worksheet>
</file>