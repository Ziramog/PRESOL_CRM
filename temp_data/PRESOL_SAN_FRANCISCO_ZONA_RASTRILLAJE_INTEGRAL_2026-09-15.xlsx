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f3fb431c094c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os Resumen" sheetId="1" r:id="R09d8022426de4919"/>
    <x:sheet xmlns:r="http://schemas.openxmlformats.org/officeDocument/2006/relationships" name="Prospectos" sheetId="2" r:id="Red52408f75dd4629"/>
    <x:sheet xmlns:r="http://schemas.openxmlformats.org/officeDocument/2006/relationships" name="Indicadores" sheetId="3" r:id="Rb3a367ffc68c4225"/>
    <x:sheet xmlns:r="http://schemas.openxmlformats.org/officeDocument/2006/relationships" name="Foco A+" sheetId="4" r:id="Ref59305b5e374992"/>
    <x:sheet xmlns:r="http://schemas.openxmlformats.org/officeDocument/2006/relationships" name="Rastrillaje Parque" sheetId="5" r:id="Ra0d2b6f7e6a243d9"/>
    <x:sheet xmlns:r="http://schemas.openxmlformats.org/officeDocument/2006/relationships" name="Zona ampliada" sheetId="6" r:id="R821c7a6c8c804f65"/>
    <x:sheet xmlns:r="http://schemas.openxmlformats.org/officeDocument/2006/relationships" name="Contactos a verificar" sheetId="7" r:id="Ref3e7b3808084a30"/>
    <x:sheet xmlns:r="http://schemas.openxmlformats.org/officeDocument/2006/relationships" name="Servicios PRESOL" sheetId="8" r:id="Re7cbf08795f4409c"/>
    <x:sheet xmlns:r="http://schemas.openxmlformats.org/officeDocument/2006/relationships" name="Guía de uso" sheetId="9" r:id="R5c2b9513186f44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0"/>
      <x:color rgb="FFFFFFFF"/>
      <x:name val="Carlito"/>
    </x:font>
    <x:font>
      <x:b/>
      <x:sz val="18"/>
      <x:color rgb="FFFFFFFF"/>
      <x:name val="Carlito"/>
    </x:font>
    <x:font>
      <x:i/>
      <x:sz val="11"/>
      <x:color rgb="FF5B6573"/>
      <x:name val="Carlito"/>
    </x:font>
    <x:font>
      <x:b/>
      <x:sz val="11"/>
      <x:color rgb="FF12263A"/>
      <x:name val="Carlito"/>
    </x:font>
    <x:font>
      <x:b/>
      <x:sz val="14"/>
      <x:color rgb="FF12263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263A"/>
      </x:patternFill>
    </x:fill>
    <x:fill>
      <x:patternFill patternType="solid">
        <x:fgColor rgb="FFEAF0F6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166534"/>
      </x:font>
      <x:fill>
        <x:patternFill patternType="solid">
          <x:bgColor rgb="FFDDF4E4"/>
        </x:patternFill>
      </x:fill>
    </x:dxf>
    <x:dxf>
      <x:font>
        <x:b/>
        <x:color rgb="FF7C5B00"/>
      </x:font>
      <x:fill>
        <x:patternFill patternType="solid">
          <x:bgColor rgb="FFFFF2CC"/>
        </x:patternFill>
      </x:fill>
    </x:dxf>
    <x:dxf>
      <x:fill>
        <x:patternFill patternType="solid">
          <x:bgColor rgb="FFE8EDF3"/>
        </x:patternFill>
      </x:fill>
    </x:dxf>
    <x:dxf>
      <x:font>
        <x:b/>
        <x:color rgb="FFB91C1C"/>
      </x:font>
      <x:fill>
        <x:patternFill patternType="solid">
          <x:bgColor rgb="FFFDE2E2"/>
        </x:patternFill>
      </x:fill>
    </x:dxf>
    <x:dxf>
      <x:font>
        <x:b/>
        <x:color rgb="FF166534"/>
      </x:font>
      <x:fill>
        <x:patternFill patternType="solid">
          <x:bgColor rgb="FFDDF4E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8ED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2b653f9e3f47a1" /><Relationship Type="http://schemas.openxmlformats.org/officeDocument/2006/relationships/theme" Target="/xl/theme/theme1.xml" Id="Rb8f48d1ec9954c89" /><Relationship Type="http://schemas.openxmlformats.org/officeDocument/2006/relationships/sharedStrings" Target="/xl/sharedStrings.xml" Id="R0b6502ce947c4895" /><Relationship Type="http://schemas.openxmlformats.org/officeDocument/2006/relationships/worksheet" Target="/xl/worksheets/sheet1.xml" Id="R09d8022426de4919" /><Relationship Type="http://schemas.openxmlformats.org/officeDocument/2006/relationships/worksheet" Target="/xl/worksheets/sheet2.xml" Id="Red52408f75dd4629" /><Relationship Type="http://schemas.openxmlformats.org/officeDocument/2006/relationships/worksheet" Target="/xl/worksheets/sheet3.xml" Id="Rb3a367ffc68c4225" /><Relationship Type="http://schemas.openxmlformats.org/officeDocument/2006/relationships/worksheet" Target="/xl/worksheets/sheet4.xml" Id="Ref59305b5e374992" /><Relationship Type="http://schemas.openxmlformats.org/officeDocument/2006/relationships/worksheet" Target="/xl/worksheets/sheet5.xml" Id="Ra0d2b6f7e6a243d9" /><Relationship Type="http://schemas.openxmlformats.org/officeDocument/2006/relationships/worksheet" Target="/xl/worksheets/sheet6.xml" Id="R821c7a6c8c804f65" /><Relationship Type="http://schemas.openxmlformats.org/officeDocument/2006/relationships/worksheet" Target="/xl/worksheets/sheet7.xml" Id="Ref3e7b3808084a30" /><Relationship Type="http://schemas.openxmlformats.org/officeDocument/2006/relationships/worksheet" Target="/xl/worksheets/sheet8.xml" Id="Re7cbf08795f4409c" /><Relationship Type="http://schemas.openxmlformats.org/officeDocument/2006/relationships/worksheet" Target="/xl/worksheets/sheet9.xml" Id="R5c2b9513186f442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cceb0ff06d546a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Prospectos por prioridad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Prospectos</c:v>
          </c:tx>
          <c:cat>
            <c:strRef>
              <c:f>'Indicadores'!$A$4:$A$6</c:f>
              <c:strCache>
                <c:ptCount val="0"/>
              </c:strCache>
            </c:strRef>
          </c:cat>
          <c:val>
            <c:numRef>
              <c:f>'Indicadores'!$B$4:$B$6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ceb0ff06d546a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ResumenSanFrancisco" displayName="ResumenSanFrancisco" ref="A13:L111" headerRowCount="1" totalsRowCount="0" totalsRowShown="0">
  <x:tableColumns count="12">
    <x:tableColumn id="1" name="ID"/>
    <x:tableColumn id="2" name="Área"/>
    <x:tableColumn id="3" name="Localidad"/>
    <x:tableColumn id="4" name="Clase"/>
    <x:tableColumn id="5" name="Score"/>
    <x:tableColumn id="6" name="Empresa"/>
    <x:tableColumn id="7" name="Categoría"/>
    <x:tableColumn id="8" name="Teléfonos"/>
    <x:tableColumn id="9" name="Microzona"/>
    <x:tableColumn id="10" name="Acción sugerida"/>
    <x:tableColumn id="11" name="Google Maps"/>
    <x:tableColumn id="12" name="Estado/verifica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rospectosSanFrancisco" displayName="ProspectosSanFrancisco" ref="A1:AF99" headerRowCount="1" totalsRowCount="0" totalsRowShown="0">
  <x:tableColumns count="32">
    <x:tableColumn id="1" name="ID"/>
    <x:tableColumn id="2" name="Estado de contacto"/>
    <x:tableColumn id="3" name="Área"/>
    <x:tableColumn id="4" name="Localidad"/>
    <x:tableColumn id="5" name="Microzona / corredor"/>
    <x:tableColumn id="6" name="Clase"/>
    <x:tableColumn id="7" name="Score"/>
    <x:tableColumn id="8" name="Empresa"/>
    <x:tableColumn id="9" name="Categoría"/>
    <x:tableColumn id="10" name="Teléfonos"/>
    <x:tableColumn id="11" name="Calidad teléfono"/>
    <x:tableColumn id="12" name="Preguntar por"/>
    <x:tableColumn id="13" name="Necesidad probable"/>
    <x:tableColumn id="14" name="Oferta PRESOL"/>
    <x:tableColumn id="15" name="Gancho comercial"/>
    <x:tableColumn id="16" name="Acción sugerida"/>
    <x:tableColumn id="17" name="Responsable"/>
    <x:tableColumn id="18" name="Dirección"/>
    <x:tableColumn id="19" name="Resultado"/>
    <x:tableColumn id="20" name="Fecha visita"/>
    <x:tableColumn id="21" name="Próximo paso"/>
    <x:tableColumn id="22" name="Notas de campo"/>
    <x:tableColumn id="23" name="Teléfono principal"/>
    <x:tableColumn id="24" name="Google Maps"/>
    <x:tableColumn id="25" name="Fuente"/>
    <x:tableColumn id="26" name="URL fuente"/>
    <x:tableColumn id="27" name="Evidencia"/>
    <x:tableColumn id="28" name="Calidad del dato"/>
    <x:tableColumn id="29" name="Estado/verificación"/>
    <x:tableColumn id="30" name="Origen"/>
    <x:tableColumn id="31" name="Servicios PRESOL"/>
    <x:tableColumn id="32" name="Prioridad sugerid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coAPlusSanFrancisco" displayName="FocoAPlusSanFrancisco" ref="A3:L20" headerRowCount="1" totalsRowCount="0" totalsRowShown="0">
  <x:tableColumns count="12">
    <x:tableColumn id="1" name="Orden"/>
    <x:tableColumn id="2" name="Área"/>
    <x:tableColumn id="3" name="Localidad"/>
    <x:tableColumn id="4" name="Empresa"/>
    <x:tableColumn id="5" name="Score"/>
    <x:tableColumn id="6" name="Categoría"/>
    <x:tableColumn id="7" name="Teléfono"/>
    <x:tableColumn id="8" name="Dirección"/>
    <x:tableColumn id="9" name="Preguntar por"/>
    <x:tableColumn id="10" name="Necesidad"/>
    <x:tableColumn id="11" name="Acción"/>
    <x:tableColumn id="12" name="Google Map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rqueIndustrialSanFrancisco" displayName="ParqueIndustrialSanFrancisco" ref="A3:L53" headerRowCount="1" totalsRowCount="0" totalsRowShown="0">
  <x:tableColumns count="12">
    <x:tableColumn id="1" name="ID"/>
    <x:tableColumn id="2" name="Clase"/>
    <x:tableColumn id="3" name="Score"/>
    <x:tableColumn id="4" name="Empresa"/>
    <x:tableColumn id="5" name="Categoría"/>
    <x:tableColumn id="6" name="Teléfono"/>
    <x:tableColumn id="7" name="Dirección"/>
    <x:tableColumn id="8" name="Preguntar por"/>
    <x:tableColumn id="9" name="Evidencia"/>
    <x:tableColumn id="10" name="Calidad"/>
    <x:tableColumn id="11" name="Fuente"/>
    <x:tableColumn id="12" name="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ZonaAmpliadaSF" displayName="ZonaAmpliadaSF" ref="A4:L16" headerRowCount="1" totalsRowCount="0" totalsRowShown="0">
  <x:tableColumns count="12">
    <x:tableColumn id="1" name="ID"/>
    <x:tableColumn id="2" name="Localidad"/>
    <x:tableColumn id="3" name="Clase"/>
    <x:tableColumn id="4" name="Score"/>
    <x:tableColumn id="5" name="Empresa"/>
    <x:tableColumn id="6" name="Categoría"/>
    <x:tableColumn id="7" name="Teléfono"/>
    <x:tableColumn id="8" name="Dirección"/>
    <x:tableColumn id="9" name="Preguntar por"/>
    <x:tableColumn id="10" name="Acción"/>
    <x:tableColumn id="11" name="Fuente"/>
    <x:tableColumn id="12" name="Google Map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tactosVerificarSF" displayName="ContactosVerificarSF" ref="A1:J49" headerRowCount="1" totalsRowCount="0" totalsRowShown="0">
  <x:tableColumns count="10">
    <x:tableColumn id="1" name="ID"/>
    <x:tableColumn id="2" name="Clase"/>
    <x:tableColumn id="3" name="Empresa"/>
    <x:tableColumn id="4" name="Localidad"/>
    <x:tableColumn id="5" name="Teléfono"/>
    <x:tableColumn id="6" name="Estado"/>
    <x:tableColumn id="7" name="Preguntar por"/>
    <x:tableColumn id="8" name="Dirección"/>
    <x:tableColumn id="9" name="Fuente"/>
    <x:tableColumn id="10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58bbd467574c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0f78de41fa44f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92989244a55548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1ec89d380d44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4547efcb6e49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2de08a3edf43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d93b7f1601423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20" hidden="0" customWidth="1"/>
    <x:col min="4" max="4" width="8" hidden="0" customWidth="1"/>
    <x:col min="5" max="5" width="8" hidden="0" customWidth="1"/>
    <x:col min="6" max="6" width="35" hidden="0" customWidth="1"/>
    <x:col min="7" max="7" width="38" hidden="0" customWidth="1"/>
    <x:col min="8" max="8" width="24" hidden="0" customWidth="1"/>
    <x:col min="9" max="9" width="25" hidden="0" customWidth="1"/>
    <x:col min="10" max="10" width="42" hidden="0" customWidth="1"/>
    <x:col min="11" max="11" width="40" hidden="0" customWidth="1"/>
    <x:col min="12" max="12" width="34" hidden="0" customWidth="1"/>
  </x:cols>
  <x:sheetData>
    <x:row r="1">
      <x:c r="A1" s="17" t="str">
        <x:v>PRESOL · SAN FRANCISCO · PROSPECTOS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>
      <x:c r="A2" s="22" t="str">
        <x:v>Rastrillaje integral: San Francisco núcleo + Frontera, La Francia y Devoto · Parque Industrial, agro, maquinaria, metalmecánica, construcción y logística · 15/09/2026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</x:row>
    <x:row r="4">
      <x:c r="A4" s="26" t="str">
        <x:v>TOTAL</x:v>
      </x:c>
      <x:c r="B4" s="29" t="n">
        <x:f>COUNTA(Prospectos!H:H)-1</x:f>
        <x:v>98</x:v>
      </x:c>
    </x:row>
    <x:row r="5">
      <x:c r="A5" s="26" t="str">
        <x:v>NÚCLEO SAN FRANCISCO</x:v>
      </x:c>
      <x:c r="B5" s="29" t="n">
        <x:f>COUNTIF(Prospectos!C:C,"Núcleo")</x:f>
        <x:v>86</x:v>
      </x:c>
    </x:row>
    <x:row r="6">
      <x:c r="A6" s="26" t="str">
        <x:v>ZONA AMPLIADA</x:v>
      </x:c>
      <x:c r="B6" s="29" t="n">
        <x:f>COUNTIF(Prospectos!C:C,"Zona ampliada")</x:f>
        <x:v>12</x:v>
      </x:c>
    </x:row>
    <x:row r="7">
      <x:c r="A7" s="26" t="str">
        <x:v>A+</x:v>
      </x:c>
      <x:c r="B7" s="29" t="n">
        <x:f>COUNTIF(Prospectos!F:F,"A+")</x:f>
        <x:v>17</x:v>
      </x:c>
    </x:row>
    <x:row r="8">
      <x:c r="A8" s="26" t="str">
        <x:v>A</x:v>
      </x:c>
      <x:c r="B8" s="29" t="n">
        <x:f>COUNTIF(Prospectos!F:F,"A")</x:f>
        <x:v>52</x:v>
      </x:c>
    </x:row>
    <x:row r="9">
      <x:c r="A9" s="26" t="str">
        <x:v>B</x:v>
      </x:c>
      <x:c r="B9" s="29" t="n">
        <x:f>COUNTIF(Prospectos!F:F,"B")</x:f>
        <x:v>29</x:v>
      </x:c>
    </x:row>
    <x:row r="10">
      <x:c r="A10" s="26" t="str">
        <x:v>TELÉFONOS OK</x:v>
      </x:c>
      <x:c r="B10" s="29" t="n">
        <x:f>COUNTIF(Prospectos!K:K,"OK")</x:f>
        <x:v>50</x:v>
      </x:c>
    </x:row>
    <x:row r="13">
      <x:c r="A13" s="6" t="str">
        <x:v>ID</x:v>
      </x:c>
      <x:c r="B13" s="6" t="str">
        <x:v>Área</x:v>
      </x:c>
      <x:c r="C13" s="6" t="str">
        <x:v>Localidad</x:v>
      </x:c>
      <x:c r="D13" s="6" t="str">
        <x:v>Clase</x:v>
      </x:c>
      <x:c r="E13" s="6" t="str">
        <x:v>Score</x:v>
      </x:c>
      <x:c r="F13" s="6" t="str">
        <x:v>Empresa</x:v>
      </x:c>
      <x:c r="G13" s="6" t="str">
        <x:v>Categoría</x:v>
      </x:c>
      <x:c r="H13" s="6" t="str">
        <x:v>Teléfonos</x:v>
      </x:c>
      <x:c r="I13" s="6" t="str">
        <x:v>Microzona</x:v>
      </x:c>
      <x:c r="J13" s="6" t="str">
        <x:v>Acción sugerida</x:v>
      </x:c>
      <x:c r="K13" s="6" t="str">
        <x:v>Google Maps</x:v>
      </x:c>
      <x:c r="L13" s="6" t="str">
        <x:v>Estado/verificación</x:v>
      </x:c>
    </x:row>
    <x:row r="14">
      <x:c r="A14" s="12" t="str">
        <x:v>SF-001</x:v>
      </x:c>
      <x:c r="B14" s="12" t="str">
        <x:v>Núcleo</x:v>
      </x:c>
      <x:c r="C14" s="12" t="str">
        <x:v>San Francisco</x:v>
      </x:c>
      <x:c r="D14" s="12" t="str">
        <x:v>A+</x:v>
      </x:c>
      <x:c r="E14" s="12" t="n">
        <x:v>100</x:v>
      </x:c>
      <x:c r="F14" s="12" t="str">
        <x:v>AKRON S.A.</x:v>
      </x:c>
      <x:c r="G14" s="12" t="str">
        <x:v>Fábrica y comercialización de maquinaria agrícola</x:v>
      </x:c>
      <x:c r="H14" s="12" t="str">
        <x:v>+54 3564 435900</x:v>
      </x:c>
      <x:c r="I14" s="12" t="str">
        <x:v>Av. Rosario de Santa Fe</x:v>
      </x:c>
      <x:c r="J14" s="12" t="str">
        <x:v>Pedir logística/expedición/posventa; relevar equipos, pesos y movimientos mensuales.</x:v>
      </x:c>
      <x:c r="K14" s="12" t="str">
        <x:v>https://www.google.com/maps/search/?api=1&amp;query=AKRON+S.A.%2C+Av.+Rosario+de+Santa+Fe+2256%2C+San+Francisco%2C+C%C3%B3rdoba</x:v>
      </x:c>
      <x:c r="L14" s="12" t="str">
        <x:v>Operativo / verificar antes de visita</x:v>
      </x:c>
    </x:row>
    <x:row r="15">
      <x:c r="A15" s="12" t="str">
        <x:v>SF-002</x:v>
      </x:c>
      <x:c r="B15" s="12" t="str">
        <x:v>Núcleo</x:v>
      </x:c>
      <x:c r="C15" s="12" t="str">
        <x:v>San Francisco</x:v>
      </x:c>
      <x:c r="D15" s="12" t="str">
        <x:v>A+</x:v>
      </x:c>
      <x:c r="E15" s="12" t="n">
        <x:v>100</x:v>
      </x:c>
      <x:c r="F15" s="12" t="str">
        <x:v>GOMSELMASH Argentina</x:v>
      </x:c>
      <x:c r="G15" s="12" t="str">
        <x:v>Cosechadoras, picadoras y maquinaria agrícola</x:v>
      </x:c>
      <x:c r="H15" s="12" t="str">
        <x:v>03564 445814 / +54 9 3564 639900</x:v>
      </x:c>
      <x:c r="I15" s="12" t="str">
        <x:v>Parque Industrial / Huergo</x:v>
      </x:c>
      <x:c r="J15" s="12" t="str">
        <x:v>Pedir logística/expedición/posventa; relevar equipos, pesos y movimientos mensuales.</x:v>
      </x:c>
      <x:c r="K15" s="12" t="str">
        <x:v>https://www.google.com/maps/search/?api=1&amp;query=GOMSELMASH+Argentina%2C+Ingeniero+Huergo+1154%2C+Parque+Industrial%2C+San+Francisco%2C+C%C3%B3rdoba</x:v>
      </x:c>
      <x:c r="L15" s="12" t="str">
        <x:v>Operativo / verificar antes de visita</x:v>
      </x:c>
    </x:row>
    <x:row r="16">
      <x:c r="A16" s="12" t="str">
        <x:v>SF-003</x:v>
      </x:c>
      <x:c r="B16" s="12" t="str">
        <x:v>Núcleo</x:v>
      </x:c>
      <x:c r="C16" s="12" t="str">
        <x:v>San Francisco</x:v>
      </x:c>
      <x:c r="D16" s="12" t="str">
        <x:v>A+</x:v>
      </x:c>
      <x:c r="E16" s="12" t="n">
        <x:v>100</x:v>
      </x:c>
      <x:c r="F16" s="12" t="str">
        <x:v>Hannover Maquinarias</x:v>
      </x:c>
      <x:c r="G16" s="12" t="str">
        <x:v>Venta de maquinaria vial pesada / hidroelevadores / minicargadoras</x:v>
      </x:c>
      <x:c r="H16" s="12" t="str">
        <x:v>03564 527646</x:v>
      </x:c>
      <x:c r="I16" s="12" t="str">
        <x:v>Rosario de Santa Fe</x:v>
      </x:c>
      <x:c r="J16" s="12" t="str">
        <x:v>Pedir logística/expedición/posventa; relevar equipos, pesos y movimientos mensuales.</x:v>
      </x:c>
      <x:c r="K16" s="12" t="str">
        <x:v>https://www.google.com/maps/search/?api=1&amp;query=Hannover+Maquinarias%2C+Rosario+de+Santa+Fe+1698%2C+San+Francisco%2C+C%C3%B3rdoba</x:v>
      </x:c>
      <x:c r="L16" s="12" t="str">
        <x:v>Operativo / verificar antes de visita</x:v>
      </x:c>
    </x:row>
    <x:row r="17">
      <x:c r="A17" s="12" t="str">
        <x:v>SF-004</x:v>
      </x:c>
      <x:c r="B17" s="12" t="str">
        <x:v>Núcleo</x:v>
      </x:c>
      <x:c r="C17" s="12" t="str">
        <x:v>San Francisco</x:v>
      </x:c>
      <x:c r="D17" s="12" t="str">
        <x:v>A+</x:v>
      </x:c>
      <x:c r="E17" s="12" t="n">
        <x:v>100</x:v>
      </x:c>
      <x:c r="F17" s="12" t="str">
        <x:v>Máquinas del Centro S.R.L. - Case IH</x:v>
      </x:c>
      <x:c r="G17" s="12" t="str">
        <x:v>Concesionario de tractores, cosechadoras y maquinaria agrícola</x:v>
      </x:c>
      <x:c r="H17" s="12" t="str">
        <x:v>+54 3564 313207</x:v>
      </x:c>
      <x:c r="I17" s="12" t="str">
        <x:v>Marco Nicolini</x:v>
      </x:c>
      <x:c r="J17" s="12" t="str">
        <x:v>Pedir logística/expedición/posventa; relevar equipos, pesos y movimientos mensuales.</x:v>
      </x:c>
      <x:c r="K17" s="12" t="str">
        <x:v>https://www.google.com/maps/search/?api=1&amp;query=M%C3%A1quinas+del+Centro+S.R.L.+-+Case+IH%2C+M.+Nicolini+1379%2C+San+Francisco%2C+C%C3%B3rdoba</x:v>
      </x:c>
      <x:c r="L17" s="12" t="str">
        <x:v>Operativo / verificar antes de visita</x:v>
      </x:c>
    </x:row>
    <x:row r="18">
      <x:c r="A18" s="12" t="str">
        <x:v>SF-005</x:v>
      </x:c>
      <x:c r="B18" s="12" t="str">
        <x:v>Núcleo</x:v>
      </x:c>
      <x:c r="C18" s="12" t="str">
        <x:v>San Francisco</x:v>
      </x:c>
      <x:c r="D18" s="12" t="str">
        <x:v>A+</x:v>
      </x:c>
      <x:c r="E18" s="12" t="n">
        <x:v>99</x:v>
      </x:c>
      <x:c r="F18" s="12" t="str">
        <x:v>FEBRA Implementos Agrícolas</x:v>
      </x:c>
      <x:c r="G18" s="12" t="str">
        <x:v>Fábrica de implementos agrícolas</x:v>
      </x:c>
      <x:c r="H18" s="12" t="str">
        <x:v>+54 9 3564 506516</x:v>
      </x:c>
      <x:c r="I18" s="12" t="str">
        <x:v>Parque Industrial</x:v>
      </x:c>
      <x:c r="J18" s="12" t="str">
        <x:v>Pedir logística/expedición/posventa; relevar equipos, pesos y movimientos mensuales.</x:v>
      </x:c>
      <x:c r="K18" s="12" t="str">
        <x:v>https://www.google.com/maps/search/?api=1&amp;query=FEBRA+Implementos+Agr%C3%ADcolas%2C+Lother+Barders+4461%2C+Parque+Industrial%2C+San+Francisco%2C+C%C3%B3rdoba</x:v>
      </x:c>
      <x:c r="L18" s="12" t="str">
        <x:v>Operativo / verificar antes de visita</x:v>
      </x:c>
    </x:row>
    <x:row r="19">
      <x:c r="A19" s="12" t="str">
        <x:v>SF-006</x:v>
      </x:c>
      <x:c r="B19" s="12" t="str">
        <x:v>Núcleo</x:v>
      </x:c>
      <x:c r="C19" s="12" t="str">
        <x:v>San Francisco</x:v>
      </x:c>
      <x:c r="D19" s="12" t="str">
        <x:v>A+</x:v>
      </x:c>
      <x:c r="E19" s="12" t="n">
        <x:v>99</x:v>
      </x:c>
      <x:c r="F19" s="12" t="str">
        <x:v>Tamagnini S.R.L. - Valtra</x:v>
      </x:c>
      <x:c r="G19" s="12" t="str">
        <x:v>Concesionario de tractores</x:v>
      </x:c>
      <x:c r="H19" s="12" t="str">
        <x:v>+54 3564 425478</x:v>
      </x:c>
      <x:c r="I19" s="12" t="str">
        <x:v>Av. Rosario de Santa Fe</x:v>
      </x:c>
      <x:c r="J19" s="12" t="str">
        <x:v>Pedir logística/expedición/posventa; relevar equipos, pesos y movimientos mensuales.</x:v>
      </x:c>
      <x:c r="K19" s="12" t="str">
        <x:v>https://www.google.com/maps/search/?api=1&amp;query=Tamagnini+S.R.L.+-+Valtra%2C+Av.+Rosario+de+Santa+Fe+2156%2C+San+Francisco%2C+C%C3%B3rdoba</x:v>
      </x:c>
      <x:c r="L19" s="12" t="str">
        <x:v>Operativo / verificar antes de visita</x:v>
      </x:c>
    </x:row>
    <x:row r="20">
      <x:c r="A20" s="12" t="str">
        <x:v>SF-007</x:v>
      </x:c>
      <x:c r="B20" s="12" t="str">
        <x:v>Núcleo</x:v>
      </x:c>
      <x:c r="C20" s="12" t="str">
        <x:v>San Francisco</x:v>
      </x:c>
      <x:c r="D20" s="12" t="str">
        <x:v>A+</x:v>
      </x:c>
      <x:c r="E20" s="12" t="n">
        <x:v>98</x:v>
      </x:c>
      <x:c r="F20" s="12" t="str">
        <x:v>MAGAL S.R.L.</x:v>
      </x:c>
      <x:c r="G20" s="12" t="str">
        <x:v>Fábrica de implementos agrícolas</x:v>
      </x:c>
      <x:c r="H20" s="12" t="str">
        <x:v>03564 602712</x:v>
      </x:c>
      <x:c r="I20" s="12" t="str">
        <x:v>9 de Septiembre</x:v>
      </x:c>
      <x:c r="J20" s="12" t="str">
        <x:v>Pedir logística/expedición/posventa; relevar equipos, pesos y movimientos mensuales.</x:v>
      </x:c>
      <x:c r="K20" s="12" t="str">
        <x:v>https://www.google.com/maps/search/?api=1&amp;query=MAGAL+S.R.L.%2C+9+de+Septiembre+2466%2C+San+Francisco%2C+C%C3%B3rdoba</x:v>
      </x:c>
      <x:c r="L20" s="12" t="str">
        <x:v>Operativo / verificar antes de visita</x:v>
      </x:c>
    </x:row>
    <x:row r="21">
      <x:c r="A21" s="12" t="str">
        <x:v>SF-008</x:v>
      </x:c>
      <x:c r="B21" s="12" t="str">
        <x:v>Núcleo</x:v>
      </x:c>
      <x:c r="C21" s="12" t="str">
        <x:v>San Francisco</x:v>
      </x:c>
      <x:c r="D21" s="12" t="str">
        <x:v>A+</x:v>
      </x:c>
      <x:c r="E21" s="12" t="n">
        <x:v>98</x:v>
      </x:c>
      <x:c r="F21" s="12" t="str">
        <x:v>PORTA Autoelevadores</x:v>
      </x:c>
      <x:c r="G21" s="12" t="str">
        <x:v>Autoelevadores / equipos de elevación</x:v>
      </x:c>
      <x:c r="H21" s="12" t="str">
        <x:v>+54 9 3564 333743</x:v>
      </x:c>
      <x:c r="I21" s="12" t="str">
        <x:v>Av. Rosario de Santa Fe</x:v>
      </x:c>
      <x:c r="J21" s="12" t="str">
        <x:v>Pedir operaciones/alquileres; relevar flota y frecuencia.</x:v>
      </x:c>
      <x:c r="K21" s="12" t="str">
        <x:v>https://www.google.com/maps/search/?api=1&amp;query=PORTA+Autoelevadores%2C+Av.+Rosario+de+Santa+Fe+579%2C+San+Francisco%2C+C%C3%B3rdoba</x:v>
      </x:c>
      <x:c r="L21" s="12" t="str">
        <x:v>Operativo / verificar antes de visita</x:v>
      </x:c>
    </x:row>
    <x:row r="22">
      <x:c r="A22" s="12" t="str">
        <x:v>SF-009</x:v>
      </x:c>
      <x:c r="B22" s="12" t="str">
        <x:v>Núcleo</x:v>
      </x:c>
      <x:c r="C22" s="12" t="str">
        <x:v>San Francisco</x:v>
      </x:c>
      <x:c r="D22" s="12" t="str">
        <x:v>A+</x:v>
      </x:c>
      <x:c r="E22" s="12" t="n">
        <x:v>96</x:v>
      </x:c>
      <x:c r="F22" s="12" t="str">
        <x:v>CENA Hnos. S.R.L.</x:v>
      </x:c>
      <x:c r="G22" s="12" t="str">
        <x:v>Fabricante de máquinas-herramienta industriales</x:v>
      </x:c>
      <x:c r="H22" s="12" t="str">
        <x:v>03564 426367 / 437858</x:v>
      </x:c>
      <x:c r="I22" s="12" t="str">
        <x:v>Parque Industrial / Huergo</x:v>
      </x:c>
      <x:c r="J22" s="12" t="str">
        <x:v>Contactar operaciones/logística y relevar necesidad real.</x:v>
      </x:c>
      <x:c r="K22" s="12" t="str">
        <x:v>https://www.google.com/maps/search/?api=1&amp;query=CENA+Hnos.+S.R.L.%2C+Av.+Ingeniero+Huergo+1456%2C+San+Francisco%2C+C%C3%B3rdoba</x:v>
      </x:c>
      <x:c r="L22" s="12" t="str">
        <x:v>Operativo / verificar antes de visita</x:v>
      </x:c>
    </x:row>
    <x:row r="23">
      <x:c r="A23" s="12" t="str">
        <x:v>SF-010</x:v>
      </x:c>
      <x:c r="B23" s="12" t="str">
        <x:v>Núcleo</x:v>
      </x:c>
      <x:c r="C23" s="12" t="str">
        <x:v>San Francisco</x:v>
      </x:c>
      <x:c r="D23" s="12" t="str">
        <x:v>A+</x:v>
      </x:c>
      <x:c r="E23" s="12" t="n">
        <x:v>96</x:v>
      </x:c>
      <x:c r="F23" s="12" t="str">
        <x:v>Rodacam</x:v>
      </x:c>
      <x:c r="G23" s="12" t="str">
        <x:v>Concesionario de camiones</x:v>
      </x:c>
      <x:c r="H23" s="12" t="str">
        <x:v>03564 436100</x:v>
      </x:c>
      <x:c r="I23" s="12" t="str">
        <x:v>Av. Rosario de Santa Fe</x:v>
      </x:c>
      <x:c r="J23" s="12" t="str">
        <x:v>Pedir logística/expedición/posventa; relevar equipos, pesos y movimientos mensuales.</x:v>
      </x:c>
      <x:c r="K23" s="12" t="str">
        <x:v>https://www.google.com/maps/search/?api=1&amp;query=Rodacam%2C+Av.+Rosario+de+Santa+Fe+1712%2C+San+Francisco%2C+C%C3%B3rdoba</x:v>
      </x:c>
      <x:c r="L23" s="12" t="str">
        <x:v>Operativo / verificar antes de visita</x:v>
      </x:c>
    </x:row>
    <x:row r="24">
      <x:c r="A24" s="12" t="str">
        <x:v>SF-011</x:v>
      </x:c>
      <x:c r="B24" s="12" t="str">
        <x:v>Núcleo</x:v>
      </x:c>
      <x:c r="C24" s="12" t="str">
        <x:v>San Francisco</x:v>
      </x:c>
      <x:c r="D24" s="12" t="str">
        <x:v>A+</x:v>
      </x:c>
      <x:c r="E24" s="12" t="n">
        <x:v>96</x:v>
      </x:c>
      <x:c r="F24" s="12" t="str">
        <x:v>Ruta Camiones</x:v>
      </x:c>
      <x:c r="G24" s="12" t="str">
        <x:v>Concesionario de camiones</x:v>
      </x:c>
      <x:c r="H24" s="12" t="str">
        <x:v>03564 425807</x:v>
      </x:c>
      <x:c r="I24" s="12" t="str">
        <x:v>Av. Rosario de Santa Fe</x:v>
      </x:c>
      <x:c r="J24" s="12" t="str">
        <x:v>Pedir logística/expedición/posventa; relevar equipos, pesos y movimientos mensuales.</x:v>
      </x:c>
      <x:c r="K24" s="12" t="str">
        <x:v>https://www.google.com/maps/search/?api=1&amp;query=Ruta+Camiones%2C+Av.+Rosario+de+Santa+Fe+2076%2C+San+Francisco%2C+C%C3%B3rdoba</x:v>
      </x:c>
      <x:c r="L24" s="12" t="str">
        <x:v>Operativo / verificar antes de visita</x:v>
      </x:c>
    </x:row>
    <x:row r="25">
      <x:c r="A25" s="12" t="str">
        <x:v>SF-012</x:v>
      </x:c>
      <x:c r="B25" s="12" t="str">
        <x:v>Núcleo</x:v>
      </x:c>
      <x:c r="C25" s="12" t="str">
        <x:v>San Francisco</x:v>
      </x:c>
      <x:c r="D25" s="12" t="str">
        <x:v>A+</x:v>
      </x:c>
      <x:c r="E25" s="12" t="n">
        <x:v>95</x:v>
      </x:c>
      <x:c r="F25" s="12" t="str">
        <x:v>FRUSSO</x:v>
      </x:c>
      <x:c r="G25" s="12" t="str">
        <x:v>Equipos industriales, tanques inoxidables y líneas de embotellado</x:v>
      </x:c>
      <x:c r="H25" s="12" t="str">
        <x:v>03564 445971 / 445972</x:v>
      </x:c>
      <x:c r="I25" s="12" t="str">
        <x:v>Parque Industrial / Nicolini</x:v>
      </x:c>
      <x:c r="J25" s="12" t="str">
        <x:v>Pedir producción/expedición/mantenimiento y relevar piezas máximas/destinos.</x:v>
      </x:c>
      <x:c r="K25" s="12" t="str">
        <x:v>https://www.google.com/maps/search/?api=1&amp;query=FRUSSO%2C+Marco+Nicolini+2280%2C+Parque+Industrial%2C+San+Francisco%2C+C%C3%B3rdoba</x:v>
      </x:c>
      <x:c r="L25" s="12" t="str">
        <x:v>Operativo / verificar antes de visita</x:v>
      </x:c>
    </x:row>
    <x:row r="26">
      <x:c r="A26" s="12" t="str">
        <x:v>SF-013</x:v>
      </x:c>
      <x:c r="B26" s="12" t="str">
        <x:v>Núcleo</x:v>
      </x:c>
      <x:c r="C26" s="12" t="str">
        <x:v>San Francisco</x:v>
      </x:c>
      <x:c r="D26" s="12" t="str">
        <x:v>A+</x:v>
      </x:c>
      <x:c r="E26" s="12" t="n">
        <x:v>95</x:v>
      </x:c>
      <x:c r="F26" s="12" t="str">
        <x:v>Oscar Racca Camiones</x:v>
      </x:c>
      <x:c r="G26" s="12" t="str">
        <x:v>Concesionario de camiones</x:v>
      </x:c>
      <x:c r="H26" s="12" t="str">
        <x:v>03564 363596</x:v>
      </x:c>
      <x:c r="I26" s="12" t="str">
        <x:v>RN158 / 9 de Septiembre</x:v>
      </x:c>
      <x:c r="J26" s="12" t="str">
        <x:v>Pedir logística/expedición/posventa; relevar equipos, pesos y movimientos mensuales.</x:v>
      </x:c>
      <x:c r="K26" s="12" t="str">
        <x:v>https://www.google.com/maps/search/?api=1&amp;query=Oscar+Racca+Camiones%2C+Ruta+158+y+Av.+9+de+Septiembre%2C+San+Francisco%2C+C%C3%B3rdoba</x:v>
      </x:c>
      <x:c r="L26" s="12" t="str">
        <x:v>Operativo / verificar antes de visita</x:v>
      </x:c>
    </x:row>
    <x:row r="27">
      <x:c r="A27" s="12" t="str">
        <x:v>SF-014</x:v>
      </x:c>
      <x:c r="B27" s="12" t="str">
        <x:v>Núcleo</x:v>
      </x:c>
      <x:c r="C27" s="12" t="str">
        <x:v>San Francisco</x:v>
      </x:c>
      <x:c r="D27" s="12" t="str">
        <x:v>A</x:v>
      </x:c>
      <x:c r="E27" s="12" t="n">
        <x:v>90</x:v>
      </x:c>
      <x:c r="F27" s="12" t="str">
        <x:v>Ever Wear S.A.</x:v>
      </x:c>
      <x:c r="G27" s="12" t="str">
        <x:v>Repuestos e implementos agro-industriales</x:v>
      </x:c>
      <x:c r="H27" s="12" t="str">
        <x:v>03564 237659</x:v>
      </x:c>
      <x:c r="I27" s="12" t="str">
        <x:v>Parque Industrial</x:v>
      </x:c>
      <x:c r="J27" s="12" t="str">
        <x:v>Pedir logística/expedición/posventa; relevar equipos, pesos y movimientos mensuales.</x:v>
      </x:c>
      <x:c r="K27" s="12" t="str">
        <x:v>https://www.google.com/maps/search/?api=1&amp;query=Ever+Wear+S.A.%2C+Gontero+4885%2C+Parque+Industrial%2C+San+Francisco%2C+C%C3%B3rdoba</x:v>
      </x:c>
      <x:c r="L27" s="12" t="str">
        <x:v>Operativo / verificar antes de visita</x:v>
      </x:c>
    </x:row>
    <x:row r="28">
      <x:c r="A28" s="12" t="str">
        <x:v>SF-015</x:v>
      </x:c>
      <x:c r="B28" s="12" t="str">
        <x:v>Núcleo</x:v>
      </x:c>
      <x:c r="C28" s="12" t="str">
        <x:v>San Francisco</x:v>
      </x:c>
      <x:c r="D28" s="12" t="str">
        <x:v>A</x:v>
      </x:c>
      <x:c r="E28" s="12" t="n">
        <x:v>90</x:v>
      </x:c>
      <x:c r="F28" s="12" t="str">
        <x:v>Paumotors S.R.L. - Cummins</x:v>
      </x:c>
      <x:c r="G28" s="12" t="str">
        <x:v>Motores / repuestos / tractores</x:v>
      </x:c>
      <x:c r="H28" s="12" t="str">
        <x:v>03564 430247</x:v>
      </x:c>
      <x:c r="I28" s="12" t="str">
        <x:v>Rosario de Santa Fe</x:v>
      </x:c>
      <x:c r="J28" s="12" t="str">
        <x:v>Pedir logística/expedición/posventa; relevar equipos, pesos y movimientos mensuales.</x:v>
      </x:c>
      <x:c r="K28" s="12" t="str">
        <x:v>https://www.google.com/maps/search/?api=1&amp;query=Paumotors+S.R.L.+-+Cummins%2C+Rosario+de+Santa+Fe+1139%2C+San+Francisco%2C+C%C3%B3rdoba</x:v>
      </x:c>
      <x:c r="L28" s="12" t="str">
        <x:v>Operativo / verificar antes de visita</x:v>
      </x:c>
    </x:row>
    <x:row r="29">
      <x:c r="A29" s="12" t="str">
        <x:v>SF-016</x:v>
      </x:c>
      <x:c r="B29" s="12" t="str">
        <x:v>Núcleo</x:v>
      </x:c>
      <x:c r="C29" s="12" t="str">
        <x:v>San Francisco</x:v>
      </x:c>
      <x:c r="D29" s="12" t="str">
        <x:v>A</x:v>
      </x:c>
      <x:c r="E29" s="12" t="n">
        <x:v>88</x:v>
      </x:c>
      <x:c r="F29" s="12" t="str">
        <x:v>Cilindros Hidráulicos Delfabro S.R.L.</x:v>
      </x:c>
      <x:c r="G29" s="12" t="str">
        <x:v>Cilindros hidráulicos / agroindustria</x:v>
      </x:c>
      <x:c r="H29" s="12" t="str">
        <x:v>A verificar</x:v>
      </x:c>
      <x:c r="I29" s="12" t="str">
        <x:v>San Francisco</x:v>
      </x:c>
      <x:c r="J29" s="12" t="str">
        <x:v>Pedir producción/expedición/mantenimiento y relevar piezas máximas/destinos.</x:v>
      </x:c>
      <x:c r="K29" s="12" t="str">
        <x:v>https://www.google.com/maps/search/?api=1&amp;query=Cilindros+Hidr%C3%A1ulicos+Delfabro+S.R.L.%2C+San+Francisco%2C+C%C3%B3rdoba</x:v>
      </x:c>
      <x:c r="L29" s="12" t="str">
        <x:v>Operativo / verificar antes de visita</x:v>
      </x:c>
    </x:row>
    <x:row r="30">
      <x:c r="A30" s="12" t="str">
        <x:v>SF-017</x:v>
      </x:c>
      <x:c r="B30" s="12" t="str">
        <x:v>Núcleo</x:v>
      </x:c>
      <x:c r="C30" s="12" t="str">
        <x:v>San Francisco</x:v>
      </x:c>
      <x:c r="D30" s="12" t="str">
        <x:v>A</x:v>
      </x:c>
      <x:c r="E30" s="12" t="n">
        <x:v>88</x:v>
      </x:c>
      <x:c r="F30" s="12" t="str">
        <x:v>H25 Hormigón Elaborado y Premoldeados</x:v>
      </x:c>
      <x:c r="G30" s="12" t="str">
        <x:v>Hormigón elaborado / premoldeados</x:v>
      </x:c>
      <x:c r="H30" s="12" t="str">
        <x:v>03564 201205</x:v>
      </x:c>
      <x:c r="I30" s="12" t="str">
        <x:v>San Francisco</x:v>
      </x:c>
      <x:c r="J30" s="12" t="str">
        <x:v>Pedir obras/equipos/logística; relevar maquinaria propia y frecuencia.</x:v>
      </x:c>
      <x:c r="K30" s="12" t="str">
        <x:v>https://www.google.com/maps/search/?api=1&amp;query=H25+Hormig%C3%B3n+Elaborado+y+Premoldeados%2C+Mariano+Moreno+348%2C+San+Francisco%2C+C%C3%B3rdoba</x:v>
      </x:c>
      <x:c r="L30" s="12" t="str">
        <x:v>Operativo / verificar antes de visita</x:v>
      </x:c>
    </x:row>
    <x:row r="31">
      <x:c r="A31" s="12" t="str">
        <x:v>SF-018</x:v>
      </x:c>
      <x:c r="B31" s="12" t="str">
        <x:v>Núcleo</x:v>
      </x:c>
      <x:c r="C31" s="12" t="str">
        <x:v>San Francisco</x:v>
      </x:c>
      <x:c r="D31" s="12" t="str">
        <x:v>A</x:v>
      </x:c>
      <x:c r="E31" s="12" t="n">
        <x:v>88</x:v>
      </x:c>
      <x:c r="F31" s="12" t="str">
        <x:v>Transporte Santa Rita</x:v>
      </x:c>
      <x:c r="G31" s="12" t="str">
        <x:v>Transporte y logística</x:v>
      </x:c>
      <x:c r="H31" s="12" t="str">
        <x:v>03564 416955 / +54 3564 626335</x:v>
      </x:c>
      <x:c r="I31" s="12" t="str">
        <x:v>Parque Industrial / Huergo</x:v>
      </x:c>
      <x:c r="J31" s="12" t="str">
        <x:v>Pedir tráfico/operaciones y ofrecer acuerdo de derivaciones.</x:v>
      </x:c>
      <x:c r="K31" s="12" t="str">
        <x:v>https://www.google.com/maps/search/?api=1&amp;query=Transporte+Santa+Rita%2C+Ing.+Huergo+esq.+Santiago+Pampiglione%2C+Parque+Industrial%2C+San+Francisco%2C+C%C3%B3rdoba</x:v>
      </x:c>
      <x:c r="L31" s="12" t="str">
        <x:v>Operativo / verificar antes de visita</x:v>
      </x:c>
    </x:row>
    <x:row r="32">
      <x:c r="A32" s="12" t="str">
        <x:v>SF-019</x:v>
      </x:c>
      <x:c r="B32" s="12" t="str">
        <x:v>Núcleo</x:v>
      </x:c>
      <x:c r="C32" s="12" t="str">
        <x:v>San Francisco</x:v>
      </x:c>
      <x:c r="D32" s="12" t="str">
        <x:v>A</x:v>
      </x:c>
      <x:c r="E32" s="12" t="n">
        <x:v>86</x:v>
      </x:c>
      <x:c r="F32" s="12" t="str">
        <x:v>BBB Express</x:v>
      </x:c>
      <x:c r="G32" s="12" t="str">
        <x:v>Transporte / logística / almacenamiento</x:v>
      </x:c>
      <x:c r="H32" s="12" t="str">
        <x:v>+54 3564 313209</x:v>
      </x:c>
      <x:c r="I32" s="12" t="str">
        <x:v>Parque Industrial / Pampiglione</x:v>
      </x:c>
      <x:c r="J32" s="12" t="str">
        <x:v>Pedir tráfico/operaciones y ofrecer acuerdo de derivaciones.</x:v>
      </x:c>
      <x:c r="K32" s="12" t="str">
        <x:v>https://www.google.com/maps/search/?api=1&amp;query=BBB+Express%2C+Santiago+Pampiglione+4611%2C+San+Francisco%2C+C%C3%B3rdoba</x:v>
      </x:c>
      <x:c r="L32" s="12" t="str">
        <x:v>Operativo / verificar antes de visita</x:v>
      </x:c>
    </x:row>
    <x:row r="33">
      <x:c r="A33" s="12" t="str">
        <x:v>SF-020</x:v>
      </x:c>
      <x:c r="B33" s="12" t="str">
        <x:v>Núcleo</x:v>
      </x:c>
      <x:c r="C33" s="12" t="str">
        <x:v>San Francisco</x:v>
      </x:c>
      <x:c r="D33" s="12" t="str">
        <x:v>A</x:v>
      </x:c>
      <x:c r="E33" s="12" t="n">
        <x:v>86</x:v>
      </x:c>
      <x:c r="F33" s="12" t="str">
        <x:v>FRAGA S.R.L.</x:v>
      </x:c>
      <x:c r="G33" s="12" t="str">
        <x:v>Fabricación de maquinaria agrícola</x:v>
      </x:c>
      <x:c r="H33" s="12" t="str">
        <x:v>A verificar</x:v>
      </x:c>
      <x:c r="I33" s="12" t="str">
        <x:v>San Francisco</x:v>
      </x:c>
      <x:c r="J33" s="12" t="str">
        <x:v>Pedir logística/expedición/posventa; relevar equipos, pesos y movimientos mensuales.</x:v>
      </x:c>
      <x:c r="K33" s="12" t="str">
        <x:v>https://www.google.com/maps/search/?api=1&amp;query=FRAGA+S.R.L.%2C+San+Francisco%2C+C%C3%B3rdoba</x:v>
      </x:c>
      <x:c r="L33" s="12" t="str">
        <x:v>Operativo / verificar antes de visita</x:v>
      </x:c>
    </x:row>
    <x:row r="34">
      <x:c r="A34" s="12" t="str">
        <x:v>SF-021</x:v>
      </x:c>
      <x:c r="B34" s="12" t="str">
        <x:v>Núcleo</x:v>
      </x:c>
      <x:c r="C34" s="12" t="str">
        <x:v>San Francisco</x:v>
      </x:c>
      <x:c r="D34" s="12" t="str">
        <x:v>A</x:v>
      </x:c>
      <x:c r="E34" s="12" t="n">
        <x:v>86</x:v>
      </x:c>
      <x:c r="F34" s="12" t="str">
        <x:v>Francione y Cía S.R.L.</x:v>
      </x:c>
      <x:c r="G34" s="12" t="str">
        <x:v>Fabricación de maquinaria agrícola</x:v>
      </x:c>
      <x:c r="H34" s="12" t="str">
        <x:v>A verificar</x:v>
      </x:c>
      <x:c r="I34" s="12" t="str">
        <x:v>San Francisco</x:v>
      </x:c>
      <x:c r="J34" s="12" t="str">
        <x:v>Pedir logística/expedición/posventa; relevar equipos, pesos y movimientos mensuales.</x:v>
      </x:c>
      <x:c r="K34" s="12" t="str">
        <x:v>https://www.google.com/maps/search/?api=1&amp;query=Francione+y+C%C3%ADa+S.R.L.%2C+San+Francisco%2C+C%C3%B3rdoba</x:v>
      </x:c>
      <x:c r="L34" s="12" t="str">
        <x:v>Operativo / verificar antes de visita</x:v>
      </x:c>
    </x:row>
    <x:row r="35">
      <x:c r="A35" s="12" t="str">
        <x:v>SF-022</x:v>
      </x:c>
      <x:c r="B35" s="12" t="str">
        <x:v>Núcleo</x:v>
      </x:c>
      <x:c r="C35" s="12" t="str">
        <x:v>San Francisco</x:v>
      </x:c>
      <x:c r="D35" s="12" t="str">
        <x:v>A</x:v>
      </x:c>
      <x:c r="E35" s="12" t="n">
        <x:v>86</x:v>
      </x:c>
      <x:c r="F35" s="12" t="str">
        <x:v>Miretti y Cía S.A.I.C.I.A.F.</x:v>
      </x:c>
      <x:c r="G35" s="12" t="str">
        <x:v>Fabricación de maquinaria agrícola</x:v>
      </x:c>
      <x:c r="H35" s="12" t="str">
        <x:v>A verificar</x:v>
      </x:c>
      <x:c r="I35" s="12" t="str">
        <x:v>San Francisco</x:v>
      </x:c>
      <x:c r="J35" s="12" t="str">
        <x:v>Pedir logística/expedición/posventa; relevar equipos, pesos y movimientos mensuales.</x:v>
      </x:c>
      <x:c r="K35" s="12" t="str">
        <x:v>https://www.google.com/maps/search/?api=1&amp;query=Miretti+y+C%C3%ADa+S.A.I.C.I.A.F.%2C+San+Francisco%2C+C%C3%B3rdoba</x:v>
      </x:c>
      <x:c r="L35" s="12" t="str">
        <x:v>Operativo / verificar antes de visita</x:v>
      </x:c>
    </x:row>
    <x:row r="36">
      <x:c r="A36" s="12" t="str">
        <x:v>SF-023</x:v>
      </x:c>
      <x:c r="B36" s="12" t="str">
        <x:v>Núcleo</x:v>
      </x:c>
      <x:c r="C36" s="12" t="str">
        <x:v>San Francisco</x:v>
      </x:c>
      <x:c r="D36" s="12" t="str">
        <x:v>A</x:v>
      </x:c>
      <x:c r="E36" s="12" t="n">
        <x:v>86</x:v>
      </x:c>
      <x:c r="F36" s="12" t="str">
        <x:v>SICON S.R.L.</x:v>
      </x:c>
      <x:c r="G36" s="12" t="str">
        <x:v>Empresa constructora</x:v>
      </x:c>
      <x:c r="H36" s="12" t="str">
        <x:v>03564 424689</x:v>
      </x:c>
      <x:c r="I36" s="12" t="str">
        <x:v>Libertad</x:v>
      </x:c>
      <x:c r="J36" s="12" t="str">
        <x:v>Pedir obras/equipos/logística; relevar maquinaria propia y frecuencia.</x:v>
      </x:c>
      <x:c r="K36" s="12" t="str">
        <x:v>https://www.google.com/maps/search/?api=1&amp;query=SICON+S.R.L.%2C+Libertad+1133%2C+San+Francisco%2C+C%C3%B3rdoba</x:v>
      </x:c>
      <x:c r="L36" s="12" t="str">
        <x:v>Operativo / verificar antes de visita</x:v>
      </x:c>
    </x:row>
    <x:row r="37">
      <x:c r="A37" s="12" t="str">
        <x:v>SF-024</x:v>
      </x:c>
      <x:c r="B37" s="12" t="str">
        <x:v>Núcleo</x:v>
      </x:c>
      <x:c r="C37" s="12" t="str">
        <x:v>San Francisco</x:v>
      </x:c>
      <x:c r="D37" s="12" t="str">
        <x:v>A</x:v>
      </x:c>
      <x:c r="E37" s="12" t="n">
        <x:v>84</x:v>
      </x:c>
      <x:c r="F37" s="12" t="str">
        <x:v>Computrol S.R.L.</x:v>
      </x:c>
      <x:c r="G37" s="12" t="str">
        <x:v>Electrónica para maquinaria agrícola y transporte</x:v>
      </x:c>
      <x:c r="H37" s="12" t="str">
        <x:v>A verificar</x:v>
      </x:c>
      <x:c r="I37" s="12" t="str">
        <x:v>Parque Industrial</x:v>
      </x:c>
      <x:c r="J37" s="12" t="str">
        <x:v>Pedir logística/expedición/posventa; relevar equipos, pesos y movimientos mensuales.</x:v>
      </x:c>
      <x:c r="K37" s="12" t="str">
        <x:v>https://www.google.com/maps/search/?api=1&amp;query=Computrol+S.R.L.%2C+Parque+Industrial+San+Francisco%2C+San+Francisco%2C+C%C3%B3rdoba</x:v>
      </x:c>
      <x:c r="L37" s="12" t="str">
        <x:v>Operativo / verificar antes de visita</x:v>
      </x:c>
    </x:row>
    <x:row r="38">
      <x:c r="A38" s="12" t="str">
        <x:v>SF-025</x:v>
      </x:c>
      <x:c r="B38" s="12" t="str">
        <x:v>Núcleo</x:v>
      </x:c>
      <x:c r="C38" s="12" t="str">
        <x:v>San Francisco</x:v>
      </x:c>
      <x:c r="D38" s="12" t="str">
        <x:v>A</x:v>
      </x:c>
      <x:c r="E38" s="12" t="n">
        <x:v>84</x:v>
      </x:c>
      <x:c r="F38" s="12" t="str">
        <x:v>Forja San Francisco S.R.L.</x:v>
      </x:c>
      <x:c r="G38" s="12" t="str">
        <x:v>Forja / metalúrgica</x:v>
      </x:c>
      <x:c r="H38" s="12" t="str">
        <x:v>03564 425945 / 420416</x:v>
      </x:c>
      <x:c r="I38" s="12" t="str">
        <x:v>Juan José Torres</x:v>
      </x:c>
      <x:c r="J38" s="12" t="str">
        <x:v>Pedir producción/expedición/mantenimiento y relevar piezas máximas/destinos.</x:v>
      </x:c>
      <x:c r="K38" s="12" t="str">
        <x:v>https://www.google.com/maps/search/?api=1&amp;query=Forja+San+Francisco+S.R.L.%2C+Juan+Jos%C3%A9+Torres+4110%2C+San+Francisco%2C+C%C3%B3rdoba</x:v>
      </x:c>
      <x:c r="L38" s="12" t="str">
        <x:v>Operativo / verificar antes de visita</x:v>
      </x:c>
    </x:row>
    <x:row r="39">
      <x:c r="A39" s="12" t="str">
        <x:v>SF-026</x:v>
      </x:c>
      <x:c r="B39" s="12" t="str">
        <x:v>Núcleo</x:v>
      </x:c>
      <x:c r="C39" s="12" t="str">
        <x:v>San Francisco</x:v>
      </x:c>
      <x:c r="D39" s="12" t="str">
        <x:v>A</x:v>
      </x:c>
      <x:c r="E39" s="12" t="n">
        <x:v>84</x:v>
      </x:c>
      <x:c r="F39" s="12" t="str">
        <x:v>Industria DAGA S.A.</x:v>
      </x:c>
      <x:c r="G39" s="12" t="str">
        <x:v>Fabricación de maquinaria agrícola</x:v>
      </x:c>
      <x:c r="H39" s="12" t="str">
        <x:v>A verificar</x:v>
      </x:c>
      <x:c r="I39" s="12" t="str">
        <x:v>San Francisco</x:v>
      </x:c>
      <x:c r="J39" s="12" t="str">
        <x:v>Pedir logística/expedición/posventa; relevar equipos, pesos y movimientos mensuales.</x:v>
      </x:c>
      <x:c r="K39" s="12" t="str">
        <x:v>https://www.google.com/maps/search/?api=1&amp;query=Industria+DAGA+S.A.%2C+San+Francisco%2C+C%C3%B3rdoba</x:v>
      </x:c>
      <x:c r="L39" s="12" t="str">
        <x:v>Operativo / verificar antes de visita</x:v>
      </x:c>
    </x:row>
    <x:row r="40">
      <x:c r="A40" s="12" t="str">
        <x:v>SF-027</x:v>
      </x:c>
      <x:c r="B40" s="12" t="str">
        <x:v>Núcleo</x:v>
      </x:c>
      <x:c r="C40" s="12" t="str">
        <x:v>San Francisco</x:v>
      </x:c>
      <x:c r="D40" s="12" t="str">
        <x:v>A</x:v>
      </x:c>
      <x:c r="E40" s="12" t="n">
        <x:v>84</x:v>
      </x:c>
      <x:c r="F40" s="12" t="str">
        <x:v>La Marchesina - San Francisco</x:v>
      </x:c>
      <x:c r="G40" s="12" t="str">
        <x:v>Hormigón elaborado</x:v>
      </x:c>
      <x:c r="H40" s="12" t="str">
        <x:v>+54 9 353 6573596</x:v>
      </x:c>
      <x:c r="I40" s="12" t="str">
        <x:v>Pietro Finazzi</x:v>
      </x:c>
      <x:c r="J40" s="12" t="str">
        <x:v>Pedir obras/equipos/logística; relevar maquinaria propia y frecuencia.</x:v>
      </x:c>
      <x:c r="K40" s="12" t="str">
        <x:v>https://www.google.com/maps/search/?api=1&amp;query=La+Marchesina+-+San+Francisco%2C+Pietro+Finazzi%2C+San+Francisco%2C+C%C3%B3rdoba</x:v>
      </x:c>
      <x:c r="L40" s="12" t="str">
        <x:v>Operativo / verificar antes de visita</x:v>
      </x:c>
    </x:row>
    <x:row r="41">
      <x:c r="A41" s="12" t="str">
        <x:v>SF-028</x:v>
      </x:c>
      <x:c r="B41" s="12" t="str">
        <x:v>Núcleo</x:v>
      </x:c>
      <x:c r="C41" s="12" t="str">
        <x:v>San Francisco</x:v>
      </x:c>
      <x:c r="D41" s="12" t="str">
        <x:v>A</x:v>
      </x:c>
      <x:c r="E41" s="12" t="n">
        <x:v>84</x:v>
      </x:c>
      <x:c r="F41" s="12" t="str">
        <x:v>Mare Logística Internacional</x:v>
      </x:c>
      <x:c r="G41" s="12" t="str">
        <x:v>Depósito fiscal / logística internacional</x:v>
      </x:c>
      <x:c r="H41" s="12" t="str">
        <x:v>03564 445873</x:v>
      </x:c>
      <x:c r="I41" s="12" t="str">
        <x:v>Carra</x:v>
      </x:c>
      <x:c r="J41" s="12" t="str">
        <x:v>Pedir tráfico/operaciones y ofrecer acuerdo de derivaciones.</x:v>
      </x:c>
      <x:c r="K41" s="12" t="str">
        <x:v>https://www.google.com/maps/search/?api=1&amp;query=Mare+Log%C3%ADstica+Internacional%2C+Carra+1542%2C+San+Francisco%2C+C%C3%B3rdoba</x:v>
      </x:c>
      <x:c r="L41" s="12" t="str">
        <x:v>Operativo / verificar antes de visita</x:v>
      </x:c>
    </x:row>
    <x:row r="42">
      <x:c r="A42" s="12" t="str">
        <x:v>SF-029</x:v>
      </x:c>
      <x:c r="B42" s="12" t="str">
        <x:v>Núcleo</x:v>
      </x:c>
      <x:c r="C42" s="12" t="str">
        <x:v>San Francisco</x:v>
      </x:c>
      <x:c r="D42" s="12" t="str">
        <x:v>A</x:v>
      </x:c>
      <x:c r="E42" s="12" t="n">
        <x:v>84</x:v>
      </x:c>
      <x:c r="F42" s="12" t="str">
        <x:v>Transportes Tomassini - San Francisco</x:v>
      </x:c>
      <x:c r="G42" s="12" t="str">
        <x:v>Transporte de cargas</x:v>
      </x:c>
      <x:c r="H42" s="12" t="str">
        <x:v>03564 424545 / 479523</x:v>
      </x:c>
      <x:c r="I42" s="12" t="str">
        <x:v>Jonas Salk</x:v>
      </x:c>
      <x:c r="J42" s="12" t="str">
        <x:v>Pedir tráfico/operaciones y ofrecer acuerdo de derivaciones.</x:v>
      </x:c>
      <x:c r="K42" s="12" t="str">
        <x:v>https://www.google.com/maps/search/?api=1&amp;query=Transportes+Tomassini+-+San+Francisco%2C+Jonas+Salk+870%2C+San+Francisco%2C+C%C3%B3rdoba</x:v>
      </x:c>
      <x:c r="L42" s="12" t="str">
        <x:v>Operativo / verificar antes de visita</x:v>
      </x:c>
    </x:row>
    <x:row r="43">
      <x:c r="A43" s="12" t="str">
        <x:v>SF-030</x:v>
      </x:c>
      <x:c r="B43" s="12" t="str">
        <x:v>Núcleo</x:v>
      </x:c>
      <x:c r="C43" s="12" t="str">
        <x:v>San Francisco</x:v>
      </x:c>
      <x:c r="D43" s="12" t="str">
        <x:v>A</x:v>
      </x:c>
      <x:c r="E43" s="12" t="n">
        <x:v>82</x:v>
      </x:c>
      <x:c r="F43" s="12" t="str">
        <x:v>EDG S.R.L.</x:v>
      </x:c>
      <x:c r="G43" s="12" t="str">
        <x:v>Fabricación de maquinaria agrícola</x:v>
      </x:c>
      <x:c r="H43" s="12" t="str">
        <x:v>A verificar</x:v>
      </x:c>
      <x:c r="I43" s="12" t="str">
        <x:v>San Francisco</x:v>
      </x:c>
      <x:c r="J43" s="12" t="str">
        <x:v>Pedir logística/expedición/posventa; relevar equipos, pesos y movimientos mensuales.</x:v>
      </x:c>
      <x:c r="K43" s="12" t="str">
        <x:v>https://www.google.com/maps/search/?api=1&amp;query=EDG+S.R.L.%2C+San+Francisco%2C+C%C3%B3rdoba</x:v>
      </x:c>
      <x:c r="L43" s="12" t="str">
        <x:v>Operativo / verificar antes de visita</x:v>
      </x:c>
    </x:row>
    <x:row r="44">
      <x:c r="A44" s="12" t="str">
        <x:v>SF-031</x:v>
      </x:c>
      <x:c r="B44" s="12" t="str">
        <x:v>Núcleo</x:v>
      </x:c>
      <x:c r="C44" s="12" t="str">
        <x:v>San Francisco</x:v>
      </x:c>
      <x:c r="D44" s="12" t="str">
        <x:v>A</x:v>
      </x:c>
      <x:c r="E44" s="12" t="n">
        <x:v>82</x:v>
      </x:c>
      <x:c r="F44" s="12" t="str">
        <x:v>Hidrar S.R.L.</x:v>
      </x:c>
      <x:c r="G44" s="12" t="str">
        <x:v>Neumática e hidráulica</x:v>
      </x:c>
      <x:c r="H44" s="12" t="str">
        <x:v>A verificar</x:v>
      </x:c>
      <x:c r="I44" s="12" t="str">
        <x:v>Parque Industrial</x:v>
      </x:c>
      <x:c r="J44" s="12" t="str">
        <x:v>Pedir producción/expedición/mantenimiento y relevar piezas máximas/destinos.</x:v>
      </x:c>
      <x:c r="K44" s="12" t="str">
        <x:v>https://www.google.com/maps/search/?api=1&amp;query=Hidrar+S.R.L.%2C+Parque+Industrial+San+Francisco%2C+San+Francisco%2C+C%C3%B3rdoba</x:v>
      </x:c>
      <x:c r="L44" s="12" t="str">
        <x:v>Operativo / verificar antes de visita</x:v>
      </x:c>
    </x:row>
    <x:row r="45">
      <x:c r="A45" s="12" t="str">
        <x:v>SF-032</x:v>
      </x:c>
      <x:c r="B45" s="12" t="str">
        <x:v>Núcleo</x:v>
      </x:c>
      <x:c r="C45" s="12" t="str">
        <x:v>San Francisco</x:v>
      </x:c>
      <x:c r="D45" s="12" t="str">
        <x:v>A</x:v>
      </x:c>
      <x:c r="E45" s="12" t="n">
        <x:v>82</x:v>
      </x:c>
      <x:c r="F45" s="12" t="str">
        <x:v>Industrias Lear de Argentina S.R.L.</x:v>
      </x:c>
      <x:c r="G45" s="12" t="str">
        <x:v>Autopartes / automotor</x:v>
      </x:c>
      <x:c r="H45" s="12" t="str">
        <x:v>A verificar</x:v>
      </x:c>
      <x:c r="I45" s="12" t="str">
        <x:v>Parque Industrial</x:v>
      </x:c>
      <x:c r="J45" s="12" t="str">
        <x:v>Pedir producción/expedición/mantenimiento y relevar piezas máximas/destinos.</x:v>
      </x:c>
      <x:c r="K45" s="12" t="str">
        <x:v>https://www.google.com/maps/search/?api=1&amp;query=Industrias+Lear+de+Argentina+S.R.L.%2C+Parque+Industrial+San+Francisco%2C+San+Francisco%2C+C%C3%B3rdoba</x:v>
      </x:c>
      <x:c r="L45" s="12" t="str">
        <x:v>Operativo / verificar antes de visita</x:v>
      </x:c>
    </x:row>
    <x:row r="46">
      <x:c r="A46" s="12" t="str">
        <x:v>SF-033</x:v>
      </x:c>
      <x:c r="B46" s="12" t="str">
        <x:v>Núcleo</x:v>
      </x:c>
      <x:c r="C46" s="12" t="str">
        <x:v>San Francisco</x:v>
      </x:c>
      <x:c r="D46" s="12" t="str">
        <x:v>A</x:v>
      </x:c>
      <x:c r="E46" s="12" t="n">
        <x:v>82</x:v>
      </x:c>
      <x:c r="F46" s="12" t="str">
        <x:v>Plumita S.R.L.</x:v>
      </x:c>
      <x:c r="G46" s="12" t="str">
        <x:v>Fabricante de máquinas y herramientas</x:v>
      </x:c>
      <x:c r="H46" s="12" t="str">
        <x:v>03564 422291 / 428906</x:v>
      </x:c>
      <x:c r="I46" s="12" t="str">
        <x:v>Av. 9 de Septiembre</x:v>
      </x:c>
      <x:c r="J46" s="12" t="str">
        <x:v>Pedir producción/expedición/mantenimiento y relevar piezas máximas/destinos.</x:v>
      </x:c>
      <x:c r="K46" s="12" t="str">
        <x:v>https://www.google.com/maps/search/?api=1&amp;query=Plumita+S.R.L.%2C+Av.+9+de+Septiembre+3203%2C+San+Francisco%2C+C%C3%B3rdoba</x:v>
      </x:c>
      <x:c r="L46" s="12" t="str">
        <x:v>Operativo / verificar antes de visita</x:v>
      </x:c>
    </x:row>
    <x:row r="47">
      <x:c r="A47" s="12" t="str">
        <x:v>SF-034</x:v>
      </x:c>
      <x:c r="B47" s="12" t="str">
        <x:v>Núcleo</x:v>
      </x:c>
      <x:c r="C47" s="12" t="str">
        <x:v>San Francisco</x:v>
      </x:c>
      <x:c r="D47" s="12" t="str">
        <x:v>A</x:v>
      </x:c>
      <x:c r="E47" s="12" t="n">
        <x:v>82</x:v>
      </x:c>
      <x:c r="F47" s="12" t="str">
        <x:v>Talleres Inco S.A.</x:v>
      </x:c>
      <x:c r="G47" s="12" t="str">
        <x:v>Metalúrgica / mecanizado / piezas</x:v>
      </x:c>
      <x:c r="H47" s="12" t="str">
        <x:v>A verificar</x:v>
      </x:c>
      <x:c r="I47" s="12" t="str">
        <x:v>Parque Industrial</x:v>
      </x:c>
      <x:c r="J47" s="12" t="str">
        <x:v>Pedir producción/expedición/mantenimiento y relevar piezas máximas/destinos.</x:v>
      </x:c>
      <x:c r="K47" s="12" t="str">
        <x:v>https://www.google.com/maps/search/?api=1&amp;query=Talleres+Inco+S.A.%2C+Parque+Industrial+San+Francisco%2C+San+Francisco%2C+C%C3%B3rdoba</x:v>
      </x:c>
      <x:c r="L47" s="12" t="str">
        <x:v>Operativo / verificar antes de visita</x:v>
      </x:c>
    </x:row>
    <x:row r="48">
      <x:c r="A48" s="12" t="str">
        <x:v>SF-035</x:v>
      </x:c>
      <x:c r="B48" s="12" t="str">
        <x:v>Núcleo</x:v>
      </x:c>
      <x:c r="C48" s="12" t="str">
        <x:v>San Francisco</x:v>
      </x:c>
      <x:c r="D48" s="12" t="str">
        <x:v>A</x:v>
      </x:c>
      <x:c r="E48" s="12" t="n">
        <x:v>80</x:v>
      </x:c>
      <x:c r="F48" s="12" t="str">
        <x:v>Agro Soluciones SF</x:v>
      </x:c>
      <x:c r="G48" s="12" t="str">
        <x:v>Service de maquinaria agrícola</x:v>
      </x:c>
      <x:c r="H48" s="12" t="str">
        <x:v>03564 565466</x:v>
      </x:c>
      <x:c r="I48" s="12" t="str">
        <x:v>Av. Rosario de Santa Fe</x:v>
      </x:c>
      <x:c r="J48" s="12" t="str">
        <x:v>Pedir logística/expedición/posventa; relevar equipos, pesos y movimientos mensuales.</x:v>
      </x:c>
      <x:c r="K48" s="12" t="str">
        <x:v>https://www.google.com/maps/search/?api=1&amp;query=Agro+Soluciones+SF%2C+Av.+Rosario+de+Santa+Fe+2060%2C+San+Francisco%2C+C%C3%B3rdoba</x:v>
      </x:c>
      <x:c r="L48" s="12" t="str">
        <x:v>Operativo / verificar antes de visita</x:v>
      </x:c>
    </x:row>
    <x:row r="49">
      <x:c r="A49" s="12" t="str">
        <x:v>SF-036</x:v>
      </x:c>
      <x:c r="B49" s="12" t="str">
        <x:v>Núcleo</x:v>
      </x:c>
      <x:c r="C49" s="12" t="str">
        <x:v>San Francisco</x:v>
      </x:c>
      <x:c r="D49" s="12" t="str">
        <x:v>A</x:v>
      </x:c>
      <x:c r="E49" s="12" t="n">
        <x:v>80</x:v>
      </x:c>
      <x:c r="F49" s="12" t="str">
        <x:v>Autopartes MPV S.R.L.</x:v>
      </x:c>
      <x:c r="G49" s="12" t="str">
        <x:v>Metalúrgica / mecanizado / piezas</x:v>
      </x:c>
      <x:c r="H49" s="12" t="str">
        <x:v>A verificar</x:v>
      </x:c>
      <x:c r="I49" s="12" t="str">
        <x:v>Parque Industrial</x:v>
      </x:c>
      <x:c r="J49" s="12" t="str">
        <x:v>Pedir producción/expedición/mantenimiento y relevar piezas máximas/destinos.</x:v>
      </x:c>
      <x:c r="K49" s="12" t="str">
        <x:v>https://www.google.com/maps/search/?api=1&amp;query=Autopartes+MPV+S.R.L.%2C+Parque+Industrial+San+Francisco%2C+San+Francisco%2C+C%C3%B3rdoba</x:v>
      </x:c>
      <x:c r="L49" s="12" t="str">
        <x:v>Operativo / verificar antes de visita</x:v>
      </x:c>
    </x:row>
    <x:row r="50">
      <x:c r="A50" s="12" t="str">
        <x:v>SF-037</x:v>
      </x:c>
      <x:c r="B50" s="12" t="str">
        <x:v>Núcleo</x:v>
      </x:c>
      <x:c r="C50" s="12" t="str">
        <x:v>San Francisco</x:v>
      </x:c>
      <x:c r="D50" s="12" t="str">
        <x:v>A</x:v>
      </x:c>
      <x:c r="E50" s="12" t="n">
        <x:v>80</x:v>
      </x:c>
      <x:c r="F50" s="12" t="str">
        <x:v>Expreso Brío S.R.L.</x:v>
      </x:c>
      <x:c r="G50" s="12" t="str">
        <x:v>Transporte de cargas / encomiendas</x:v>
      </x:c>
      <x:c r="H50" s="12" t="str">
        <x:v>A verificar</x:v>
      </x:c>
      <x:c r="I50" s="12" t="str">
        <x:v>Parque Industrial</x:v>
      </x:c>
      <x:c r="J50" s="12" t="str">
        <x:v>Pedir tráfico/operaciones y ofrecer acuerdo de derivaciones.</x:v>
      </x:c>
      <x:c r="K50" s="12" t="str">
        <x:v>https://www.google.com/maps/search/?api=1&amp;query=Expreso+Br%C3%ADo+S.R.L.%2C+Parque+Industrial+San+Francisco%2C+San+Francisco%2C+C%C3%B3rdoba</x:v>
      </x:c>
      <x:c r="L50" s="12" t="str">
        <x:v>Operativo / verificar antes de visita</x:v>
      </x:c>
    </x:row>
    <x:row r="51">
      <x:c r="A51" s="12" t="str">
        <x:v>SF-038</x:v>
      </x:c>
      <x:c r="B51" s="12" t="str">
        <x:v>Núcleo</x:v>
      </x:c>
      <x:c r="C51" s="12" t="str">
        <x:v>San Francisco</x:v>
      </x:c>
      <x:c r="D51" s="12" t="str">
        <x:v>A</x:v>
      </x:c>
      <x:c r="E51" s="12" t="n">
        <x:v>80</x:v>
      </x:c>
      <x:c r="F51" s="12" t="str">
        <x:v>LC Construcciones - Picatti</x:v>
      </x:c>
      <x:c r="G51" s="12" t="str">
        <x:v>Construcción / obra civil</x:v>
      </x:c>
      <x:c r="H51" s="12" t="str">
        <x:v>03564 589155</x:v>
      </x:c>
      <x:c r="I51" s="12" t="str">
        <x:v>San Lorenzo</x:v>
      </x:c>
      <x:c r="J51" s="12" t="str">
        <x:v>Pedir obras/equipos/logística; relevar maquinaria propia y frecuencia.</x:v>
      </x:c>
      <x:c r="K51" s="12" t="str">
        <x:v>https://www.google.com/maps/search/?api=1&amp;query=LC+Construcciones+-+Picatti%2C+San+Lorenzo+223%2C+San+Francisco%2C+C%C3%B3rdoba</x:v>
      </x:c>
      <x:c r="L51" s="12" t="str">
        <x:v>Operativo / verificar antes de visita</x:v>
      </x:c>
    </x:row>
    <x:row r="52">
      <x:c r="A52" s="12" t="str">
        <x:v>SF-039</x:v>
      </x:c>
      <x:c r="B52" s="12" t="str">
        <x:v>Núcleo</x:v>
      </x:c>
      <x:c r="C52" s="12" t="str">
        <x:v>San Francisco</x:v>
      </x:c>
      <x:c r="D52" s="12" t="str">
        <x:v>A</x:v>
      </x:c>
      <x:c r="E52" s="12" t="n">
        <x:v>80</x:v>
      </x:c>
      <x:c r="F52" s="12" t="str">
        <x:v>Lácteos Santa María</x:v>
      </x:c>
      <x:c r="G52" s="12" t="str">
        <x:v>Industria láctea / planta industrial</x:v>
      </x:c>
      <x:c r="H52" s="12" t="str">
        <x:v>03564 445845</x:v>
      </x:c>
      <x:c r="I52" s="12" t="str">
        <x:v>Parque Industrial / Venier</x:v>
      </x:c>
      <x:c r="J52" s="12" t="str">
        <x:v>Pedir mantenimiento/compras/planta; relevar equipos críticos.</x:v>
      </x:c>
      <x:c r="K52" s="12" t="str">
        <x:v>https://www.google.com/maps/search/?api=1&amp;query=L%C3%A1cteos+Santa+Mar%C3%ADa%2C+Juan+Venier+2099%2C+Parque+Industrial%2C+San+Francisco%2C+C%C3%B3rdoba</x:v>
      </x:c>
      <x:c r="L52" s="12" t="str">
        <x:v>Operativo / verificar antes de visita</x:v>
      </x:c>
    </x:row>
    <x:row r="53">
      <x:c r="A53" s="12" t="str">
        <x:v>SF-040</x:v>
      </x:c>
      <x:c r="B53" s="12" t="str">
        <x:v>Núcleo</x:v>
      </x:c>
      <x:c r="C53" s="12" t="str">
        <x:v>San Francisco</x:v>
      </x:c>
      <x:c r="D53" s="12" t="str">
        <x:v>A</x:v>
      </x:c>
      <x:c r="E53" s="12" t="n">
        <x:v>80</x:v>
      </x:c>
      <x:c r="F53" s="12" t="str">
        <x:v>M y R Mecanizado y Forjado SAS</x:v>
      </x:c>
      <x:c r="G53" s="12" t="str">
        <x:v>Metalúrgica / mecanizado / piezas</x:v>
      </x:c>
      <x:c r="H53" s="12" t="str">
        <x:v>A verificar</x:v>
      </x:c>
      <x:c r="I53" s="12" t="str">
        <x:v>Parque Industrial</x:v>
      </x:c>
      <x:c r="J53" s="12" t="str">
        <x:v>Pedir producción/expedición/mantenimiento y relevar piezas máximas/destinos.</x:v>
      </x:c>
      <x:c r="K53" s="12" t="str">
        <x:v>https://www.google.com/maps/search/?api=1&amp;query=M+y+R+Mecanizado+y+Forjado+SAS%2C+Parque+Industrial+San+Francisco%2C+San+Francisco%2C+C%C3%B3rdoba</x:v>
      </x:c>
      <x:c r="L53" s="12" t="str">
        <x:v>Operativo / verificar antes de visita</x:v>
      </x:c>
    </x:row>
    <x:row r="54">
      <x:c r="A54" s="12" t="str">
        <x:v>SF-041</x:v>
      </x:c>
      <x:c r="B54" s="12" t="str">
        <x:v>Núcleo</x:v>
      </x:c>
      <x:c r="C54" s="12" t="str">
        <x:v>San Francisco</x:v>
      </x:c>
      <x:c r="D54" s="12" t="str">
        <x:v>A</x:v>
      </x:c>
      <x:c r="E54" s="12" t="n">
        <x:v>80</x:v>
      </x:c>
      <x:c r="F54" s="12" t="str">
        <x:v>METALJIMSA S.A.</x:v>
      </x:c>
      <x:c r="G54" s="12" t="str">
        <x:v>Fabricación de maquinaria agrícola</x:v>
      </x:c>
      <x:c r="H54" s="12" t="str">
        <x:v>A verificar</x:v>
      </x:c>
      <x:c r="I54" s="12" t="str">
        <x:v>San Francisco</x:v>
      </x:c>
      <x:c r="J54" s="12" t="str">
        <x:v>Pedir logística/expedición/posventa; relevar equipos, pesos y movimientos mensuales.</x:v>
      </x:c>
      <x:c r="K54" s="12" t="str">
        <x:v>https://www.google.com/maps/search/?api=1&amp;query=METALJIMSA+S.A.%2C+San+Francisco%2C+C%C3%B3rdoba</x:v>
      </x:c>
      <x:c r="L54" s="12" t="str">
        <x:v>Operativo / verificar antes de visita</x:v>
      </x:c>
    </x:row>
    <x:row r="55">
      <x:c r="A55" s="12" t="str">
        <x:v>SF-042</x:v>
      </x:c>
      <x:c r="B55" s="12" t="str">
        <x:v>Núcleo</x:v>
      </x:c>
      <x:c r="C55" s="12" t="str">
        <x:v>San Francisco</x:v>
      </x:c>
      <x:c r="D55" s="12" t="str">
        <x:v>A</x:v>
      </x:c>
      <x:c r="E55" s="12" t="n">
        <x:v>80</x:v>
      </x:c>
      <x:c r="F55" s="12" t="str">
        <x:v>Transporte Don Max S.A.</x:v>
      </x:c>
      <x:c r="G55" s="12" t="str">
        <x:v>Transporte por camión</x:v>
      </x:c>
      <x:c r="H55" s="12" t="str">
        <x:v>03564 358403</x:v>
      </x:c>
      <x:c r="I55" s="12" t="str">
        <x:v>Gob. San Martín</x:v>
      </x:c>
      <x:c r="J55" s="12" t="str">
        <x:v>Pedir tráfico/operaciones y ofrecer acuerdo de derivaciones.</x:v>
      </x:c>
      <x:c r="K55" s="12" t="str">
        <x:v>https://www.google.com/maps/search/?api=1&amp;query=Transporte+Don+Max+S.A.%2C+Gobernador+San+Mart%C3%ADn+652%2C+San+Francisco%2C+C%C3%B3rdoba</x:v>
      </x:c>
      <x:c r="L55" s="12" t="str">
        <x:v>Operativo / verificar antes de visita</x:v>
      </x:c>
    </x:row>
    <x:row r="56">
      <x:c r="A56" s="12" t="str">
        <x:v>SF-043</x:v>
      </x:c>
      <x:c r="B56" s="12" t="str">
        <x:v>Núcleo</x:v>
      </x:c>
      <x:c r="C56" s="12" t="str">
        <x:v>San Francisco</x:v>
      </x:c>
      <x:c r="D56" s="12" t="str">
        <x:v>A</x:v>
      </x:c>
      <x:c r="E56" s="12" t="n">
        <x:v>80</x:v>
      </x:c>
      <x:c r="F56" s="12" t="str">
        <x:v>Trater Aranda SAS</x:v>
      </x:c>
      <x:c r="G56" s="12" t="str">
        <x:v>Metalúrgica / mecanizado / piezas</x:v>
      </x:c>
      <x:c r="H56" s="12" t="str">
        <x:v>A verificar</x:v>
      </x:c>
      <x:c r="I56" s="12" t="str">
        <x:v>Parque Industrial</x:v>
      </x:c>
      <x:c r="J56" s="12" t="str">
        <x:v>Pedir producción/expedición/mantenimiento y relevar piezas máximas/destinos.</x:v>
      </x:c>
      <x:c r="K56" s="12" t="str">
        <x:v>https://www.google.com/maps/search/?api=1&amp;query=Trater+Aranda+SAS%2C+Parque+Industrial+San+Francisco%2C+San+Francisco%2C+C%C3%B3rdoba</x:v>
      </x:c>
      <x:c r="L56" s="12" t="str">
        <x:v>Operativo / verificar antes de visita</x:v>
      </x:c>
    </x:row>
    <x:row r="57">
      <x:c r="A57" s="12" t="str">
        <x:v>SF-044</x:v>
      </x:c>
      <x:c r="B57" s="12" t="str">
        <x:v>Núcleo</x:v>
      </x:c>
      <x:c r="C57" s="12" t="str">
        <x:v>San Francisco</x:v>
      </x:c>
      <x:c r="D57" s="12" t="str">
        <x:v>A</x:v>
      </x:c>
      <x:c r="E57" s="12" t="n">
        <x:v>78</x:v>
      </x:c>
      <x:c r="F57" s="12" t="str">
        <x:v>Cesca S.A.</x:v>
      </x:c>
      <x:c r="G57" s="12" t="str">
        <x:v>Metalúrgica / mecanizado / piezas</x:v>
      </x:c>
      <x:c r="H57" s="12" t="str">
        <x:v>A verificar</x:v>
      </x:c>
      <x:c r="I57" s="12" t="str">
        <x:v>Parque Industrial</x:v>
      </x:c>
      <x:c r="J57" s="12" t="str">
        <x:v>Pedir producción/expedición/mantenimiento y relevar piezas máximas/destinos.</x:v>
      </x:c>
      <x:c r="K57" s="12" t="str">
        <x:v>https://www.google.com/maps/search/?api=1&amp;query=Cesca+S.A.%2C+Parque+Industrial+San+Francisco%2C+San+Francisco%2C+C%C3%B3rdoba</x:v>
      </x:c>
      <x:c r="L57" s="12" t="str">
        <x:v>Operativo / verificar antes de visita</x:v>
      </x:c>
    </x:row>
    <x:row r="58">
      <x:c r="A58" s="12" t="str">
        <x:v>SF-045</x:v>
      </x:c>
      <x:c r="B58" s="12" t="str">
        <x:v>Núcleo</x:v>
      </x:c>
      <x:c r="C58" s="12" t="str">
        <x:v>San Francisco</x:v>
      </x:c>
      <x:c r="D58" s="12" t="str">
        <x:v>A</x:v>
      </x:c>
      <x:c r="E58" s="12" t="n">
        <x:v>78</x:v>
      </x:c>
      <x:c r="F58" s="12" t="str">
        <x:v>Constructora Centro</x:v>
      </x:c>
      <x:c r="G58" s="12" t="str">
        <x:v>Contratista / constructora</x:v>
      </x:c>
      <x:c r="H58" s="12" t="str">
        <x:v>+54 9 3564 629187</x:v>
      </x:c>
      <x:c r="I58" s="12" t="str">
        <x:v>Pje. Cangallo</x:v>
      </x:c>
      <x:c r="J58" s="12" t="str">
        <x:v>Pedir obras/equipos/logística; relevar maquinaria propia y frecuencia.</x:v>
      </x:c>
      <x:c r="K58" s="12" t="str">
        <x:v>https://www.google.com/maps/search/?api=1&amp;query=Constructora+Centro%2C+Pje.+Cangallo+62%2C+San+Francisco%2C+C%C3%B3rdoba</x:v>
      </x:c>
      <x:c r="L58" s="12" t="str">
        <x:v>Operativo / verificar antes de visita</x:v>
      </x:c>
    </x:row>
    <x:row r="59">
      <x:c r="A59" s="12" t="str">
        <x:v>SF-046</x:v>
      </x:c>
      <x:c r="B59" s="12" t="str">
        <x:v>Núcleo</x:v>
      </x:c>
      <x:c r="C59" s="12" t="str">
        <x:v>San Francisco</x:v>
      </x:c>
      <x:c r="D59" s="12" t="str">
        <x:v>A</x:v>
      </x:c>
      <x:c r="E59" s="12" t="n">
        <x:v>78</x:v>
      </x:c>
      <x:c r="F59" s="12" t="str">
        <x:v>Delbre S.R.L.</x:v>
      </x:c>
      <x:c r="G59" s="12" t="str">
        <x:v>Metalúrgica / mecanizado / piezas</x:v>
      </x:c>
      <x:c r="H59" s="12" t="str">
        <x:v>A verificar</x:v>
      </x:c>
      <x:c r="I59" s="12" t="str">
        <x:v>Parque Industrial</x:v>
      </x:c>
      <x:c r="J59" s="12" t="str">
        <x:v>Pedir producción/expedición/mantenimiento y relevar piezas máximas/destinos.</x:v>
      </x:c>
      <x:c r="K59" s="12" t="str">
        <x:v>https://www.google.com/maps/search/?api=1&amp;query=Delbre+S.R.L.%2C+Parque+Industrial+San+Francisco%2C+San+Francisco%2C+C%C3%B3rdoba</x:v>
      </x:c>
      <x:c r="L59" s="12" t="str">
        <x:v>Operativo / verificar antes de visita</x:v>
      </x:c>
    </x:row>
    <x:row r="60">
      <x:c r="A60" s="12" t="str">
        <x:v>SF-047</x:v>
      </x:c>
      <x:c r="B60" s="12" t="str">
        <x:v>Núcleo</x:v>
      </x:c>
      <x:c r="C60" s="12" t="str">
        <x:v>San Francisco</x:v>
      </x:c>
      <x:c r="D60" s="12" t="str">
        <x:v>A</x:v>
      </x:c>
      <x:c r="E60" s="12" t="n">
        <x:v>78</x:v>
      </x:c>
      <x:c r="F60" s="12" t="str">
        <x:v>Frigorífico San Francisco S.A.</x:v>
      </x:c>
      <x:c r="G60" s="12" t="str">
        <x:v>Frigorífico / planta industrial</x:v>
      </x:c>
      <x:c r="H60" s="12" t="str">
        <x:v>03564 435042</x:v>
      </x:c>
      <x:c r="I60" s="12" t="str">
        <x:v>RN158</x:v>
      </x:c>
      <x:c r="J60" s="12" t="str">
        <x:v>Pedir mantenimiento/compras/planta; relevar equipos críticos.</x:v>
      </x:c>
      <x:c r="K60" s="12" t="str">
        <x:v>https://www.google.com/maps/search/?api=1&amp;query=Frigor%C3%ADfico+San+Francisco+S.A.%2C+RN158+s%2Fn%2C+zona+San+Francisco%2C+C%C3%B3rdoba</x:v>
      </x:c>
      <x:c r="L60" s="12" t="str">
        <x:v>Operativo / verificar antes de visita</x:v>
      </x:c>
    </x:row>
    <x:row r="61">
      <x:c r="A61" s="12" t="str">
        <x:v>SF-048</x:v>
      </x:c>
      <x:c r="B61" s="12" t="str">
        <x:v>Núcleo</x:v>
      </x:c>
      <x:c r="C61" s="12" t="str">
        <x:v>San Francisco</x:v>
      </x:c>
      <x:c r="D61" s="12" t="str">
        <x:v>A</x:v>
      </x:c>
      <x:c r="E61" s="12" t="n">
        <x:v>78</x:v>
      </x:c>
      <x:c r="F61" s="12" t="str">
        <x:v>Lumetal S.R.L.</x:v>
      </x:c>
      <x:c r="G61" s="12" t="str">
        <x:v>Metalúrgica / mecanizado / piezas</x:v>
      </x:c>
      <x:c r="H61" s="12" t="str">
        <x:v>A verificar</x:v>
      </x:c>
      <x:c r="I61" s="12" t="str">
        <x:v>Parque Industrial</x:v>
      </x:c>
      <x:c r="J61" s="12" t="str">
        <x:v>Pedir producción/expedición/mantenimiento y relevar piezas máximas/destinos.</x:v>
      </x:c>
      <x:c r="K61" s="12" t="str">
        <x:v>https://www.google.com/maps/search/?api=1&amp;query=Lumetal+S.R.L.%2C+Parque+Industrial+San+Francisco%2C+San+Francisco%2C+C%C3%B3rdoba</x:v>
      </x:c>
      <x:c r="L61" s="12" t="str">
        <x:v>Operativo / verificar antes de visita</x:v>
      </x:c>
    </x:row>
    <x:row r="62">
      <x:c r="A62" s="12" t="str">
        <x:v>SF-049</x:v>
      </x:c>
      <x:c r="B62" s="12" t="str">
        <x:v>Núcleo</x:v>
      </x:c>
      <x:c r="C62" s="12" t="str">
        <x:v>San Francisco</x:v>
      </x:c>
      <x:c r="D62" s="12" t="str">
        <x:v>A</x:v>
      </x:c>
      <x:c r="E62" s="12" t="n">
        <x:v>78</x:v>
      </x:c>
      <x:c r="F62" s="12" t="str">
        <x:v>MetalMed</x:v>
      </x:c>
      <x:c r="G62" s="12" t="str">
        <x:v>Fabricante de herramientas / metalmecánica</x:v>
      </x:c>
      <x:c r="H62" s="12" t="str">
        <x:v>03564 425974</x:v>
      </x:c>
      <x:c r="I62" s="12" t="str">
        <x:v>Chubut</x:v>
      </x:c>
      <x:c r="J62" s="12" t="str">
        <x:v>Pedir producción/expedición/mantenimiento y relevar piezas máximas/destinos.</x:v>
      </x:c>
      <x:c r="K62" s="12" t="str">
        <x:v>https://www.google.com/maps/search/?api=1&amp;query=MetalMed%2C+Chubut+450%2C+San+Francisco%2C+C%C3%B3rdoba</x:v>
      </x:c>
      <x:c r="L62" s="12" t="str">
        <x:v>Operativo / verificar antes de visita</x:v>
      </x:c>
    </x:row>
    <x:row r="63">
      <x:c r="A63" s="12" t="str">
        <x:v>SF-050</x:v>
      </x:c>
      <x:c r="B63" s="12" t="str">
        <x:v>Núcleo</x:v>
      </x:c>
      <x:c r="C63" s="12" t="str">
        <x:v>San Francisco</x:v>
      </x:c>
      <x:c r="D63" s="12" t="str">
        <x:v>A</x:v>
      </x:c>
      <x:c r="E63" s="12" t="n">
        <x:v>78</x:v>
      </x:c>
      <x:c r="F63" s="12" t="str">
        <x:v>Metalúrgica Dominini</x:v>
      </x:c>
      <x:c r="G63" s="12" t="str">
        <x:v>Metalúrgica</x:v>
      </x:c>
      <x:c r="H63" s="12" t="str">
        <x:v>03564 427673</x:v>
      </x:c>
      <x:c r="I63" s="12" t="str">
        <x:v>A. Brown</x:v>
      </x:c>
      <x:c r="J63" s="12" t="str">
        <x:v>Pedir producción/expedición/mantenimiento y relevar piezas máximas/destinos.</x:v>
      </x:c>
      <x:c r="K63" s="12" t="str">
        <x:v>https://www.google.com/maps/search/?api=1&amp;query=Metal%C3%BArgica+Dominini%2C+A.+Brown+114-120%2C+San+Francisco%2C+C%C3%B3rdoba</x:v>
      </x:c>
      <x:c r="L63" s="12" t="str">
        <x:v>Operativo / verificar antes de visita</x:v>
      </x:c>
    </x:row>
    <x:row r="64">
      <x:c r="A64" s="12" t="str">
        <x:v>SF-051</x:v>
      </x:c>
      <x:c r="B64" s="12" t="str">
        <x:v>Núcleo</x:v>
      </x:c>
      <x:c r="C64" s="12" t="str">
        <x:v>San Francisco</x:v>
      </x:c>
      <x:c r="D64" s="12" t="str">
        <x:v>A</x:v>
      </x:c>
      <x:c r="E64" s="12" t="n">
        <x:v>78</x:v>
      </x:c>
      <x:c r="F64" s="12" t="str">
        <x:v>Metalúrgica Fema S.R.L.</x:v>
      </x:c>
      <x:c r="G64" s="12" t="str">
        <x:v>Metalúrgica / mecanizado / piezas</x:v>
      </x:c>
      <x:c r="H64" s="12" t="str">
        <x:v>A verificar</x:v>
      </x:c>
      <x:c r="I64" s="12" t="str">
        <x:v>Parque Industrial</x:v>
      </x:c>
      <x:c r="J64" s="12" t="str">
        <x:v>Pedir producción/expedición/mantenimiento y relevar piezas máximas/destinos.</x:v>
      </x:c>
      <x:c r="K64" s="12" t="str">
        <x:v>https://www.google.com/maps/search/?api=1&amp;query=Metal%C3%BArgica+Fema+S.R.L.%2C+Parque+Industrial+San+Francisco%2C+San+Francisco%2C+C%C3%B3rdoba</x:v>
      </x:c>
      <x:c r="L64" s="12" t="str">
        <x:v>Operativo / verificar antes de visita</x:v>
      </x:c>
    </x:row>
    <x:row r="65">
      <x:c r="A65" s="12" t="str">
        <x:v>SF-052</x:v>
      </x:c>
      <x:c r="B65" s="12" t="str">
        <x:v>Núcleo</x:v>
      </x:c>
      <x:c r="C65" s="12" t="str">
        <x:v>San Francisco</x:v>
      </x:c>
      <x:c r="D65" s="12" t="str">
        <x:v>A</x:v>
      </x:c>
      <x:c r="E65" s="12" t="n">
        <x:v>78</x:v>
      </x:c>
      <x:c r="F65" s="12" t="str">
        <x:v>Pecile Equipamientos</x:v>
      </x:c>
      <x:c r="G65" s="12" t="str">
        <x:v>Autopartes / automotor</x:v>
      </x:c>
      <x:c r="H65" s="12" t="str">
        <x:v>A verificar</x:v>
      </x:c>
      <x:c r="I65" s="12" t="str">
        <x:v>Parque Industrial</x:v>
      </x:c>
      <x:c r="J65" s="12" t="str">
        <x:v>Pedir producción/expedición/mantenimiento y relevar piezas máximas/destinos.</x:v>
      </x:c>
      <x:c r="K65" s="12" t="str">
        <x:v>https://www.google.com/maps/search/?api=1&amp;query=Pecile+Equipamientos%2C+Parque+Industrial+San+Francisco%2C+San+Francisco%2C+C%C3%B3rdoba</x:v>
      </x:c>
      <x:c r="L65" s="12" t="str">
        <x:v>Operativo / verificar antes de visita</x:v>
      </x:c>
    </x:row>
    <x:row r="66">
      <x:c r="A66" s="12" t="str">
        <x:v>SF-053</x:v>
      </x:c>
      <x:c r="B66" s="12" t="str">
        <x:v>Núcleo</x:v>
      </x:c>
      <x:c r="C66" s="12" t="str">
        <x:v>San Francisco</x:v>
      </x:c>
      <x:c r="D66" s="12" t="str">
        <x:v>A</x:v>
      </x:c>
      <x:c r="E66" s="12" t="n">
        <x:v>78</x:v>
      </x:c>
      <x:c r="F66" s="12" t="str">
        <x:v>Transporte Scarello</x:v>
      </x:c>
      <x:c r="G66" s="12" t="str">
        <x:v>Transporte por camión</x:v>
      </x:c>
      <x:c r="H66" s="12" t="str">
        <x:v>03564 663463</x:v>
      </x:c>
      <x:c r="I66" s="12" t="str">
        <x:v>Int. Cartier</x:v>
      </x:c>
      <x:c r="J66" s="12" t="str">
        <x:v>Pedir tráfico/operaciones y ofrecer acuerdo de derivaciones.</x:v>
      </x:c>
      <x:c r="K66" s="12" t="str">
        <x:v>https://www.google.com/maps/search/?api=1&amp;query=Transporte+Scarello%2C+Int.+Cartier+278%2C+San+Francisco%2C+C%C3%B3rdoba</x:v>
      </x:c>
      <x:c r="L66" s="12" t="str">
        <x:v>Operativo / verificar antes de visita</x:v>
      </x:c>
    </x:row>
    <x:row r="67">
      <x:c r="A67" s="12" t="str">
        <x:v>SF-054</x:v>
      </x:c>
      <x:c r="B67" s="12" t="str">
        <x:v>Núcleo</x:v>
      </x:c>
      <x:c r="C67" s="12" t="str">
        <x:v>San Francisco</x:v>
      </x:c>
      <x:c r="D67" s="12" t="str">
        <x:v>A</x:v>
      </x:c>
      <x:c r="E67" s="12" t="n">
        <x:v>78</x:v>
      </x:c>
      <x:c r="F67" s="12" t="str">
        <x:v>TUNI Metalúrgicas</x:v>
      </x:c>
      <x:c r="G67" s="12" t="str">
        <x:v>Metalmecánica / chapistería</x:v>
      </x:c>
      <x:c r="H67" s="12" t="str">
        <x:v>03564 433996</x:v>
      </x:c>
      <x:c r="I67" s="12" t="str">
        <x:v>Pampiglione</x:v>
      </x:c>
      <x:c r="J67" s="12" t="str">
        <x:v>Contactar operaciones/logística y relevar necesidad real.</x:v>
      </x:c>
      <x:c r="K67" s="12" t="str">
        <x:v>https://www.google.com/maps/search/?api=1&amp;query=TUNI+Metal%C3%BArgicas%2C+Santiago+Pampiglione+4224%2C+San+Francisco%2C+C%C3%B3rdoba</x:v>
      </x:c>
      <x:c r="L67" s="12" t="str">
        <x:v>Operativo / verificar antes de visita</x:v>
      </x:c>
    </x:row>
    <x:row r="68">
      <x:c r="A68" s="12" t="str">
        <x:v>SF-055</x:v>
      </x:c>
      <x:c r="B68" s="12" t="str">
        <x:v>Núcleo</x:v>
      </x:c>
      <x:c r="C68" s="12" t="str">
        <x:v>San Francisco</x:v>
      </x:c>
      <x:c r="D68" s="12" t="str">
        <x:v>A</x:v>
      </x:c>
      <x:c r="E68" s="12" t="n">
        <x:v>76</x:v>
      </x:c>
      <x:c r="F68" s="12" t="str">
        <x:v>Auxilio Grúa San Francisco</x:v>
      </x:c>
      <x:c r="G68" s="12" t="str">
        <x:v>Grúa / auxilio</x:v>
      </x:c>
      <x:c r="H68" s="12" t="str">
        <x:v>03564 583073</x:v>
      </x:c>
      <x:c r="I68" s="12" t="str">
        <x:v>Rivadavia</x:v>
      </x:c>
      <x:c r="J68" s="12" t="str">
        <x:v>Pedir operaciones/alquileres; relevar flota y frecuencia.</x:v>
      </x:c>
      <x:c r="K68" s="12" t="str">
        <x:v>https://www.google.com/maps/search/?api=1&amp;query=Auxilio+Gr%C3%BAa+San+Francisco%2C+Rivadavia+791%2C+San+Francisco%2C+C%C3%B3rdoba</x:v>
      </x:c>
      <x:c r="L68" s="12" t="str">
        <x:v>Operativo / verificar antes de visita</x:v>
      </x:c>
    </x:row>
    <x:row r="69">
      <x:c r="A69" s="12" t="str">
        <x:v>SF-056</x:v>
      </x:c>
      <x:c r="B69" s="12" t="str">
        <x:v>Núcleo</x:v>
      </x:c>
      <x:c r="C69" s="12" t="str">
        <x:v>San Francisco</x:v>
      </x:c>
      <x:c r="D69" s="12" t="str">
        <x:v>A</x:v>
      </x:c>
      <x:c r="E69" s="12" t="n">
        <x:v>76</x:v>
      </x:c>
      <x:c r="F69" s="12" t="str">
        <x:v>EMEVG S.A.</x:v>
      </x:c>
      <x:c r="G69" s="12" t="str">
        <x:v>Autopartes / automotor</x:v>
      </x:c>
      <x:c r="H69" s="12" t="str">
        <x:v>A verificar</x:v>
      </x:c>
      <x:c r="I69" s="12" t="str">
        <x:v>Parque Industrial</x:v>
      </x:c>
      <x:c r="J69" s="12" t="str">
        <x:v>Pedir producción/expedición/mantenimiento y relevar piezas máximas/destinos.</x:v>
      </x:c>
      <x:c r="K69" s="12" t="str">
        <x:v>https://www.google.com/maps/search/?api=1&amp;query=EMEVG+S.A.%2C+Parque+Industrial+San+Francisco%2C+San+Francisco%2C+C%C3%B3rdoba</x:v>
      </x:c>
      <x:c r="L69" s="12" t="str">
        <x:v>Operativo / verificar antes de visita</x:v>
      </x:c>
    </x:row>
    <x:row r="70">
      <x:c r="A70" s="12" t="str">
        <x:v>SF-057</x:v>
      </x:c>
      <x:c r="B70" s="12" t="str">
        <x:v>Núcleo</x:v>
      </x:c>
      <x:c r="C70" s="12" t="str">
        <x:v>San Francisco</x:v>
      </x:c>
      <x:c r="D70" s="12" t="str">
        <x:v>A</x:v>
      </x:c>
      <x:c r="E70" s="12" t="n">
        <x:v>76</x:v>
      </x:c>
      <x:c r="F70" s="12" t="str">
        <x:v>Gattino Repuestos</x:v>
      </x:c>
      <x:c r="G70" s="12" t="str">
        <x:v>Repuestos / tractores</x:v>
      </x:c>
      <x:c r="H70" s="12" t="str">
        <x:v>03564 334866</x:v>
      </x:c>
      <x:c r="I70" s="12" t="str">
        <x:v>Antártida Argentina</x:v>
      </x:c>
      <x:c r="J70" s="12" t="str">
        <x:v>Pedir logística/expedición/posventa; relevar equipos, pesos y movimientos mensuales.</x:v>
      </x:c>
      <x:c r="K70" s="12" t="str">
        <x:v>https://www.google.com/maps/search/?api=1&amp;query=Gattino+Repuestos%2C+Ant%C3%A1rtida+Argentina+2541%2C+San+Francisco%2C+C%C3%B3rdoba</x:v>
      </x:c>
      <x:c r="L70" s="12" t="str">
        <x:v>Operativo / verificar antes de visita</x:v>
      </x:c>
    </x:row>
    <x:row r="71">
      <x:c r="A71" s="12" t="str">
        <x:v>SF-058</x:v>
      </x:c>
      <x:c r="B71" s="12" t="str">
        <x:v>Núcleo</x:v>
      </x:c>
      <x:c r="C71" s="12" t="str">
        <x:v>San Francisco</x:v>
      </x:c>
      <x:c r="D71" s="12" t="str">
        <x:v>A</x:v>
      </x:c>
      <x:c r="E71" s="12" t="n">
        <x:v>76</x:v>
      </x:c>
      <x:c r="F71" s="12" t="str">
        <x:v>Mapao / Metalúrgica Perotti</x:v>
      </x:c>
      <x:c r="G71" s="12" t="str">
        <x:v>Metalúrgica / mecanizado / piezas</x:v>
      </x:c>
      <x:c r="H71" s="12" t="str">
        <x:v>A verificar</x:v>
      </x:c>
      <x:c r="I71" s="12" t="str">
        <x:v>Parque Industrial</x:v>
      </x:c>
      <x:c r="J71" s="12" t="str">
        <x:v>Pedir producción/expedición/mantenimiento y relevar piezas máximas/destinos.</x:v>
      </x:c>
      <x:c r="K71" s="12" t="str">
        <x:v>https://www.google.com/maps/search/?api=1&amp;query=Mapao+%2F+Metal%C3%BArgica+Perotti%2C+Parque+Industrial+San+Francisco%2C+San+Francisco%2C+C%C3%B3rdoba</x:v>
      </x:c>
      <x:c r="L71" s="12" t="str">
        <x:v>Operativo / verificar antes de visita</x:v>
      </x:c>
    </x:row>
    <x:row r="72">
      <x:c r="A72" s="12" t="str">
        <x:v>SF-059</x:v>
      </x:c>
      <x:c r="B72" s="12" t="str">
        <x:v>Núcleo</x:v>
      </x:c>
      <x:c r="C72" s="12" t="str">
        <x:v>San Francisco</x:v>
      </x:c>
      <x:c r="D72" s="12" t="str">
        <x:v>A</x:v>
      </x:c>
      <x:c r="E72" s="12" t="n">
        <x:v>76</x:v>
      </x:c>
      <x:c r="F72" s="12" t="str">
        <x:v>Metal Zinc S.A.S.</x:v>
      </x:c>
      <x:c r="G72" s="12" t="str">
        <x:v>Metalúrgica / mecanizado / piezas</x:v>
      </x:c>
      <x:c r="H72" s="12" t="str">
        <x:v>A verificar</x:v>
      </x:c>
      <x:c r="I72" s="12" t="str">
        <x:v>Parque Industrial</x:v>
      </x:c>
      <x:c r="J72" s="12" t="str">
        <x:v>Pedir producción/expedición/mantenimiento y relevar piezas máximas/destinos.</x:v>
      </x:c>
      <x:c r="K72" s="12" t="str">
        <x:v>https://www.google.com/maps/search/?api=1&amp;query=Metal+Zinc+S.A.S.%2C+Parque+Industrial+San+Francisco%2C+San+Francisco%2C+C%C3%B3rdoba</x:v>
      </x:c>
      <x:c r="L72" s="12" t="str">
        <x:v>Operativo / verificar antes de visita</x:v>
      </x:c>
    </x:row>
    <x:row r="73">
      <x:c r="A73" s="12" t="str">
        <x:v>SF-060</x:v>
      </x:c>
      <x:c r="B73" s="12" t="str">
        <x:v>Núcleo</x:v>
      </x:c>
      <x:c r="C73" s="12" t="str">
        <x:v>San Francisco</x:v>
      </x:c>
      <x:c r="D73" s="12" t="str">
        <x:v>A</x:v>
      </x:c>
      <x:c r="E73" s="12" t="n">
        <x:v>76</x:v>
      </x:c>
      <x:c r="F73" s="12" t="str">
        <x:v>Pessot S.R.L.</x:v>
      </x:c>
      <x:c r="G73" s="12" t="str">
        <x:v>Metalúrgica / mecanizado / piezas</x:v>
      </x:c>
      <x:c r="H73" s="12" t="str">
        <x:v>A verificar</x:v>
      </x:c>
      <x:c r="I73" s="12" t="str">
        <x:v>Parque Industrial</x:v>
      </x:c>
      <x:c r="J73" s="12" t="str">
        <x:v>Pedir producción/expedición/mantenimiento y relevar piezas máximas/destinos.</x:v>
      </x:c>
      <x:c r="K73" s="12" t="str">
        <x:v>https://www.google.com/maps/search/?api=1&amp;query=Pessot+S.R.L.%2C+Parque+Industrial+San+Francisco%2C+San+Francisco%2C+C%C3%B3rdoba</x:v>
      </x:c>
      <x:c r="L73" s="12" t="str">
        <x:v>Operativo / verificar antes de visita</x:v>
      </x:c>
    </x:row>
    <x:row r="74">
      <x:c r="A74" s="12" t="str">
        <x:v>SF-061</x:v>
      </x:c>
      <x:c r="B74" s="12" t="str">
        <x:v>Núcleo</x:v>
      </x:c>
      <x:c r="C74" s="12" t="str">
        <x:v>San Francisco</x:v>
      </x:c>
      <x:c r="D74" s="12" t="str">
        <x:v>A</x:v>
      </x:c>
      <x:c r="E74" s="12" t="n">
        <x:v>76</x:v>
      </x:c>
      <x:c r="F74" s="12" t="str">
        <x:v>Vuelta Redonda S.A.</x:v>
      </x:c>
      <x:c r="G74" s="12" t="str">
        <x:v>Transporte por camión</x:v>
      </x:c>
      <x:c r="H74" s="12" t="str">
        <x:v>03564 565656</x:v>
      </x:c>
      <x:c r="I74" s="12" t="str">
        <x:v>Bv. Roca</x:v>
      </x:c>
      <x:c r="J74" s="12" t="str">
        <x:v>Pedir tráfico/operaciones y ofrecer acuerdo de derivaciones.</x:v>
      </x:c>
      <x:c r="K74" s="12" t="str">
        <x:v>https://www.google.com/maps/search/?api=1&amp;query=Vuelta+Redonda+S.A.%2C+Bv.+Roca+2928%2C+San+Francisco%2C+C%C3%B3rdoba</x:v>
      </x:c>
      <x:c r="L74" s="12" t="str">
        <x:v>Operativo / verificar antes de visita</x:v>
      </x:c>
    </x:row>
    <x:row r="75">
      <x:c r="A75" s="12" t="str">
        <x:v>SF-062</x:v>
      </x:c>
      <x:c r="B75" s="12" t="str">
        <x:v>Núcleo</x:v>
      </x:c>
      <x:c r="C75" s="12" t="str">
        <x:v>San Francisco</x:v>
      </x:c>
      <x:c r="D75" s="12" t="str">
        <x:v>B</x:v>
      </x:c>
      <x:c r="E75" s="12" t="n">
        <x:v>74</x:v>
      </x:c>
      <x:c r="F75" s="12" t="str">
        <x:v>Carisio Jorge Francisco S.R.L.</x:v>
      </x:c>
      <x:c r="G75" s="12" t="str">
        <x:v>Metalúrgica / mecanizado / piezas</x:v>
      </x:c>
      <x:c r="H75" s="12" t="str">
        <x:v>A verificar</x:v>
      </x:c>
      <x:c r="I75" s="12" t="str">
        <x:v>Parque Industrial</x:v>
      </x:c>
      <x:c r="J75" s="12" t="str">
        <x:v>Pedir producción/expedición/mantenimiento y relevar piezas máximas/destinos.</x:v>
      </x:c>
      <x:c r="K75" s="12" t="str">
        <x:v>https://www.google.com/maps/search/?api=1&amp;query=Carisio+Jorge+Francisco+S.R.L.%2C+Parque+Industrial+San+Francisco%2C+San+Francisco%2C+C%C3%B3rdoba</x:v>
      </x:c>
      <x:c r="L75" s="12" t="str">
        <x:v>Operativo / verificar antes de visita</x:v>
      </x:c>
    </x:row>
    <x:row r="76">
      <x:c r="A76" s="12" t="str">
        <x:v>SF-063</x:v>
      </x:c>
      <x:c r="B76" s="12" t="str">
        <x:v>Núcleo</x:v>
      </x:c>
      <x:c r="C76" s="12" t="str">
        <x:v>San Francisco</x:v>
      </x:c>
      <x:c r="D76" s="12" t="str">
        <x:v>B</x:v>
      </x:c>
      <x:c r="E76" s="12" t="n">
        <x:v>72</x:v>
      </x:c>
      <x:c r="F76" s="12" t="str">
        <x:v>Cravero Repuestos</x:v>
      </x:c>
      <x:c r="G76" s="12" t="str">
        <x:v>Metalúrgica / mecanizado / piezas</x:v>
      </x:c>
      <x:c r="H76" s="12" t="str">
        <x:v>A verificar</x:v>
      </x:c>
      <x:c r="I76" s="12" t="str">
        <x:v>Parque Industrial</x:v>
      </x:c>
      <x:c r="J76" s="12" t="str">
        <x:v>Pedir producción/expedición/mantenimiento y relevar piezas máximas/destinos.</x:v>
      </x:c>
      <x:c r="K76" s="12" t="str">
        <x:v>https://www.google.com/maps/search/?api=1&amp;query=Cravero+Repuestos%2C+Parque+Industrial+San+Francisco%2C+San+Francisco%2C+C%C3%B3rdoba</x:v>
      </x:c>
      <x:c r="L76" s="12" t="str">
        <x:v>Operativo / verificar antes de visita</x:v>
      </x:c>
    </x:row>
    <x:row r="77">
      <x:c r="A77" s="12" t="str">
        <x:v>SF-064</x:v>
      </x:c>
      <x:c r="B77" s="12" t="str">
        <x:v>Núcleo</x:v>
      </x:c>
      <x:c r="C77" s="12" t="str">
        <x:v>San Francisco</x:v>
      </x:c>
      <x:c r="D77" s="12" t="str">
        <x:v>B</x:v>
      </x:c>
      <x:c r="E77" s="12" t="n">
        <x:v>72</x:v>
      </x:c>
      <x:c r="F77" s="12" t="str">
        <x:v>MR Tratamientos Térmicos De Maris</x:v>
      </x:c>
      <x:c r="G77" s="12" t="str">
        <x:v>Metalúrgica / mecanizado / piezas</x:v>
      </x:c>
      <x:c r="H77" s="12" t="str">
        <x:v>A verificar</x:v>
      </x:c>
      <x:c r="I77" s="12" t="str">
        <x:v>Parque Industrial</x:v>
      </x:c>
      <x:c r="J77" s="12" t="str">
        <x:v>Pedir producción/expedición/mantenimiento y relevar piezas máximas/destinos.</x:v>
      </x:c>
      <x:c r="K77" s="12" t="str">
        <x:v>https://www.google.com/maps/search/?api=1&amp;query=MR+Tratamientos+T%C3%A9rmicos+De+Maris%2C+Parque+Industrial+San+Francisco%2C+San+Francisco%2C+C%C3%B3rdoba</x:v>
      </x:c>
      <x:c r="L77" s="12" t="str">
        <x:v>Operativo / verificar antes de visita</x:v>
      </x:c>
    </x:row>
    <x:row r="78">
      <x:c r="A78" s="12" t="str">
        <x:v>SF-065</x:v>
      </x:c>
      <x:c r="B78" s="12" t="str">
        <x:v>Núcleo</x:v>
      </x:c>
      <x:c r="C78" s="12" t="str">
        <x:v>San Francisco</x:v>
      </x:c>
      <x:c r="D78" s="12" t="str">
        <x:v>B</x:v>
      </x:c>
      <x:c r="E78" s="12" t="n">
        <x:v>72</x:v>
      </x:c>
      <x:c r="F78" s="12" t="str">
        <x:v>Sottano Tratamientos</x:v>
      </x:c>
      <x:c r="G78" s="12" t="str">
        <x:v>Metalúrgica / mecanizado / piezas</x:v>
      </x:c>
      <x:c r="H78" s="12" t="str">
        <x:v>A verificar</x:v>
      </x:c>
      <x:c r="I78" s="12" t="str">
        <x:v>Parque Industrial</x:v>
      </x:c>
      <x:c r="J78" s="12" t="str">
        <x:v>Pedir producción/expedición/mantenimiento y relevar piezas máximas/destinos.</x:v>
      </x:c>
      <x:c r="K78" s="12" t="str">
        <x:v>https://www.google.com/maps/search/?api=1&amp;query=Sottano+Tratamientos%2C+Parque+Industrial+San+Francisco%2C+San+Francisco%2C+C%C3%B3rdoba</x:v>
      </x:c>
      <x:c r="L78" s="12" t="str">
        <x:v>Operativo / verificar antes de visita</x:v>
      </x:c>
    </x:row>
    <x:row r="79">
      <x:c r="A79" s="12" t="str">
        <x:v>SF-066</x:v>
      </x:c>
      <x:c r="B79" s="12" t="str">
        <x:v>Núcleo</x:v>
      </x:c>
      <x:c r="C79" s="12" t="str">
        <x:v>San Francisco</x:v>
      </x:c>
      <x:c r="D79" s="12" t="str">
        <x:v>B</x:v>
      </x:c>
      <x:c r="E79" s="12" t="n">
        <x:v>70</x:v>
      </x:c>
      <x:c r="F79" s="12" t="str">
        <x:v>JCM Soldadura</x:v>
      </x:c>
      <x:c r="G79" s="12" t="str">
        <x:v>Metalúrgica / mecanizado / piezas</x:v>
      </x:c>
      <x:c r="H79" s="12" t="str">
        <x:v>A verificar</x:v>
      </x:c>
      <x:c r="I79" s="12" t="str">
        <x:v>Parque Industrial</x:v>
      </x:c>
      <x:c r="J79" s="12" t="str">
        <x:v>Pedir producción/expedición/mantenimiento y relevar piezas máximas/destinos.</x:v>
      </x:c>
      <x:c r="K79" s="12" t="str">
        <x:v>https://www.google.com/maps/search/?api=1&amp;query=JCM+Soldadura%2C+Parque+Industrial+San+Francisco%2C+San+Francisco%2C+C%C3%B3rdoba</x:v>
      </x:c>
      <x:c r="L79" s="12" t="str">
        <x:v>Operativo / verificar antes de visita</x:v>
      </x:c>
    </x:row>
    <x:row r="80">
      <x:c r="A80" s="12" t="str">
        <x:v>SF-067</x:v>
      </x:c>
      <x:c r="B80" s="12" t="str">
        <x:v>Núcleo</x:v>
      </x:c>
      <x:c r="C80" s="12" t="str">
        <x:v>San Francisco</x:v>
      </x:c>
      <x:c r="D80" s="12" t="str">
        <x:v>B</x:v>
      </x:c>
      <x:c r="E80" s="12" t="n">
        <x:v>70</x:v>
      </x:c>
      <x:c r="F80" s="12" t="str">
        <x:v>P.G. S.R.L.</x:v>
      </x:c>
      <x:c r="G80" s="12" t="str">
        <x:v>Metalúrgica / mecanizado / piezas</x:v>
      </x:c>
      <x:c r="H80" s="12" t="str">
        <x:v>A verificar</x:v>
      </x:c>
      <x:c r="I80" s="12" t="str">
        <x:v>Parque Industrial</x:v>
      </x:c>
      <x:c r="J80" s="12" t="str">
        <x:v>Pedir producción/expedición/mantenimiento y relevar piezas máximas/destinos.</x:v>
      </x:c>
      <x:c r="K80" s="12" t="str">
        <x:v>https://www.google.com/maps/search/?api=1&amp;query=P.G.+S.R.L.%2C+Parque+Industrial+San+Francisco%2C+San+Francisco%2C+C%C3%B3rdoba</x:v>
      </x:c>
      <x:c r="L80" s="12" t="str">
        <x:v>Operativo / verificar antes de visita</x:v>
      </x:c>
    </x:row>
    <x:row r="81">
      <x:c r="A81" s="12" t="str">
        <x:v>SF-068</x:v>
      </x:c>
      <x:c r="B81" s="12" t="str">
        <x:v>Núcleo</x:v>
      </x:c>
      <x:c r="C81" s="12" t="str">
        <x:v>San Francisco</x:v>
      </x:c>
      <x:c r="D81" s="12" t="str">
        <x:v>B</x:v>
      </x:c>
      <x:c r="E81" s="12" t="n">
        <x:v>68</x:v>
      </x:c>
      <x:c r="F81" s="12" t="str">
        <x:v>Boetto Omar</x:v>
      </x:c>
      <x:c r="G81" s="12" t="str">
        <x:v>Metalúrgica / mecanizado / piezas</x:v>
      </x:c>
      <x:c r="H81" s="12" t="str">
        <x:v>A verificar</x:v>
      </x:c>
      <x:c r="I81" s="12" t="str">
        <x:v>Parque Industrial</x:v>
      </x:c>
      <x:c r="J81" s="12" t="str">
        <x:v>Pedir producción/expedición/mantenimiento y relevar piezas máximas/destinos.</x:v>
      </x:c>
      <x:c r="K81" s="12" t="str">
        <x:v>https://www.google.com/maps/search/?api=1&amp;query=Boetto+Omar%2C+Parque+Industrial+San+Francisco%2C+San+Francisco%2C+C%C3%B3rdoba</x:v>
      </x:c>
      <x:c r="L81" s="12" t="str">
        <x:v>Operativo / verificar antes de visita</x:v>
      </x:c>
    </x:row>
    <x:row r="82">
      <x:c r="A82" s="12" t="str">
        <x:v>SF-069</x:v>
      </x:c>
      <x:c r="B82" s="12" t="str">
        <x:v>Núcleo</x:v>
      </x:c>
      <x:c r="C82" s="12" t="str">
        <x:v>San Francisco</x:v>
      </x:c>
      <x:c r="D82" s="12" t="str">
        <x:v>B</x:v>
      </x:c>
      <x:c r="E82" s="12" t="n">
        <x:v>68</x:v>
      </x:c>
      <x:c r="F82" s="12" t="str">
        <x:v>Cavour Desarrollos S.R.L.</x:v>
      </x:c>
      <x:c r="G82" s="12" t="str">
        <x:v>Industria alimenticia / planta industrial</x:v>
      </x:c>
      <x:c r="H82" s="12" t="str">
        <x:v>03564 445833</x:v>
      </x:c>
      <x:c r="I82" s="12" t="str">
        <x:v>Parque Industrial / Carra</x:v>
      </x:c>
      <x:c r="J82" s="12" t="str">
        <x:v>Pedir mantenimiento/compras/planta; relevar equipos críticos.</x:v>
      </x:c>
      <x:c r="K82" s="12" t="str">
        <x:v>https://www.google.com/maps/search/?api=1&amp;query=Cavour+Desarrollos+S.R.L.%2C+M.A.+Carra+1576%2C+San+Francisco%2C+C%C3%B3rdoba</x:v>
      </x:c>
      <x:c r="L82" s="12" t="str">
        <x:v>Operativo / verificar antes de visita</x:v>
      </x:c>
    </x:row>
    <x:row r="83">
      <x:c r="A83" s="12" t="str">
        <x:v>SF-070</x:v>
      </x:c>
      <x:c r="B83" s="12" t="str">
        <x:v>Núcleo</x:v>
      </x:c>
      <x:c r="C83" s="12" t="str">
        <x:v>San Francisco</x:v>
      </x:c>
      <x:c r="D83" s="12" t="str">
        <x:v>B</x:v>
      </x:c>
      <x:c r="E83" s="12" t="n">
        <x:v>68</x:v>
      </x:c>
      <x:c r="F83" s="12" t="str">
        <x:v>Gerardo Casalegno</x:v>
      </x:c>
      <x:c r="G83" s="12" t="str">
        <x:v>Metalúrgica / mecanizado / piezas</x:v>
      </x:c>
      <x:c r="H83" s="12" t="str">
        <x:v>A verificar</x:v>
      </x:c>
      <x:c r="I83" s="12" t="str">
        <x:v>Parque Industrial</x:v>
      </x:c>
      <x:c r="J83" s="12" t="str">
        <x:v>Pedir producción/expedición/mantenimiento y relevar piezas máximas/destinos.</x:v>
      </x:c>
      <x:c r="K83" s="12" t="str">
        <x:v>https://www.google.com/maps/search/?api=1&amp;query=Gerardo+Casalegno%2C+Parque+Industrial+San+Francisco%2C+San+Francisco%2C+C%C3%B3rdoba</x:v>
      </x:c>
      <x:c r="L83" s="12" t="str">
        <x:v>Operativo / verificar antes de visita</x:v>
      </x:c>
    </x:row>
    <x:row r="84">
      <x:c r="A84" s="12" t="str">
        <x:v>SF-071</x:v>
      </x:c>
      <x:c r="B84" s="12" t="str">
        <x:v>Núcleo</x:v>
      </x:c>
      <x:c r="C84" s="12" t="str">
        <x:v>San Francisco</x:v>
      </x:c>
      <x:c r="D84" s="12" t="str">
        <x:v>B</x:v>
      </x:c>
      <x:c r="E84" s="12" t="n">
        <x:v>68</x:v>
      </x:c>
      <x:c r="F84" s="12" t="str">
        <x:v>Goiran Andrés Roque</x:v>
      </x:c>
      <x:c r="G84" s="12" t="str">
        <x:v>Metalúrgica / mecanizado / piezas</x:v>
      </x:c>
      <x:c r="H84" s="12" t="str">
        <x:v>A verificar</x:v>
      </x:c>
      <x:c r="I84" s="12" t="str">
        <x:v>Parque Industrial</x:v>
      </x:c>
      <x:c r="J84" s="12" t="str">
        <x:v>Pedir producción/expedición/mantenimiento y relevar piezas máximas/destinos.</x:v>
      </x:c>
      <x:c r="K84" s="12" t="str">
        <x:v>https://www.google.com/maps/search/?api=1&amp;query=Goiran+Andr%C3%A9s+Roque%2C+Parque+Industrial+San+Francisco%2C+San+Francisco%2C+C%C3%B3rdoba</x:v>
      </x:c>
      <x:c r="L84" s="12" t="str">
        <x:v>Operativo / verificar antes de visita</x:v>
      </x:c>
    </x:row>
    <x:row r="85">
      <x:c r="A85" s="12" t="str">
        <x:v>SF-072</x:v>
      </x:c>
      <x:c r="B85" s="12" t="str">
        <x:v>Núcleo</x:v>
      </x:c>
      <x:c r="C85" s="12" t="str">
        <x:v>San Francisco</x:v>
      </x:c>
      <x:c r="D85" s="12" t="str">
        <x:v>B</x:v>
      </x:c>
      <x:c r="E85" s="12" t="n">
        <x:v>68</x:v>
      </x:c>
      <x:c r="F85" s="12" t="str">
        <x:v>GR Remolques</x:v>
      </x:c>
      <x:c r="G85" s="12" t="str">
        <x:v>Auxilio / grúa / remolque</x:v>
      </x:c>
      <x:c r="H85" s="12" t="str">
        <x:v>03564 528080</x:v>
      </x:c>
      <x:c r="I85" s="12" t="str">
        <x:v>Fleming</x:v>
      </x:c>
      <x:c r="J85" s="12" t="str">
        <x:v>Pedir operaciones/alquileres; relevar flota y frecuencia.</x:v>
      </x:c>
      <x:c r="K85" s="12" t="str">
        <x:v>https://www.google.com/maps/search/?api=1&amp;query=GR+Remolques%2C+Fleming+1066%2C+San+Francisco%2C+C%C3%B3rdoba</x:v>
      </x:c>
      <x:c r="L85" s="12" t="str">
        <x:v>Operativo / verificar antes de visita</x:v>
      </x:c>
    </x:row>
    <x:row r="86">
      <x:c r="A86" s="12" t="str">
        <x:v>SF-073</x:v>
      </x:c>
      <x:c r="B86" s="12" t="str">
        <x:v>Núcleo</x:v>
      </x:c>
      <x:c r="C86" s="12" t="str">
        <x:v>San Francisco</x:v>
      </x:c>
      <x:c r="D86" s="12" t="str">
        <x:v>B</x:v>
      </x:c>
      <x:c r="E86" s="12" t="n">
        <x:v>68</x:v>
      </x:c>
      <x:c r="F86" s="12" t="str">
        <x:v>Nicolás Fernando Felippa</x:v>
      </x:c>
      <x:c r="G86" s="12" t="str">
        <x:v>Metalúrgica / mecanizado / piezas</x:v>
      </x:c>
      <x:c r="H86" s="12" t="str">
        <x:v>A verificar</x:v>
      </x:c>
      <x:c r="I86" s="12" t="str">
        <x:v>Parque Industrial</x:v>
      </x:c>
      <x:c r="J86" s="12" t="str">
        <x:v>Pedir producción/expedición/mantenimiento y relevar piezas máximas/destinos.</x:v>
      </x:c>
      <x:c r="K86" s="12" t="str">
        <x:v>https://www.google.com/maps/search/?api=1&amp;query=Nicol%C3%A1s+Fernando+Felippa%2C+Parque+Industrial+San+Francisco%2C+San+Francisco%2C+C%C3%B3rdoba</x:v>
      </x:c>
      <x:c r="L86" s="12" t="str">
        <x:v>Operativo / verificar antes de visita</x:v>
      </x:c>
    </x:row>
    <x:row r="87">
      <x:c r="A87" s="12" t="str">
        <x:v>SF-074</x:v>
      </x:c>
      <x:c r="B87" s="12" t="str">
        <x:v>Núcleo</x:v>
      </x:c>
      <x:c r="C87" s="12" t="str">
        <x:v>San Francisco</x:v>
      </x:c>
      <x:c r="D87" s="12" t="str">
        <x:v>B</x:v>
      </x:c>
      <x:c r="E87" s="12" t="n">
        <x:v>68</x:v>
      </x:c>
      <x:c r="F87" s="12" t="str">
        <x:v>Transporte San Francisco</x:v>
      </x:c>
      <x:c r="G87" s="12" t="str">
        <x:v>Transporte de mercancías</x:v>
      </x:c>
      <x:c r="H87" s="12" t="str">
        <x:v>03564 572250</x:v>
      </x:c>
      <x:c r="I87" s="12" t="str">
        <x:v>Salta</x:v>
      </x:c>
      <x:c r="J87" s="12" t="str">
        <x:v>Pedir tráfico/operaciones y ofrecer acuerdo de derivaciones.</x:v>
      </x:c>
      <x:c r="K87" s="12" t="str">
        <x:v>https://www.google.com/maps/search/?api=1&amp;query=Transporte+San+Francisco%2C+Salta+270%2C+San+Francisco%2C+C%C3%B3rdoba</x:v>
      </x:c>
      <x:c r="L87" s="12" t="str">
        <x:v>Operativo / verificar antes de visita</x:v>
      </x:c>
    </x:row>
    <x:row r="88">
      <x:c r="A88" s="12" t="str">
        <x:v>SF-075</x:v>
      </x:c>
      <x:c r="B88" s="12" t="str">
        <x:v>Núcleo</x:v>
      </x:c>
      <x:c r="C88" s="12" t="str">
        <x:v>San Francisco</x:v>
      </x:c>
      <x:c r="D88" s="12" t="str">
        <x:v>B</x:v>
      </x:c>
      <x:c r="E88" s="12" t="n">
        <x:v>66</x:v>
      </x:c>
      <x:c r="F88" s="12" t="str">
        <x:v>Bollati Alejandro Humberto</x:v>
      </x:c>
      <x:c r="G88" s="12" t="str">
        <x:v>Metalúrgica / mecanizado / piezas</x:v>
      </x:c>
      <x:c r="H88" s="12" t="str">
        <x:v>A verificar</x:v>
      </x:c>
      <x:c r="I88" s="12" t="str">
        <x:v>Parque Industrial</x:v>
      </x:c>
      <x:c r="J88" s="12" t="str">
        <x:v>Pedir producción/expedición/mantenimiento y relevar piezas máximas/destinos.</x:v>
      </x:c>
      <x:c r="K88" s="12" t="str">
        <x:v>https://www.google.com/maps/search/?api=1&amp;query=Bollati+Alejandro+Humberto%2C+Parque+Industrial+San+Francisco%2C+San+Francisco%2C+C%C3%B3rdoba</x:v>
      </x:c>
      <x:c r="L88" s="12" t="str">
        <x:v>Operativo / verificar antes de visita</x:v>
      </x:c>
    </x:row>
    <x:row r="89">
      <x:c r="A89" s="12" t="str">
        <x:v>SF-076</x:v>
      </x:c>
      <x:c r="B89" s="12" t="str">
        <x:v>Núcleo</x:v>
      </x:c>
      <x:c r="C89" s="12" t="str">
        <x:v>San Francisco</x:v>
      </x:c>
      <x:c r="D89" s="12" t="str">
        <x:v>B</x:v>
      </x:c>
      <x:c r="E89" s="12" t="n">
        <x:v>66</x:v>
      </x:c>
      <x:c r="F89" s="12" t="str">
        <x:v>Mario Aimar</x:v>
      </x:c>
      <x:c r="G89" s="12" t="str">
        <x:v>Metalúrgica / mecanizado / piezas</x:v>
      </x:c>
      <x:c r="H89" s="12" t="str">
        <x:v>A verificar</x:v>
      </x:c>
      <x:c r="I89" s="12" t="str">
        <x:v>Parque Industrial</x:v>
      </x:c>
      <x:c r="J89" s="12" t="str">
        <x:v>Pedir producción/expedición/mantenimiento y relevar piezas máximas/destinos.</x:v>
      </x:c>
      <x:c r="K89" s="12" t="str">
        <x:v>https://www.google.com/maps/search/?api=1&amp;query=Mario+Aimar%2C+Parque+Industrial+San+Francisco%2C+San+Francisco%2C+C%C3%B3rdoba</x:v>
      </x:c>
      <x:c r="L89" s="12" t="str">
        <x:v>Operativo / verificar antes de visita</x:v>
      </x:c>
    </x:row>
    <x:row r="90">
      <x:c r="A90" s="12" t="str">
        <x:v>SF-077</x:v>
      </x:c>
      <x:c r="B90" s="12" t="str">
        <x:v>Núcleo</x:v>
      </x:c>
      <x:c r="C90" s="12" t="str">
        <x:v>San Francisco</x:v>
      </x:c>
      <x:c r="D90" s="12" t="str">
        <x:v>B</x:v>
      </x:c>
      <x:c r="E90" s="12" t="n">
        <x:v>66</x:v>
      </x:c>
      <x:c r="F90" s="12" t="str">
        <x:v>Tuninetti Miguel Ángel</x:v>
      </x:c>
      <x:c r="G90" s="12" t="str">
        <x:v>Metalúrgica / mecanizado / piezas</x:v>
      </x:c>
      <x:c r="H90" s="12" t="str">
        <x:v>A verificar</x:v>
      </x:c>
      <x:c r="I90" s="12" t="str">
        <x:v>Parque Industrial</x:v>
      </x:c>
      <x:c r="J90" s="12" t="str">
        <x:v>Pedir producción/expedición/mantenimiento y relevar piezas máximas/destinos.</x:v>
      </x:c>
      <x:c r="K90" s="12" t="str">
        <x:v>https://www.google.com/maps/search/?api=1&amp;query=Tuninetti+Miguel+%C3%81ngel%2C+Parque+Industrial+San+Francisco%2C+San+Francisco%2C+C%C3%B3rdoba</x:v>
      </x:c>
      <x:c r="L90" s="12" t="str">
        <x:v>Operativo / verificar antes de visita</x:v>
      </x:c>
    </x:row>
    <x:row r="91">
      <x:c r="A91" s="12" t="str">
        <x:v>SF-078</x:v>
      </x:c>
      <x:c r="B91" s="12" t="str">
        <x:v>Núcleo</x:v>
      </x:c>
      <x:c r="C91" s="12" t="str">
        <x:v>San Francisco</x:v>
      </x:c>
      <x:c r="D91" s="12" t="str">
        <x:v>B</x:v>
      </x:c>
      <x:c r="E91" s="12" t="n">
        <x:v>64</x:v>
      </x:c>
      <x:c r="F91" s="12" t="str">
        <x:v>Adrian Pagliano</x:v>
      </x:c>
      <x:c r="G91" s="12" t="str">
        <x:v>Metalúrgica / mecanizado / piezas</x:v>
      </x:c>
      <x:c r="H91" s="12" t="str">
        <x:v>A verificar</x:v>
      </x:c>
      <x:c r="I91" s="12" t="str">
        <x:v>Parque Industrial</x:v>
      </x:c>
      <x:c r="J91" s="12" t="str">
        <x:v>Pedir producción/expedición/mantenimiento y relevar piezas máximas/destinos.</x:v>
      </x:c>
      <x:c r="K91" s="12" t="str">
        <x:v>https://www.google.com/maps/search/?api=1&amp;query=Adrian+Pagliano%2C+Parque+Industrial+San+Francisco%2C+San+Francisco%2C+C%C3%B3rdoba</x:v>
      </x:c>
      <x:c r="L91" s="12" t="str">
        <x:v>Operativo / verificar antes de visita</x:v>
      </x:c>
    </x:row>
    <x:row r="92">
      <x:c r="A92" s="12" t="str">
        <x:v>SF-079</x:v>
      </x:c>
      <x:c r="B92" s="12" t="str">
        <x:v>Núcleo</x:v>
      </x:c>
      <x:c r="C92" s="12" t="str">
        <x:v>San Francisco</x:v>
      </x:c>
      <x:c r="D92" s="12" t="str">
        <x:v>B</x:v>
      </x:c>
      <x:c r="E92" s="12" t="n">
        <x:v>64</x:v>
      </x:c>
      <x:c r="F92" s="12" t="str">
        <x:v>Machado Gabriel Horacio</x:v>
      </x:c>
      <x:c r="G92" s="12" t="str">
        <x:v>Metalúrgica / mecanizado / piezas</x:v>
      </x:c>
      <x:c r="H92" s="12" t="str">
        <x:v>A verificar</x:v>
      </x:c>
      <x:c r="I92" s="12" t="str">
        <x:v>Parque Industrial</x:v>
      </x:c>
      <x:c r="J92" s="12" t="str">
        <x:v>Pedir producción/expedición/mantenimiento y relevar piezas máximas/destinos.</x:v>
      </x:c>
      <x:c r="K92" s="12" t="str">
        <x:v>https://www.google.com/maps/search/?api=1&amp;query=Machado+Gabriel+Horacio%2C+Parque+Industrial+San+Francisco%2C+San+Francisco%2C+C%C3%B3rdoba</x:v>
      </x:c>
      <x:c r="L92" s="12" t="str">
        <x:v>Operativo / verificar antes de visita</x:v>
      </x:c>
    </x:row>
    <x:row r="93">
      <x:c r="A93" s="12" t="str">
        <x:v>SF-080</x:v>
      </x:c>
      <x:c r="B93" s="12" t="str">
        <x:v>Núcleo</x:v>
      </x:c>
      <x:c r="C93" s="12" t="str">
        <x:v>San Francisco</x:v>
      </x:c>
      <x:c r="D93" s="12" t="str">
        <x:v>B</x:v>
      </x:c>
      <x:c r="E93" s="12" t="n">
        <x:v>64</x:v>
      </x:c>
      <x:c r="F93" s="12" t="str">
        <x:v>Marcelo Luis Tortolo</x:v>
      </x:c>
      <x:c r="G93" s="12" t="str">
        <x:v>Autopartes / automotor</x:v>
      </x:c>
      <x:c r="H93" s="12" t="str">
        <x:v>A verificar</x:v>
      </x:c>
      <x:c r="I93" s="12" t="str">
        <x:v>Parque Industrial</x:v>
      </x:c>
      <x:c r="J93" s="12" t="str">
        <x:v>Pedir producción/expedición/mantenimiento y relevar piezas máximas/destinos.</x:v>
      </x:c>
      <x:c r="K93" s="12" t="str">
        <x:v>https://www.google.com/maps/search/?api=1&amp;query=Marcelo+Luis+Tortolo%2C+Parque+Industrial+San+Francisco%2C+San+Francisco%2C+C%C3%B3rdoba</x:v>
      </x:c>
      <x:c r="L93" s="12" t="str">
        <x:v>Operativo / verificar antes de visita</x:v>
      </x:c>
    </x:row>
    <x:row r="94">
      <x:c r="A94" s="12" t="str">
        <x:v>SF-081</x:v>
      </x:c>
      <x:c r="B94" s="12" t="str">
        <x:v>Núcleo</x:v>
      </x:c>
      <x:c r="C94" s="12" t="str">
        <x:v>San Francisco</x:v>
      </x:c>
      <x:c r="D94" s="12" t="str">
        <x:v>B</x:v>
      </x:c>
      <x:c r="E94" s="12" t="n">
        <x:v>64</x:v>
      </x:c>
      <x:c r="F94" s="12" t="str">
        <x:v>Mosca Eduardo Osvaldo</x:v>
      </x:c>
      <x:c r="G94" s="12" t="str">
        <x:v>Metalúrgica / mecanizado / piezas</x:v>
      </x:c>
      <x:c r="H94" s="12" t="str">
        <x:v>A verificar</x:v>
      </x:c>
      <x:c r="I94" s="12" t="str">
        <x:v>Parque Industrial</x:v>
      </x:c>
      <x:c r="J94" s="12" t="str">
        <x:v>Pedir producción/expedición/mantenimiento y relevar piezas máximas/destinos.</x:v>
      </x:c>
      <x:c r="K94" s="12" t="str">
        <x:v>https://www.google.com/maps/search/?api=1&amp;query=Mosca+Eduardo+Osvaldo%2C+Parque+Industrial+San+Francisco%2C+San+Francisco%2C+C%C3%B3rdoba</x:v>
      </x:c>
      <x:c r="L94" s="12" t="str">
        <x:v>Operativo / verificar antes de visita</x:v>
      </x:c>
    </x:row>
    <x:row r="95">
      <x:c r="A95" s="12" t="str">
        <x:v>SF-082</x:v>
      </x:c>
      <x:c r="B95" s="12" t="str">
        <x:v>Núcleo</x:v>
      </x:c>
      <x:c r="C95" s="12" t="str">
        <x:v>San Francisco</x:v>
      </x:c>
      <x:c r="D95" s="12" t="str">
        <x:v>B</x:v>
      </x:c>
      <x:c r="E95" s="12" t="n">
        <x:v>64</x:v>
      </x:c>
      <x:c r="F95" s="12" t="str">
        <x:v>Scocco Alberto Luis</x:v>
      </x:c>
      <x:c r="G95" s="12" t="str">
        <x:v>Metalúrgica / mecanizado / piezas</x:v>
      </x:c>
      <x:c r="H95" s="12" t="str">
        <x:v>A verificar</x:v>
      </x:c>
      <x:c r="I95" s="12" t="str">
        <x:v>Parque Industrial</x:v>
      </x:c>
      <x:c r="J95" s="12" t="str">
        <x:v>Pedir producción/expedición/mantenimiento y relevar piezas máximas/destinos.</x:v>
      </x:c>
      <x:c r="K95" s="12" t="str">
        <x:v>https://www.google.com/maps/search/?api=1&amp;query=Scocco+Alberto+Luis%2C+Parque+Industrial+San+Francisco%2C+San+Francisco%2C+C%C3%B3rdoba</x:v>
      </x:c>
      <x:c r="L95" s="12" t="str">
        <x:v>Operativo / verificar antes de visita</x:v>
      </x:c>
    </x:row>
    <x:row r="96">
      <x:c r="A96" s="12" t="str">
        <x:v>SF-083</x:v>
      </x:c>
      <x:c r="B96" s="12" t="str">
        <x:v>Núcleo</x:v>
      </x:c>
      <x:c r="C96" s="12" t="str">
        <x:v>San Francisco</x:v>
      </x:c>
      <x:c r="D96" s="12" t="str">
        <x:v>B</x:v>
      </x:c>
      <x:c r="E96" s="12" t="n">
        <x:v>64</x:v>
      </x:c>
      <x:c r="F96" s="12" t="str">
        <x:v>Vagliente Javier Adalberto</x:v>
      </x:c>
      <x:c r="G96" s="12" t="str">
        <x:v>Metalúrgica / mecanizado / piezas</x:v>
      </x:c>
      <x:c r="H96" s="12" t="str">
        <x:v>A verificar</x:v>
      </x:c>
      <x:c r="I96" s="12" t="str">
        <x:v>Parque Industrial</x:v>
      </x:c>
      <x:c r="J96" s="12" t="str">
        <x:v>Pedir producción/expedición/mantenimiento y relevar piezas máximas/destinos.</x:v>
      </x:c>
      <x:c r="K96" s="12" t="str">
        <x:v>https://www.google.com/maps/search/?api=1&amp;query=Vagliente+Javier+Adalberto%2C+Parque+Industrial+San+Francisco%2C+San+Francisco%2C+C%C3%B3rdoba</x:v>
      </x:c>
      <x:c r="L96" s="12" t="str">
        <x:v>Operativo / verificar antes de visita</x:v>
      </x:c>
    </x:row>
    <x:row r="97">
      <x:c r="A97" s="12" t="str">
        <x:v>SF-084</x:v>
      </x:c>
      <x:c r="B97" s="12" t="str">
        <x:v>Núcleo</x:v>
      </x:c>
      <x:c r="C97" s="12" t="str">
        <x:v>San Francisco</x:v>
      </x:c>
      <x:c r="D97" s="12" t="str">
        <x:v>B</x:v>
      </x:c>
      <x:c r="E97" s="12" t="n">
        <x:v>62</x:v>
      </x:c>
      <x:c r="F97" s="12" t="str">
        <x:v>MSF Tech S.A.</x:v>
      </x:c>
      <x:c r="G97" s="12" t="str">
        <x:v>Tecnología / industria</x:v>
      </x:c>
      <x:c r="H97" s="12" t="str">
        <x:v>A verificar</x:v>
      </x:c>
      <x:c r="I97" s="12" t="str">
        <x:v>Parque Industrial</x:v>
      </x:c>
      <x:c r="J97" s="12" t="str">
        <x:v>Pedir mantenimiento/compras/planta; relevar equipos críticos.</x:v>
      </x:c>
      <x:c r="K97" s="12" t="str">
        <x:v>https://www.google.com/maps/search/?api=1&amp;query=MSF+Tech+S.A.%2C+Parque+Industrial+San+Francisco%2C+San+Francisco%2C+C%C3%B3rdoba</x:v>
      </x:c>
      <x:c r="L97" s="12" t="str">
        <x:v>Operativo / verificar antes de visita</x:v>
      </x:c>
    </x:row>
    <x:row r="98">
      <x:c r="A98" s="12" t="str">
        <x:v>SF-085</x:v>
      </x:c>
      <x:c r="B98" s="12" t="str">
        <x:v>Núcleo</x:v>
      </x:c>
      <x:c r="C98" s="12" t="str">
        <x:v>San Francisco</x:v>
      </x:c>
      <x:c r="D98" s="12" t="str">
        <x:v>B</x:v>
      </x:c>
      <x:c r="E98" s="12" t="n">
        <x:v>60</x:v>
      </x:c>
      <x:c r="F98" s="12" t="str">
        <x:v>H.M. Plastic S.A.</x:v>
      </x:c>
      <x:c r="G98" s="12" t="str">
        <x:v>Industria plástica</x:v>
      </x:c>
      <x:c r="H98" s="12" t="str">
        <x:v>A verificar</x:v>
      </x:c>
      <x:c r="I98" s="12" t="str">
        <x:v>Parque Industrial</x:v>
      </x:c>
      <x:c r="J98" s="12" t="str">
        <x:v>Pedir mantenimiento/compras/planta; relevar equipos críticos.</x:v>
      </x:c>
      <x:c r="K98" s="12" t="str">
        <x:v>https://www.google.com/maps/search/?api=1&amp;query=H.M.+Plastic+S.A.%2C+Parque+Industrial+San+Francisco%2C+San+Francisco%2C+C%C3%B3rdoba</x:v>
      </x:c>
      <x:c r="L98" s="12" t="str">
        <x:v>Operativo / verificar antes de visita</x:v>
      </x:c>
    </x:row>
    <x:row r="99">
      <x:c r="A99" s="12" t="str">
        <x:v>SF-086</x:v>
      </x:c>
      <x:c r="B99" s="12" t="str">
        <x:v>Núcleo</x:v>
      </x:c>
      <x:c r="C99" s="12" t="str">
        <x:v>San Francisco</x:v>
      </x:c>
      <x:c r="D99" s="12" t="str">
        <x:v>B</x:v>
      </x:c>
      <x:c r="E99" s="12" t="n">
        <x:v>58</x:v>
      </x:c>
      <x:c r="F99" s="12" t="str">
        <x:v>Estación La Finca</x:v>
      </x:c>
      <x:c r="G99" s="12" t="str">
        <x:v>Industria alimenticia</x:v>
      </x:c>
      <x:c r="H99" s="12" t="str">
        <x:v>03564 445823</x:v>
      </x:c>
      <x:c r="I99" s="12" t="str">
        <x:v>Parque Industrial / Torres</x:v>
      </x:c>
      <x:c r="J99" s="12" t="str">
        <x:v>Pedir mantenimiento/compras/planta; relevar equipos críticos.</x:v>
      </x:c>
      <x:c r="K99" s="12" t="str">
        <x:v>https://www.google.com/maps/search/?api=1&amp;query=Estaci%C3%B3n+La+Finca%2C+J.J.+Torres+4537%2C+San+Francisco%2C+C%C3%B3rdoba</x:v>
      </x:c>
      <x:c r="L99" s="12" t="str">
        <x:v>Operativo / verificar antes de visita</x:v>
      </x:c>
    </x:row>
    <x:row r="100">
      <x:c r="A100" s="12" t="str">
        <x:v>SF-087</x:v>
      </x:c>
      <x:c r="B100" s="12" t="str">
        <x:v>Zona ampliada</x:v>
      </x:c>
      <x:c r="C100" s="12" t="str">
        <x:v>Frontera</x:v>
      </x:c>
      <x:c r="D100" s="12" t="str">
        <x:v>A+</x:v>
      </x:c>
      <x:c r="E100" s="12" t="n">
        <x:v>100</x:v>
      </x:c>
      <x:c r="F100" s="12" t="str">
        <x:v>Agro Frontera S.R.L.</x:v>
      </x:c>
      <x:c r="G100" s="12" t="str">
        <x:v>Concesionario integral de maquinaria agrícola</x:v>
      </x:c>
      <x:c r="H100" s="12" t="str">
        <x:v>+54 3564 616161</x:v>
      </x:c>
      <x:c r="I100" s="12" t="str">
        <x:v>Frontera / Calle 50</x:v>
      </x:c>
      <x:c r="J100" s="12" t="str">
        <x:v>Pedir logística/expedición/posventa; relevar equipos, pesos y movimientos mensuales.</x:v>
      </x:c>
      <x:c r="K100" s="12" t="str">
        <x:v>https://www.google.com/maps/search/?api=1&amp;query=Agro+Frontera+S.R.L.%2C+Calle+50+N%C2%B0+570%2C+Frontera%2C+Santa+Fe</x:v>
      </x:c>
      <x:c r="L100" s="12" t="str">
        <x:v>Operativo / verificar antes de visita</x:v>
      </x:c>
    </x:row>
    <x:row r="101">
      <x:c r="A101" s="12" t="str">
        <x:v>SF-088</x:v>
      </x:c>
      <x:c r="B101" s="12" t="str">
        <x:v>Zona ampliada</x:v>
      </x:c>
      <x:c r="C101" s="12" t="str">
        <x:v>La Francia</x:v>
      </x:c>
      <x:c r="D101" s="12" t="str">
        <x:v>A+</x:v>
      </x:c>
      <x:c r="E101" s="12" t="n">
        <x:v>100</x:v>
      </x:c>
      <x:c r="F101" s="12" t="str">
        <x:v>Metalbert S.R.L.</x:v>
      </x:c>
      <x:c r="G101" s="12" t="str">
        <x:v>Fábrica de implementos agrícolas y viales</x:v>
      </x:c>
      <x:c r="H101" s="12" t="str">
        <x:v>+54 9 3564 584834</x:v>
      </x:c>
      <x:c r="I101" s="12" t="str">
        <x:v>Güiraldes</x:v>
      </x:c>
      <x:c r="J101" s="12" t="str">
        <x:v>Pedir logística/expedición/posventa; relevar equipos, pesos y movimientos mensuales.</x:v>
      </x:c>
      <x:c r="K101" s="12" t="str">
        <x:v>https://www.google.com/maps/search/?api=1&amp;query=Metalbert+S.R.L.%2C+G%C3%BCiraldes+575%2C+La+Francia%2C+C%C3%B3rdoba</x:v>
      </x:c>
      <x:c r="L101" s="12" t="str">
        <x:v>Operativo / verificar antes de visita</x:v>
      </x:c>
    </x:row>
    <x:row r="102">
      <x:c r="A102" s="12" t="str">
        <x:v>SF-089</x:v>
      </x:c>
      <x:c r="B102" s="12" t="str">
        <x:v>Zona ampliada</x:v>
      </x:c>
      <x:c r="C102" s="12" t="str">
        <x:v>La Francia</x:v>
      </x:c>
      <x:c r="D102" s="12" t="str">
        <x:v>A+</x:v>
      </x:c>
      <x:c r="E102" s="12" t="n">
        <x:v>99</x:v>
      </x:c>
      <x:c r="F102" s="12" t="str">
        <x:v>Juárez Industria Metalúrgica S.A.</x:v>
      </x:c>
      <x:c r="G102" s="12" t="str">
        <x:v>Fábrica de maquinaria agrícola</x:v>
      </x:c>
      <x:c r="H102" s="12" t="str">
        <x:v>03564 471610</x:v>
      </x:c>
      <x:c r="I102" s="12" t="str">
        <x:v>Güiraldes</x:v>
      </x:c>
      <x:c r="J102" s="12" t="str">
        <x:v>Pedir logística/expedición/posventa; relevar equipos, pesos y movimientos mensuales.</x:v>
      </x:c>
      <x:c r="K102" s="12" t="str">
        <x:v>https://www.google.com/maps/search/?api=1&amp;query=Ju%C3%A1rez+Industria+Metal%C3%BArgica+S.A.%2C+Ricardo+G%C3%BCiraldes+709%2C+La+Francia%2C+C%C3%B3rdoba</x:v>
      </x:c>
      <x:c r="L102" s="12" t="str">
        <x:v>Operativo / verificar antes de visita</x:v>
      </x:c>
    </x:row>
    <x:row r="103">
      <x:c r="A103" s="12" t="str">
        <x:v>SF-090</x:v>
      </x:c>
      <x:c r="B103" s="12" t="str">
        <x:v>Zona ampliada</x:v>
      </x:c>
      <x:c r="C103" s="12" t="str">
        <x:v>La Francia</x:v>
      </x:c>
      <x:c r="D103" s="12" t="str">
        <x:v>A+</x:v>
      </x:c>
      <x:c r="E103" s="12" t="n">
        <x:v>98</x:v>
      </x:c>
      <x:c r="F103" s="12" t="str">
        <x:v>SECMAN</x:v>
      </x:c>
      <x:c r="G103" s="12" t="str">
        <x:v>Fábrica de máquinas agrícolas</x:v>
      </x:c>
      <x:c r="H103" s="12" t="str">
        <x:v>03564 591382 / 3564 470251</x:v>
      </x:c>
      <x:c r="I103" s="12" t="str">
        <x:v>Güiraldes</x:v>
      </x:c>
      <x:c r="J103" s="12" t="str">
        <x:v>Contactar operaciones/logística y relevar necesidad real.</x:v>
      </x:c>
      <x:c r="K103" s="12" t="str">
        <x:v>https://www.google.com/maps/search/?api=1&amp;query=SECMAN%2C+G%C3%BCiraldes+873%2C+La+Francia%2C+C%C3%B3rdoba</x:v>
      </x:c>
      <x:c r="L103" s="12" t="str">
        <x:v>Operativo / verificar antes de visita</x:v>
      </x:c>
    </x:row>
    <x:row r="104">
      <x:c r="A104" s="12" t="str">
        <x:v>SF-091</x:v>
      </x:c>
      <x:c r="B104" s="12" t="str">
        <x:v>Zona ampliada</x:v>
      </x:c>
      <x:c r="C104" s="12" t="str">
        <x:v>La Francia</x:v>
      </x:c>
      <x:c r="D104" s="12" t="str">
        <x:v>A</x:v>
      </x:c>
      <x:c r="E104" s="12" t="n">
        <x:v>90</x:v>
      </x:c>
      <x:c r="F104" s="12" t="str">
        <x:v>SC Agropartes</x:v>
      </x:c>
      <x:c r="G104" s="12" t="str">
        <x:v>Fábrica de agropartes</x:v>
      </x:c>
      <x:c r="H104" s="12" t="str">
        <x:v>03564 471526 / 471800</x:v>
      </x:c>
      <x:c r="I104" s="12" t="str">
        <x:v>San Juan</x:v>
      </x:c>
      <x:c r="J104" s="12" t="str">
        <x:v>Contactar operaciones/logística y relevar necesidad real.</x:v>
      </x:c>
      <x:c r="K104" s="12" t="str">
        <x:v>https://www.google.com/maps/search/?api=1&amp;query=SC+Agropartes%2C+San+Juan+272%2C+La+Francia%2C+C%C3%B3rdoba</x:v>
      </x:c>
      <x:c r="L104" s="12" t="str">
        <x:v>Operativo / verificar antes de visita</x:v>
      </x:c>
    </x:row>
    <x:row r="105">
      <x:c r="A105" s="12" t="str">
        <x:v>SF-092</x:v>
      </x:c>
      <x:c r="B105" s="12" t="str">
        <x:v>Zona ampliada</x:v>
      </x:c>
      <x:c r="C105" s="12" t="str">
        <x:v>La Francia</x:v>
      </x:c>
      <x:c r="D105" s="12" t="str">
        <x:v>A</x:v>
      </x:c>
      <x:c r="E105" s="12" t="n">
        <x:v>88</x:v>
      </x:c>
      <x:c r="F105" s="12" t="str">
        <x:v>Manescotto Metalmecánica</x:v>
      </x:c>
      <x:c r="G105" s="12" t="str">
        <x:v>Cintas transportadoras / chimangos / metalmecánica</x:v>
      </x:c>
      <x:c r="H105" s="12" t="str">
        <x:v>03564 365463</x:v>
      </x:c>
      <x:c r="I105" s="12" t="str">
        <x:v>Dr. Carignano</x:v>
      </x:c>
      <x:c r="J105" s="12" t="str">
        <x:v>Contactar operaciones/logística y relevar necesidad real.</x:v>
      </x:c>
      <x:c r="K105" s="12" t="str">
        <x:v>https://www.google.com/maps/search/?api=1&amp;query=Manescotto+Metalmec%C3%A1nica%2C+Dr.+Aldo+S.+Carignano+105%2C+La+Francia%2C+C%C3%B3rdoba</x:v>
      </x:c>
      <x:c r="L105" s="12" t="str">
        <x:v>Operativo / verificar antes de visita</x:v>
      </x:c>
    </x:row>
    <x:row r="106">
      <x:c r="A106" s="12" t="str">
        <x:v>SF-093</x:v>
      </x:c>
      <x:c r="B106" s="12" t="str">
        <x:v>Zona ampliada</x:v>
      </x:c>
      <x:c r="C106" s="12" t="str">
        <x:v>La Francia</x:v>
      </x:c>
      <x:c r="D106" s="12" t="str">
        <x:v>A</x:v>
      </x:c>
      <x:c r="E106" s="12" t="n">
        <x:v>78</x:v>
      </x:c>
      <x:c r="F106" s="12" t="str">
        <x:v>Metalúrgica La Francia</x:v>
      </x:c>
      <x:c r="G106" s="12" t="str">
        <x:v>Metalúrgica</x:v>
      </x:c>
      <x:c r="H106" s="12" t="str">
        <x:v>+54 9 3564 660470</x:v>
      </x:c>
      <x:c r="I106" s="12" t="str">
        <x:v>25 de Mayo</x:v>
      </x:c>
      <x:c r="J106" s="12" t="str">
        <x:v>Pedir producción/expedición/mantenimiento y relevar piezas máximas/destinos.</x:v>
      </x:c>
      <x:c r="K106" s="12" t="str">
        <x:v>https://www.google.com/maps/search/?api=1&amp;query=Metal%C3%BArgica+La+Francia%2C+25+de+Mayo+829%2C+La+Francia%2C+C%C3%B3rdoba</x:v>
      </x:c>
      <x:c r="L106" s="12" t="str">
        <x:v>Operativo / verificar antes de visita</x:v>
      </x:c>
    </x:row>
    <x:row r="107">
      <x:c r="A107" s="12" t="str">
        <x:v>SF-094</x:v>
      </x:c>
      <x:c r="B107" s="12" t="str">
        <x:v>Zona ampliada</x:v>
      </x:c>
      <x:c r="C107" s="12" t="str">
        <x:v>Devoto</x:v>
      </x:c>
      <x:c r="D107" s="12" t="str">
        <x:v>A</x:v>
      </x:c>
      <x:c r="E107" s="12" t="n">
        <x:v>76</x:v>
      </x:c>
      <x:c r="F107" s="12" t="str">
        <x:v>Transporte Gaido</x:v>
      </x:c>
      <x:c r="G107" s="12" t="str">
        <x:v>Transporte / logística</x:v>
      </x:c>
      <x:c r="H107" s="12" t="str">
        <x:v>03564 481367</x:v>
      </x:c>
      <x:c r="I107" s="12" t="str">
        <x:v>Córdoba</x:v>
      </x:c>
      <x:c r="J107" s="12" t="str">
        <x:v>Pedir tráfico/operaciones y ofrecer acuerdo de derivaciones.</x:v>
      </x:c>
      <x:c r="K107" s="12" t="str">
        <x:v>https://www.google.com/maps/search/?api=1&amp;query=Transporte+Gaido%2C+C%C3%B3rdoba+180%2C+Devoto%2C+C%C3%B3rdoba</x:v>
      </x:c>
      <x:c r="L107" s="12" t="str">
        <x:v>Operativo / verificar antes de visita</x:v>
      </x:c>
    </x:row>
    <x:row r="108">
      <x:c r="A108" s="12" t="str">
        <x:v>SF-095</x:v>
      </x:c>
      <x:c r="B108" s="12" t="str">
        <x:v>Zona ampliada</x:v>
      </x:c>
      <x:c r="C108" s="12" t="str">
        <x:v>Devoto</x:v>
      </x:c>
      <x:c r="D108" s="12" t="str">
        <x:v>B</x:v>
      </x:c>
      <x:c r="E108" s="12" t="n">
        <x:v>68</x:v>
      </x:c>
      <x:c r="F108" s="12" t="str">
        <x:v>Metal Peye</x:v>
      </x:c>
      <x:c r="G108" s="12" t="str">
        <x:v>Metalúrgica</x:v>
      </x:c>
      <x:c r="H108" s="12" t="str">
        <x:v>03564 330306</x:v>
      </x:c>
      <x:c r="I108" s="12" t="str">
        <x:v>Devoto</x:v>
      </x:c>
      <x:c r="J108" s="12" t="str">
        <x:v>Pedir producción/expedición/mantenimiento y relevar piezas máximas/destinos.</x:v>
      </x:c>
      <x:c r="K108" s="12" t="str">
        <x:v>https://www.google.com/maps/search/?api=1&amp;query=Metal+Peye%2C+Devoto%2C+C%C3%B3rdoba</x:v>
      </x:c>
      <x:c r="L108" s="12" t="str">
        <x:v>Operativo / verificar antes de visita</x:v>
      </x:c>
    </x:row>
    <x:row r="109">
      <x:c r="A109" s="12" t="str">
        <x:v>SF-096</x:v>
      </x:c>
      <x:c r="B109" s="12" t="str">
        <x:v>Zona ampliada</x:v>
      </x:c>
      <x:c r="C109" s="12" t="str">
        <x:v>Devoto</x:v>
      </x:c>
      <x:c r="D109" s="12" t="str">
        <x:v>B</x:v>
      </x:c>
      <x:c r="E109" s="12" t="n">
        <x:v>68</x:v>
      </x:c>
      <x:c r="F109" s="12" t="str">
        <x:v>Roggio - Devoto</x:v>
      </x:c>
      <x:c r="G109" s="12" t="str">
        <x:v>Empresa constructora</x:v>
      </x:c>
      <x:c r="H109" s="12" t="str">
        <x:v>A verificar</x:v>
      </x:c>
      <x:c r="I109" s="12" t="str">
        <x:v>Devoto</x:v>
      </x:c>
      <x:c r="J109" s="12" t="str">
        <x:v>Pedir obras/equipos/logística; relevar maquinaria propia y frecuencia.</x:v>
      </x:c>
      <x:c r="K109" s="12" t="str">
        <x:v>https://www.google.com/maps/search/?api=1&amp;query=Roggio+-+Devoto%2C+Devoto%2C+C%C3%B3rdoba</x:v>
      </x:c>
      <x:c r="L109" s="12" t="str">
        <x:v>Operativo / verificar antes de visita</x:v>
      </x:c>
    </x:row>
    <x:row r="110">
      <x:c r="A110" s="12" t="str">
        <x:v>SF-097</x:v>
      </x:c>
      <x:c r="B110" s="12" t="str">
        <x:v>Zona ampliada</x:v>
      </x:c>
      <x:c r="C110" s="12" t="str">
        <x:v>Devoto</x:v>
      </x:c>
      <x:c r="D110" s="12" t="str">
        <x:v>B</x:v>
      </x:c>
      <x:c r="E110" s="12" t="n">
        <x:v>68</x:v>
      </x:c>
      <x:c r="F110" s="12" t="str">
        <x:v>Transporte Junio 21 S.R.L.</x:v>
      </x:c>
      <x:c r="G110" s="12" t="str">
        <x:v>Transporte / logística</x:v>
      </x:c>
      <x:c r="H110" s="12" t="str">
        <x:v>A verificar</x:v>
      </x:c>
      <x:c r="I110" s="12" t="str">
        <x:v>9 de Julio</x:v>
      </x:c>
      <x:c r="J110" s="12" t="str">
        <x:v>Pedir tráfico/operaciones y ofrecer acuerdo de derivaciones.</x:v>
      </x:c>
      <x:c r="K110" s="12" t="str">
        <x:v>https://www.google.com/maps/search/?api=1&amp;query=Transporte+Junio+21+S.R.L.%2C+Bv.+9+de+Julio+562%2C+Devoto%2C+C%C3%B3rdoba</x:v>
      </x:c>
      <x:c r="L110" s="12" t="str">
        <x:v>Operativo / verificar antes de visita</x:v>
      </x:c>
    </x:row>
    <x:row r="111">
      <x:c r="A111" s="12" t="str">
        <x:v>SF-098</x:v>
      </x:c>
      <x:c r="B111" s="12" t="str">
        <x:v>Zona ampliada</x:v>
      </x:c>
      <x:c r="C111" s="12" t="str">
        <x:v>Devoto</x:v>
      </x:c>
      <x:c r="D111" s="12" t="str">
        <x:v>B</x:v>
      </x:c>
      <x:c r="E111" s="12" t="n">
        <x:v>58</x:v>
      </x:c>
      <x:c r="F111" s="12" t="str">
        <x:v>Heladeras Honeker</x:v>
      </x:c>
      <x:c r="G111" s="12" t="str">
        <x:v>Fábrica industrial</x:v>
      </x:c>
      <x:c r="H111" s="12" t="str">
        <x:v>A verificar</x:v>
      </x:c>
      <x:c r="I111" s="12" t="str">
        <x:v>Brasil</x:v>
      </x:c>
      <x:c r="J111" s="12" t="str">
        <x:v>Contactar operaciones/logística y relevar necesidad real.</x:v>
      </x:c>
      <x:c r="K111" s="12" t="str">
        <x:v>https://www.google.com/maps/search/?api=1&amp;query=Heladeras+Honeker%2C+Brasil+1130%2C+Devoto%2C+C%C3%B3rdoba</x:v>
      </x:c>
      <x:c r="L111" s="12" t="str">
        <x:v>Operativo / verificar antes de visita</x:v>
      </x:c>
    </x:row>
  </x:sheetData>
  <x:mergeCells>
    <x:mergeCell ref="A1:L1"/>
    <x:mergeCell ref="A2:L2"/>
  </x:mergeCells>
  <x:conditionalFormatting sqref="D14:D111">
    <x:cfRule type="expression" dxfId="4" priority="1">
      <x:formula>D14="A+"</x:formula>
    </x:cfRule>
    <x:cfRule type="expression" dxfId="5" priority="2">
      <x:formula>D14="A"</x:formula>
    </x:cfRule>
    <x:cfRule type="expression" dxfId="6" priority="3">
      <x:formula>D14="B"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f58bbd467574c9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20" hidden="0" customWidth="1"/>
    <x:col min="5" max="5" width="25" hidden="0" customWidth="1"/>
    <x:col min="6" max="6" width="8" hidden="0" customWidth="1"/>
    <x:col min="7" max="7" width="8" hidden="0" customWidth="1"/>
    <x:col min="8" max="8" width="35" hidden="0" customWidth="1"/>
    <x:col min="9" max="9" width="38" hidden="0" customWidth="1"/>
    <x:col min="10" max="10" width="24" hidden="0" customWidth="1"/>
    <x:col min="11" max="11" width="13" hidden="0" customWidth="1"/>
    <x:col min="12" max="12" width="28" hidden="0" customWidth="1"/>
    <x:col min="13" max="13" width="42" hidden="0" customWidth="1"/>
    <x:col min="14" max="14" width="40" hidden="0" customWidth="1"/>
    <x:col min="15" max="15" width="42" hidden="0" customWidth="1"/>
    <x:col min="16" max="16" width="40" hidden="0" customWidth="1"/>
    <x:col min="17" max="17" width="16" hidden="0" customWidth="1"/>
    <x:col min="18" max="18" width="46" hidden="0" customWidth="1"/>
    <x:col min="19" max="19" width="18" hidden="0" customWidth="1"/>
    <x:col min="20" max="20" width="13" hidden="0" customWidth="1"/>
    <x:col min="21" max="21" width="24" hidden="0" customWidth="1"/>
    <x:col min="22" max="22" width="34" hidden="0" customWidth="1"/>
    <x:col min="23" max="23" width="20" hidden="0" customWidth="1"/>
    <x:col min="24" max="24" width="40" hidden="0" customWidth="1"/>
    <x:col min="25" max="25" width="28" hidden="0" customWidth="1"/>
    <x:col min="26" max="26" width="52" hidden="0" customWidth="1"/>
    <x:col min="27" max="27" width="54" hidden="0" customWidth="1"/>
    <x:col min="28" max="28" width="13" hidden="0" customWidth="1"/>
    <x:col min="29" max="29" width="34" hidden="0" customWidth="1"/>
    <x:col min="30" max="30" width="28" hidden="0" customWidth="1"/>
    <x:col min="31" max="31" width="44" hidden="0" customWidth="1"/>
    <x:col min="32" max="32" width="20" hidden="0" customWidth="1"/>
  </x:cols>
  <x:sheetData>
    <x:row r="1">
      <x:c r="A1" s="6" t="str">
        <x:v>ID</x:v>
      </x:c>
      <x:c r="B1" s="6" t="str">
        <x:v>Estado de contacto</x:v>
      </x:c>
      <x:c r="C1" s="6" t="str">
        <x:v>Área</x:v>
      </x:c>
      <x:c r="D1" s="6" t="str">
        <x:v>Localidad</x:v>
      </x:c>
      <x:c r="E1" s="6" t="str">
        <x:v>Microzona / corredor</x:v>
      </x:c>
      <x:c r="F1" s="6" t="str">
        <x:v>Clase</x:v>
      </x:c>
      <x:c r="G1" s="6" t="str">
        <x:v>Score</x:v>
      </x:c>
      <x:c r="H1" s="6" t="str">
        <x:v>Empresa</x:v>
      </x:c>
      <x:c r="I1" s="6" t="str">
        <x:v>Categoría</x:v>
      </x:c>
      <x:c r="J1" s="6" t="str">
        <x:v>Teléfonos</x:v>
      </x:c>
      <x:c r="K1" s="6" t="str">
        <x:v>Calidad teléfono</x:v>
      </x:c>
      <x:c r="L1" s="6" t="str">
        <x:v>Preguntar por</x:v>
      </x:c>
      <x:c r="M1" s="6" t="str">
        <x:v>Necesidad probable</x:v>
      </x:c>
      <x:c r="N1" s="6" t="str">
        <x:v>Oferta PRESOL</x:v>
      </x:c>
      <x:c r="O1" s="6" t="str">
        <x:v>Gancho comercial</x:v>
      </x:c>
      <x:c r="P1" s="6" t="str">
        <x:v>Acción sugerida</x:v>
      </x:c>
      <x:c r="Q1" s="6" t="str">
        <x:v>Responsable</x:v>
      </x:c>
      <x:c r="R1" s="6" t="str">
        <x:v>Dirección</x:v>
      </x:c>
      <x:c r="S1" s="6" t="str">
        <x:v>Resultado</x:v>
      </x:c>
      <x:c r="T1" s="6" t="str">
        <x:v>Fecha visita</x:v>
      </x:c>
      <x:c r="U1" s="6" t="str">
        <x:v>Próximo paso</x:v>
      </x:c>
      <x:c r="V1" s="6" t="str">
        <x:v>Notas de campo</x:v>
      </x:c>
      <x:c r="W1" s="6" t="str">
        <x:v>Teléfono principal</x:v>
      </x:c>
      <x:c r="X1" s="6" t="str">
        <x:v>Google Maps</x:v>
      </x:c>
      <x:c r="Y1" s="6" t="str">
        <x:v>Fuente</x:v>
      </x:c>
      <x:c r="Z1" s="6" t="str">
        <x:v>URL fuente</x:v>
      </x:c>
      <x:c r="AA1" s="6" t="str">
        <x:v>Evidencia</x:v>
      </x:c>
      <x:c r="AB1" s="6" t="str">
        <x:v>Calidad del dato</x:v>
      </x:c>
      <x:c r="AC1" s="6" t="str">
        <x:v>Estado/verificación</x:v>
      </x:c>
      <x:c r="AD1" s="6" t="str">
        <x:v>Origen</x:v>
      </x:c>
      <x:c r="AE1" s="6" t="str">
        <x:v>Servicios PRESOL</x:v>
      </x:c>
      <x:c r="AF1" s="6" t="str">
        <x:v>Prioridad sugerida</x:v>
      </x:c>
    </x:row>
    <x:row r="2">
      <x:c r="A2" s="14" t="str">
        <x:v>SF-001</x:v>
      </x:c>
      <x:c r="B2" s="14" t="str">
        <x:v>Pendiente</x:v>
      </x:c>
      <x:c r="C2" s="14" t="str">
        <x:v>Núcleo</x:v>
      </x:c>
      <x:c r="D2" s="14" t="str">
        <x:v>San Francisco</x:v>
      </x:c>
      <x:c r="E2" s="14" t="str">
        <x:v>Av. Rosario de Santa Fe</x:v>
      </x:c>
      <x:c r="F2" s="14" t="str">
        <x:v>A+</x:v>
      </x:c>
      <x:c r="G2" s="14" t="n">
        <x:v>100</x:v>
      </x:c>
      <x:c r="H2" s="14" t="str">
        <x:v>AKRON S.A.</x:v>
      </x:c>
      <x:c r="I2" s="14" t="str">
        <x:v>Fábrica y comercialización de maquinaria agrícola</x:v>
      </x:c>
      <x:c r="J2" s="14" t="str">
        <x:v>+54 3564 435900</x:v>
      </x:c>
      <x:c r="K2" s="14" t="str">
        <x:v>OK</x:v>
      </x:c>
      <x:c r="L2" s="14" t="str">
        <x:v>logística / expedición / posventa / ventas</x:v>
      </x:c>
      <x:c r="M2" s="14" t="str">
        <x:v>Entrega/retiro de maquinaria, usados, equipos de service y despachos de fábrica.</x:v>
      </x:c>
      <x:c r="N2" s="14" t="str">
        <x:v>Plataforma 20 tn + malacate + hidrogrúa de apoyo + seguro/GPS.</x:v>
      </x:c>
      <x:c r="O2" s="14" t="str">
        <x:v>Captar entregas, canjes, usados y rescates de service sin inmovilizar transporte propio.</x:v>
      </x:c>
      <x:c r="P2" s="14" t="str">
        <x:v>Pedir logística/expedición/posventa; relevar equipos, pesos y movimientos mensuales.</x:v>
      </x:c>
      <x:c r="Q2" s="14" t="str"/>
      <x:c r="R2" s="14" t="str">
        <x:v>Av. Rosario de Santa Fe 2256, San Francisco, Córdoba</x:v>
      </x:c>
      <x:c r="S2" s="14" t="str"/>
      <x:c r="T2" s="14" t="str"/>
      <x:c r="U2" s="14" t="str"/>
      <x:c r="V2" s="14" t="str"/>
      <x:c r="W2" s="14" t="str">
        <x:v>+543564435900</x:v>
      </x:c>
      <x:c r="X2" s="14" t="str">
        <x:v>https://www.google.com/maps/search/?api=1&amp;query=AKRON+S.A.%2C+Av.+Rosario+de+Santa+Fe+2256%2C+San+Francisco%2C+C%C3%B3rdoba</x:v>
      </x:c>
      <x:c r="Y2" s="14" t="str">
        <x:v>Web oficial</x:v>
      </x:c>
      <x:c r="Z2" s="14" t="str">
        <x:v>https://akron.com.ar/contact-us</x:v>
      </x:c>
      <x:c r="AA2" s="14" t="str">
        <x:v>Fabrica y comercializa maquinaria agrícola desde San Francisco; cuenta con servicio técnico, repuestos y transporte propio.</x:v>
      </x:c>
      <x:c r="AB2" s="14" t="str">
        <x:v>Alta</x:v>
      </x:c>
      <x:c r="AC2" s="14" t="str">
        <x:v>Operativo / verificar antes de visita</x:v>
      </x:c>
      <x:c r="AD2" s="14" t="str">
        <x:v>Rastrillaje San Francisco 2026-09-15</x:v>
      </x:c>
      <x:c r="AE2" s="14" t="str">
        <x:v>Plataforma 20 tn | Malacate | Hidrogrúa | Entrega/retiro maquinaria | Seguro/GPS</x:v>
      </x:c>
      <x:c r="AF2" s="14" t="str">
        <x:v>VISITA INMEDIATA</x:v>
      </x:c>
    </x:row>
    <x:row r="3">
      <x:c r="A3" s="14" t="str">
        <x:v>SF-002</x:v>
      </x:c>
      <x:c r="B3" s="14" t="str">
        <x:v>Pendiente</x:v>
      </x:c>
      <x:c r="C3" s="14" t="str">
        <x:v>Núcleo</x:v>
      </x:c>
      <x:c r="D3" s="14" t="str">
        <x:v>San Francisco</x:v>
      </x:c>
      <x:c r="E3" s="14" t="str">
        <x:v>Parque Industrial / Huergo</x:v>
      </x:c>
      <x:c r="F3" s="14" t="str">
        <x:v>A+</x:v>
      </x:c>
      <x:c r="G3" s="14" t="n">
        <x:v>100</x:v>
      </x:c>
      <x:c r="H3" s="14" t="str">
        <x:v>GOMSELMASH Argentina</x:v>
      </x:c>
      <x:c r="I3" s="14" t="str">
        <x:v>Cosechadoras, picadoras y maquinaria agrícola</x:v>
      </x:c>
      <x:c r="J3" s="14" t="str">
        <x:v>03564 445814 / +54 9 3564 639900</x:v>
      </x:c>
      <x:c r="K3" s="14" t="str">
        <x:v>OK</x:v>
      </x:c>
      <x:c r="L3" s="14" t="str">
        <x:v>ventas / logística / service / repuestos</x:v>
      </x:c>
      <x:c r="M3" s="14" t="str">
        <x:v>Entrega/retiro de maquinaria, usados, equipos de service y despachos de fábrica.</x:v>
      </x:c>
      <x:c r="N3" s="14" t="str">
        <x:v>Plataforma 20 tn + malacate + hidrogrúa de apoyo + seguro/GPS.</x:v>
      </x:c>
      <x:c r="O3" s="14" t="str">
        <x:v>Captar entregas, canjes, usados y rescates de service sin inmovilizar transporte propio.</x:v>
      </x:c>
      <x:c r="P3" s="14" t="str">
        <x:v>Pedir logística/expedición/posventa; relevar equipos, pesos y movimientos mensuales.</x:v>
      </x:c>
      <x:c r="Q3" s="14" t="str"/>
      <x:c r="R3" s="14" t="str">
        <x:v>Ingeniero Huergo 1154, Parque Industrial, San Francisco, Córdoba</x:v>
      </x:c>
      <x:c r="S3" s="14" t="str"/>
      <x:c r="T3" s="14" t="str"/>
      <x:c r="U3" s="14" t="str"/>
      <x:c r="V3" s="14" t="str"/>
      <x:c r="W3" s="14" t="str">
        <x:v>03564445814</x:v>
      </x:c>
      <x:c r="X3" s="14" t="str">
        <x:v>https://www.google.com/maps/search/?api=1&amp;query=GOMSELMASH+Argentina%2C+Ingeniero+Huergo+1154%2C+Parque+Industrial%2C+San+Francisco%2C+C%C3%B3rdoba</x:v>
      </x:c>
      <x:c r="Y3" s="14" t="str">
        <x:v>Web oficial</x:v>
      </x:c>
      <x:c r="Z3" s="14" t="str">
        <x:v>https://gomselmash.com.ar/</x:v>
      </x:c>
      <x:c r="AA3" s="14" t="str">
        <x:v>Sucursal/operación argentina con cosechadoras de granos y forraje, segadoras, cabezales, service y repuestos.</x:v>
      </x:c>
      <x:c r="AB3" s="14" t="str">
        <x:v>Alta</x:v>
      </x:c>
      <x:c r="AC3" s="14" t="str">
        <x:v>Operativo / verificar antes de visita</x:v>
      </x:c>
      <x:c r="AD3" s="14" t="str">
        <x:v>Rastrillaje San Francisco 2026-09-15</x:v>
      </x:c>
      <x:c r="AE3" s="14" t="str">
        <x:v>Plataforma 20 tn | Malacate | Hidrogrúa | Entrega/retiro maquinaria | Seguro/GPS</x:v>
      </x:c>
      <x:c r="AF3" s="14" t="str">
        <x:v>VISITA INMEDIATA</x:v>
      </x:c>
    </x:row>
    <x:row r="4">
      <x:c r="A4" s="14" t="str">
        <x:v>SF-003</x:v>
      </x:c>
      <x:c r="B4" s="14" t="str">
        <x:v>Pendiente</x:v>
      </x:c>
      <x:c r="C4" s="14" t="str">
        <x:v>Núcleo</x:v>
      </x:c>
      <x:c r="D4" s="14" t="str">
        <x:v>San Francisco</x:v>
      </x:c>
      <x:c r="E4" s="14" t="str">
        <x:v>Rosario de Santa Fe</x:v>
      </x:c>
      <x:c r="F4" s="14" t="str">
        <x:v>A+</x:v>
      </x:c>
      <x:c r="G4" s="14" t="n">
        <x:v>100</x:v>
      </x:c>
      <x:c r="H4" s="14" t="str">
        <x:v>Hannover Maquinarias</x:v>
      </x:c>
      <x:c r="I4" s="14" t="str">
        <x:v>Venta de maquinaria vial pesada / hidroelevadores / minicargadoras</x:v>
      </x:c>
      <x:c r="J4" s="14" t="str">
        <x:v>03564 527646</x:v>
      </x:c>
      <x:c r="K4" s="14" t="str">
        <x:v>OK</x:v>
      </x:c>
      <x:c r="L4" s="14" t="str">
        <x:v>ventas / logística / service / repuestos</x:v>
      </x:c>
      <x:c r="M4" s="14" t="str">
        <x:v>Entrega/retiro de maquinaria, usados, equipos de service y despachos de fábrica.</x:v>
      </x:c>
      <x:c r="N4" s="14" t="str">
        <x:v>Plataforma 20 tn + malacate + hidrogrúa de apoyo + seguro/GPS.</x:v>
      </x:c>
      <x:c r="O4" s="14" t="str">
        <x:v>Captar entregas, canjes, usados y rescates de service sin inmovilizar transporte propio.</x:v>
      </x:c>
      <x:c r="P4" s="14" t="str">
        <x:v>Pedir logística/expedición/posventa; relevar equipos, pesos y movimientos mensuales.</x:v>
      </x:c>
      <x:c r="Q4" s="14" t="str"/>
      <x:c r="R4" s="14" t="str">
        <x:v>Rosario de Santa Fe 1698, San Francisco, Córdoba</x:v>
      </x:c>
      <x:c r="S4" s="14" t="str"/>
      <x:c r="T4" s="14" t="str"/>
      <x:c r="U4" s="14" t="str"/>
      <x:c r="V4" s="14" t="str"/>
      <x:c r="W4" s="14" t="str">
        <x:v>03564527646</x:v>
      </x:c>
      <x:c r="X4" s="14" t="str">
        <x:v>https://www.google.com/maps/search/?api=1&amp;query=Hannover+Maquinarias%2C+Rosario+de+Santa+Fe+1698%2C+San+Francisco%2C+C%C3%B3rdoba</x:v>
      </x:c>
      <x:c r="Y4" s="14" t="str">
        <x:v>Web oficial</x:v>
      </x:c>
      <x:c r="Z4" s="14" t="str">
        <x:v>https://www.hannovermaquinarias.com/</x:v>
      </x:c>
      <x:c r="AA4" s="14" t="str">
        <x:v>Comercializadora de maquinaria pesada y vial; postventa, repuestos y servicio técnico.</x:v>
      </x:c>
      <x:c r="AB4" s="14" t="str">
        <x:v>Alta</x:v>
      </x:c>
      <x:c r="AC4" s="14" t="str">
        <x:v>Operativo / verificar antes de visita</x:v>
      </x:c>
      <x:c r="AD4" s="14" t="str">
        <x:v>Rastrillaje San Francisco 2026-09-15</x:v>
      </x:c>
      <x:c r="AE4" s="14" t="str">
        <x:v>Plataforma 20 tn | Malacate | Hidrogrúa | Entrega/retiro maquinaria | Seguro/GPS</x:v>
      </x:c>
      <x:c r="AF4" s="14" t="str">
        <x:v>VISITA INMEDIATA</x:v>
      </x:c>
    </x:row>
    <x:row r="5">
      <x:c r="A5" s="14" t="str">
        <x:v>SF-004</x:v>
      </x:c>
      <x:c r="B5" s="14" t="str">
        <x:v>Pendiente</x:v>
      </x:c>
      <x:c r="C5" s="14" t="str">
        <x:v>Núcleo</x:v>
      </x:c>
      <x:c r="D5" s="14" t="str">
        <x:v>San Francisco</x:v>
      </x:c>
      <x:c r="E5" s="14" t="str">
        <x:v>Marco Nicolini</x:v>
      </x:c>
      <x:c r="F5" s="14" t="str">
        <x:v>A+</x:v>
      </x:c>
      <x:c r="G5" s="14" t="n">
        <x:v>100</x:v>
      </x:c>
      <x:c r="H5" s="14" t="str">
        <x:v>Máquinas del Centro S.R.L. - Case IH</x:v>
      </x:c>
      <x:c r="I5" s="14" t="str">
        <x:v>Concesionario de tractores, cosechadoras y maquinaria agrícola</x:v>
      </x:c>
      <x:c r="J5" s="14" t="str">
        <x:v>+54 3564 313207</x:v>
      </x:c>
      <x:c r="K5" s="14" t="str">
        <x:v>OK</x:v>
      </x:c>
      <x:c r="L5" s="14" t="str">
        <x:v>gerencia / logística / posventa / usados</x:v>
      </x:c>
      <x:c r="M5" s="14" t="str">
        <x:v>Entrega/retiro de maquinaria, usados, equipos de service y despachos de fábrica.</x:v>
      </x:c>
      <x:c r="N5" s="14" t="str">
        <x:v>Plataforma 20 tn + malacate + hidrogrúa de apoyo + seguro/GPS.</x:v>
      </x:c>
      <x:c r="O5" s="14" t="str">
        <x:v>Captar entregas, canjes, usados y rescates de service sin inmovilizar transporte propio.</x:v>
      </x:c>
      <x:c r="P5" s="14" t="str">
        <x:v>Pedir logística/expedición/posventa; relevar equipos, pesos y movimientos mensuales.</x:v>
      </x:c>
      <x:c r="Q5" s="14" t="str"/>
      <x:c r="R5" s="14" t="str">
        <x:v>M. Nicolini 1379, San Francisco, Córdoba</x:v>
      </x:c>
      <x:c r="S5" s="14" t="str"/>
      <x:c r="T5" s="14" t="str"/>
      <x:c r="U5" s="14" t="str"/>
      <x:c r="V5" s="14" t="str"/>
      <x:c r="W5" s="14" t="str">
        <x:v>+543564313207</x:v>
      </x:c>
      <x:c r="X5" s="14" t="str">
        <x:v>https://www.google.com/maps/search/?api=1&amp;query=M%C3%A1quinas+del+Centro+S.R.L.+-+Case+IH%2C+M.+Nicolini+1379%2C+San+Francisco%2C+C%C3%B3rdoba</x:v>
      </x:c>
      <x:c r="Y5" s="14" t="str">
        <x:v>Agroads + Google Business</x:v>
      </x:c>
      <x:c r="Z5" s="14" t="str">
        <x:v>https://www.agroads.com.ar/e/maquinas-del-centro-srl/</x:v>
      </x:c>
      <x:c r="AA5" s="14" t="str">
        <x:v>Concesionaria con amplio stock publicado: tractores, cosechadoras, sembradoras, pulverizadoras, palas y maquinaria vial.</x:v>
      </x:c>
      <x:c r="AB5" s="14" t="str">
        <x:v>Alta</x:v>
      </x:c>
      <x:c r="AC5" s="14" t="str">
        <x:v>Operativo / verificar antes de visita</x:v>
      </x:c>
      <x:c r="AD5" s="14" t="str">
        <x:v>Rastrillaje San Francisco 2026-09-15</x:v>
      </x:c>
      <x:c r="AE5" s="14" t="str">
        <x:v>Plataforma 20 tn | Malacate | Hidrogrúa | Entrega/retiro maquinaria | Seguro/GPS</x:v>
      </x:c>
      <x:c r="AF5" s="14" t="str">
        <x:v>VISITA INMEDIATA</x:v>
      </x:c>
    </x:row>
    <x:row r="6">
      <x:c r="A6" s="14" t="str">
        <x:v>SF-005</x:v>
      </x:c>
      <x:c r="B6" s="14" t="str">
        <x:v>Pendiente</x:v>
      </x:c>
      <x:c r="C6" s="14" t="str">
        <x:v>Núcleo</x:v>
      </x:c>
      <x:c r="D6" s="14" t="str">
        <x:v>San Francisco</x:v>
      </x:c>
      <x:c r="E6" s="14" t="str">
        <x:v>Parque Industrial</x:v>
      </x:c>
      <x:c r="F6" s="14" t="str">
        <x:v>A+</x:v>
      </x:c>
      <x:c r="G6" s="14" t="n">
        <x:v>99</x:v>
      </x:c>
      <x:c r="H6" s="14" t="str">
        <x:v>FEBRA Implementos Agrícolas</x:v>
      </x:c>
      <x:c r="I6" s="14" t="str">
        <x:v>Fábrica de implementos agrícolas</x:v>
      </x:c>
      <x:c r="J6" s="14" t="str">
        <x:v>+54 9 3564 506516</x:v>
      </x:c>
      <x:c r="K6" s="14" t="str">
        <x:v>OK</x:v>
      </x:c>
      <x:c r="L6" s="14" t="str">
        <x:v>producción / expedición / logística</x:v>
      </x:c>
      <x:c r="M6" s="14" t="str">
        <x:v>Entrega/retiro de maquinaria, usados, equipos de service y despachos de fábrica.</x:v>
      </x:c>
      <x:c r="N6" s="14" t="str">
        <x:v>Plataforma 20 tn + malacate + hidrogrúa de apoyo + seguro/GPS.</x:v>
      </x:c>
      <x:c r="O6" s="14" t="str">
        <x:v>Captar entregas, canjes, usados y rescates de service sin inmovilizar transporte propio.</x:v>
      </x:c>
      <x:c r="P6" s="14" t="str">
        <x:v>Pedir logística/expedición/posventa; relevar equipos, pesos y movimientos mensuales.</x:v>
      </x:c>
      <x:c r="Q6" s="14" t="str"/>
      <x:c r="R6" s="14" t="str">
        <x:v>Lother Barders 4461, Parque Industrial, San Francisco, Córdoba</x:v>
      </x:c>
      <x:c r="S6" s="14" t="str"/>
      <x:c r="T6" s="14" t="str"/>
      <x:c r="U6" s="14" t="str"/>
      <x:c r="V6" s="14" t="str"/>
      <x:c r="W6" s="14" t="str">
        <x:v>+5493564506516</x:v>
      </x:c>
      <x:c r="X6" s="14" t="str">
        <x:v>https://www.google.com/maps/search/?api=1&amp;query=FEBRA+Implementos+Agr%C3%ADcolas%2C+Lother+Barders+4461%2C+Parque+Industrial%2C+San+Francisco%2C+C%C3%B3rdoba</x:v>
      </x:c>
      <x:c r="Y6" s="14" t="str">
        <x:v>AFAMAC / Maquinac</x:v>
      </x:c>
      <x:c r="Z6" s="14" t="str">
        <x:v>https://afamac.com.ar/catalogo/asociados-afamac/febra/</x:v>
      </x:c>
      <x:c r="AA6" s="14" t="str">
        <x:v>Fabrica rastras, embolsadoras, subsoladores, acoplados, trailers y guinches grúa.</x:v>
      </x:c>
      <x:c r="AB6" s="14" t="str">
        <x:v>Alta</x:v>
      </x:c>
      <x:c r="AC6" s="14" t="str">
        <x:v>Operativo / verificar antes de visita</x:v>
      </x:c>
      <x:c r="AD6" s="14" t="str">
        <x:v>Rastrillaje San Francisco 2026-09-15</x:v>
      </x:c>
      <x:c r="AE6" s="14" t="str">
        <x:v>Plataforma 20 tn | Malacate | Hidrogrúa | Entrega/retiro maquinaria | Seguro/GPS</x:v>
      </x:c>
      <x:c r="AF6" s="14" t="str">
        <x:v>VISITA INMEDIATA</x:v>
      </x:c>
    </x:row>
    <x:row r="7">
      <x:c r="A7" s="14" t="str">
        <x:v>SF-006</x:v>
      </x:c>
      <x:c r="B7" s="14" t="str">
        <x:v>Pendiente</x:v>
      </x:c>
      <x:c r="C7" s="14" t="str">
        <x:v>Núcleo</x:v>
      </x:c>
      <x:c r="D7" s="14" t="str">
        <x:v>San Francisco</x:v>
      </x:c>
      <x:c r="E7" s="14" t="str">
        <x:v>Av. Rosario de Santa Fe</x:v>
      </x:c>
      <x:c r="F7" s="14" t="str">
        <x:v>A+</x:v>
      </x:c>
      <x:c r="G7" s="14" t="n">
        <x:v>99</x:v>
      </x:c>
      <x:c r="H7" s="14" t="str">
        <x:v>Tamagnini S.R.L. - Valtra</x:v>
      </x:c>
      <x:c r="I7" s="14" t="str">
        <x:v>Concesionario de tractores</x:v>
      </x:c>
      <x:c r="J7" s="14" t="str">
        <x:v>+54 3564 425478</x:v>
      </x:c>
      <x:c r="K7" s="14" t="str">
        <x:v>OK</x:v>
      </x:c>
      <x:c r="L7" s="14" t="str">
        <x:v>ventas / logística / posventa</x:v>
      </x:c>
      <x:c r="M7" s="14" t="str">
        <x:v>Entrega/retiro de maquinaria, usados, equipos de service y despachos de fábrica.</x:v>
      </x:c>
      <x:c r="N7" s="14" t="str">
        <x:v>Plataforma 20 tn + malacate + hidrogrúa de apoyo + seguro/GPS.</x:v>
      </x:c>
      <x:c r="O7" s="14" t="str">
        <x:v>Captar entregas, canjes, usados y rescates de service sin inmovilizar transporte propio.</x:v>
      </x:c>
      <x:c r="P7" s="14" t="str">
        <x:v>Pedir logística/expedición/posventa; relevar equipos, pesos y movimientos mensuales.</x:v>
      </x:c>
      <x:c r="Q7" s="14" t="str"/>
      <x:c r="R7" s="14" t="str">
        <x:v>Av. Rosario de Santa Fe 2156, San Francisco, Córdoba</x:v>
      </x:c>
      <x:c r="S7" s="14" t="str"/>
      <x:c r="T7" s="14" t="str"/>
      <x:c r="U7" s="14" t="str"/>
      <x:c r="V7" s="14" t="str"/>
      <x:c r="W7" s="14" t="str">
        <x:v>+543564425478</x:v>
      </x:c>
      <x:c r="X7" s="14" t="str">
        <x:v>https://www.google.com/maps/search/?api=1&amp;query=Tamagnini+S.R.L.+-+Valtra%2C+Av.+Rosario+de+Santa+Fe+2156%2C+San+Francisco%2C+C%C3%B3rdoba</x:v>
      </x:c>
      <x:c r="Y7" s="14" t="str">
        <x:v>Google Business</x:v>
      </x:c>
      <x:c r="Z7" s="14" t="str">
        <x:v>https://www.google.com/maps/search/?api=1&amp;query=Tamagnini+SRL+Valtra+San+Francisco%2C+Av.+Rosario+de+Santa+Fe+2156%2C+San+Francisco%2C+C%C3%B3rdoba</x:v>
      </x:c>
      <x:c r="AA7" s="14" t="str">
        <x:v>Concesionario de tractores Valtra en San Francisco.</x:v>
      </x:c>
      <x:c r="AB7" s="14" t="str">
        <x:v>Alta</x:v>
      </x:c>
      <x:c r="AC7" s="14" t="str">
        <x:v>Operativo / verificar antes de visita</x:v>
      </x:c>
      <x:c r="AD7" s="14" t="str">
        <x:v>Rastrillaje San Francisco 2026-09-15</x:v>
      </x:c>
      <x:c r="AE7" s="14" t="str">
        <x:v>Plataforma 20 tn | Malacate | Hidrogrúa | Entrega/retiro maquinaria | Seguro/GPS</x:v>
      </x:c>
      <x:c r="AF7" s="14" t="str">
        <x:v>VISITA INMEDIATA</x:v>
      </x:c>
    </x:row>
    <x:row r="8">
      <x:c r="A8" s="14" t="str">
        <x:v>SF-007</x:v>
      </x:c>
      <x:c r="B8" s="14" t="str">
        <x:v>Pendiente</x:v>
      </x:c>
      <x:c r="C8" s="14" t="str">
        <x:v>Núcleo</x:v>
      </x:c>
      <x:c r="D8" s="14" t="str">
        <x:v>San Francisco</x:v>
      </x:c>
      <x:c r="E8" s="14" t="str">
        <x:v>9 de Septiembre</x:v>
      </x:c>
      <x:c r="F8" s="14" t="str">
        <x:v>A+</x:v>
      </x:c>
      <x:c r="G8" s="14" t="n">
        <x:v>98</x:v>
      </x:c>
      <x:c r="H8" s="14" t="str">
        <x:v>MAGAL S.R.L.</x:v>
      </x:c>
      <x:c r="I8" s="14" t="str">
        <x:v>Fábrica de implementos agrícolas</x:v>
      </x:c>
      <x:c r="J8" s="14" t="str">
        <x:v>03564 602712</x:v>
      </x:c>
      <x:c r="K8" s="14" t="str">
        <x:v>OK</x:v>
      </x:c>
      <x:c r="L8" s="14" t="str">
        <x:v>producción / expedición / ventas</x:v>
      </x:c>
      <x:c r="M8" s="14" t="str">
        <x:v>Entrega/retiro de maquinaria, usados, equipos de service y despachos de fábrica.</x:v>
      </x:c>
      <x:c r="N8" s="14" t="str">
        <x:v>Plataforma 20 tn + malacate + hidrogrúa de apoyo + seguro/GPS.</x:v>
      </x:c>
      <x:c r="O8" s="14" t="str">
        <x:v>Captar entregas, canjes, usados y rescates de service sin inmovilizar transporte propio.</x:v>
      </x:c>
      <x:c r="P8" s="14" t="str">
        <x:v>Pedir logística/expedición/posventa; relevar equipos, pesos y movimientos mensuales.</x:v>
      </x:c>
      <x:c r="Q8" s="14" t="str"/>
      <x:c r="R8" s="14" t="str">
        <x:v>9 de Septiembre 2466, San Francisco, Córdoba</x:v>
      </x:c>
      <x:c r="S8" s="14" t="str"/>
      <x:c r="T8" s="14" t="str"/>
      <x:c r="U8" s="14" t="str"/>
      <x:c r="V8" s="14" t="str"/>
      <x:c r="W8" s="14" t="str">
        <x:v>03564602712</x:v>
      </x:c>
      <x:c r="X8" s="14" t="str">
        <x:v>https://www.google.com/maps/search/?api=1&amp;query=MAGAL+S.R.L.%2C+9+de+Septiembre+2466%2C+San+Francisco%2C+C%C3%B3rdoba</x:v>
      </x:c>
      <x:c r="Y8" s="14" t="str">
        <x:v>Web oficial</x:v>
      </x:c>
      <x:c r="Z8" s="14" t="str">
        <x:v>https://magalsrl.com.ar/nosotros/</x:v>
      </x:c>
      <x:c r="AA8" s="14" t="str">
        <x:v>Industria local con décadas de fabricación de implementos agrícolas.</x:v>
      </x:c>
      <x:c r="AB8" s="14" t="str">
        <x:v>Alta</x:v>
      </x:c>
      <x:c r="AC8" s="14" t="str">
        <x:v>Operativo / verificar antes de visita</x:v>
      </x:c>
      <x:c r="AD8" s="14" t="str">
        <x:v>Rastrillaje San Francisco 2026-09-15</x:v>
      </x:c>
      <x:c r="AE8" s="14" t="str">
        <x:v>Plataforma 20 tn | Malacate | Hidrogrúa | Entrega/retiro maquinaria | Seguro/GPS</x:v>
      </x:c>
      <x:c r="AF8" s="14" t="str">
        <x:v>VISITA INMEDIATA</x:v>
      </x:c>
    </x:row>
    <x:row r="9">
      <x:c r="A9" s="14" t="str">
        <x:v>SF-008</x:v>
      </x:c>
      <x:c r="B9" s="14" t="str">
        <x:v>Pendiente</x:v>
      </x:c>
      <x:c r="C9" s="14" t="str">
        <x:v>Núcleo</x:v>
      </x:c>
      <x:c r="D9" s="14" t="str">
        <x:v>San Francisco</x:v>
      </x:c>
      <x:c r="E9" s="14" t="str">
        <x:v>Av. Rosario de Santa Fe</x:v>
      </x:c>
      <x:c r="F9" s="14" t="str">
        <x:v>A+</x:v>
      </x:c>
      <x:c r="G9" s="14" t="n">
        <x:v>98</x:v>
      </x:c>
      <x:c r="H9" s="14" t="str">
        <x:v>PORTA Autoelevadores</x:v>
      </x:c>
      <x:c r="I9" s="14" t="str">
        <x:v>Autoelevadores / equipos de elevación</x:v>
      </x:c>
      <x:c r="J9" s="14" t="str">
        <x:v>+54 9 3564 333743</x:v>
      </x:c>
      <x:c r="K9" s="14" t="str">
        <x:v>OK</x:v>
      </x:c>
      <x:c r="L9" s="14" t="str">
        <x:v>ventas / alquileres / logística / service</x:v>
      </x:c>
      <x:c r="M9" s="14" t="str">
        <x:v>Entrega/retiro de equipos y apoyo en maniobras o contingencias.</x:v>
      </x:c>
      <x:c r="N9" s="14" t="str">
        <x:v>Plataforma + malacate + hidrogrúa.</x:v>
      </x:c>
      <x:c r="O9" s="14" t="str">
        <x:v>Complementar alquiler/service o derivaciones de maniobras especiales.</x:v>
      </x:c>
      <x:c r="P9" s="14" t="str">
        <x:v>Pedir operaciones/alquileres; relevar flota y frecuencia.</x:v>
      </x:c>
      <x:c r="Q9" s="14" t="str"/>
      <x:c r="R9" s="14" t="str">
        <x:v>Av. Rosario de Santa Fe 579, San Francisco, Córdoba</x:v>
      </x:c>
      <x:c r="S9" s="14" t="str"/>
      <x:c r="T9" s="14" t="str"/>
      <x:c r="U9" s="14" t="str"/>
      <x:c r="V9" s="14" t="str"/>
      <x:c r="W9" s="14" t="str">
        <x:v>+5493564333743</x:v>
      </x:c>
      <x:c r="X9" s="14" t="str">
        <x:v>https://www.google.com/maps/search/?api=1&amp;query=PORTA+Autoelevadores%2C+Av.+Rosario+de+Santa+Fe+579%2C+San+Francisco%2C+C%C3%B3rdoba</x:v>
      </x:c>
      <x:c r="Y9" s="14" t="str">
        <x:v>Google Business</x:v>
      </x:c>
      <x:c r="Z9" s="14" t="str">
        <x:v>https://www.google.com/maps/search/?api=1&amp;query=PORTA+AUTOELEVADORES%2C+Av.+Rosario+de+Santa+Fe+579%2C+San+Francisco%2C+C%C3%B3rdoba</x:v>
      </x:c>
      <x:c r="AA9" s="14" t="str">
        <x:v>Operación local de autoelevadores; afinidad directa con entregas/retiros y service.</x:v>
      </x:c>
      <x:c r="AB9" s="14" t="str">
        <x:v>Alta</x:v>
      </x:c>
      <x:c r="AC9" s="14" t="str">
        <x:v>Operativo / verificar antes de visita</x:v>
      </x:c>
      <x:c r="AD9" s="14" t="str">
        <x:v>Rastrillaje San Francisco 2026-09-15</x:v>
      </x:c>
      <x:c r="AE9" s="14" t="str">
        <x:v>Plataforma 20 tn | Malacate | Hidrogrúa | Entrega/retiro</x:v>
      </x:c>
      <x:c r="AF9" s="14" t="str">
        <x:v>VISITA INMEDIATA</x:v>
      </x:c>
    </x:row>
    <x:row r="10">
      <x:c r="A10" s="14" t="str">
        <x:v>SF-009</x:v>
      </x:c>
      <x:c r="B10" s="14" t="str">
        <x:v>Pendiente</x:v>
      </x:c>
      <x:c r="C10" s="14" t="str">
        <x:v>Núcleo</x:v>
      </x:c>
      <x:c r="D10" s="14" t="str">
        <x:v>San Francisco</x:v>
      </x:c>
      <x:c r="E10" s="14" t="str">
        <x:v>Parque Industrial / Huergo</x:v>
      </x:c>
      <x:c r="F10" s="14" t="str">
        <x:v>A+</x:v>
      </x:c>
      <x:c r="G10" s="14" t="n">
        <x:v>96</x:v>
      </x:c>
      <x:c r="H10" s="14" t="str">
        <x:v>CENA Hnos. S.R.L.</x:v>
      </x:c>
      <x:c r="I10" s="14" t="str">
        <x:v>Fabricante de máquinas-herramienta industriales</x:v>
      </x:c>
      <x:c r="J10" s="14" t="str">
        <x:v>03564 426367 / 437858</x:v>
      </x:c>
      <x:c r="K10" s="14" t="str">
        <x:v>OK</x:v>
      </x:c>
      <x:c r="L10" s="14" t="str">
        <x:v>producción / expedición / logística</x:v>
      </x:c>
      <x:c r="M10" s="14" t="str">
        <x:v>Movimientos de equipos o cargas especiales asociados a su operación.</x:v>
      </x:c>
      <x:c r="N10" s="14" t="str">
        <x:v>Plataforma 20 tn + hidrogrúa + malacate según necesidad.</x:v>
      </x:c>
      <x:c r="O10" s="14" t="str">
        <x:v>Capacidad externa para movimientos pesados o especiales.</x:v>
      </x:c>
      <x:c r="P10" s="14" t="str">
        <x:v>Contactar operaciones/logística y relevar necesidad real.</x:v>
      </x:c>
      <x:c r="Q10" s="14" t="str"/>
      <x:c r="R10" s="14" t="str">
        <x:v>Av. Ingeniero Huergo 1456, San Francisco, Córdoba</x:v>
      </x:c>
      <x:c r="S10" s="14" t="str"/>
      <x:c r="T10" s="14" t="str"/>
      <x:c r="U10" s="14" t="str"/>
      <x:c r="V10" s="14" t="str"/>
      <x:c r="W10" s="14" t="str">
        <x:v>03564426367</x:v>
      </x:c>
      <x:c r="X10" s="14" t="str">
        <x:v>https://www.google.com/maps/search/?api=1&amp;query=CENA+Hnos.+S.R.L.%2C+Av.+Ingeniero+Huergo+1456%2C+San+Francisco%2C+C%C3%B3rdoba</x:v>
      </x:c>
      <x:c r="Y10" s="14" t="str">
        <x:v>Parque Industrial oficial</x:v>
      </x:c>
      <x:c r="Z10" s="14" t="str">
        <x:v>https://www.empresas.parqueindustrialsanfrancisco.com/empresas/cena-hnos-srl-53/</x:v>
      </x:c>
      <x:c r="AA10" s="14" t="str">
        <x:v>Fabrica plegadoras, guillotinas y cilindradoras para sectores agrícola, construcción, transporte, ferroviario y automotor.</x:v>
      </x:c>
      <x:c r="AB10" s="14" t="str">
        <x:v>Alta</x:v>
      </x:c>
      <x:c r="AC10" s="14" t="str">
        <x:v>Operativo / verificar antes de visita</x:v>
      </x:c>
      <x:c r="AD10" s="14" t="str">
        <x:v>Rastrillaje San Francisco 2026-09-15</x:v>
      </x:c>
      <x:c r="AE10" s="14" t="str">
        <x:v>Plataforma 20 tn | Hidrogrúa | Malacate</x:v>
      </x:c>
      <x:c r="AF10" s="14" t="str">
        <x:v>VISITA INMEDIATA</x:v>
      </x:c>
    </x:row>
    <x:row r="11">
      <x:c r="A11" s="14" t="str">
        <x:v>SF-010</x:v>
      </x:c>
      <x:c r="B11" s="14" t="str">
        <x:v>Pendiente</x:v>
      </x:c>
      <x:c r="C11" s="14" t="str">
        <x:v>Núcleo</x:v>
      </x:c>
      <x:c r="D11" s="14" t="str">
        <x:v>San Francisco</x:v>
      </x:c>
      <x:c r="E11" s="14" t="str">
        <x:v>Av. Rosario de Santa Fe</x:v>
      </x:c>
      <x:c r="F11" s="14" t="str">
        <x:v>A+</x:v>
      </x:c>
      <x:c r="G11" s="14" t="n">
        <x:v>96</x:v>
      </x:c>
      <x:c r="H11" s="14" t="str">
        <x:v>Rodacam</x:v>
      </x:c>
      <x:c r="I11" s="14" t="str">
        <x:v>Concesionario de camiones</x:v>
      </x:c>
      <x:c r="J11" s="14" t="str">
        <x:v>03564 436100</x:v>
      </x:c>
      <x:c r="K11" s="14" t="str">
        <x:v>OK</x:v>
      </x:c>
      <x:c r="L11" s="14" t="str">
        <x:v>ventas / taller / logística</x:v>
      </x:c>
      <x:c r="M11" s="14" t="str">
        <x:v>Entrega/retiro de maquinaria, usados, equipos de service y despachos de fábrica.</x:v>
      </x:c>
      <x:c r="N11" s="14" t="str">
        <x:v>Plataforma 20 tn + malacate + hidrogrúa de apoyo + seguro/GPS.</x:v>
      </x:c>
      <x:c r="O11" s="14" t="str">
        <x:v>Captar entregas, canjes, usados y rescates de service sin inmovilizar transporte propio.</x:v>
      </x:c>
      <x:c r="P11" s="14" t="str">
        <x:v>Pedir logística/expedición/posventa; relevar equipos, pesos y movimientos mensuales.</x:v>
      </x:c>
      <x:c r="Q11" s="14" t="str"/>
      <x:c r="R11" s="14" t="str">
        <x:v>Av. Rosario de Santa Fe 1712, San Francisco, Córdoba</x:v>
      </x:c>
      <x:c r="S11" s="14" t="str"/>
      <x:c r="T11" s="14" t="str"/>
      <x:c r="U11" s="14" t="str"/>
      <x:c r="V11" s="14" t="str"/>
      <x:c r="W11" s="14" t="str">
        <x:v>03564436100</x:v>
      </x:c>
      <x:c r="X11" s="14" t="str">
        <x:v>https://www.google.com/maps/search/?api=1&amp;query=Rodacam%2C+Av.+Rosario+de+Santa+Fe+1712%2C+San+Francisco%2C+C%C3%B3rdoba</x:v>
      </x:c>
      <x:c r="Y11" s="14" t="str">
        <x:v>Google Business</x:v>
      </x:c>
      <x:c r="Z11" s="14" t="str">
        <x:v>https://www.google.com/maps/search/?api=1&amp;query=Rodacam%2C+Av.+Rosario+de+Santa+Fe+1712%2C+San+Francisco%2C+C%C3%B3rdoba</x:v>
      </x:c>
      <x:c r="AA11" s="14" t="str">
        <x:v>Concesionario de camiones.</x:v>
      </x:c>
      <x:c r="AB11" s="14" t="str">
        <x:v>Alta</x:v>
      </x:c>
      <x:c r="AC11" s="14" t="str">
        <x:v>Operativo / verificar antes de visita</x:v>
      </x:c>
      <x:c r="AD11" s="14" t="str">
        <x:v>Rastrillaje San Francisco 2026-09-15</x:v>
      </x:c>
      <x:c r="AE11" s="14" t="str">
        <x:v>Plataforma 20 tn | Malacate | Hidrogrúa | Entrega/retiro maquinaria | Seguro/GPS</x:v>
      </x:c>
      <x:c r="AF11" s="14" t="str">
        <x:v>VISITA INMEDIATA</x:v>
      </x:c>
    </x:row>
    <x:row r="12">
      <x:c r="A12" s="14" t="str">
        <x:v>SF-011</x:v>
      </x:c>
      <x:c r="B12" s="14" t="str">
        <x:v>Pendiente</x:v>
      </x:c>
      <x:c r="C12" s="14" t="str">
        <x:v>Núcleo</x:v>
      </x:c>
      <x:c r="D12" s="14" t="str">
        <x:v>San Francisco</x:v>
      </x:c>
      <x:c r="E12" s="14" t="str">
        <x:v>Av. Rosario de Santa Fe</x:v>
      </x:c>
      <x:c r="F12" s="14" t="str">
        <x:v>A+</x:v>
      </x:c>
      <x:c r="G12" s="14" t="n">
        <x:v>96</x:v>
      </x:c>
      <x:c r="H12" s="14" t="str">
        <x:v>Ruta Camiones</x:v>
      </x:c>
      <x:c r="I12" s="14" t="str">
        <x:v>Concesionario de camiones</x:v>
      </x:c>
      <x:c r="J12" s="14" t="str">
        <x:v>03564 425807</x:v>
      </x:c>
      <x:c r="K12" s="14" t="str">
        <x:v>OK</x:v>
      </x:c>
      <x:c r="L12" s="14" t="str">
        <x:v>ventas / taller / logística / usados</x:v>
      </x:c>
      <x:c r="M12" s="14" t="str">
        <x:v>Entrega/retiro de maquinaria, usados, equipos de service y despachos de fábrica.</x:v>
      </x:c>
      <x:c r="N12" s="14" t="str">
        <x:v>Plataforma 20 tn + malacate + hidrogrúa de apoyo + seguro/GPS.</x:v>
      </x:c>
      <x:c r="O12" s="14" t="str">
        <x:v>Captar entregas, canjes, usados y rescates de service sin inmovilizar transporte propio.</x:v>
      </x:c>
      <x:c r="P12" s="14" t="str">
        <x:v>Pedir logística/expedición/posventa; relevar equipos, pesos y movimientos mensuales.</x:v>
      </x:c>
      <x:c r="Q12" s="14" t="str"/>
      <x:c r="R12" s="14" t="str">
        <x:v>Av. Rosario de Santa Fe 2076, San Francisco, Córdoba</x:v>
      </x:c>
      <x:c r="S12" s="14" t="str"/>
      <x:c r="T12" s="14" t="str"/>
      <x:c r="U12" s="14" t="str"/>
      <x:c r="V12" s="14" t="str"/>
      <x:c r="W12" s="14" t="str">
        <x:v>03564425807</x:v>
      </x:c>
      <x:c r="X12" s="14" t="str">
        <x:v>https://www.google.com/maps/search/?api=1&amp;query=Ruta+Camiones%2C+Av.+Rosario+de+Santa+Fe+2076%2C+San+Francisco%2C+C%C3%B3rdoba</x:v>
      </x:c>
      <x:c r="Y12" s="14" t="str">
        <x:v>Google Business</x:v>
      </x:c>
      <x:c r="Z12" s="14" t="str">
        <x:v>https://www.google.com/maps/search/?api=1&amp;query=Ruta+Camiones%2C+Av.+Rosario+de+Santa+Fe+2076%2C+San+Francisco%2C+C%C3%B3rdoba</x:v>
      </x:c>
      <x:c r="AA12" s="14" t="str">
        <x:v>Concesionario local de camiones.</x:v>
      </x:c>
      <x:c r="AB12" s="14" t="str">
        <x:v>Alta</x:v>
      </x:c>
      <x:c r="AC12" s="14" t="str">
        <x:v>Operativo / verificar antes de visita</x:v>
      </x:c>
      <x:c r="AD12" s="14" t="str">
        <x:v>Rastrillaje San Francisco 2026-09-15</x:v>
      </x:c>
      <x:c r="AE12" s="14" t="str">
        <x:v>Plataforma 20 tn | Malacate | Hidrogrúa | Entrega/retiro maquinaria | Seguro/GPS</x:v>
      </x:c>
      <x:c r="AF12" s="14" t="str">
        <x:v>VISITA INMEDIATA</x:v>
      </x:c>
    </x:row>
    <x:row r="13">
      <x:c r="A13" s="14" t="str">
        <x:v>SF-012</x:v>
      </x:c>
      <x:c r="B13" s="14" t="str">
        <x:v>Pendiente</x:v>
      </x:c>
      <x:c r="C13" s="14" t="str">
        <x:v>Núcleo</x:v>
      </x:c>
      <x:c r="D13" s="14" t="str">
        <x:v>San Francisco</x:v>
      </x:c>
      <x:c r="E13" s="14" t="str">
        <x:v>Parque Industrial / Nicolini</x:v>
      </x:c>
      <x:c r="F13" s="14" t="str">
        <x:v>A+</x:v>
      </x:c>
      <x:c r="G13" s="14" t="n">
        <x:v>95</x:v>
      </x:c>
      <x:c r="H13" s="14" t="str">
        <x:v>FRUSSO</x:v>
      </x:c>
      <x:c r="I13" s="14" t="str">
        <x:v>Equipos industriales, tanques inoxidables y líneas de embotellado</x:v>
      </x:c>
      <x:c r="J13" s="14" t="str">
        <x:v>03564 445971 / 445972</x:v>
      </x:c>
      <x:c r="K13" s="14" t="str">
        <x:v>OK</x:v>
      </x:c>
      <x:c r="L13" s="14" t="str">
        <x:v>producción / proyectos / expedición / logística</x:v>
      </x:c>
      <x:c r="M13" s="14" t="str">
        <x:v>Despacho de piezas, conjuntos metálicos, componentes pesados o equipos de producción/mantenimiento.</x:v>
      </x:c>
      <x:c r="N13" s="14" t="str">
        <x:v>Plataforma + hidrogrúa + malacate; percha según carga.</x:v>
      </x:c>
      <x:c r="O13" s="14" t="str">
        <x:v>Resolver piezas pesadas o fuera de medida con un único proveedor.</x:v>
      </x:c>
      <x:c r="P13" s="14" t="str">
        <x:v>Pedir producción/expedición/mantenimiento y relevar piezas máximas/destinos.</x:v>
      </x:c>
      <x:c r="Q13" s="14" t="str"/>
      <x:c r="R13" s="14" t="str">
        <x:v>Marco Nicolini 2280, Parque Industrial, San Francisco, Córdoba</x:v>
      </x:c>
      <x:c r="S13" s="14" t="str"/>
      <x:c r="T13" s="14" t="str"/>
      <x:c r="U13" s="14" t="str"/>
      <x:c r="V13" s="14" t="str"/>
      <x:c r="W13" s="14" t="str">
        <x:v>03564445971</x:v>
      </x:c>
      <x:c r="X13" s="14" t="str">
        <x:v>https://www.google.com/maps/search/?api=1&amp;query=FRUSSO%2C+Marco+Nicolini+2280%2C+Parque+Industrial%2C+San+Francisco%2C+C%C3%B3rdoba</x:v>
      </x:c>
      <x:c r="Y13" s="14" t="str">
        <x:v>Web oficial</x:v>
      </x:c>
      <x:c r="Z13" s="14" t="str">
        <x:v>https://www.frusso.com/contacto.html</x:v>
      </x:c>
      <x:c r="AA13" s="14" t="str">
        <x:v>Fabrica tanques, líneas de embotellado y maquinaria industrial en planta del Parque Industrial.</x:v>
      </x:c>
      <x:c r="AB13" s="14" t="str">
        <x:v>Alta</x:v>
      </x:c>
      <x:c r="AC13" s="14" t="str">
        <x:v>Operativo / verificar antes de visita</x:v>
      </x:c>
      <x:c r="AD13" s="14" t="str">
        <x:v>Rastrillaje San Francisco 2026-09-15</x:v>
      </x:c>
      <x:c r="AE13" s="14" t="str">
        <x:v>Plataforma 20 tn | Hidrogrúa | Malacate | Percha</x:v>
      </x:c>
      <x:c r="AF13" s="14" t="str">
        <x:v>VISITA INMEDIATA</x:v>
      </x:c>
    </x:row>
    <x:row r="14">
      <x:c r="A14" s="14" t="str">
        <x:v>SF-013</x:v>
      </x:c>
      <x:c r="B14" s="14" t="str">
        <x:v>Pendiente</x:v>
      </x:c>
      <x:c r="C14" s="14" t="str">
        <x:v>Núcleo</x:v>
      </x:c>
      <x:c r="D14" s="14" t="str">
        <x:v>San Francisco</x:v>
      </x:c>
      <x:c r="E14" s="14" t="str">
        <x:v>RN158 / 9 de Septiembre</x:v>
      </x:c>
      <x:c r="F14" s="14" t="str">
        <x:v>A+</x:v>
      </x:c>
      <x:c r="G14" s="14" t="n">
        <x:v>95</x:v>
      </x:c>
      <x:c r="H14" s="14" t="str">
        <x:v>Oscar Racca Camiones</x:v>
      </x:c>
      <x:c r="I14" s="14" t="str">
        <x:v>Concesionario de camiones</x:v>
      </x:c>
      <x:c r="J14" s="14" t="str">
        <x:v>03564 363596</x:v>
      </x:c>
      <x:c r="K14" s="14" t="str">
        <x:v>OK</x:v>
      </x:c>
      <x:c r="L14" s="14" t="str">
        <x:v>ventas / logística / taller</x:v>
      </x:c>
      <x:c r="M14" s="14" t="str">
        <x:v>Entrega/retiro de maquinaria, usados, equipos de service y despachos de fábrica.</x:v>
      </x:c>
      <x:c r="N14" s="14" t="str">
        <x:v>Plataforma 20 tn + malacate + hidrogrúa de apoyo + seguro/GPS.</x:v>
      </x:c>
      <x:c r="O14" s="14" t="str">
        <x:v>Captar entregas, canjes, usados y rescates de service sin inmovilizar transporte propio.</x:v>
      </x:c>
      <x:c r="P14" s="14" t="str">
        <x:v>Pedir logística/expedición/posventa; relevar equipos, pesos y movimientos mensuales.</x:v>
      </x:c>
      <x:c r="Q14" s="14" t="str"/>
      <x:c r="R14" s="14" t="str">
        <x:v>Ruta 158 y Av. 9 de Septiembre, San Francisco, Córdoba</x:v>
      </x:c>
      <x:c r="S14" s="14" t="str"/>
      <x:c r="T14" s="14" t="str"/>
      <x:c r="U14" s="14" t="str"/>
      <x:c r="V14" s="14" t="str"/>
      <x:c r="W14" s="14" t="str">
        <x:v>03564363596</x:v>
      </x:c>
      <x:c r="X14" s="14" t="str">
        <x:v>https://www.google.com/maps/search/?api=1&amp;query=Oscar+Racca+Camiones%2C+Ruta+158+y+Av.+9+de+Septiembre%2C+San+Francisco%2C+C%C3%B3rdoba</x:v>
      </x:c>
      <x:c r="Y14" s="14" t="str">
        <x:v>Google Business</x:v>
      </x:c>
      <x:c r="Z14" s="14" t="str">
        <x:v>https://www.google.com/maps/search/?api=1&amp;query=Oscar+Racca+Camiones%2C+Ruta+158+y+Av.+9+de+Septiembre%2C+San+Francisco%2C+C%C3%B3rdoba</x:v>
      </x:c>
      <x:c r="AA14" s="14" t="str">
        <x:v>Venta de camiones en corredor RN158.</x:v>
      </x:c>
      <x:c r="AB14" s="14" t="str">
        <x:v>Alta</x:v>
      </x:c>
      <x:c r="AC14" s="14" t="str">
        <x:v>Operativo / verificar antes de visita</x:v>
      </x:c>
      <x:c r="AD14" s="14" t="str">
        <x:v>Rastrillaje San Francisco 2026-09-15</x:v>
      </x:c>
      <x:c r="AE14" s="14" t="str">
        <x:v>Plataforma 20 tn | Malacate | Hidrogrúa | Entrega/retiro maquinaria | Seguro/GPS</x:v>
      </x:c>
      <x:c r="AF14" s="14" t="str">
        <x:v>VISITA INMEDIATA</x:v>
      </x:c>
    </x:row>
    <x:row r="15">
      <x:c r="A15" s="14" t="str">
        <x:v>SF-014</x:v>
      </x:c>
      <x:c r="B15" s="14" t="str">
        <x:v>Pendiente</x:v>
      </x:c>
      <x:c r="C15" s="14" t="str">
        <x:v>Núcleo</x:v>
      </x:c>
      <x:c r="D15" s="14" t="str">
        <x:v>San Francisco</x:v>
      </x:c>
      <x:c r="E15" s="14" t="str">
        <x:v>Parque Industrial</x:v>
      </x:c>
      <x:c r="F15" s="14" t="str">
        <x:v>A</x:v>
      </x:c>
      <x:c r="G15" s="14" t="n">
        <x:v>90</x:v>
      </x:c>
      <x:c r="H15" s="14" t="str">
        <x:v>Ever Wear S.A.</x:v>
      </x:c>
      <x:c r="I15" s="14" t="str">
        <x:v>Repuestos e implementos agro-industriales</x:v>
      </x:c>
      <x:c r="J15" s="14" t="str">
        <x:v>03564 237659</x:v>
      </x:c>
      <x:c r="K15" s="14" t="str">
        <x:v>OK</x:v>
      </x:c>
      <x:c r="L15" s="14" t="str">
        <x:v>producción / expedición / logística</x:v>
      </x:c>
      <x:c r="M15" s="14" t="str">
        <x:v>Entrega/retiro de maquinaria, usados, equipos de service y despachos de fábrica.</x:v>
      </x:c>
      <x:c r="N15" s="14" t="str">
        <x:v>Plataforma 20 tn + malacate + hidrogrúa de apoyo + seguro/GPS.</x:v>
      </x:c>
      <x:c r="O15" s="14" t="str">
        <x:v>Captar entregas, canjes, usados y rescates de service sin inmovilizar transporte propio.</x:v>
      </x:c>
      <x:c r="P15" s="14" t="str">
        <x:v>Pedir logística/expedición/posventa; relevar equipos, pesos y movimientos mensuales.</x:v>
      </x:c>
      <x:c r="Q15" s="14" t="str"/>
      <x:c r="R15" s="14" t="str">
        <x:v>Gontero 4885, Parque Industrial, San Francisco, Córdoba</x:v>
      </x:c>
      <x:c r="S15" s="14" t="str"/>
      <x:c r="T15" s="14" t="str"/>
      <x:c r="U15" s="14" t="str"/>
      <x:c r="V15" s="14" t="str"/>
      <x:c r="W15" s="14" t="str">
        <x:v>03564237659</x:v>
      </x:c>
      <x:c r="X15" s="14" t="str">
        <x:v>https://www.google.com/maps/search/?api=1&amp;query=Ever+Wear+S.A.%2C+Gontero+4885%2C+Parque+Industrial%2C+San+Francisco%2C+C%C3%B3rdoba</x:v>
      </x:c>
      <x:c r="Y15" s="14" t="str">
        <x:v>Web oficial</x:v>
      </x:c>
      <x:c r="Z15" s="14" t="str">
        <x:v>https://everwear.com.ar/</x:v>
      </x:c>
      <x:c r="AA15" s="14" t="str">
        <x:v>Fabrica y comercializa repuestos e implementos agro-industriales con logística a todo el país.</x:v>
      </x:c>
      <x:c r="AB15" s="14" t="str">
        <x:v>Alta</x:v>
      </x:c>
      <x:c r="AC15" s="14" t="str">
        <x:v>Operativo / verificar antes de visita</x:v>
      </x:c>
      <x:c r="AD15" s="14" t="str">
        <x:v>Rastrillaje San Francisco 2026-09-15</x:v>
      </x:c>
      <x:c r="AE15" s="14" t="str">
        <x:v>Plataforma 20 tn | Malacate | Hidrogrúa | Entrega/retiro maquinaria | Seguro/GPS</x:v>
      </x:c>
      <x:c r="AF15" s="14" t="str">
        <x:v>PRIORIDAD ALTA</x:v>
      </x:c>
    </x:row>
    <x:row r="16">
      <x:c r="A16" s="14" t="str">
        <x:v>SF-015</x:v>
      </x:c>
      <x:c r="B16" s="14" t="str">
        <x:v>Pendiente</x:v>
      </x:c>
      <x:c r="C16" s="14" t="str">
        <x:v>Núcleo</x:v>
      </x:c>
      <x:c r="D16" s="14" t="str">
        <x:v>San Francisco</x:v>
      </x:c>
      <x:c r="E16" s="14" t="str">
        <x:v>Rosario de Santa Fe</x:v>
      </x:c>
      <x:c r="F16" s="14" t="str">
        <x:v>A</x:v>
      </x:c>
      <x:c r="G16" s="14" t="n">
        <x:v>90</x:v>
      </x:c>
      <x:c r="H16" s="14" t="str">
        <x:v>Paumotors S.R.L. - Cummins</x:v>
      </x:c>
      <x:c r="I16" s="14" t="str">
        <x:v>Motores / repuestos / tractores</x:v>
      </x:c>
      <x:c r="J16" s="14" t="str">
        <x:v>03564 430247</x:v>
      </x:c>
      <x:c r="K16" s="14" t="str">
        <x:v>OK</x:v>
      </x:c>
      <x:c r="L16" s="14" t="str">
        <x:v>service / taller / logística / repuestos</x:v>
      </x:c>
      <x:c r="M16" s="14" t="str">
        <x:v>Entrega/retiro de maquinaria, usados, equipos de service y despachos de fábrica.</x:v>
      </x:c>
      <x:c r="N16" s="14" t="str">
        <x:v>Plataforma 20 tn + malacate + hidrogrúa de apoyo + seguro/GPS.</x:v>
      </x:c>
      <x:c r="O16" s="14" t="str">
        <x:v>Captar entregas, canjes, usados y rescates de service sin inmovilizar transporte propio.</x:v>
      </x:c>
      <x:c r="P16" s="14" t="str">
        <x:v>Pedir logística/expedición/posventa; relevar equipos, pesos y movimientos mensuales.</x:v>
      </x:c>
      <x:c r="Q16" s="14" t="str"/>
      <x:c r="R16" s="14" t="str">
        <x:v>Rosario de Santa Fe 1139, San Francisco, Córdoba</x:v>
      </x:c>
      <x:c r="S16" s="14" t="str"/>
      <x:c r="T16" s="14" t="str"/>
      <x:c r="U16" s="14" t="str"/>
      <x:c r="V16" s="14" t="str"/>
      <x:c r="W16" s="14" t="str">
        <x:v>03564430247</x:v>
      </x:c>
      <x:c r="X16" s="14" t="str">
        <x:v>https://www.google.com/maps/search/?api=1&amp;query=Paumotors+S.R.L.+-+Cummins%2C+Rosario+de+Santa+Fe+1139%2C+San+Francisco%2C+C%C3%B3rdoba</x:v>
      </x:c>
      <x:c r="Y16" s="14" t="str">
        <x:v>Google Business</x:v>
      </x:c>
      <x:c r="Z16" s="14" t="str">
        <x:v>https://www.google.com/maps/search/?api=1&amp;query=Paumotors+SRL+Cummins%2C+Rosario+de+Santa+Fe+1139%2C+San+Francisco%2C+C%C3%B3rdoba</x:v>
      </x:c>
      <x:c r="AA16" s="14" t="str">
        <x:v>Concesionario oficial Cummins y repuestos para equipos/tractores.</x:v>
      </x:c>
      <x:c r="AB16" s="14" t="str">
        <x:v>Alta</x:v>
      </x:c>
      <x:c r="AC16" s="14" t="str">
        <x:v>Operativo / verificar antes de visita</x:v>
      </x:c>
      <x:c r="AD16" s="14" t="str">
        <x:v>Rastrillaje San Francisco 2026-09-15</x:v>
      </x:c>
      <x:c r="AE16" s="14" t="str">
        <x:v>Plataforma 20 tn | Malacate | Hidrogrúa | Entrega/retiro maquinaria | Seguro/GPS</x:v>
      </x:c>
      <x:c r="AF16" s="14" t="str">
        <x:v>PRIORIDAD ALTA</x:v>
      </x:c>
    </x:row>
    <x:row r="17">
      <x:c r="A17" s="14" t="str">
        <x:v>SF-016</x:v>
      </x:c>
      <x:c r="B17" s="14" t="str">
        <x:v>Pendiente</x:v>
      </x:c>
      <x:c r="C17" s="14" t="str">
        <x:v>Núcleo</x:v>
      </x:c>
      <x:c r="D17" s="14" t="str">
        <x:v>San Francisco</x:v>
      </x:c>
      <x:c r="E17" s="14" t="str">
        <x:v>San Francisco</x:v>
      </x:c>
      <x:c r="F17" s="14" t="str">
        <x:v>A</x:v>
      </x:c>
      <x:c r="G17" s="14" t="n">
        <x:v>88</x:v>
      </x:c>
      <x:c r="H17" s="14" t="str">
        <x:v>Cilindros Hidráulicos Delfabro S.R.L.</x:v>
      </x:c>
      <x:c r="I17" s="14" t="str">
        <x:v>Cilindros hidráulicos / agroindustria</x:v>
      </x:c>
      <x:c r="J17" s="14" t="str">
        <x:v>A verificar</x:v>
      </x:c>
      <x:c r="K17" s="14" t="str">
        <x:v>A verificar</x:v>
      </x:c>
      <x:c r="L17" s="14" t="str">
        <x:v>producción / expedición / hidráulica</x:v>
      </x:c>
      <x:c r="M17" s="14" t="str">
        <x:v>Despacho de piezas, conjuntos metálicos, componentes pesados o equipos de producción/mantenimiento.</x:v>
      </x:c>
      <x:c r="N17" s="14" t="str">
        <x:v>Plataforma + hidrogrúa + malacate; percha según carga.</x:v>
      </x:c>
      <x:c r="O17" s="14" t="str">
        <x:v>Resolver piezas pesadas o fuera de medida con un único proveedor.</x:v>
      </x:c>
      <x:c r="P17" s="14" t="str">
        <x:v>Pedir producción/expedición/mantenimiento y relevar piezas máximas/destinos.</x:v>
      </x:c>
      <x:c r="Q17" s="14" t="str"/>
      <x:c r="R17" s="14" t="str">
        <x:v>San Francisco, Córdoba</x:v>
      </x:c>
      <x:c r="S17" s="14" t="str"/>
      <x:c r="T17" s="14" t="str"/>
      <x:c r="U17" s="14" t="str"/>
      <x:c r="V17" s="14" t="str"/>
      <x:c r="W17" s="14" t="str"/>
      <x:c r="X17" s="14" t="str">
        <x:v>https://www.google.com/maps/search/?api=1&amp;query=Cilindros+Hidr%C3%A1ulicos+Delfabro+S.R.L.%2C+San+Francisco%2C+C%C3%B3rdoba</x:v>
      </x:c>
      <x:c r="Y17" s="14" t="str">
        <x:v>Indicadores AR</x:v>
      </x:c>
      <x:c r="Z17" s="14" t="str">
        <x:v>https://indicadores.ar/empresas/sector/fabricacion-de-maquinaria-y-equipo-de-uso-agropecuario-y-forestal/cordoba/san-francisco</x:v>
      </x:c>
      <x:c r="AA17" s="14" t="str">
        <x:v>Sociedad activa del sector fabricación de maquinaria/equipo agropecuario y forestal.</x:v>
      </x:c>
      <x:c r="AB17" s="14" t="str">
        <x:v>Media</x:v>
      </x:c>
      <x:c r="AC17" s="14" t="str">
        <x:v>Operativo / verificar antes de visita</x:v>
      </x:c>
      <x:c r="AD17" s="14" t="str">
        <x:v>Rastrillaje San Francisco 2026-09-15</x:v>
      </x:c>
      <x:c r="AE17" s="14" t="str">
        <x:v>Plataforma 20 tn | Hidrogrúa | Malacate | Percha</x:v>
      </x:c>
      <x:c r="AF17" s="14" t="str">
        <x:v>PRIORIDAD ALTA</x:v>
      </x:c>
    </x:row>
    <x:row r="18">
      <x:c r="A18" s="14" t="str">
        <x:v>SF-017</x:v>
      </x:c>
      <x:c r="B18" s="14" t="str">
        <x:v>Pendiente</x:v>
      </x:c>
      <x:c r="C18" s="14" t="str">
        <x:v>Núcleo</x:v>
      </x:c>
      <x:c r="D18" s="14" t="str">
        <x:v>San Francisco</x:v>
      </x:c>
      <x:c r="E18" s="14" t="str">
        <x:v>San Francisco</x:v>
      </x:c>
      <x:c r="F18" s="14" t="str">
        <x:v>A</x:v>
      </x:c>
      <x:c r="G18" s="14" t="n">
        <x:v>88</x:v>
      </x:c>
      <x:c r="H18" s="14" t="str">
        <x:v>H25 Hormigón Elaborado y Premoldeados</x:v>
      </x:c>
      <x:c r="I18" s="14" t="str">
        <x:v>Hormigón elaborado / premoldeados</x:v>
      </x:c>
      <x:c r="J18" s="14" t="str">
        <x:v>03564 201205</x:v>
      </x:c>
      <x:c r="K18" s="14" t="str">
        <x:v>OK</x:v>
      </x:c>
      <x:c r="L18" s="14" t="str">
        <x:v>planta / logística / mantenimiento</x:v>
      </x:c>
      <x:c r="M18" s="14" t="str">
        <x:v>Traslados interobra de equipos, herramientas, premoldeados y cargas especiales.</x:v>
      </x:c>
      <x:c r="N18" s="14" t="str">
        <x:v>Plataforma + hidrogrúa + malacate + percha.</x:v>
      </x:c>
      <x:c r="O18" s="14" t="str">
        <x:v>Cubrir movimientos interobra y cargas que no resuelve el camión convencional.</x:v>
      </x:c>
      <x:c r="P18" s="14" t="str">
        <x:v>Pedir obras/equipos/logística; relevar maquinaria propia y frecuencia.</x:v>
      </x:c>
      <x:c r="Q18" s="14" t="str"/>
      <x:c r="R18" s="14" t="str">
        <x:v>Mariano Moreno 348, San Francisco, Córdoba</x:v>
      </x:c>
      <x:c r="S18" s="14" t="str"/>
      <x:c r="T18" s="14" t="str"/>
      <x:c r="U18" s="14" t="str"/>
      <x:c r="V18" s="14" t="str"/>
      <x:c r="W18" s="14" t="str">
        <x:v>03564201205</x:v>
      </x:c>
      <x:c r="X18" s="14" t="str">
        <x:v>https://www.google.com/maps/search/?api=1&amp;query=H25+Hormig%C3%B3n+Elaborado+y+Premoldeados%2C+Mariano+Moreno+348%2C+San+Francisco%2C+C%C3%B3rdoba</x:v>
      </x:c>
      <x:c r="Y18" s="14" t="str">
        <x:v>LinkedIn + Google Business</x:v>
      </x:c>
      <x:c r="Z18" s="14" t="str">
        <x:v>https://ar.linkedin.com/company/h25-hormigon-elaborado-y-premoldeados</x:v>
      </x:c>
      <x:c r="AA18" s="14" t="str">
        <x:v>Planta dosificadora, motohormigoneros y fabricación de premoldeados.</x:v>
      </x:c>
      <x:c r="AB18" s="14" t="str">
        <x:v>Alta</x:v>
      </x:c>
      <x:c r="AC18" s="14" t="str">
        <x:v>Operativo / verificar antes de visita</x:v>
      </x:c>
      <x:c r="AD18" s="14" t="str">
        <x:v>Rastrillaje San Francisco 2026-09-15</x:v>
      </x:c>
      <x:c r="AE18" s="14" t="str">
        <x:v>Plataforma 20 tn | Hidrogrúa | Malacate | Traslados interobra</x:v>
      </x:c>
      <x:c r="AF18" s="14" t="str">
        <x:v>PRIORIDAD ALTA</x:v>
      </x:c>
    </x:row>
    <x:row r="19">
      <x:c r="A19" s="14" t="str">
        <x:v>SF-018</x:v>
      </x:c>
      <x:c r="B19" s="14" t="str">
        <x:v>Pendiente</x:v>
      </x:c>
      <x:c r="C19" s="14" t="str">
        <x:v>Núcleo</x:v>
      </x:c>
      <x:c r="D19" s="14" t="str">
        <x:v>San Francisco</x:v>
      </x:c>
      <x:c r="E19" s="14" t="str">
        <x:v>Parque Industrial / Huergo</x:v>
      </x:c>
      <x:c r="F19" s="14" t="str">
        <x:v>A</x:v>
      </x:c>
      <x:c r="G19" s="14" t="n">
        <x:v>88</x:v>
      </x:c>
      <x:c r="H19" s="14" t="str">
        <x:v>Transporte Santa Rita</x:v>
      </x:c>
      <x:c r="I19" s="14" t="str">
        <x:v>Transporte y logística</x:v>
      </x:c>
      <x:c r="J19" s="14" t="str">
        <x:v>03564 416955 / +54 3564 626335</x:v>
      </x:c>
      <x:c r="K19" s="14" t="str">
        <x:v>OK</x:v>
      </x:c>
      <x:c r="L19" s="14" t="str">
        <x:v>tráfico / operaciones / logística</x:v>
      </x:c>
      <x:c r="M19" s="14" t="str">
        <x:v>Overflow y derivación de cargas/equipos que requieren plataforma, malacate o hidrogrúa.</x:v>
      </x:c>
      <x:c r="N19" s="14" t="str">
        <x:v>Capacidad complementaria: plataforma 20 tn + hidrogrúa + malacate.</x:v>
      </x:c>
      <x:c r="O19" s="14" t="str">
        <x:v>Ser socio de respaldo para cargas especiales que excedan la flota habitual.</x:v>
      </x:c>
      <x:c r="P19" s="14" t="str">
        <x:v>Pedir tráfico/operaciones y ofrecer acuerdo de derivaciones.</x:v>
      </x:c>
      <x:c r="Q19" s="14" t="str"/>
      <x:c r="R19" s="14" t="str">
        <x:v>Ing. Huergo esq. Santiago Pampiglione, Parque Industrial, San Francisco, Córdoba</x:v>
      </x:c>
      <x:c r="S19" s="14" t="str"/>
      <x:c r="T19" s="14" t="str"/>
      <x:c r="U19" s="14" t="str"/>
      <x:c r="V19" s="14" t="str"/>
      <x:c r="W19" s="14" t="str">
        <x:v>03564416955</x:v>
      </x:c>
      <x:c r="X19" s="14" t="str">
        <x:v>https://www.google.com/maps/search/?api=1&amp;query=Transporte+Santa+Rita%2C+Ing.+Huergo+esq.+Santiago+Pampiglione%2C+Parque+Industrial%2C+San+Francisco%2C+C%C3%B3rdoba</x:v>
      </x:c>
      <x:c r="Y19" s="14" t="str">
        <x:v>Web oficial</x:v>
      </x:c>
      <x:c r="Z19" s="14" t="str">
        <x:v>https://www.santaritatransporte.com.ar/index.html</x:v>
      </x:c>
      <x:c r="AA19" s="14" t="str">
        <x:v>Transporte, distribución, contenedores y cargas generales; base central en el Parque Industrial.</x:v>
      </x:c>
      <x:c r="AB19" s="14" t="str">
        <x:v>Alta</x:v>
      </x:c>
      <x:c r="AC19" s="14" t="str">
        <x:v>Operativo / verificar antes de visita</x:v>
      </x:c>
      <x:c r="AD19" s="14" t="str">
        <x:v>Rastrillaje San Francisco 2026-09-15</x:v>
      </x:c>
      <x:c r="AE19" s="14" t="str">
        <x:v>Plataforma 20 tn | Hidrogrúa | Malacate | Subcontratación</x:v>
      </x:c>
      <x:c r="AF19" s="14" t="str">
        <x:v>PRIORIDAD ALTA</x:v>
      </x:c>
    </x:row>
    <x:row r="20">
      <x:c r="A20" s="14" t="str">
        <x:v>SF-019</x:v>
      </x:c>
      <x:c r="B20" s="14" t="str">
        <x:v>Pendiente</x:v>
      </x:c>
      <x:c r="C20" s="14" t="str">
        <x:v>Núcleo</x:v>
      </x:c>
      <x:c r="D20" s="14" t="str">
        <x:v>San Francisco</x:v>
      </x:c>
      <x:c r="E20" s="14" t="str">
        <x:v>Parque Industrial / Pampiglione</x:v>
      </x:c>
      <x:c r="F20" s="14" t="str">
        <x:v>A</x:v>
      </x:c>
      <x:c r="G20" s="14" t="n">
        <x:v>86</x:v>
      </x:c>
      <x:c r="H20" s="14" t="str">
        <x:v>BBB Express</x:v>
      </x:c>
      <x:c r="I20" s="14" t="str">
        <x:v>Transporte / logística / almacenamiento</x:v>
      </x:c>
      <x:c r="J20" s="14" t="str">
        <x:v>+54 3564 313209</x:v>
      </x:c>
      <x:c r="K20" s="14" t="str">
        <x:v>OK</x:v>
      </x:c>
      <x:c r="L20" s="14" t="str">
        <x:v>tráfico / operaciones / logística</x:v>
      </x:c>
      <x:c r="M20" s="14" t="str">
        <x:v>Overflow y derivación de cargas/equipos que requieren plataforma, malacate o hidrogrúa.</x:v>
      </x:c>
      <x:c r="N20" s="14" t="str">
        <x:v>Capacidad complementaria: plataforma 20 tn + hidrogrúa + malacate.</x:v>
      </x:c>
      <x:c r="O20" s="14" t="str">
        <x:v>Ser socio de respaldo para cargas especiales que excedan la flota habitual.</x:v>
      </x:c>
      <x:c r="P20" s="14" t="str">
        <x:v>Pedir tráfico/operaciones y ofrecer acuerdo de derivaciones.</x:v>
      </x:c>
      <x:c r="Q20" s="14" t="str"/>
      <x:c r="R20" s="14" t="str">
        <x:v>Santiago Pampiglione 4611, San Francisco, Córdoba</x:v>
      </x:c>
      <x:c r="S20" s="14" t="str"/>
      <x:c r="T20" s="14" t="str"/>
      <x:c r="U20" s="14" t="str"/>
      <x:c r="V20" s="14" t="str"/>
      <x:c r="W20" s="14" t="str">
        <x:v>+543564313209</x:v>
      </x:c>
      <x:c r="X20" s="14" t="str">
        <x:v>https://www.google.com/maps/search/?api=1&amp;query=BBB+Express%2C+Santiago+Pampiglione+4611%2C+San+Francisco%2C+C%C3%B3rdoba</x:v>
      </x:c>
      <x:c r="Y20" s="14" t="str">
        <x:v>Web oficial</x:v>
      </x:c>
      <x:c r="Z20" s="14" t="str">
        <x:v>https://www.bbbexpress.com.ar/</x:v>
      </x:c>
      <x:c r="AA20" s="14" t="str">
        <x:v>Distribución, almacenamiento y movimiento de cargas; sucursal San Francisco.</x:v>
      </x:c>
      <x:c r="AB20" s="14" t="str">
        <x:v>Alta</x:v>
      </x:c>
      <x:c r="AC20" s="14" t="str">
        <x:v>Operativo / verificar antes de visita</x:v>
      </x:c>
      <x:c r="AD20" s="14" t="str">
        <x:v>Rastrillaje San Francisco 2026-09-15</x:v>
      </x:c>
      <x:c r="AE20" s="14" t="str">
        <x:v>Plataforma 20 tn | Hidrogrúa | Malacate | Subcontratación</x:v>
      </x:c>
      <x:c r="AF20" s="14" t="str">
        <x:v>PRIORIDAD ALTA</x:v>
      </x:c>
    </x:row>
    <x:row r="21">
      <x:c r="A21" s="14" t="str">
        <x:v>SF-020</x:v>
      </x:c>
      <x:c r="B21" s="14" t="str">
        <x:v>Pendiente</x:v>
      </x:c>
      <x:c r="C21" s="14" t="str">
        <x:v>Núcleo</x:v>
      </x:c>
      <x:c r="D21" s="14" t="str">
        <x:v>San Francisco</x:v>
      </x:c>
      <x:c r="E21" s="14" t="str">
        <x:v>San Francisco</x:v>
      </x:c>
      <x:c r="F21" s="14" t="str">
        <x:v>A</x:v>
      </x:c>
      <x:c r="G21" s="14" t="n">
        <x:v>86</x:v>
      </x:c>
      <x:c r="H21" s="14" t="str">
        <x:v>FRAGA S.R.L.</x:v>
      </x:c>
      <x:c r="I21" s="14" t="str">
        <x:v>Fabricación de maquinaria agrícola</x:v>
      </x:c>
      <x:c r="J21" s="14" t="str">
        <x:v>A verificar</x:v>
      </x:c>
      <x:c r="K21" s="14" t="str">
        <x:v>A verificar</x:v>
      </x:c>
      <x:c r="L21" s="14" t="str">
        <x:v>producción / expedición / ventas</x:v>
      </x:c>
      <x:c r="M21" s="14" t="str">
        <x:v>Entrega/retiro de maquinaria, usados, equipos de service y despachos de fábrica.</x:v>
      </x:c>
      <x:c r="N21" s="14" t="str">
        <x:v>Plataforma 20 tn + malacate + hidrogrúa de apoyo + seguro/GPS.</x:v>
      </x:c>
      <x:c r="O21" s="14" t="str">
        <x:v>Captar entregas, canjes, usados y rescates de service sin inmovilizar transporte propio.</x:v>
      </x:c>
      <x:c r="P21" s="14" t="str">
        <x:v>Pedir logística/expedición/posventa; relevar equipos, pesos y movimientos mensuales.</x:v>
      </x:c>
      <x:c r="Q21" s="14" t="str"/>
      <x:c r="R21" s="14" t="str">
        <x:v>San Francisco, Córdoba</x:v>
      </x:c>
      <x:c r="S21" s="14" t="str"/>
      <x:c r="T21" s="14" t="str"/>
      <x:c r="U21" s="14" t="str"/>
      <x:c r="V21" s="14" t="str"/>
      <x:c r="W21" s="14" t="str"/>
      <x:c r="X21" s="14" t="str">
        <x:v>https://www.google.com/maps/search/?api=1&amp;query=FRAGA+S.R.L.%2C+San+Francisco%2C+C%C3%B3rdoba</x:v>
      </x:c>
      <x:c r="Y21" s="14" t="str">
        <x:v>Indicadores AR</x:v>
      </x:c>
      <x:c r="Z21" s="14" t="str">
        <x:v>https://indicadores.ar/empresas/sector/fabricacion-de-maquinaria-y-equipo-de-uso-agropecuario-y-forestal/cordoba/san-francisco</x:v>
      </x:c>
      <x:c r="AA21" s="14" t="str">
        <x:v>Sociedad activa registrada en fabricación de maquinaria agropecuaria y forestal.</x:v>
      </x:c>
      <x:c r="AB21" s="14" t="str">
        <x:v>Media</x:v>
      </x:c>
      <x:c r="AC21" s="14" t="str">
        <x:v>Operativo / verificar antes de visita</x:v>
      </x:c>
      <x:c r="AD21" s="14" t="str">
        <x:v>Rastrillaje San Francisco 2026-09-15</x:v>
      </x:c>
      <x:c r="AE21" s="14" t="str">
        <x:v>Plataforma 20 tn | Malacate | Hidrogrúa | Entrega/retiro maquinaria | Seguro/GPS</x:v>
      </x:c>
      <x:c r="AF21" s="14" t="str">
        <x:v>PRIORIDAD ALTA</x:v>
      </x:c>
    </x:row>
    <x:row r="22">
      <x:c r="A22" s="14" t="str">
        <x:v>SF-021</x:v>
      </x:c>
      <x:c r="B22" s="14" t="str">
        <x:v>Pendiente</x:v>
      </x:c>
      <x:c r="C22" s="14" t="str">
        <x:v>Núcleo</x:v>
      </x:c>
      <x:c r="D22" s="14" t="str">
        <x:v>San Francisco</x:v>
      </x:c>
      <x:c r="E22" s="14" t="str">
        <x:v>San Francisco</x:v>
      </x:c>
      <x:c r="F22" s="14" t="str">
        <x:v>A</x:v>
      </x:c>
      <x:c r="G22" s="14" t="n">
        <x:v>86</x:v>
      </x:c>
      <x:c r="H22" s="14" t="str">
        <x:v>Francione y Cía S.R.L.</x:v>
      </x:c>
      <x:c r="I22" s="14" t="str">
        <x:v>Fabricación de maquinaria agrícola</x:v>
      </x:c>
      <x:c r="J22" s="14" t="str">
        <x:v>A verificar</x:v>
      </x:c>
      <x:c r="K22" s="14" t="str">
        <x:v>A verificar</x:v>
      </x:c>
      <x:c r="L22" s="14" t="str">
        <x:v>producción / expedición / ventas</x:v>
      </x:c>
      <x:c r="M22" s="14" t="str">
        <x:v>Entrega/retiro de maquinaria, usados, equipos de service y despachos de fábrica.</x:v>
      </x:c>
      <x:c r="N22" s="14" t="str">
        <x:v>Plataforma 20 tn + malacate + hidrogrúa de apoyo + seguro/GPS.</x:v>
      </x:c>
      <x:c r="O22" s="14" t="str">
        <x:v>Captar entregas, canjes, usados y rescates de service sin inmovilizar transporte propio.</x:v>
      </x:c>
      <x:c r="P22" s="14" t="str">
        <x:v>Pedir logística/expedición/posventa; relevar equipos, pesos y movimientos mensuales.</x:v>
      </x:c>
      <x:c r="Q22" s="14" t="str"/>
      <x:c r="R22" s="14" t="str">
        <x:v>San Francisco, Córdoba</x:v>
      </x:c>
      <x:c r="S22" s="14" t="str"/>
      <x:c r="T22" s="14" t="str"/>
      <x:c r="U22" s="14" t="str"/>
      <x:c r="V22" s="14" t="str"/>
      <x:c r="W22" s="14" t="str"/>
      <x:c r="X22" s="14" t="str">
        <x:v>https://www.google.com/maps/search/?api=1&amp;query=Francione+y+C%C3%ADa+S.R.L.%2C+San+Francisco%2C+C%C3%B3rdoba</x:v>
      </x:c>
      <x:c r="Y22" s="14" t="str">
        <x:v>Indicadores AR</x:v>
      </x:c>
      <x:c r="Z22" s="14" t="str">
        <x:v>https://indicadores.ar/empresas/sector/fabricacion-de-maquinaria-y-equipo-de-uso-agropecuario-y-forestal/cordoba/san-francisco</x:v>
      </x:c>
      <x:c r="AA22" s="14" t="str">
        <x:v>Empresa histórica registrada como fabricante de maquinaria agropecuaria/forestal.</x:v>
      </x:c>
      <x:c r="AB22" s="14" t="str">
        <x:v>Media</x:v>
      </x:c>
      <x:c r="AC22" s="14" t="str">
        <x:v>Operativo / verificar antes de visita</x:v>
      </x:c>
      <x:c r="AD22" s="14" t="str">
        <x:v>Rastrillaje San Francisco 2026-09-15</x:v>
      </x:c>
      <x:c r="AE22" s="14" t="str">
        <x:v>Plataforma 20 tn | Malacate | Hidrogrúa | Entrega/retiro maquinaria | Seguro/GPS</x:v>
      </x:c>
      <x:c r="AF22" s="14" t="str">
        <x:v>PRIORIDAD ALTA</x:v>
      </x:c>
    </x:row>
    <x:row r="23">
      <x:c r="A23" s="14" t="str">
        <x:v>SF-022</x:v>
      </x:c>
      <x:c r="B23" s="14" t="str">
        <x:v>Pendiente</x:v>
      </x:c>
      <x:c r="C23" s="14" t="str">
        <x:v>Núcleo</x:v>
      </x:c>
      <x:c r="D23" s="14" t="str">
        <x:v>San Francisco</x:v>
      </x:c>
      <x:c r="E23" s="14" t="str">
        <x:v>San Francisco</x:v>
      </x:c>
      <x:c r="F23" s="14" t="str">
        <x:v>A</x:v>
      </x:c>
      <x:c r="G23" s="14" t="n">
        <x:v>86</x:v>
      </x:c>
      <x:c r="H23" s="14" t="str">
        <x:v>Miretti y Cía S.A.I.C.I.A.F.</x:v>
      </x:c>
      <x:c r="I23" s="14" t="str">
        <x:v>Fabricación de maquinaria agrícola</x:v>
      </x:c>
      <x:c r="J23" s="14" t="str">
        <x:v>A verificar</x:v>
      </x:c>
      <x:c r="K23" s="14" t="str">
        <x:v>A verificar</x:v>
      </x:c>
      <x:c r="L23" s="14" t="str">
        <x:v>producción / expedición / ventas</x:v>
      </x:c>
      <x:c r="M23" s="14" t="str">
        <x:v>Entrega/retiro de maquinaria, usados, equipos de service y despachos de fábrica.</x:v>
      </x:c>
      <x:c r="N23" s="14" t="str">
        <x:v>Plataforma 20 tn + malacate + hidrogrúa de apoyo + seguro/GPS.</x:v>
      </x:c>
      <x:c r="O23" s="14" t="str">
        <x:v>Captar entregas, canjes, usados y rescates de service sin inmovilizar transporte propio.</x:v>
      </x:c>
      <x:c r="P23" s="14" t="str">
        <x:v>Pedir logística/expedición/posventa; relevar equipos, pesos y movimientos mensuales.</x:v>
      </x:c>
      <x:c r="Q23" s="14" t="str"/>
      <x:c r="R23" s="14" t="str">
        <x:v>San Francisco, Córdoba</x:v>
      </x:c>
      <x:c r="S23" s="14" t="str"/>
      <x:c r="T23" s="14" t="str"/>
      <x:c r="U23" s="14" t="str"/>
      <x:c r="V23" s="14" t="str"/>
      <x:c r="W23" s="14" t="str"/>
      <x:c r="X23" s="14" t="str">
        <x:v>https://www.google.com/maps/search/?api=1&amp;query=Miretti+y+C%C3%ADa+S.A.I.C.I.A.F.%2C+San+Francisco%2C+C%C3%B3rdoba</x:v>
      </x:c>
      <x:c r="Y23" s="14" t="str">
        <x:v>Indicadores AR</x:v>
      </x:c>
      <x:c r="Z23" s="14" t="str">
        <x:v>https://indicadores.ar/empresas/sector/fabricacion-de-maquinaria-y-equipo-de-uso-agropecuario-y-forestal/cordoba/san-francisco</x:v>
      </x:c>
      <x:c r="AA23" s="14" t="str">
        <x:v>Sociedad histórica del sector fabricación de maquinaria agropecuaria/forestal.</x:v>
      </x:c>
      <x:c r="AB23" s="14" t="str">
        <x:v>Media</x:v>
      </x:c>
      <x:c r="AC23" s="14" t="str">
        <x:v>Operativo / verificar antes de visita</x:v>
      </x:c>
      <x:c r="AD23" s="14" t="str">
        <x:v>Rastrillaje San Francisco 2026-09-15</x:v>
      </x:c>
      <x:c r="AE23" s="14" t="str">
        <x:v>Plataforma 20 tn | Malacate | Hidrogrúa | Entrega/retiro maquinaria | Seguro/GPS</x:v>
      </x:c>
      <x:c r="AF23" s="14" t="str">
        <x:v>PRIORIDAD ALTA</x:v>
      </x:c>
    </x:row>
    <x:row r="24">
      <x:c r="A24" s="14" t="str">
        <x:v>SF-023</x:v>
      </x:c>
      <x:c r="B24" s="14" t="str">
        <x:v>Pendiente</x:v>
      </x:c>
      <x:c r="C24" s="14" t="str">
        <x:v>Núcleo</x:v>
      </x:c>
      <x:c r="D24" s="14" t="str">
        <x:v>San Francisco</x:v>
      </x:c>
      <x:c r="E24" s="14" t="str">
        <x:v>Libertad</x:v>
      </x:c>
      <x:c r="F24" s="14" t="str">
        <x:v>A</x:v>
      </x:c>
      <x:c r="G24" s="14" t="n">
        <x:v>86</x:v>
      </x:c>
      <x:c r="H24" s="14" t="str">
        <x:v>SICON S.R.L.</x:v>
      </x:c>
      <x:c r="I24" s="14" t="str">
        <x:v>Empresa constructora</x:v>
      </x:c>
      <x:c r="J24" s="14" t="str">
        <x:v>03564 424689</x:v>
      </x:c>
      <x:c r="K24" s="14" t="str">
        <x:v>OK</x:v>
      </x:c>
      <x:c r="L24" s="14" t="str">
        <x:v>obras / equipos / logística</x:v>
      </x:c>
      <x:c r="M24" s="14" t="str">
        <x:v>Traslados interobra de equipos, herramientas, premoldeados y cargas especiales.</x:v>
      </x:c>
      <x:c r="N24" s="14" t="str">
        <x:v>Plataforma + hidrogrúa + malacate + percha.</x:v>
      </x:c>
      <x:c r="O24" s="14" t="str">
        <x:v>Cubrir movimientos interobra y cargas que no resuelve el camión convencional.</x:v>
      </x:c>
      <x:c r="P24" s="14" t="str">
        <x:v>Pedir obras/equipos/logística; relevar maquinaria propia y frecuencia.</x:v>
      </x:c>
      <x:c r="Q24" s="14" t="str"/>
      <x:c r="R24" s="14" t="str">
        <x:v>Libertad 1133, San Francisco, Córdoba</x:v>
      </x:c>
      <x:c r="S24" s="14" t="str"/>
      <x:c r="T24" s="14" t="str"/>
      <x:c r="U24" s="14" t="str"/>
      <x:c r="V24" s="14" t="str"/>
      <x:c r="W24" s="14" t="str">
        <x:v>03564424689</x:v>
      </x:c>
      <x:c r="X24" s="14" t="str">
        <x:v>https://www.google.com/maps/search/?api=1&amp;query=SICON+S.R.L.%2C+Libertad+1133%2C+San+Francisco%2C+C%C3%B3rdoba</x:v>
      </x:c>
      <x:c r="Y24" s="14" t="str">
        <x:v>Google Business</x:v>
      </x:c>
      <x:c r="Z24" s="14" t="str">
        <x:v>https://www.google.com/maps/search/?api=1&amp;query=SICON+SRL%2C+Libertad+1133%2C+San+Francisco%2C+C%C3%B3rdoba</x:v>
      </x:c>
      <x:c r="AA24" s="14" t="str">
        <x:v>Constructora local con operación vigente.</x:v>
      </x:c>
      <x:c r="AB24" s="14" t="str">
        <x:v>Alta</x:v>
      </x:c>
      <x:c r="AC24" s="14" t="str">
        <x:v>Operativo / verificar antes de visita</x:v>
      </x:c>
      <x:c r="AD24" s="14" t="str">
        <x:v>Rastrillaje San Francisco 2026-09-15</x:v>
      </x:c>
      <x:c r="AE24" s="14" t="str">
        <x:v>Plataforma 20 tn | Hidrogrúa | Malacate | Traslados interobra</x:v>
      </x:c>
      <x:c r="AF24" s="14" t="str">
        <x:v>PRIORIDAD ALTA</x:v>
      </x:c>
    </x:row>
    <x:row r="25">
      <x:c r="A25" s="14" t="str">
        <x:v>SF-024</x:v>
      </x:c>
      <x:c r="B25" s="14" t="str">
        <x:v>Pendiente</x:v>
      </x:c>
      <x:c r="C25" s="14" t="str">
        <x:v>Núcleo</x:v>
      </x:c>
      <x:c r="D25" s="14" t="str">
        <x:v>San Francisco</x:v>
      </x:c>
      <x:c r="E25" s="14" t="str">
        <x:v>Parque Industrial</x:v>
      </x:c>
      <x:c r="F25" s="14" t="str">
        <x:v>A</x:v>
      </x:c>
      <x:c r="G25" s="14" t="n">
        <x:v>84</x:v>
      </x:c>
      <x:c r="H25" s="14" t="str">
        <x:v>Computrol S.R.L.</x:v>
      </x:c>
      <x:c r="I25" s="14" t="str">
        <x:v>Electrónica para maquinaria agrícola y transporte</x:v>
      </x:c>
      <x:c r="J25" s="14" t="str">
        <x:v>A verificar</x:v>
      </x:c>
      <x:c r="K25" s="14" t="str">
        <x:v>A verificar</x:v>
      </x:c>
      <x:c r="L25" s="14" t="str">
        <x:v>producción / logística / proyectos</x:v>
      </x:c>
      <x:c r="M25" s="14" t="str">
        <x:v>Entrega/retiro de maquinaria, usados, equipos de service y despachos de fábrica.</x:v>
      </x:c>
      <x:c r="N25" s="14" t="str">
        <x:v>Plataforma 20 tn + malacate + hidrogrúa de apoyo + seguro/GPS.</x:v>
      </x:c>
      <x:c r="O25" s="14" t="str">
        <x:v>Captar entregas, canjes, usados y rescates de service sin inmovilizar transporte propio.</x:v>
      </x:c>
      <x:c r="P25" s="14" t="str">
        <x:v>Pedir logística/expedición/posventa; relevar equipos, pesos y movimientos mensuales.</x:v>
      </x:c>
      <x:c r="Q25" s="14" t="str"/>
      <x:c r="R25" s="14" t="str">
        <x:v>Parque Industrial San Francisco, San Francisco, Córdoba</x:v>
      </x:c>
      <x:c r="S25" s="14" t="str"/>
      <x:c r="T25" s="14" t="str"/>
      <x:c r="U25" s="14" t="str"/>
      <x:c r="V25" s="14" t="str"/>
      <x:c r="W25" s="14" t="str"/>
      <x:c r="X25" s="14" t="str">
        <x:v>https://www.google.com/maps/search/?api=1&amp;query=Computrol+S.R.L.%2C+Parque+Industrial+San+Francisco%2C+San+Francisco%2C+C%C3%B3rdoba</x:v>
      </x:c>
      <x:c r="Y25" s="14" t="str">
        <x:v>AFAMAC</x:v>
      </x:c>
      <x:c r="Z25" s="14" t="str">
        <x:v>https://afamac.com.ar/catalogo/asociados-afamac/computrol/</x:v>
      </x:c>
      <x:c r="AA25" s="14" t="str">
        <x:v>Diseña y produce equipos eléctricos/electrónicos para maquinaria agrícola, transporte e industria.</x:v>
      </x:c>
      <x:c r="AB25" s="14" t="str">
        <x:v>Alta</x:v>
      </x:c>
      <x:c r="AC25" s="14" t="str">
        <x:v>Operativo / verificar antes de visita</x:v>
      </x:c>
      <x:c r="AD25" s="14" t="str">
        <x:v>Rastrillaje San Francisco 2026-09-15</x:v>
      </x:c>
      <x:c r="AE25" s="14" t="str">
        <x:v>Plataforma 20 tn | Malacate | Hidrogrúa | Entrega/retiro maquinaria | Seguro/GPS</x:v>
      </x:c>
      <x:c r="AF25" s="14" t="str">
        <x:v>PRIORIDAD ALTA</x:v>
      </x:c>
    </x:row>
    <x:row r="26">
      <x:c r="A26" s="14" t="str">
        <x:v>SF-025</x:v>
      </x:c>
      <x:c r="B26" s="14" t="str">
        <x:v>Pendiente</x:v>
      </x:c>
      <x:c r="C26" s="14" t="str">
        <x:v>Núcleo</x:v>
      </x:c>
      <x:c r="D26" s="14" t="str">
        <x:v>San Francisco</x:v>
      </x:c>
      <x:c r="E26" s="14" t="str">
        <x:v>Juan José Torres</x:v>
      </x:c>
      <x:c r="F26" s="14" t="str">
        <x:v>A</x:v>
      </x:c>
      <x:c r="G26" s="14" t="n">
        <x:v>84</x:v>
      </x:c>
      <x:c r="H26" s="14" t="str">
        <x:v>Forja San Francisco S.R.L.</x:v>
      </x:c>
      <x:c r="I26" s="14" t="str">
        <x:v>Forja / metalúrgica</x:v>
      </x:c>
      <x:c r="J26" s="14" t="str">
        <x:v>03564 425945 / 420416</x:v>
      </x:c>
      <x:c r="K26" s="14" t="str">
        <x:v>OK</x:v>
      </x:c>
      <x:c r="L26" s="14" t="str">
        <x:v>producción / expedición / logística</x:v>
      </x:c>
      <x:c r="M26" s="14" t="str">
        <x:v>Despacho de piezas, conjuntos metálicos, componentes pesados o equipos de producción/mantenimiento.</x:v>
      </x:c>
      <x:c r="N26" s="14" t="str">
        <x:v>Plataforma + hidrogrúa + malacate; percha según carga.</x:v>
      </x:c>
      <x:c r="O26" s="14" t="str">
        <x:v>Resolver piezas pesadas o fuera de medida con un único proveedor.</x:v>
      </x:c>
      <x:c r="P26" s="14" t="str">
        <x:v>Pedir producción/expedición/mantenimiento y relevar piezas máximas/destinos.</x:v>
      </x:c>
      <x:c r="Q26" s="14" t="str"/>
      <x:c r="R26" s="14" t="str">
        <x:v>Juan José Torres 4110, San Francisco, Córdoba</x:v>
      </x:c>
      <x:c r="S26" s="14" t="str"/>
      <x:c r="T26" s="14" t="str"/>
      <x:c r="U26" s="14" t="str"/>
      <x:c r="V26" s="14" t="str"/>
      <x:c r="W26" s="14" t="str">
        <x:v>03564425945</x:v>
      </x:c>
      <x:c r="X26" s="14" t="str">
        <x:v>https://www.google.com/maps/search/?api=1&amp;query=Forja+San+Francisco+S.R.L.%2C+Juan+Jos%C3%A9+Torres+4110%2C+San+Francisco%2C+C%C3%B3rdoba</x:v>
      </x:c>
      <x:c r="Y26" s="14" t="str">
        <x:v>Parque Industrial oficial</x:v>
      </x:c>
      <x:c r="Z26" s="14" t="str">
        <x:v>https://www.empresas.parqueindustrialsanfrancisco.com/empresas/forja-san-francisco-srl-240/</x:v>
      </x:c>
      <x:c r="AA26" s="14" t="str">
        <x:v>Empresa metalúrgica radicada en área industrial con contacto actual.</x:v>
      </x:c>
      <x:c r="AB26" s="14" t="str">
        <x:v>Alta</x:v>
      </x:c>
      <x:c r="AC26" s="14" t="str">
        <x:v>Operativo / verificar antes de visita</x:v>
      </x:c>
      <x:c r="AD26" s="14" t="str">
        <x:v>Rastrillaje San Francisco 2026-09-15</x:v>
      </x:c>
      <x:c r="AE26" s="14" t="str">
        <x:v>Plataforma 20 tn | Hidrogrúa | Malacate | Percha</x:v>
      </x:c>
      <x:c r="AF26" s="14" t="str">
        <x:v>PRIORIDAD ALTA</x:v>
      </x:c>
    </x:row>
    <x:row r="27">
      <x:c r="A27" s="14" t="str">
        <x:v>SF-026</x:v>
      </x:c>
      <x:c r="B27" s="14" t="str">
        <x:v>Pendiente</x:v>
      </x:c>
      <x:c r="C27" s="14" t="str">
        <x:v>Núcleo</x:v>
      </x:c>
      <x:c r="D27" s="14" t="str">
        <x:v>San Francisco</x:v>
      </x:c>
      <x:c r="E27" s="14" t="str">
        <x:v>San Francisco</x:v>
      </x:c>
      <x:c r="F27" s="14" t="str">
        <x:v>A</x:v>
      </x:c>
      <x:c r="G27" s="14" t="n">
        <x:v>84</x:v>
      </x:c>
      <x:c r="H27" s="14" t="str">
        <x:v>Industria DAGA S.A.</x:v>
      </x:c>
      <x:c r="I27" s="14" t="str">
        <x:v>Fabricación de maquinaria agrícola</x:v>
      </x:c>
      <x:c r="J27" s="14" t="str">
        <x:v>A verificar</x:v>
      </x:c>
      <x:c r="K27" s="14" t="str">
        <x:v>A verificar</x:v>
      </x:c>
      <x:c r="L27" s="14" t="str">
        <x:v>producción / expedición / logística</x:v>
      </x:c>
      <x:c r="M27" s="14" t="str">
        <x:v>Entrega/retiro de maquinaria, usados, equipos de service y despachos de fábrica.</x:v>
      </x:c>
      <x:c r="N27" s="14" t="str">
        <x:v>Plataforma 20 tn + malacate + hidrogrúa de apoyo + seguro/GPS.</x:v>
      </x:c>
      <x:c r="O27" s="14" t="str">
        <x:v>Captar entregas, canjes, usados y rescates de service sin inmovilizar transporte propio.</x:v>
      </x:c>
      <x:c r="P27" s="14" t="str">
        <x:v>Pedir logística/expedición/posventa; relevar equipos, pesos y movimientos mensuales.</x:v>
      </x:c>
      <x:c r="Q27" s="14" t="str"/>
      <x:c r="R27" s="14" t="str">
        <x:v>San Francisco, Córdoba</x:v>
      </x:c>
      <x:c r="S27" s="14" t="str"/>
      <x:c r="T27" s="14" t="str"/>
      <x:c r="U27" s="14" t="str"/>
      <x:c r="V27" s="14" t="str"/>
      <x:c r="W27" s="14" t="str"/>
      <x:c r="X27" s="14" t="str">
        <x:v>https://www.google.com/maps/search/?api=1&amp;query=Industria+DAGA+S.A.%2C+San+Francisco%2C+C%C3%B3rdoba</x:v>
      </x:c>
      <x:c r="Y27" s="14" t="str">
        <x:v>Dateas / Indicadores AR</x:v>
      </x:c>
      <x:c r="Z27" s="14" t="str">
        <x:v>https://www.dateas.com/es/empresa/industria-daga-sa-30716714817</x:v>
      </x:c>
      <x:c r="AA27" s="14" t="str">
        <x:v>Sociedad activa y empleadora; actividad ARCA: fabricación de maquinaria y equipo agropecuario/forestal.</x:v>
      </x:c>
      <x:c r="AB27" s="14" t="str">
        <x:v>Media</x:v>
      </x:c>
      <x:c r="AC27" s="14" t="str">
        <x:v>Operativo / verificar antes de visita</x:v>
      </x:c>
      <x:c r="AD27" s="14" t="str">
        <x:v>Rastrillaje San Francisco 2026-09-15</x:v>
      </x:c>
      <x:c r="AE27" s="14" t="str">
        <x:v>Plataforma 20 tn | Malacate | Hidrogrúa | Entrega/retiro maquinaria | Seguro/GPS</x:v>
      </x:c>
      <x:c r="AF27" s="14" t="str">
        <x:v>PRIORIDAD ALTA</x:v>
      </x:c>
    </x:row>
    <x:row r="28">
      <x:c r="A28" s="14" t="str">
        <x:v>SF-027</x:v>
      </x:c>
      <x:c r="B28" s="14" t="str">
        <x:v>Pendiente</x:v>
      </x:c>
      <x:c r="C28" s="14" t="str">
        <x:v>Núcleo</x:v>
      </x:c>
      <x:c r="D28" s="14" t="str">
        <x:v>San Francisco</x:v>
      </x:c>
      <x:c r="E28" s="14" t="str">
        <x:v>Pietro Finazzi</x:v>
      </x:c>
      <x:c r="F28" s="14" t="str">
        <x:v>A</x:v>
      </x:c>
      <x:c r="G28" s="14" t="n">
        <x:v>84</x:v>
      </x:c>
      <x:c r="H28" s="14" t="str">
        <x:v>La Marchesina - San Francisco</x:v>
      </x:c>
      <x:c r="I28" s="14" t="str">
        <x:v>Hormigón elaborado</x:v>
      </x:c>
      <x:c r="J28" s="14" t="str">
        <x:v>+54 9 353 6573596</x:v>
      </x:c>
      <x:c r="K28" s="14" t="str">
        <x:v>OK</x:v>
      </x:c>
      <x:c r="L28" s="14" t="str">
        <x:v>planta / logística / mantenimiento</x:v>
      </x:c>
      <x:c r="M28" s="14" t="str">
        <x:v>Traslados interobra de equipos, herramientas, premoldeados y cargas especiales.</x:v>
      </x:c>
      <x:c r="N28" s="14" t="str">
        <x:v>Plataforma + hidrogrúa + malacate + percha.</x:v>
      </x:c>
      <x:c r="O28" s="14" t="str">
        <x:v>Cubrir movimientos interobra y cargas que no resuelve el camión convencional.</x:v>
      </x:c>
      <x:c r="P28" s="14" t="str">
        <x:v>Pedir obras/equipos/logística; relevar maquinaria propia y frecuencia.</x:v>
      </x:c>
      <x:c r="Q28" s="14" t="str"/>
      <x:c r="R28" s="14" t="str">
        <x:v>Pietro Finazzi, San Francisco, Córdoba</x:v>
      </x:c>
      <x:c r="S28" s="14" t="str"/>
      <x:c r="T28" s="14" t="str"/>
      <x:c r="U28" s="14" t="str"/>
      <x:c r="V28" s="14" t="str"/>
      <x:c r="W28" s="14" t="str">
        <x:v>+5493536573596</x:v>
      </x:c>
      <x:c r="X28" s="14" t="str">
        <x:v>https://www.google.com/maps/search/?api=1&amp;query=La+Marchesina+-+San+Francisco%2C+Pietro+Finazzi%2C+San+Francisco%2C+C%C3%B3rdoba</x:v>
      </x:c>
      <x:c r="Y28" s="14" t="str">
        <x:v>Google Business</x:v>
      </x:c>
      <x:c r="Z28" s="14" t="str">
        <x:v>https://www.google.com/maps/search/?api=1&amp;query=La+Marchesina%2C+Pietro+Finazzi%2C+San+Francisco%2C+C%C3%B3rdoba</x:v>
      </x:c>
      <x:c r="AA28" s="14" t="str">
        <x:v>Proveedor local de hormigón preparado.</x:v>
      </x:c>
      <x:c r="AB28" s="14" t="str">
        <x:v>Alta</x:v>
      </x:c>
      <x:c r="AC28" s="14" t="str">
        <x:v>Operativo / verificar antes de visita</x:v>
      </x:c>
      <x:c r="AD28" s="14" t="str">
        <x:v>Rastrillaje San Francisco 2026-09-15</x:v>
      </x:c>
      <x:c r="AE28" s="14" t="str">
        <x:v>Plataforma 20 tn | Hidrogrúa | Malacate | Traslados interobra</x:v>
      </x:c>
      <x:c r="AF28" s="14" t="str">
        <x:v>PRIORIDAD ALTA</x:v>
      </x:c>
    </x:row>
    <x:row r="29">
      <x:c r="A29" s="14" t="str">
        <x:v>SF-028</x:v>
      </x:c>
      <x:c r="B29" s="14" t="str">
        <x:v>Pendiente</x:v>
      </x:c>
      <x:c r="C29" s="14" t="str">
        <x:v>Núcleo</x:v>
      </x:c>
      <x:c r="D29" s="14" t="str">
        <x:v>San Francisco</x:v>
      </x:c>
      <x:c r="E29" s="14" t="str">
        <x:v>Carra</x:v>
      </x:c>
      <x:c r="F29" s="14" t="str">
        <x:v>A</x:v>
      </x:c>
      <x:c r="G29" s="14" t="n">
        <x:v>84</x:v>
      </x:c>
      <x:c r="H29" s="14" t="str">
        <x:v>Mare Logística Internacional</x:v>
      </x:c>
      <x:c r="I29" s="14" t="str">
        <x:v>Depósito fiscal / logística internacional</x:v>
      </x:c>
      <x:c r="J29" s="14" t="str">
        <x:v>03564 445873</x:v>
      </x:c>
      <x:c r="K29" s="14" t="str">
        <x:v>OK</x:v>
      </x:c>
      <x:c r="L29" s="14" t="str">
        <x:v>operaciones / depósito / tráfico</x:v>
      </x:c>
      <x:c r="M29" s="14" t="str">
        <x:v>Overflow y derivación de cargas/equipos que requieren plataforma, malacate o hidrogrúa.</x:v>
      </x:c>
      <x:c r="N29" s="14" t="str">
        <x:v>Capacidad complementaria: plataforma 20 tn + hidrogrúa + malacate.</x:v>
      </x:c>
      <x:c r="O29" s="14" t="str">
        <x:v>Ser socio de respaldo para cargas especiales que excedan la flota habitual.</x:v>
      </x:c>
      <x:c r="P29" s="14" t="str">
        <x:v>Pedir tráfico/operaciones y ofrecer acuerdo de derivaciones.</x:v>
      </x:c>
      <x:c r="Q29" s="14" t="str"/>
      <x:c r="R29" s="14" t="str">
        <x:v>Carra 1542, San Francisco, Córdoba</x:v>
      </x:c>
      <x:c r="S29" s="14" t="str"/>
      <x:c r="T29" s="14" t="str"/>
      <x:c r="U29" s="14" t="str"/>
      <x:c r="V29" s="14" t="str"/>
      <x:c r="W29" s="14" t="str">
        <x:v>03564445873</x:v>
      </x:c>
      <x:c r="X29" s="14" t="str">
        <x:v>https://www.google.com/maps/search/?api=1&amp;query=Mare+Log%C3%ADstica+Internacional%2C+Carra+1542%2C+San+Francisco%2C+C%C3%B3rdoba</x:v>
      </x:c>
      <x:c r="Y29" s="14" t="str">
        <x:v>Parque Industrial oficial</x:v>
      </x:c>
      <x:c r="Z29" s="14" t="str">
        <x:v>https://www.empresas.parqueindustrialsanfrancisco.com/empresas/mare-logistica-internacional-329/</x:v>
      </x:c>
      <x:c r="AA29" s="14" t="str">
        <x:v>Depósito fiscal habilitado para operaciones aduaneras.</x:v>
      </x:c>
      <x:c r="AB29" s="14" t="str">
        <x:v>Alta</x:v>
      </x:c>
      <x:c r="AC29" s="14" t="str">
        <x:v>Operativo / verificar antes de visita</x:v>
      </x:c>
      <x:c r="AD29" s="14" t="str">
        <x:v>Rastrillaje San Francisco 2026-09-15</x:v>
      </x:c>
      <x:c r="AE29" s="14" t="str">
        <x:v>Plataforma 20 tn | Hidrogrúa | Malacate | Subcontratación</x:v>
      </x:c>
      <x:c r="AF29" s="14" t="str">
        <x:v>PRIORIDAD ALTA</x:v>
      </x:c>
    </x:row>
    <x:row r="30">
      <x:c r="A30" s="14" t="str">
        <x:v>SF-029</x:v>
      </x:c>
      <x:c r="B30" s="14" t="str">
        <x:v>Pendiente</x:v>
      </x:c>
      <x:c r="C30" s="14" t="str">
        <x:v>Núcleo</x:v>
      </x:c>
      <x:c r="D30" s="14" t="str">
        <x:v>San Francisco</x:v>
      </x:c>
      <x:c r="E30" s="14" t="str">
        <x:v>Jonas Salk</x:v>
      </x:c>
      <x:c r="F30" s="14" t="str">
        <x:v>A</x:v>
      </x:c>
      <x:c r="G30" s="14" t="n">
        <x:v>84</x:v>
      </x:c>
      <x:c r="H30" s="14" t="str">
        <x:v>Transportes Tomassini - San Francisco</x:v>
      </x:c>
      <x:c r="I30" s="14" t="str">
        <x:v>Transporte de cargas</x:v>
      </x:c>
      <x:c r="J30" s="14" t="str">
        <x:v>03564 424545 / 479523</x:v>
      </x:c>
      <x:c r="K30" s="14" t="str">
        <x:v>OK</x:v>
      </x:c>
      <x:c r="L30" s="14" t="str">
        <x:v>tráfico / operaciones</x:v>
      </x:c>
      <x:c r="M30" s="14" t="str">
        <x:v>Overflow y derivación de cargas/equipos que requieren plataforma, malacate o hidrogrúa.</x:v>
      </x:c>
      <x:c r="N30" s="14" t="str">
        <x:v>Capacidad complementaria: plataforma 20 tn + hidrogrúa + malacate.</x:v>
      </x:c>
      <x:c r="O30" s="14" t="str">
        <x:v>Ser socio de respaldo para cargas especiales que excedan la flota habitual.</x:v>
      </x:c>
      <x:c r="P30" s="14" t="str">
        <x:v>Pedir tráfico/operaciones y ofrecer acuerdo de derivaciones.</x:v>
      </x:c>
      <x:c r="Q30" s="14" t="str"/>
      <x:c r="R30" s="14" t="str">
        <x:v>Jonas Salk 870, San Francisco, Córdoba</x:v>
      </x:c>
      <x:c r="S30" s="14" t="str"/>
      <x:c r="T30" s="14" t="str"/>
      <x:c r="U30" s="14" t="str"/>
      <x:c r="V30" s="14" t="str"/>
      <x:c r="W30" s="14" t="str">
        <x:v>03564424545</x:v>
      </x:c>
      <x:c r="X30" s="14" t="str">
        <x:v>https://www.google.com/maps/search/?api=1&amp;query=Transportes+Tomassini+-+San+Francisco%2C+Jonas+Salk+870%2C+San+Francisco%2C+C%C3%B3rdoba</x:v>
      </x:c>
      <x:c r="Y30" s="14" t="str">
        <x:v>Web oficial</x:v>
      </x:c>
      <x:c r="Z30" s="14" t="str">
        <x:v>https://tomassinisrl.com.ar/</x:v>
      </x:c>
      <x:c r="AA30" s="14" t="str">
        <x:v>Base operativa de cargas hacia Bahía Blanca y sur argentino.</x:v>
      </x:c>
      <x:c r="AB30" s="14" t="str">
        <x:v>Alta</x:v>
      </x:c>
      <x:c r="AC30" s="14" t="str">
        <x:v>Operativo / verificar antes de visita</x:v>
      </x:c>
      <x:c r="AD30" s="14" t="str">
        <x:v>Rastrillaje San Francisco 2026-09-15</x:v>
      </x:c>
      <x:c r="AE30" s="14" t="str">
        <x:v>Plataforma 20 tn | Hidrogrúa | Malacate | Subcontratación</x:v>
      </x:c>
      <x:c r="AF30" s="14" t="str">
        <x:v>PRIORIDAD ALTA</x:v>
      </x:c>
    </x:row>
    <x:row r="31">
      <x:c r="A31" s="14" t="str">
        <x:v>SF-030</x:v>
      </x:c>
      <x:c r="B31" s="14" t="str">
        <x:v>Pendiente</x:v>
      </x:c>
      <x:c r="C31" s="14" t="str">
        <x:v>Núcleo</x:v>
      </x:c>
      <x:c r="D31" s="14" t="str">
        <x:v>San Francisco</x:v>
      </x:c>
      <x:c r="E31" s="14" t="str">
        <x:v>San Francisco</x:v>
      </x:c>
      <x:c r="F31" s="14" t="str">
        <x:v>A</x:v>
      </x:c>
      <x:c r="G31" s="14" t="n">
        <x:v>82</x:v>
      </x:c>
      <x:c r="H31" s="14" t="str">
        <x:v>EDG S.R.L.</x:v>
      </x:c>
      <x:c r="I31" s="14" t="str">
        <x:v>Fabricación de maquinaria agrícola</x:v>
      </x:c>
      <x:c r="J31" s="14" t="str">
        <x:v>A verificar</x:v>
      </x:c>
      <x:c r="K31" s="14" t="str">
        <x:v>A verificar</x:v>
      </x:c>
      <x:c r="L31" s="14" t="str">
        <x:v>producción / expedición</x:v>
      </x:c>
      <x:c r="M31" s="14" t="str">
        <x:v>Entrega/retiro de maquinaria, usados, equipos de service y despachos de fábrica.</x:v>
      </x:c>
      <x:c r="N31" s="14" t="str">
        <x:v>Plataforma 20 tn + malacate + hidrogrúa de apoyo + seguro/GPS.</x:v>
      </x:c>
      <x:c r="O31" s="14" t="str">
        <x:v>Captar entregas, canjes, usados y rescates de service sin inmovilizar transporte propio.</x:v>
      </x:c>
      <x:c r="P31" s="14" t="str">
        <x:v>Pedir logística/expedición/posventa; relevar equipos, pesos y movimientos mensuales.</x:v>
      </x:c>
      <x:c r="Q31" s="14" t="str"/>
      <x:c r="R31" s="14" t="str">
        <x:v>San Francisco, Córdoba</x:v>
      </x:c>
      <x:c r="S31" s="14" t="str"/>
      <x:c r="T31" s="14" t="str"/>
      <x:c r="U31" s="14" t="str"/>
      <x:c r="V31" s="14" t="str"/>
      <x:c r="W31" s="14" t="str"/>
      <x:c r="X31" s="14" t="str">
        <x:v>https://www.google.com/maps/search/?api=1&amp;query=EDG+S.R.L.%2C+San+Francisco%2C+C%C3%B3rdoba</x:v>
      </x:c>
      <x:c r="Y31" s="14" t="str">
        <x:v>Indicadores AR</x:v>
      </x:c>
      <x:c r="Z31" s="14" t="str">
        <x:v>https://indicadores.ar/empresas/sector/fabricacion-de-maquinaria-y-equipo-de-uso-agropecuario-y-forestal/cordoba/san-francisco</x:v>
      </x:c>
      <x:c r="AA31" s="14" t="str">
        <x:v>Sociedad activa del rubro maquinaria agropecuaria y forestal.</x:v>
      </x:c>
      <x:c r="AB31" s="14" t="str">
        <x:v>Media</x:v>
      </x:c>
      <x:c r="AC31" s="14" t="str">
        <x:v>Operativo / verificar antes de visita</x:v>
      </x:c>
      <x:c r="AD31" s="14" t="str">
        <x:v>Rastrillaje San Francisco 2026-09-15</x:v>
      </x:c>
      <x:c r="AE31" s="14" t="str">
        <x:v>Plataforma 20 tn | Malacate | Hidrogrúa | Entrega/retiro maquinaria | Seguro/GPS</x:v>
      </x:c>
      <x:c r="AF31" s="14" t="str">
        <x:v>PRIORIDAD ALTA</x:v>
      </x:c>
    </x:row>
    <x:row r="32">
      <x:c r="A32" s="14" t="str">
        <x:v>SF-031</x:v>
      </x:c>
      <x:c r="B32" s="14" t="str">
        <x:v>Pendiente</x:v>
      </x:c>
      <x:c r="C32" s="14" t="str">
        <x:v>Núcleo</x:v>
      </x:c>
      <x:c r="D32" s="14" t="str">
        <x:v>San Francisco</x:v>
      </x:c>
      <x:c r="E32" s="14" t="str">
        <x:v>Parque Industrial</x:v>
      </x:c>
      <x:c r="F32" s="14" t="str">
        <x:v>A</x:v>
      </x:c>
      <x:c r="G32" s="14" t="n">
        <x:v>82</x:v>
      </x:c>
      <x:c r="H32" s="14" t="str">
        <x:v>Hidrar S.R.L.</x:v>
      </x:c>
      <x:c r="I32" s="14" t="str">
        <x:v>Neumática e hidráulica</x:v>
      </x:c>
      <x:c r="J32" s="14" t="str">
        <x:v>A verificar</x:v>
      </x:c>
      <x:c r="K32" s="14" t="str">
        <x:v>A verificar</x:v>
      </x:c>
      <x:c r="L32" s="14" t="str">
        <x:v>producción / service / logística</x:v>
      </x:c>
      <x:c r="M32" s="14" t="str">
        <x:v>Despacho de piezas, conjuntos metálicos, componentes pesados o equipos de producción/mantenimiento.</x:v>
      </x:c>
      <x:c r="N32" s="14" t="str">
        <x:v>Plataforma + hidrogrúa + malacate; percha según carga.</x:v>
      </x:c>
      <x:c r="O32" s="14" t="str">
        <x:v>Resolver piezas pesadas o fuera de medida con un único proveedor.</x:v>
      </x:c>
      <x:c r="P32" s="14" t="str">
        <x:v>Pedir producción/expedición/mantenimiento y relevar piezas máximas/destinos.</x:v>
      </x:c>
      <x:c r="Q32" s="14" t="str"/>
      <x:c r="R32" s="14" t="str">
        <x:v>Parque Industrial San Francisco, San Francisco, Córdoba</x:v>
      </x:c>
      <x:c r="S32" s="14" t="str"/>
      <x:c r="T32" s="14" t="str"/>
      <x:c r="U32" s="14" t="str"/>
      <x:c r="V32" s="14" t="str"/>
      <x:c r="W32" s="14" t="str"/>
      <x:c r="X32" s="14" t="str">
        <x:v>https://www.google.com/maps/search/?api=1&amp;query=Hidrar+S.R.L.%2C+Parque+Industrial+San+Francisco%2C+San+Francisco%2C+C%C3%B3rdoba</x:v>
      </x:c>
      <x:c r="Y32" s="14" t="str">
        <x:v>Parque Industrial oficial</x:v>
      </x:c>
      <x:c r="Z32" s="14" t="str">
        <x:v>https://www.parqueindustrialsanfrancisco.com/</x:v>
      </x:c>
      <x:c r="AA32" s="14" t="str">
        <x:v>Empresa radicada en el Parque Industrial; afinidad por hidráulica/equipos.</x:v>
      </x:c>
      <x:c r="AB32" s="14" t="str">
        <x:v>Media</x:v>
      </x:c>
      <x:c r="AC32" s="14" t="str">
        <x:v>Operativo / verificar antes de visita</x:v>
      </x:c>
      <x:c r="AD32" s="14" t="str">
        <x:v>Rastrillaje San Francisco 2026-09-15</x:v>
      </x:c>
      <x:c r="AE32" s="14" t="str">
        <x:v>Plataforma 20 tn | Hidrogrúa | Malacate | Percha</x:v>
      </x:c>
      <x:c r="AF32" s="14" t="str">
        <x:v>PRIORIDAD ALTA</x:v>
      </x:c>
    </x:row>
    <x:row r="33">
      <x:c r="A33" s="14" t="str">
        <x:v>SF-032</x:v>
      </x:c>
      <x:c r="B33" s="14" t="str">
        <x:v>Pendiente</x:v>
      </x:c>
      <x:c r="C33" s="14" t="str">
        <x:v>Núcleo</x:v>
      </x:c>
      <x:c r="D33" s="14" t="str">
        <x:v>San Francisco</x:v>
      </x:c>
      <x:c r="E33" s="14" t="str">
        <x:v>Parque Industrial</x:v>
      </x:c>
      <x:c r="F33" s="14" t="str">
        <x:v>A</x:v>
      </x:c>
      <x:c r="G33" s="14" t="n">
        <x:v>82</x:v>
      </x:c>
      <x:c r="H33" s="14" t="str">
        <x:v>Industrias Lear de Argentina S.R.L.</x:v>
      </x:c>
      <x:c r="I33" s="14" t="str">
        <x:v>Autopartes / automotor</x:v>
      </x:c>
      <x:c r="J33" s="14" t="str">
        <x:v>A verificar</x:v>
      </x:c>
      <x:c r="K33" s="14" t="str">
        <x:v>A verificar</x:v>
      </x:c>
      <x:c r="L33" s="14" t="str">
        <x:v>producción / logística / expedición</x:v>
      </x:c>
      <x:c r="M33" s="14" t="str">
        <x:v>Despacho de piezas, conjuntos metálicos, componentes pesados o equipos de producción/mantenimiento.</x:v>
      </x:c>
      <x:c r="N33" s="14" t="str">
        <x:v>Plataforma + hidrogrúa + malacate; percha según carga.</x:v>
      </x:c>
      <x:c r="O33" s="14" t="str">
        <x:v>Resolver piezas pesadas o fuera de medida con un único proveedor.</x:v>
      </x:c>
      <x:c r="P33" s="14" t="str">
        <x:v>Pedir producción/expedición/mantenimiento y relevar piezas máximas/destinos.</x:v>
      </x:c>
      <x:c r="Q33" s="14" t="str"/>
      <x:c r="R33" s="14" t="str">
        <x:v>Parque Industrial San Francisco, San Francisco, Córdoba</x:v>
      </x:c>
      <x:c r="S33" s="14" t="str"/>
      <x:c r="T33" s="14" t="str"/>
      <x:c r="U33" s="14" t="str"/>
      <x:c r="V33" s="14" t="str"/>
      <x:c r="W33" s="14" t="str"/>
      <x:c r="X33" s="14" t="str">
        <x:v>https://www.google.com/maps/search/?api=1&amp;query=Industrias+Lear+de+Argentina+S.R.L.%2C+Parque+Industrial+San+Francisco%2C+San+Francisco%2C+C%C3%B3rdoba</x:v>
      </x:c>
      <x:c r="Y33" s="14" t="str">
        <x:v>Directorio Parque Industrial</x:v>
      </x:c>
      <x:c r="Z33" s="14" t="str">
        <x:v>https://empresas.parqueindustrialsanfrancisco.com/directorio/empresas/automotor/autopartes/</x:v>
      </x:c>
      <x:c r="AA33" s="14" t="str">
        <x:v>Empresa listada en la categoría Autopartes del Parque Industrial.</x:v>
      </x:c>
      <x:c r="AB33" s="14" t="str">
        <x:v>Media</x:v>
      </x:c>
      <x:c r="AC33" s="14" t="str">
        <x:v>Operativo / verificar antes de visita</x:v>
      </x:c>
      <x:c r="AD33" s="14" t="str">
        <x:v>Rastrillaje San Francisco 2026-09-15</x:v>
      </x:c>
      <x:c r="AE33" s="14" t="str">
        <x:v>Plataforma 20 tn | Hidrogrúa | Malacate | Percha</x:v>
      </x:c>
      <x:c r="AF33" s="14" t="str">
        <x:v>PRIORIDAD ALTA</x:v>
      </x:c>
    </x:row>
    <x:row r="34">
      <x:c r="A34" s="14" t="str">
        <x:v>SF-033</x:v>
      </x:c>
      <x:c r="B34" s="14" t="str">
        <x:v>Pendiente</x:v>
      </x:c>
      <x:c r="C34" s="14" t="str">
        <x:v>Núcleo</x:v>
      </x:c>
      <x:c r="D34" s="14" t="str">
        <x:v>San Francisco</x:v>
      </x:c>
      <x:c r="E34" s="14" t="str">
        <x:v>Av. 9 de Septiembre</x:v>
      </x:c>
      <x:c r="F34" s="14" t="str">
        <x:v>A</x:v>
      </x:c>
      <x:c r="G34" s="14" t="n">
        <x:v>82</x:v>
      </x:c>
      <x:c r="H34" s="14" t="str">
        <x:v>Plumita S.R.L.</x:v>
      </x:c>
      <x:c r="I34" s="14" t="str">
        <x:v>Fabricante de máquinas y herramientas</x:v>
      </x:c>
      <x:c r="J34" s="14" t="str">
        <x:v>03564 422291 / 428906</x:v>
      </x:c>
      <x:c r="K34" s="14" t="str">
        <x:v>OK</x:v>
      </x:c>
      <x:c r="L34" s="14" t="str">
        <x:v>producción / logística / expedición</x:v>
      </x:c>
      <x:c r="M34" s="14" t="str">
        <x:v>Despacho de piezas, conjuntos metálicos, componentes pesados o equipos de producción/mantenimiento.</x:v>
      </x:c>
      <x:c r="N34" s="14" t="str">
        <x:v>Plataforma + hidrogrúa + malacate; percha según carga.</x:v>
      </x:c>
      <x:c r="O34" s="14" t="str">
        <x:v>Resolver piezas pesadas o fuera de medida con un único proveedor.</x:v>
      </x:c>
      <x:c r="P34" s="14" t="str">
        <x:v>Pedir producción/expedición/mantenimiento y relevar piezas máximas/destinos.</x:v>
      </x:c>
      <x:c r="Q34" s="14" t="str"/>
      <x:c r="R34" s="14" t="str">
        <x:v>Av. 9 de Septiembre 3203, San Francisco, Córdoba</x:v>
      </x:c>
      <x:c r="S34" s="14" t="str"/>
      <x:c r="T34" s="14" t="str"/>
      <x:c r="U34" s="14" t="str"/>
      <x:c r="V34" s="14" t="str"/>
      <x:c r="W34" s="14" t="str">
        <x:v>03564422291</x:v>
      </x:c>
      <x:c r="X34" s="14" t="str">
        <x:v>https://www.google.com/maps/search/?api=1&amp;query=Plumita+S.R.L.%2C+Av.+9+de+Septiembre+3203%2C+San+Francisco%2C+C%C3%B3rdoba</x:v>
      </x:c>
      <x:c r="Y34" s="14" t="str">
        <x:v>Web oficial</x:v>
      </x:c>
      <x:c r="Z34" s="14" t="str">
        <x:v>https://plumita.com/</x:v>
      </x:c>
      <x:c r="AA34" s="14" t="str">
        <x:v>Fábrica local de máquinas/herramientas, pulverizadores y minitractores.</x:v>
      </x:c>
      <x:c r="AB34" s="14" t="str">
        <x:v>Alta</x:v>
      </x:c>
      <x:c r="AC34" s="14" t="str">
        <x:v>Operativo / verificar antes de visita</x:v>
      </x:c>
      <x:c r="AD34" s="14" t="str">
        <x:v>Rastrillaje San Francisco 2026-09-15</x:v>
      </x:c>
      <x:c r="AE34" s="14" t="str">
        <x:v>Plataforma 20 tn | Hidrogrúa | Malacate | Percha</x:v>
      </x:c>
      <x:c r="AF34" s="14" t="str">
        <x:v>PRIORIDAD ALTA</x:v>
      </x:c>
    </x:row>
    <x:row r="35">
      <x:c r="A35" s="14" t="str">
        <x:v>SF-034</x:v>
      </x:c>
      <x:c r="B35" s="14" t="str">
        <x:v>Pendiente</x:v>
      </x:c>
      <x:c r="C35" s="14" t="str">
        <x:v>Núcleo</x:v>
      </x:c>
      <x:c r="D35" s="14" t="str">
        <x:v>San Francisco</x:v>
      </x:c>
      <x:c r="E35" s="14" t="str">
        <x:v>Parque Industrial</x:v>
      </x:c>
      <x:c r="F35" s="14" t="str">
        <x:v>A</x:v>
      </x:c>
      <x:c r="G35" s="14" t="n">
        <x:v>82</x:v>
      </x:c>
      <x:c r="H35" s="14" t="str">
        <x:v>Talleres Inco S.A.</x:v>
      </x:c>
      <x:c r="I35" s="14" t="str">
        <x:v>Metalúrgica / mecanizado / piezas</x:v>
      </x:c>
      <x:c r="J35" s="14" t="str">
        <x:v>A verificar</x:v>
      </x:c>
      <x:c r="K35" s="14" t="str">
        <x:v>A verificar</x:v>
      </x:c>
      <x:c r="L35" s="14" t="str">
        <x:v>producción / expedición / mantenimiento</x:v>
      </x:c>
      <x:c r="M35" s="14" t="str">
        <x:v>Despacho de piezas, conjuntos metálicos, componentes pesados o equipos de producción/mantenimiento.</x:v>
      </x:c>
      <x:c r="N35" s="14" t="str">
        <x:v>Plataforma + hidrogrúa + malacate; percha según carga.</x:v>
      </x:c>
      <x:c r="O35" s="14" t="str">
        <x:v>Resolver piezas pesadas o fuera de medida con un único proveedor.</x:v>
      </x:c>
      <x:c r="P35" s="14" t="str">
        <x:v>Pedir producción/expedición/mantenimiento y relevar piezas máximas/destinos.</x:v>
      </x:c>
      <x:c r="Q35" s="14" t="str"/>
      <x:c r="R35" s="14" t="str">
        <x:v>Parque Industrial San Francisco, San Francisco, Córdoba</x:v>
      </x:c>
      <x:c r="S35" s="14" t="str"/>
      <x:c r="T35" s="14" t="str"/>
      <x:c r="U35" s="14" t="str"/>
      <x:c r="V35" s="14" t="str"/>
      <x:c r="W35" s="14" t="str"/>
      <x:c r="X35" s="14" t="str">
        <x:v>https://www.google.com/maps/search/?api=1&amp;query=Talleres+Inco+S.A.%2C+Parque+Industrial+San+Francisco%2C+San+Francisco%2C+C%C3%B3rdoba</x:v>
      </x:c>
      <x:c r="Y35" s="14" t="str">
        <x:v>Directorio Parque Industrial</x:v>
      </x:c>
      <x:c r="Z35" s="14" t="str">
        <x:v>https://www.empresas.parqueindustrialsanfrancisco.com/directorio/empresas/metalurgica-fundicion-y-trabajo-del-metal/metalurgica/</x:v>
      </x:c>
      <x:c r="AA35" s="14" t="str">
        <x:v>Empresa listada actualmente en el directorio metalúrgico del Parque Industrial San Francisco.</x:v>
      </x:c>
      <x:c r="AB35" s="14" t="str">
        <x:v>Media</x:v>
      </x:c>
      <x:c r="AC35" s="14" t="str">
        <x:v>Operativo / verificar antes de visita</x:v>
      </x:c>
      <x:c r="AD35" s="14" t="str">
        <x:v>Rastrillaje San Francisco 2026-09-15</x:v>
      </x:c>
      <x:c r="AE35" s="14" t="str">
        <x:v>Plataforma 20 tn | Hidrogrúa | Malacate | Percha</x:v>
      </x:c>
      <x:c r="AF35" s="14" t="str">
        <x:v>PRIORIDAD ALTA</x:v>
      </x:c>
    </x:row>
    <x:row r="36">
      <x:c r="A36" s="14" t="str">
        <x:v>SF-035</x:v>
      </x:c>
      <x:c r="B36" s="14" t="str">
        <x:v>Pendiente</x:v>
      </x:c>
      <x:c r="C36" s="14" t="str">
        <x:v>Núcleo</x:v>
      </x:c>
      <x:c r="D36" s="14" t="str">
        <x:v>San Francisco</x:v>
      </x:c>
      <x:c r="E36" s="14" t="str">
        <x:v>Av. Rosario de Santa Fe</x:v>
      </x:c>
      <x:c r="F36" s="14" t="str">
        <x:v>A</x:v>
      </x:c>
      <x:c r="G36" s="14" t="n">
        <x:v>80</x:v>
      </x:c>
      <x:c r="H36" s="14" t="str">
        <x:v>Agro Soluciones SF</x:v>
      </x:c>
      <x:c r="I36" s="14" t="str">
        <x:v>Service de maquinaria agrícola</x:v>
      </x:c>
      <x:c r="J36" s="14" t="str">
        <x:v>03564 565466</x:v>
      </x:c>
      <x:c r="K36" s="14" t="str">
        <x:v>OK</x:v>
      </x:c>
      <x:c r="L36" s="14" t="str">
        <x:v>service / taller / logística</x:v>
      </x:c>
      <x:c r="M36" s="14" t="str">
        <x:v>Entrega/retiro de maquinaria, usados, equipos de service y despachos de fábrica.</x:v>
      </x:c>
      <x:c r="N36" s="14" t="str">
        <x:v>Plataforma 20 tn + malacate + hidrogrúa de apoyo + seguro/GPS.</x:v>
      </x:c>
      <x:c r="O36" s="14" t="str">
        <x:v>Captar entregas, canjes, usados y rescates de service sin inmovilizar transporte propio.</x:v>
      </x:c>
      <x:c r="P36" s="14" t="str">
        <x:v>Pedir logística/expedición/posventa; relevar equipos, pesos y movimientos mensuales.</x:v>
      </x:c>
      <x:c r="Q36" s="14" t="str"/>
      <x:c r="R36" s="14" t="str">
        <x:v>Av. Rosario de Santa Fe 2060, San Francisco, Córdoba</x:v>
      </x:c>
      <x:c r="S36" s="14" t="str"/>
      <x:c r="T36" s="14" t="str"/>
      <x:c r="U36" s="14" t="str"/>
      <x:c r="V36" s="14" t="str"/>
      <x:c r="W36" s="14" t="str">
        <x:v>03564565466</x:v>
      </x:c>
      <x:c r="X36" s="14" t="str">
        <x:v>https://www.google.com/maps/search/?api=1&amp;query=Agro+Soluciones+SF%2C+Av.+Rosario+de+Santa+Fe+2060%2C+San+Francisco%2C+C%C3%B3rdoba</x:v>
      </x:c>
      <x:c r="Y36" s="14" t="str">
        <x:v>Google Business</x:v>
      </x:c>
      <x:c r="Z36" s="14" t="str">
        <x:v>https://www.google.com/maps/search/?api=1&amp;query=Agro+Soluciones+SF%2C+Av.+Rosario+de+Santa+Fe+2060%2C+San+Francisco%2C+C%C3%B3rdoba</x:v>
      </x:c>
      <x:c r="AA36" s="14" t="str">
        <x:v>Servicio de reparación de maquinaria; potencial en rescates y movimientos.</x:v>
      </x:c>
      <x:c r="AB36" s="14" t="str">
        <x:v>Alta</x:v>
      </x:c>
      <x:c r="AC36" s="14" t="str">
        <x:v>Operativo / verificar antes de visita</x:v>
      </x:c>
      <x:c r="AD36" s="14" t="str">
        <x:v>Rastrillaje San Francisco 2026-09-15</x:v>
      </x:c>
      <x:c r="AE36" s="14" t="str">
        <x:v>Plataforma 20 tn | Malacate | Hidrogrúa | Entrega/retiro maquinaria | Seguro/GPS</x:v>
      </x:c>
      <x:c r="AF36" s="14" t="str">
        <x:v>PRIORIDAD ALTA</x:v>
      </x:c>
    </x:row>
    <x:row r="37">
      <x:c r="A37" s="14" t="str">
        <x:v>SF-036</x:v>
      </x:c>
      <x:c r="B37" s="14" t="str">
        <x:v>Pendiente</x:v>
      </x:c>
      <x:c r="C37" s="14" t="str">
        <x:v>Núcleo</x:v>
      </x:c>
      <x:c r="D37" s="14" t="str">
        <x:v>San Francisco</x:v>
      </x:c>
      <x:c r="E37" s="14" t="str">
        <x:v>Parque Industrial</x:v>
      </x:c>
      <x:c r="F37" s="14" t="str">
        <x:v>A</x:v>
      </x:c>
      <x:c r="G37" s="14" t="n">
        <x:v>80</x:v>
      </x:c>
      <x:c r="H37" s="14" t="str">
        <x:v>Autopartes MPV S.R.L.</x:v>
      </x:c>
      <x:c r="I37" s="14" t="str">
        <x:v>Metalúrgica / mecanizado / piezas</x:v>
      </x:c>
      <x:c r="J37" s="14" t="str">
        <x:v>A verificar</x:v>
      </x:c>
      <x:c r="K37" s="14" t="str">
        <x:v>A verificar</x:v>
      </x:c>
      <x:c r="L37" s="14" t="str">
        <x:v>producción / expedición / mantenimiento</x:v>
      </x:c>
      <x:c r="M37" s="14" t="str">
        <x:v>Despacho de piezas, conjuntos metálicos, componentes pesados o equipos de producción/mantenimiento.</x:v>
      </x:c>
      <x:c r="N37" s="14" t="str">
        <x:v>Plataforma + hidrogrúa + malacate; percha según carga.</x:v>
      </x:c>
      <x:c r="O37" s="14" t="str">
        <x:v>Resolver piezas pesadas o fuera de medida con un único proveedor.</x:v>
      </x:c>
      <x:c r="P37" s="14" t="str">
        <x:v>Pedir producción/expedición/mantenimiento y relevar piezas máximas/destinos.</x:v>
      </x:c>
      <x:c r="Q37" s="14" t="str"/>
      <x:c r="R37" s="14" t="str">
        <x:v>Parque Industrial San Francisco, San Francisco, Córdoba</x:v>
      </x:c>
      <x:c r="S37" s="14" t="str"/>
      <x:c r="T37" s="14" t="str"/>
      <x:c r="U37" s="14" t="str"/>
      <x:c r="V37" s="14" t="str"/>
      <x:c r="W37" s="14" t="str"/>
      <x:c r="X37" s="14" t="str">
        <x:v>https://www.google.com/maps/search/?api=1&amp;query=Autopartes+MPV+S.R.L.%2C+Parque+Industrial+San+Francisco%2C+San+Francisco%2C+C%C3%B3rdoba</x:v>
      </x:c>
      <x:c r="Y37" s="14" t="str">
        <x:v>Directorio Parque Industrial</x:v>
      </x:c>
      <x:c r="Z37" s="14" t="str">
        <x:v>https://www.empresas.parqueindustrialsanfrancisco.com/directorio/empresas/metalurgica-fundicion-y-trabajo-del-metal/metalurgica/</x:v>
      </x:c>
      <x:c r="AA37" s="14" t="str">
        <x:v>Empresa listada actualmente en el directorio metalúrgico del Parque Industrial San Francisco.</x:v>
      </x:c>
      <x:c r="AB37" s="14" t="str">
        <x:v>Media</x:v>
      </x:c>
      <x:c r="AC37" s="14" t="str">
        <x:v>Operativo / verificar antes de visita</x:v>
      </x:c>
      <x:c r="AD37" s="14" t="str">
        <x:v>Rastrillaje San Francisco 2026-09-15</x:v>
      </x:c>
      <x:c r="AE37" s="14" t="str">
        <x:v>Plataforma 20 tn | Hidrogrúa | Malacate | Percha</x:v>
      </x:c>
      <x:c r="AF37" s="14" t="str">
        <x:v>PRIORIDAD ALTA</x:v>
      </x:c>
    </x:row>
    <x:row r="38">
      <x:c r="A38" s="14" t="str">
        <x:v>SF-037</x:v>
      </x:c>
      <x:c r="B38" s="14" t="str">
        <x:v>Pendiente</x:v>
      </x:c>
      <x:c r="C38" s="14" t="str">
        <x:v>Núcleo</x:v>
      </x:c>
      <x:c r="D38" s="14" t="str">
        <x:v>San Francisco</x:v>
      </x:c>
      <x:c r="E38" s="14" t="str">
        <x:v>Parque Industrial</x:v>
      </x:c>
      <x:c r="F38" s="14" t="str">
        <x:v>A</x:v>
      </x:c>
      <x:c r="G38" s="14" t="n">
        <x:v>80</x:v>
      </x:c>
      <x:c r="H38" s="14" t="str">
        <x:v>Expreso Brío S.R.L.</x:v>
      </x:c>
      <x:c r="I38" s="14" t="str">
        <x:v>Transporte de cargas / encomiendas</x:v>
      </x:c>
      <x:c r="J38" s="14" t="str">
        <x:v>A verificar</x:v>
      </x:c>
      <x:c r="K38" s="14" t="str">
        <x:v>A verificar</x:v>
      </x:c>
      <x:c r="L38" s="14" t="str">
        <x:v>tráfico / operaciones</x:v>
      </x:c>
      <x:c r="M38" s="14" t="str">
        <x:v>Overflow y derivación de cargas/equipos que requieren plataforma, malacate o hidrogrúa.</x:v>
      </x:c>
      <x:c r="N38" s="14" t="str">
        <x:v>Capacidad complementaria: plataforma 20 tn + hidrogrúa + malacate.</x:v>
      </x:c>
      <x:c r="O38" s="14" t="str">
        <x:v>Ser socio de respaldo para cargas especiales que excedan la flota habitual.</x:v>
      </x:c>
      <x:c r="P38" s="14" t="str">
        <x:v>Pedir tráfico/operaciones y ofrecer acuerdo de derivaciones.</x:v>
      </x:c>
      <x:c r="Q38" s="14" t="str"/>
      <x:c r="R38" s="14" t="str">
        <x:v>Parque Industrial San Francisco, San Francisco, Córdoba</x:v>
      </x:c>
      <x:c r="S38" s="14" t="str"/>
      <x:c r="T38" s="14" t="str"/>
      <x:c r="U38" s="14" t="str"/>
      <x:c r="V38" s="14" t="str"/>
      <x:c r="W38" s="14" t="str"/>
      <x:c r="X38" s="14" t="str">
        <x:v>https://www.google.com/maps/search/?api=1&amp;query=Expreso+Br%C3%ADo+S.R.L.%2C+Parque+Industrial+San+Francisco%2C+San+Francisco%2C+C%C3%B3rdoba</x:v>
      </x:c>
      <x:c r="Y38" s="14" t="str">
        <x:v>Parque Industrial oficial</x:v>
      </x:c>
      <x:c r="Z38" s="14" t="str">
        <x:v>https://empresas.parqueindustrialsanfrancisco.com/directorio/empresas/logistica/transporte-de-cargas-y-encomiendas/</x:v>
      </x:c>
      <x:c r="AA38" s="14" t="str">
        <x:v>Empresa listada en transporte de cargas y encomiendas del Parque Industrial.</x:v>
      </x:c>
      <x:c r="AB38" s="14" t="str">
        <x:v>Media</x:v>
      </x:c>
      <x:c r="AC38" s="14" t="str">
        <x:v>Operativo / verificar antes de visita</x:v>
      </x:c>
      <x:c r="AD38" s="14" t="str">
        <x:v>Rastrillaje San Francisco 2026-09-15</x:v>
      </x:c>
      <x:c r="AE38" s="14" t="str">
        <x:v>Plataforma 20 tn | Hidrogrúa | Malacate | Subcontratación</x:v>
      </x:c>
      <x:c r="AF38" s="14" t="str">
        <x:v>PRIORIDAD ALTA</x:v>
      </x:c>
    </x:row>
    <x:row r="39">
      <x:c r="A39" s="14" t="str">
        <x:v>SF-038</x:v>
      </x:c>
      <x:c r="B39" s="14" t="str">
        <x:v>Pendiente</x:v>
      </x:c>
      <x:c r="C39" s="14" t="str">
        <x:v>Núcleo</x:v>
      </x:c>
      <x:c r="D39" s="14" t="str">
        <x:v>San Francisco</x:v>
      </x:c>
      <x:c r="E39" s="14" t="str">
        <x:v>San Lorenzo</x:v>
      </x:c>
      <x:c r="F39" s="14" t="str">
        <x:v>A</x:v>
      </x:c>
      <x:c r="G39" s="14" t="n">
        <x:v>80</x:v>
      </x:c>
      <x:c r="H39" s="14" t="str">
        <x:v>LC Construcciones - Picatti</x:v>
      </x:c>
      <x:c r="I39" s="14" t="str">
        <x:v>Construcción / obra civil</x:v>
      </x:c>
      <x:c r="J39" s="14" t="str">
        <x:v>03564 589155</x:v>
      </x:c>
      <x:c r="K39" s="14" t="str">
        <x:v>OK</x:v>
      </x:c>
      <x:c r="L39" s="14" t="str">
        <x:v>obras / compras / logística</x:v>
      </x:c>
      <x:c r="M39" s="14" t="str">
        <x:v>Traslados interobra de equipos, herramientas, premoldeados y cargas especiales.</x:v>
      </x:c>
      <x:c r="N39" s="14" t="str">
        <x:v>Plataforma + hidrogrúa + malacate + percha.</x:v>
      </x:c>
      <x:c r="O39" s="14" t="str">
        <x:v>Cubrir movimientos interobra y cargas que no resuelve el camión convencional.</x:v>
      </x:c>
      <x:c r="P39" s="14" t="str">
        <x:v>Pedir obras/equipos/logística; relevar maquinaria propia y frecuencia.</x:v>
      </x:c>
      <x:c r="Q39" s="14" t="str"/>
      <x:c r="R39" s="14" t="str">
        <x:v>San Lorenzo 223, San Francisco, Córdoba</x:v>
      </x:c>
      <x:c r="S39" s="14" t="str"/>
      <x:c r="T39" s="14" t="str"/>
      <x:c r="U39" s="14" t="str"/>
      <x:c r="V39" s="14" t="str"/>
      <x:c r="W39" s="14" t="str">
        <x:v>03564589155</x:v>
      </x:c>
      <x:c r="X39" s="14" t="str">
        <x:v>https://www.google.com/maps/search/?api=1&amp;query=LC+Construcciones+-+Picatti%2C+San+Lorenzo+223%2C+San+Francisco%2C+C%C3%B3rdoba</x:v>
      </x:c>
      <x:c r="Y39" s="14" t="str">
        <x:v>Google Business</x:v>
      </x:c>
      <x:c r="Z39" s="14" t="str">
        <x:v>https://www.google.com/maps/search/?api=1&amp;query=LC+Construcciones+Picatti%2C+San+Lorenzo+223%2C+San+Francisco%2C+C%C3%B3rdoba</x:v>
      </x:c>
      <x:c r="AA39" s="14" t="str">
        <x:v>Empresa de construcción local.</x:v>
      </x:c>
      <x:c r="AB39" s="14" t="str">
        <x:v>Alta</x:v>
      </x:c>
      <x:c r="AC39" s="14" t="str">
        <x:v>Operativo / verificar antes de visita</x:v>
      </x:c>
      <x:c r="AD39" s="14" t="str">
        <x:v>Rastrillaje San Francisco 2026-09-15</x:v>
      </x:c>
      <x:c r="AE39" s="14" t="str">
        <x:v>Plataforma 20 tn | Hidrogrúa | Malacate | Traslados interobra</x:v>
      </x:c>
      <x:c r="AF39" s="14" t="str">
        <x:v>PRIORIDAD ALTA</x:v>
      </x:c>
    </x:row>
    <x:row r="40">
      <x:c r="A40" s="14" t="str">
        <x:v>SF-039</x:v>
      </x:c>
      <x:c r="B40" s="14" t="str">
        <x:v>Pendiente</x:v>
      </x:c>
      <x:c r="C40" s="14" t="str">
        <x:v>Núcleo</x:v>
      </x:c>
      <x:c r="D40" s="14" t="str">
        <x:v>San Francisco</x:v>
      </x:c>
      <x:c r="E40" s="14" t="str">
        <x:v>Parque Industrial / Venier</x:v>
      </x:c>
      <x:c r="F40" s="14" t="str">
        <x:v>A</x:v>
      </x:c>
      <x:c r="G40" s="14" t="n">
        <x:v>80</x:v>
      </x:c>
      <x:c r="H40" s="14" t="str">
        <x:v>Lácteos Santa María</x:v>
      </x:c>
      <x:c r="I40" s="14" t="str">
        <x:v>Industria láctea / planta industrial</x:v>
      </x:c>
      <x:c r="J40" s="14" t="str">
        <x:v>03564 445845</x:v>
      </x:c>
      <x:c r="K40" s="14" t="str">
        <x:v>OK</x:v>
      </x:c>
      <x:c r="L40" s="14" t="str">
        <x:v>mantenimiento / logística / planta</x:v>
      </x:c>
      <x:c r="M40" s="14" t="str">
        <x:v>Movimientos de mantenimiento, motores, bombas, equipos y cargas extraordinarias de planta.</x:v>
      </x:c>
      <x:c r="N40" s="14" t="str">
        <x:v>Plataforma + hidrogrúa + percha + seguro/GPS.</x:v>
      </x:c>
      <x:c r="O40" s="14" t="str">
        <x:v>Proveedor local para paradas, montajes y movimientos no rutinarios.</x:v>
      </x:c>
      <x:c r="P40" s="14" t="str">
        <x:v>Pedir mantenimiento/compras/planta; relevar equipos críticos.</x:v>
      </x:c>
      <x:c r="Q40" s="14" t="str"/>
      <x:c r="R40" s="14" t="str">
        <x:v>Juan Venier 2099, Parque Industrial, San Francisco, Córdoba</x:v>
      </x:c>
      <x:c r="S40" s="14" t="str"/>
      <x:c r="T40" s="14" t="str"/>
      <x:c r="U40" s="14" t="str"/>
      <x:c r="V40" s="14" t="str"/>
      <x:c r="W40" s="14" t="str">
        <x:v>03564445845</x:v>
      </x:c>
      <x:c r="X40" s="14" t="str">
        <x:v>https://www.google.com/maps/search/?api=1&amp;query=L%C3%A1cteos+Santa+Mar%C3%ADa%2C+Juan+Venier+2099%2C+Parque+Industrial%2C+San+Francisco%2C+C%C3%B3rdoba</x:v>
      </x:c>
      <x:c r="Y40" s="14" t="str">
        <x:v>Web oficial</x:v>
      </x:c>
      <x:c r="Z40" s="14" t="str">
        <x:v>https://www.lacteossantamaria.com.ar/</x:v>
      </x:c>
      <x:c r="AA40" s="14" t="str">
        <x:v>Fábrica láctea con planta en el Parque Industrial.</x:v>
      </x:c>
      <x:c r="AB40" s="14" t="str">
        <x:v>Alta</x:v>
      </x:c>
      <x:c r="AC40" s="14" t="str">
        <x:v>Operativo / verificar antes de visita</x:v>
      </x:c>
      <x:c r="AD40" s="14" t="str">
        <x:v>Rastrillaje San Francisco 2026-09-15</x:v>
      </x:c>
      <x:c r="AE40" s="14" t="str">
        <x:v>Plataforma 20 tn | Hidrogrúa | Percha | Seguro/GPS</x:v>
      </x:c>
      <x:c r="AF40" s="14" t="str">
        <x:v>PRIORIDAD ALTA</x:v>
      </x:c>
    </x:row>
    <x:row r="41">
      <x:c r="A41" s="14" t="str">
        <x:v>SF-040</x:v>
      </x:c>
      <x:c r="B41" s="14" t="str">
        <x:v>Pendiente</x:v>
      </x:c>
      <x:c r="C41" s="14" t="str">
        <x:v>Núcleo</x:v>
      </x:c>
      <x:c r="D41" s="14" t="str">
        <x:v>San Francisco</x:v>
      </x:c>
      <x:c r="E41" s="14" t="str">
        <x:v>Parque Industrial</x:v>
      </x:c>
      <x:c r="F41" s="14" t="str">
        <x:v>A</x:v>
      </x:c>
      <x:c r="G41" s="14" t="n">
        <x:v>80</x:v>
      </x:c>
      <x:c r="H41" s="14" t="str">
        <x:v>M y R Mecanizado y Forjado SAS</x:v>
      </x:c>
      <x:c r="I41" s="14" t="str">
        <x:v>Metalúrgica / mecanizado / piezas</x:v>
      </x:c>
      <x:c r="J41" s="14" t="str">
        <x:v>A verificar</x:v>
      </x:c>
      <x:c r="K41" s="14" t="str">
        <x:v>A verificar</x:v>
      </x:c>
      <x:c r="L41" s="14" t="str">
        <x:v>producción / expedición / mantenimiento</x:v>
      </x:c>
      <x:c r="M41" s="14" t="str">
        <x:v>Despacho de piezas, conjuntos metálicos, componentes pesados o equipos de producción/mantenimiento.</x:v>
      </x:c>
      <x:c r="N41" s="14" t="str">
        <x:v>Plataforma + hidrogrúa + malacate; percha según carga.</x:v>
      </x:c>
      <x:c r="O41" s="14" t="str">
        <x:v>Resolver piezas pesadas o fuera de medida con un único proveedor.</x:v>
      </x:c>
      <x:c r="P41" s="14" t="str">
        <x:v>Pedir producción/expedición/mantenimiento y relevar piezas máximas/destinos.</x:v>
      </x:c>
      <x:c r="Q41" s="14" t="str"/>
      <x:c r="R41" s="14" t="str">
        <x:v>Parque Industrial San Francisco, San Francisco, Córdoba</x:v>
      </x:c>
      <x:c r="S41" s="14" t="str"/>
      <x:c r="T41" s="14" t="str"/>
      <x:c r="U41" s="14" t="str"/>
      <x:c r="V41" s="14" t="str"/>
      <x:c r="W41" s="14" t="str"/>
      <x:c r="X41" s="14" t="str">
        <x:v>https://www.google.com/maps/search/?api=1&amp;query=M+y+R+Mecanizado+y+Forjado+SAS%2C+Parque+Industrial+San+Francisco%2C+San+Francisco%2C+C%C3%B3rdoba</x:v>
      </x:c>
      <x:c r="Y41" s="14" t="str">
        <x:v>Directorio Parque Industrial</x:v>
      </x:c>
      <x:c r="Z41" s="14" t="str">
        <x:v>https://www.empresas.parqueindustrialsanfrancisco.com/directorio/empresas/metalurgica-fundicion-y-trabajo-del-metal/metalurgica/</x:v>
      </x:c>
      <x:c r="AA41" s="14" t="str">
        <x:v>Empresa listada actualmente en el directorio metalúrgico del Parque Industrial San Francisco.</x:v>
      </x:c>
      <x:c r="AB41" s="14" t="str">
        <x:v>Media</x:v>
      </x:c>
      <x:c r="AC41" s="14" t="str">
        <x:v>Operativo / verificar antes de visita</x:v>
      </x:c>
      <x:c r="AD41" s="14" t="str">
        <x:v>Rastrillaje San Francisco 2026-09-15</x:v>
      </x:c>
      <x:c r="AE41" s="14" t="str">
        <x:v>Plataforma 20 tn | Hidrogrúa | Malacate | Percha</x:v>
      </x:c>
      <x:c r="AF41" s="14" t="str">
        <x:v>PRIORIDAD ALTA</x:v>
      </x:c>
    </x:row>
    <x:row r="42">
      <x:c r="A42" s="14" t="str">
        <x:v>SF-041</x:v>
      </x:c>
      <x:c r="B42" s="14" t="str">
        <x:v>Pendiente</x:v>
      </x:c>
      <x:c r="C42" s="14" t="str">
        <x:v>Núcleo</x:v>
      </x:c>
      <x:c r="D42" s="14" t="str">
        <x:v>San Francisco</x:v>
      </x:c>
      <x:c r="E42" s="14" t="str">
        <x:v>San Francisco</x:v>
      </x:c>
      <x:c r="F42" s="14" t="str">
        <x:v>A</x:v>
      </x:c>
      <x:c r="G42" s="14" t="n">
        <x:v>80</x:v>
      </x:c>
      <x:c r="H42" s="14" t="str">
        <x:v>METALJIMSA S.A.</x:v>
      </x:c>
      <x:c r="I42" s="14" t="str">
        <x:v>Fabricación de maquinaria agrícola</x:v>
      </x:c>
      <x:c r="J42" s="14" t="str">
        <x:v>A verificar</x:v>
      </x:c>
      <x:c r="K42" s="14" t="str">
        <x:v>A verificar</x:v>
      </x:c>
      <x:c r="L42" s="14" t="str">
        <x:v>producción / expedición</x:v>
      </x:c>
      <x:c r="M42" s="14" t="str">
        <x:v>Entrega/retiro de maquinaria, usados, equipos de service y despachos de fábrica.</x:v>
      </x:c>
      <x:c r="N42" s="14" t="str">
        <x:v>Plataforma 20 tn + malacate + hidrogrúa de apoyo + seguro/GPS.</x:v>
      </x:c>
      <x:c r="O42" s="14" t="str">
        <x:v>Captar entregas, canjes, usados y rescates de service sin inmovilizar transporte propio.</x:v>
      </x:c>
      <x:c r="P42" s="14" t="str">
        <x:v>Pedir logística/expedición/posventa; relevar equipos, pesos y movimientos mensuales.</x:v>
      </x:c>
      <x:c r="Q42" s="14" t="str"/>
      <x:c r="R42" s="14" t="str">
        <x:v>San Francisco, Córdoba</x:v>
      </x:c>
      <x:c r="S42" s="14" t="str"/>
      <x:c r="T42" s="14" t="str"/>
      <x:c r="U42" s="14" t="str"/>
      <x:c r="V42" s="14" t="str"/>
      <x:c r="W42" s="14" t="str"/>
      <x:c r="X42" s="14" t="str">
        <x:v>https://www.google.com/maps/search/?api=1&amp;query=METALJIMSA+S.A.%2C+San+Francisco%2C+C%C3%B3rdoba</x:v>
      </x:c>
      <x:c r="Y42" s="14" t="str">
        <x:v>Indicadores AR</x:v>
      </x:c>
      <x:c r="Z42" s="14" t="str">
        <x:v>https://indicadores.ar/empresas/sector/fabricacion-de-maquinaria-y-equipo-de-uso-agropecuario-y-forestal/cordoba/san-francisco</x:v>
      </x:c>
      <x:c r="AA42" s="14" t="str">
        <x:v>Sociedad reciente registrada en fabricación de maquinaria agropecuaria/forestal.</x:v>
      </x:c>
      <x:c r="AB42" s="14" t="str">
        <x:v>Media</x:v>
      </x:c>
      <x:c r="AC42" s="14" t="str">
        <x:v>Operativo / verificar antes de visita</x:v>
      </x:c>
      <x:c r="AD42" s="14" t="str">
        <x:v>Rastrillaje San Francisco 2026-09-15</x:v>
      </x:c>
      <x:c r="AE42" s="14" t="str">
        <x:v>Plataforma 20 tn | Malacate | Hidrogrúa | Entrega/retiro maquinaria | Seguro/GPS</x:v>
      </x:c>
      <x:c r="AF42" s="14" t="str">
        <x:v>PRIORIDAD ALTA</x:v>
      </x:c>
    </x:row>
    <x:row r="43">
      <x:c r="A43" s="14" t="str">
        <x:v>SF-042</x:v>
      </x:c>
      <x:c r="B43" s="14" t="str">
        <x:v>Pendiente</x:v>
      </x:c>
      <x:c r="C43" s="14" t="str">
        <x:v>Núcleo</x:v>
      </x:c>
      <x:c r="D43" s="14" t="str">
        <x:v>San Francisco</x:v>
      </x:c>
      <x:c r="E43" s="14" t="str">
        <x:v>Gob. San Martín</x:v>
      </x:c>
      <x:c r="F43" s="14" t="str">
        <x:v>A</x:v>
      </x:c>
      <x:c r="G43" s="14" t="n">
        <x:v>80</x:v>
      </x:c>
      <x:c r="H43" s="14" t="str">
        <x:v>Transporte Don Max S.A.</x:v>
      </x:c>
      <x:c r="I43" s="14" t="str">
        <x:v>Transporte por camión</x:v>
      </x:c>
      <x:c r="J43" s="14" t="str">
        <x:v>03564 358403</x:v>
      </x:c>
      <x:c r="K43" s="14" t="str">
        <x:v>OK</x:v>
      </x:c>
      <x:c r="L43" s="14" t="str">
        <x:v>tráfico / operaciones</x:v>
      </x:c>
      <x:c r="M43" s="14" t="str">
        <x:v>Overflow y derivación de cargas/equipos que requieren plataforma, malacate o hidrogrúa.</x:v>
      </x:c>
      <x:c r="N43" s="14" t="str">
        <x:v>Capacidad complementaria: plataforma 20 tn + hidrogrúa + malacate.</x:v>
      </x:c>
      <x:c r="O43" s="14" t="str">
        <x:v>Ser socio de respaldo para cargas especiales que excedan la flota habitual.</x:v>
      </x:c>
      <x:c r="P43" s="14" t="str">
        <x:v>Pedir tráfico/operaciones y ofrecer acuerdo de derivaciones.</x:v>
      </x:c>
      <x:c r="Q43" s="14" t="str"/>
      <x:c r="R43" s="14" t="str">
        <x:v>Gobernador San Martín 652, San Francisco, Córdoba</x:v>
      </x:c>
      <x:c r="S43" s="14" t="str"/>
      <x:c r="T43" s="14" t="str"/>
      <x:c r="U43" s="14" t="str"/>
      <x:c r="V43" s="14" t="str"/>
      <x:c r="W43" s="14" t="str">
        <x:v>03564358403</x:v>
      </x:c>
      <x:c r="X43" s="14" t="str">
        <x:v>https://www.google.com/maps/search/?api=1&amp;query=Transporte+Don+Max+S.A.%2C+Gobernador+San+Mart%C3%ADn+652%2C+San+Francisco%2C+C%C3%B3rdoba</x:v>
      </x:c>
      <x:c r="Y43" s="14" t="str">
        <x:v>Google Business</x:v>
      </x:c>
      <x:c r="Z43" s="14" t="str">
        <x:v>https://www.google.com/maps/search/?api=1&amp;query=Transporte+Don+Max+SA%2C+Gobernador+San+Martin+652%2C+San+Francisco%2C+C%C3%B3rdoba</x:v>
      </x:c>
      <x:c r="AA43" s="14" t="str">
        <x:v>Transportista local de escala.</x:v>
      </x:c>
      <x:c r="AB43" s="14" t="str">
        <x:v>Alta</x:v>
      </x:c>
      <x:c r="AC43" s="14" t="str">
        <x:v>Operativo / verificar antes de visita</x:v>
      </x:c>
      <x:c r="AD43" s="14" t="str">
        <x:v>Rastrillaje San Francisco 2026-09-15</x:v>
      </x:c>
      <x:c r="AE43" s="14" t="str">
        <x:v>Plataforma 20 tn | Hidrogrúa | Malacate | Subcontratación</x:v>
      </x:c>
      <x:c r="AF43" s="14" t="str">
        <x:v>PRIORIDAD ALTA</x:v>
      </x:c>
    </x:row>
    <x:row r="44">
      <x:c r="A44" s="14" t="str">
        <x:v>SF-043</x:v>
      </x:c>
      <x:c r="B44" s="14" t="str">
        <x:v>Pendiente</x:v>
      </x:c>
      <x:c r="C44" s="14" t="str">
        <x:v>Núcleo</x:v>
      </x:c>
      <x:c r="D44" s="14" t="str">
        <x:v>San Francisco</x:v>
      </x:c>
      <x:c r="E44" s="14" t="str">
        <x:v>Parque Industrial</x:v>
      </x:c>
      <x:c r="F44" s="14" t="str">
        <x:v>A</x:v>
      </x:c>
      <x:c r="G44" s="14" t="n">
        <x:v>80</x:v>
      </x:c>
      <x:c r="H44" s="14" t="str">
        <x:v>Trater Aranda SAS</x:v>
      </x:c>
      <x:c r="I44" s="14" t="str">
        <x:v>Metalúrgica / mecanizado / piezas</x:v>
      </x:c>
      <x:c r="J44" s="14" t="str">
        <x:v>A verificar</x:v>
      </x:c>
      <x:c r="K44" s="14" t="str">
        <x:v>A verificar</x:v>
      </x:c>
      <x:c r="L44" s="14" t="str">
        <x:v>producción / expedición / mantenimiento</x:v>
      </x:c>
      <x:c r="M44" s="14" t="str">
        <x:v>Despacho de piezas, conjuntos metálicos, componentes pesados o equipos de producción/mantenimiento.</x:v>
      </x:c>
      <x:c r="N44" s="14" t="str">
        <x:v>Plataforma + hidrogrúa + malacate; percha según carga.</x:v>
      </x:c>
      <x:c r="O44" s="14" t="str">
        <x:v>Resolver piezas pesadas o fuera de medida con un único proveedor.</x:v>
      </x:c>
      <x:c r="P44" s="14" t="str">
        <x:v>Pedir producción/expedición/mantenimiento y relevar piezas máximas/destinos.</x:v>
      </x:c>
      <x:c r="Q44" s="14" t="str"/>
      <x:c r="R44" s="14" t="str">
        <x:v>Parque Industrial San Francisco, San Francisco, Córdoba</x:v>
      </x:c>
      <x:c r="S44" s="14" t="str"/>
      <x:c r="T44" s="14" t="str"/>
      <x:c r="U44" s="14" t="str"/>
      <x:c r="V44" s="14" t="str"/>
      <x:c r="W44" s="14" t="str"/>
      <x:c r="X44" s="14" t="str">
        <x:v>https://www.google.com/maps/search/?api=1&amp;query=Trater+Aranda+SAS%2C+Parque+Industrial+San+Francisco%2C+San+Francisco%2C+C%C3%B3rdoba</x:v>
      </x:c>
      <x:c r="Y44" s="14" t="str">
        <x:v>Directorio Parque Industrial</x:v>
      </x:c>
      <x:c r="Z44" s="14" t="str">
        <x:v>https://www.empresas.parqueindustrialsanfrancisco.com/directorio/empresas/metalurgica-fundicion-y-trabajo-del-metal/metalurgica/</x:v>
      </x:c>
      <x:c r="AA44" s="14" t="str">
        <x:v>Empresa listada actualmente en el directorio metalúrgico del Parque Industrial San Francisco.</x:v>
      </x:c>
      <x:c r="AB44" s="14" t="str">
        <x:v>Media</x:v>
      </x:c>
      <x:c r="AC44" s="14" t="str">
        <x:v>Operativo / verificar antes de visita</x:v>
      </x:c>
      <x:c r="AD44" s="14" t="str">
        <x:v>Rastrillaje San Francisco 2026-09-15</x:v>
      </x:c>
      <x:c r="AE44" s="14" t="str">
        <x:v>Plataforma 20 tn | Hidrogrúa | Malacate | Percha</x:v>
      </x:c>
      <x:c r="AF44" s="14" t="str">
        <x:v>PRIORIDAD ALTA</x:v>
      </x:c>
    </x:row>
    <x:row r="45">
      <x:c r="A45" s="14" t="str">
        <x:v>SF-044</x:v>
      </x:c>
      <x:c r="B45" s="14" t="str">
        <x:v>Pendiente</x:v>
      </x:c>
      <x:c r="C45" s="14" t="str">
        <x:v>Núcleo</x:v>
      </x:c>
      <x:c r="D45" s="14" t="str">
        <x:v>San Francisco</x:v>
      </x:c>
      <x:c r="E45" s="14" t="str">
        <x:v>Parque Industrial</x:v>
      </x:c>
      <x:c r="F45" s="14" t="str">
        <x:v>A</x:v>
      </x:c>
      <x:c r="G45" s="14" t="n">
        <x:v>78</x:v>
      </x:c>
      <x:c r="H45" s="14" t="str">
        <x:v>Cesca S.A.</x:v>
      </x:c>
      <x:c r="I45" s="14" t="str">
        <x:v>Metalúrgica / mecanizado / piezas</x:v>
      </x:c>
      <x:c r="J45" s="14" t="str">
        <x:v>A verificar</x:v>
      </x:c>
      <x:c r="K45" s="14" t="str">
        <x:v>A verificar</x:v>
      </x:c>
      <x:c r="L45" s="14" t="str">
        <x:v>producción / expedición / mantenimiento</x:v>
      </x:c>
      <x:c r="M45" s="14" t="str">
        <x:v>Despacho de piezas, conjuntos metálicos, componentes pesados o equipos de producción/mantenimiento.</x:v>
      </x:c>
      <x:c r="N45" s="14" t="str">
        <x:v>Plataforma + hidrogrúa + malacate; percha según carga.</x:v>
      </x:c>
      <x:c r="O45" s="14" t="str">
        <x:v>Resolver piezas pesadas o fuera de medida con un único proveedor.</x:v>
      </x:c>
      <x:c r="P45" s="14" t="str">
        <x:v>Pedir producción/expedición/mantenimiento y relevar piezas máximas/destinos.</x:v>
      </x:c>
      <x:c r="Q45" s="14" t="str"/>
      <x:c r="R45" s="14" t="str">
        <x:v>Parque Industrial San Francisco, San Francisco, Córdoba</x:v>
      </x:c>
      <x:c r="S45" s="14" t="str"/>
      <x:c r="T45" s="14" t="str"/>
      <x:c r="U45" s="14" t="str"/>
      <x:c r="V45" s="14" t="str"/>
      <x:c r="W45" s="14" t="str"/>
      <x:c r="X45" s="14" t="str">
        <x:v>https://www.google.com/maps/search/?api=1&amp;query=Cesca+S.A.%2C+Parque+Industrial+San+Francisco%2C+San+Francisco%2C+C%C3%B3rdoba</x:v>
      </x:c>
      <x:c r="Y45" s="14" t="str">
        <x:v>Directorio Parque Industrial</x:v>
      </x:c>
      <x:c r="Z45" s="14" t="str">
        <x:v>https://www.empresas.parqueindustrialsanfrancisco.com/directorio/empresas/metalurgica-fundicion-y-trabajo-del-metal/metalurgica/</x:v>
      </x:c>
      <x:c r="AA45" s="14" t="str">
        <x:v>Empresa listada actualmente en el directorio metalúrgico del Parque Industrial San Francisco.</x:v>
      </x:c>
      <x:c r="AB45" s="14" t="str">
        <x:v>Media</x:v>
      </x:c>
      <x:c r="AC45" s="14" t="str">
        <x:v>Operativo / verificar antes de visita</x:v>
      </x:c>
      <x:c r="AD45" s="14" t="str">
        <x:v>Rastrillaje San Francisco 2026-09-15</x:v>
      </x:c>
      <x:c r="AE45" s="14" t="str">
        <x:v>Plataforma 20 tn | Hidrogrúa | Malacate | Percha</x:v>
      </x:c>
      <x:c r="AF45" s="14" t="str">
        <x:v>PRIORIDAD ALTA</x:v>
      </x:c>
    </x:row>
    <x:row r="46">
      <x:c r="A46" s="14" t="str">
        <x:v>SF-045</x:v>
      </x:c>
      <x:c r="B46" s="14" t="str">
        <x:v>Pendiente</x:v>
      </x:c>
      <x:c r="C46" s="14" t="str">
        <x:v>Núcleo</x:v>
      </x:c>
      <x:c r="D46" s="14" t="str">
        <x:v>San Francisco</x:v>
      </x:c>
      <x:c r="E46" s="14" t="str">
        <x:v>Pje. Cangallo</x:v>
      </x:c>
      <x:c r="F46" s="14" t="str">
        <x:v>A</x:v>
      </x:c>
      <x:c r="G46" s="14" t="n">
        <x:v>78</x:v>
      </x:c>
      <x:c r="H46" s="14" t="str">
        <x:v>Constructora Centro</x:v>
      </x:c>
      <x:c r="I46" s="14" t="str">
        <x:v>Contratista / constructora</x:v>
      </x:c>
      <x:c r="J46" s="14" t="str">
        <x:v>+54 9 3564 629187</x:v>
      </x:c>
      <x:c r="K46" s="14" t="str">
        <x:v>OK</x:v>
      </x:c>
      <x:c r="L46" s="14" t="str">
        <x:v>obras / equipos / logística</x:v>
      </x:c>
      <x:c r="M46" s="14" t="str">
        <x:v>Traslados interobra de equipos, herramientas, premoldeados y cargas especiales.</x:v>
      </x:c>
      <x:c r="N46" s="14" t="str">
        <x:v>Plataforma + hidrogrúa + malacate + percha.</x:v>
      </x:c>
      <x:c r="O46" s="14" t="str">
        <x:v>Cubrir movimientos interobra y cargas que no resuelve el camión convencional.</x:v>
      </x:c>
      <x:c r="P46" s="14" t="str">
        <x:v>Pedir obras/equipos/logística; relevar maquinaria propia y frecuencia.</x:v>
      </x:c>
      <x:c r="Q46" s="14" t="str"/>
      <x:c r="R46" s="14" t="str">
        <x:v>Pje. Cangallo 62, San Francisco, Córdoba</x:v>
      </x:c>
      <x:c r="S46" s="14" t="str"/>
      <x:c r="T46" s="14" t="str"/>
      <x:c r="U46" s="14" t="str"/>
      <x:c r="V46" s="14" t="str"/>
      <x:c r="W46" s="14" t="str">
        <x:v>+5493564629187</x:v>
      </x:c>
      <x:c r="X46" s="14" t="str">
        <x:v>https://www.google.com/maps/search/?api=1&amp;query=Constructora+Centro%2C+Pje.+Cangallo+62%2C+San+Francisco%2C+C%C3%B3rdoba</x:v>
      </x:c>
      <x:c r="Y46" s="14" t="str">
        <x:v>Google Business</x:v>
      </x:c>
      <x:c r="Z46" s="14" t="str">
        <x:v>https://www.google.com/maps/search/?api=1&amp;query=Constructora+Centro%2C+Pje.+Cangallo+62%2C+San+Francisco%2C+C%C3%B3rdoba</x:v>
      </x:c>
      <x:c r="AA46" s="14" t="str">
        <x:v>Contratista local; relevar flota/equipos.</x:v>
      </x:c>
      <x:c r="AB46" s="14" t="str">
        <x:v>Alta</x:v>
      </x:c>
      <x:c r="AC46" s="14" t="str">
        <x:v>Operativo / verificar antes de visita</x:v>
      </x:c>
      <x:c r="AD46" s="14" t="str">
        <x:v>Rastrillaje San Francisco 2026-09-15</x:v>
      </x:c>
      <x:c r="AE46" s="14" t="str">
        <x:v>Plataforma 20 tn | Hidrogrúa | Malacate | Traslados interobra</x:v>
      </x:c>
      <x:c r="AF46" s="14" t="str">
        <x:v>PRIORIDAD ALTA</x:v>
      </x:c>
    </x:row>
    <x:row r="47">
      <x:c r="A47" s="14" t="str">
        <x:v>SF-046</x:v>
      </x:c>
      <x:c r="B47" s="14" t="str">
        <x:v>Pendiente</x:v>
      </x:c>
      <x:c r="C47" s="14" t="str">
        <x:v>Núcleo</x:v>
      </x:c>
      <x:c r="D47" s="14" t="str">
        <x:v>San Francisco</x:v>
      </x:c>
      <x:c r="E47" s="14" t="str">
        <x:v>Parque Industrial</x:v>
      </x:c>
      <x:c r="F47" s="14" t="str">
        <x:v>A</x:v>
      </x:c>
      <x:c r="G47" s="14" t="n">
        <x:v>78</x:v>
      </x:c>
      <x:c r="H47" s="14" t="str">
        <x:v>Delbre S.R.L.</x:v>
      </x:c>
      <x:c r="I47" s="14" t="str">
        <x:v>Metalúrgica / mecanizado / piezas</x:v>
      </x:c>
      <x:c r="J47" s="14" t="str">
        <x:v>A verificar</x:v>
      </x:c>
      <x:c r="K47" s="14" t="str">
        <x:v>A verificar</x:v>
      </x:c>
      <x:c r="L47" s="14" t="str">
        <x:v>producción / expedición / mantenimiento</x:v>
      </x:c>
      <x:c r="M47" s="14" t="str">
        <x:v>Despacho de piezas, conjuntos metálicos, componentes pesados o equipos de producción/mantenimiento.</x:v>
      </x:c>
      <x:c r="N47" s="14" t="str">
        <x:v>Plataforma + hidrogrúa + malacate; percha según carga.</x:v>
      </x:c>
      <x:c r="O47" s="14" t="str">
        <x:v>Resolver piezas pesadas o fuera de medida con un único proveedor.</x:v>
      </x:c>
      <x:c r="P47" s="14" t="str">
        <x:v>Pedir producción/expedición/mantenimiento y relevar piezas máximas/destinos.</x:v>
      </x:c>
      <x:c r="Q47" s="14" t="str"/>
      <x:c r="R47" s="14" t="str">
        <x:v>Parque Industrial San Francisco, San Francisco, Córdoba</x:v>
      </x:c>
      <x:c r="S47" s="14" t="str"/>
      <x:c r="T47" s="14" t="str"/>
      <x:c r="U47" s="14" t="str"/>
      <x:c r="V47" s="14" t="str"/>
      <x:c r="W47" s="14" t="str"/>
      <x:c r="X47" s="14" t="str">
        <x:v>https://www.google.com/maps/search/?api=1&amp;query=Delbre+S.R.L.%2C+Parque+Industrial+San+Francisco%2C+San+Francisco%2C+C%C3%B3rdoba</x:v>
      </x:c>
      <x:c r="Y47" s="14" t="str">
        <x:v>Directorio Parque Industrial</x:v>
      </x:c>
      <x:c r="Z47" s="14" t="str">
        <x:v>https://www.empresas.parqueindustrialsanfrancisco.com/directorio/empresas/metalurgica-fundicion-y-trabajo-del-metal/metalurgica/</x:v>
      </x:c>
      <x:c r="AA47" s="14" t="str">
        <x:v>Empresa listada actualmente en el directorio metalúrgico del Parque Industrial San Francisco.</x:v>
      </x:c>
      <x:c r="AB47" s="14" t="str">
        <x:v>Media</x:v>
      </x:c>
      <x:c r="AC47" s="14" t="str">
        <x:v>Operativo / verificar antes de visita</x:v>
      </x:c>
      <x:c r="AD47" s="14" t="str">
        <x:v>Rastrillaje San Francisco 2026-09-15</x:v>
      </x:c>
      <x:c r="AE47" s="14" t="str">
        <x:v>Plataforma 20 tn | Hidrogrúa | Malacate | Percha</x:v>
      </x:c>
      <x:c r="AF47" s="14" t="str">
        <x:v>PRIORIDAD ALTA</x:v>
      </x:c>
    </x:row>
    <x:row r="48">
      <x:c r="A48" s="14" t="str">
        <x:v>SF-047</x:v>
      </x:c>
      <x:c r="B48" s="14" t="str">
        <x:v>Pendiente</x:v>
      </x:c>
      <x:c r="C48" s="14" t="str">
        <x:v>Núcleo</x:v>
      </x:c>
      <x:c r="D48" s="14" t="str">
        <x:v>San Francisco</x:v>
      </x:c>
      <x:c r="E48" s="14" t="str">
        <x:v>RN158</x:v>
      </x:c>
      <x:c r="F48" s="14" t="str">
        <x:v>A</x:v>
      </x:c>
      <x:c r="G48" s="14" t="n">
        <x:v>78</x:v>
      </x:c>
      <x:c r="H48" s="14" t="str">
        <x:v>Frigorífico San Francisco S.A.</x:v>
      </x:c>
      <x:c r="I48" s="14" t="str">
        <x:v>Frigorífico / planta industrial</x:v>
      </x:c>
      <x:c r="J48" s="14" t="str">
        <x:v>03564 435042</x:v>
      </x:c>
      <x:c r="K48" s="14" t="str">
        <x:v>OK</x:v>
      </x:c>
      <x:c r="L48" s="14" t="str">
        <x:v>mantenimiento / logística / planta</x:v>
      </x:c>
      <x:c r="M48" s="14" t="str">
        <x:v>Movimientos de mantenimiento, motores, bombas, equipos y cargas extraordinarias de planta.</x:v>
      </x:c>
      <x:c r="N48" s="14" t="str">
        <x:v>Plataforma + hidrogrúa + percha + seguro/GPS.</x:v>
      </x:c>
      <x:c r="O48" s="14" t="str">
        <x:v>Proveedor local para paradas, montajes y movimientos no rutinarios.</x:v>
      </x:c>
      <x:c r="P48" s="14" t="str">
        <x:v>Pedir mantenimiento/compras/planta; relevar equipos críticos.</x:v>
      </x:c>
      <x:c r="Q48" s="14" t="str"/>
      <x:c r="R48" s="14" t="str">
        <x:v>RN158 s/n, zona San Francisco, Córdoba</x:v>
      </x:c>
      <x:c r="S48" s="14" t="str"/>
      <x:c r="T48" s="14" t="str"/>
      <x:c r="U48" s="14" t="str"/>
      <x:c r="V48" s="14" t="str"/>
      <x:c r="W48" s="14" t="str">
        <x:v>03564435042</x:v>
      </x:c>
      <x:c r="X48" s="14" t="str">
        <x:v>https://www.google.com/maps/search/?api=1&amp;query=Frigor%C3%ADfico+San+Francisco+S.A.%2C+RN158+s%2Fn%2C+zona+San+Francisco%2C+C%C3%B3rdoba</x:v>
      </x:c>
      <x:c r="Y48" s="14" t="str">
        <x:v>Google Business</x:v>
      </x:c>
      <x:c r="Z48" s="14" t="str">
        <x:v>https://www.google.com/maps/search/?api=1&amp;query=Frigorifico+San+Francisco+SA%2C+RN158%2C+San+Francisco%2C+C%C3%B3rdoba</x:v>
      </x:c>
      <x:c r="AA48" s="14" t="str">
        <x:v>Planta frigorífica regional; validar dirección operativa antes de visita.</x:v>
      </x:c>
      <x:c r="AB48" s="14" t="str">
        <x:v>Media</x:v>
      </x:c>
      <x:c r="AC48" s="14" t="str">
        <x:v>Operativo / verificar antes de visita</x:v>
      </x:c>
      <x:c r="AD48" s="14" t="str">
        <x:v>Rastrillaje San Francisco 2026-09-15</x:v>
      </x:c>
      <x:c r="AE48" s="14" t="str">
        <x:v>Plataforma 20 tn | Hidrogrúa | Percha | Seguro/GPS</x:v>
      </x:c>
      <x:c r="AF48" s="14" t="str">
        <x:v>PRIORIDAD ALTA</x:v>
      </x:c>
    </x:row>
    <x:row r="49">
      <x:c r="A49" s="14" t="str">
        <x:v>SF-048</x:v>
      </x:c>
      <x:c r="B49" s="14" t="str">
        <x:v>Pendiente</x:v>
      </x:c>
      <x:c r="C49" s="14" t="str">
        <x:v>Núcleo</x:v>
      </x:c>
      <x:c r="D49" s="14" t="str">
        <x:v>San Francisco</x:v>
      </x:c>
      <x:c r="E49" s="14" t="str">
        <x:v>Parque Industrial</x:v>
      </x:c>
      <x:c r="F49" s="14" t="str">
        <x:v>A</x:v>
      </x:c>
      <x:c r="G49" s="14" t="n">
        <x:v>78</x:v>
      </x:c>
      <x:c r="H49" s="14" t="str">
        <x:v>Lumetal S.R.L.</x:v>
      </x:c>
      <x:c r="I49" s="14" t="str">
        <x:v>Metalúrgica / mecanizado / piezas</x:v>
      </x:c>
      <x:c r="J49" s="14" t="str">
        <x:v>A verificar</x:v>
      </x:c>
      <x:c r="K49" s="14" t="str">
        <x:v>A verificar</x:v>
      </x:c>
      <x:c r="L49" s="14" t="str">
        <x:v>producción / expedición / mantenimiento</x:v>
      </x:c>
      <x:c r="M49" s="14" t="str">
        <x:v>Despacho de piezas, conjuntos metálicos, componentes pesados o equipos de producción/mantenimiento.</x:v>
      </x:c>
      <x:c r="N49" s="14" t="str">
        <x:v>Plataforma + hidrogrúa + malacate; percha según carga.</x:v>
      </x:c>
      <x:c r="O49" s="14" t="str">
        <x:v>Resolver piezas pesadas o fuera de medida con un único proveedor.</x:v>
      </x:c>
      <x:c r="P49" s="14" t="str">
        <x:v>Pedir producción/expedición/mantenimiento y relevar piezas máximas/destinos.</x:v>
      </x:c>
      <x:c r="Q49" s="14" t="str"/>
      <x:c r="R49" s="14" t="str">
        <x:v>Parque Industrial San Francisco, San Francisco, Córdoba</x:v>
      </x:c>
      <x:c r="S49" s="14" t="str"/>
      <x:c r="T49" s="14" t="str"/>
      <x:c r="U49" s="14" t="str"/>
      <x:c r="V49" s="14" t="str"/>
      <x:c r="W49" s="14" t="str"/>
      <x:c r="X49" s="14" t="str">
        <x:v>https://www.google.com/maps/search/?api=1&amp;query=Lumetal+S.R.L.%2C+Parque+Industrial+San+Francisco%2C+San+Francisco%2C+C%C3%B3rdoba</x:v>
      </x:c>
      <x:c r="Y49" s="14" t="str">
        <x:v>Directorio Parque Industrial</x:v>
      </x:c>
      <x:c r="Z49" s="14" t="str">
        <x:v>https://www.empresas.parqueindustrialsanfrancisco.com/directorio/empresas/metalurgica-fundicion-y-trabajo-del-metal/metalurgica/</x:v>
      </x:c>
      <x:c r="AA49" s="14" t="str">
        <x:v>Empresa listada actualmente en el directorio metalúrgico del Parque Industrial San Francisco.</x:v>
      </x:c>
      <x:c r="AB49" s="14" t="str">
        <x:v>Media</x:v>
      </x:c>
      <x:c r="AC49" s="14" t="str">
        <x:v>Operativo / verificar antes de visita</x:v>
      </x:c>
      <x:c r="AD49" s="14" t="str">
        <x:v>Rastrillaje San Francisco 2026-09-15</x:v>
      </x:c>
      <x:c r="AE49" s="14" t="str">
        <x:v>Plataforma 20 tn | Hidrogrúa | Malacate | Percha</x:v>
      </x:c>
      <x:c r="AF49" s="14" t="str">
        <x:v>PRIORIDAD ALTA</x:v>
      </x:c>
    </x:row>
    <x:row r="50">
      <x:c r="A50" s="14" t="str">
        <x:v>SF-049</x:v>
      </x:c>
      <x:c r="B50" s="14" t="str">
        <x:v>Pendiente</x:v>
      </x:c>
      <x:c r="C50" s="14" t="str">
        <x:v>Núcleo</x:v>
      </x:c>
      <x:c r="D50" s="14" t="str">
        <x:v>San Francisco</x:v>
      </x:c>
      <x:c r="E50" s="14" t="str">
        <x:v>Chubut</x:v>
      </x:c>
      <x:c r="F50" s="14" t="str">
        <x:v>A</x:v>
      </x:c>
      <x:c r="G50" s="14" t="n">
        <x:v>78</x:v>
      </x:c>
      <x:c r="H50" s="14" t="str">
        <x:v>MetalMed</x:v>
      </x:c>
      <x:c r="I50" s="14" t="str">
        <x:v>Fabricante de herramientas / metalmecánica</x:v>
      </x:c>
      <x:c r="J50" s="14" t="str">
        <x:v>03564 425974</x:v>
      </x:c>
      <x:c r="K50" s="14" t="str">
        <x:v>OK</x:v>
      </x:c>
      <x:c r="L50" s="14" t="str">
        <x:v>producción / expedición / logística</x:v>
      </x:c>
      <x:c r="M50" s="14" t="str">
        <x:v>Despacho de piezas, conjuntos metálicos, componentes pesados o equipos de producción/mantenimiento.</x:v>
      </x:c>
      <x:c r="N50" s="14" t="str">
        <x:v>Plataforma + hidrogrúa + malacate; percha según carga.</x:v>
      </x:c>
      <x:c r="O50" s="14" t="str">
        <x:v>Resolver piezas pesadas o fuera de medida con un único proveedor.</x:v>
      </x:c>
      <x:c r="P50" s="14" t="str">
        <x:v>Pedir producción/expedición/mantenimiento y relevar piezas máximas/destinos.</x:v>
      </x:c>
      <x:c r="Q50" s="14" t="str"/>
      <x:c r="R50" s="14" t="str">
        <x:v>Chubut 450, San Francisco, Córdoba</x:v>
      </x:c>
      <x:c r="S50" s="14" t="str"/>
      <x:c r="T50" s="14" t="str"/>
      <x:c r="U50" s="14" t="str"/>
      <x:c r="V50" s="14" t="str"/>
      <x:c r="W50" s="14" t="str">
        <x:v>03564425974</x:v>
      </x:c>
      <x:c r="X50" s="14" t="str">
        <x:v>https://www.google.com/maps/search/?api=1&amp;query=MetalMed%2C+Chubut+450%2C+San+Francisco%2C+C%C3%B3rdoba</x:v>
      </x:c>
      <x:c r="Y50" s="14" t="str">
        <x:v>Google Business</x:v>
      </x:c>
      <x:c r="Z50" s="14" t="str">
        <x:v>https://www.google.com/maps/search/?api=1&amp;query=MetalMed%2C+Chubut+450%2C+San+Francisco%2C+C%C3%B3rdoba</x:v>
      </x:c>
      <x:c r="AA50" s="14" t="str">
        <x:v>Fabricante local de herramientas.</x:v>
      </x:c>
      <x:c r="AB50" s="14" t="str">
        <x:v>Alta</x:v>
      </x:c>
      <x:c r="AC50" s="14" t="str">
        <x:v>Operativo / verificar antes de visita</x:v>
      </x:c>
      <x:c r="AD50" s="14" t="str">
        <x:v>Rastrillaje San Francisco 2026-09-15</x:v>
      </x:c>
      <x:c r="AE50" s="14" t="str">
        <x:v>Plataforma 20 tn | Hidrogrúa | Malacate | Percha</x:v>
      </x:c>
      <x:c r="AF50" s="14" t="str">
        <x:v>PRIORIDAD ALTA</x:v>
      </x:c>
    </x:row>
    <x:row r="51">
      <x:c r="A51" s="14" t="str">
        <x:v>SF-050</x:v>
      </x:c>
      <x:c r="B51" s="14" t="str">
        <x:v>Pendiente</x:v>
      </x:c>
      <x:c r="C51" s="14" t="str">
        <x:v>Núcleo</x:v>
      </x:c>
      <x:c r="D51" s="14" t="str">
        <x:v>San Francisco</x:v>
      </x:c>
      <x:c r="E51" s="14" t="str">
        <x:v>A. Brown</x:v>
      </x:c>
      <x:c r="F51" s="14" t="str">
        <x:v>A</x:v>
      </x:c>
      <x:c r="G51" s="14" t="n">
        <x:v>78</x:v>
      </x:c>
      <x:c r="H51" s="14" t="str">
        <x:v>Metalúrgica Dominini</x:v>
      </x:c>
      <x:c r="I51" s="14" t="str">
        <x:v>Metalúrgica</x:v>
      </x:c>
      <x:c r="J51" s="14" t="str">
        <x:v>03564 427673</x:v>
      </x:c>
      <x:c r="K51" s="14" t="str">
        <x:v>OK</x:v>
      </x:c>
      <x:c r="L51" s="14" t="str">
        <x:v>producción / expedición</x:v>
      </x:c>
      <x:c r="M51" s="14" t="str">
        <x:v>Despacho de piezas, conjuntos metálicos, componentes pesados o equipos de producción/mantenimiento.</x:v>
      </x:c>
      <x:c r="N51" s="14" t="str">
        <x:v>Plataforma + hidrogrúa + malacate; percha según carga.</x:v>
      </x:c>
      <x:c r="O51" s="14" t="str">
        <x:v>Resolver piezas pesadas o fuera de medida con un único proveedor.</x:v>
      </x:c>
      <x:c r="P51" s="14" t="str">
        <x:v>Pedir producción/expedición/mantenimiento y relevar piezas máximas/destinos.</x:v>
      </x:c>
      <x:c r="Q51" s="14" t="str"/>
      <x:c r="R51" s="14" t="str">
        <x:v>A. Brown 114-120, San Francisco, Córdoba</x:v>
      </x:c>
      <x:c r="S51" s="14" t="str"/>
      <x:c r="T51" s="14" t="str"/>
      <x:c r="U51" s="14" t="str"/>
      <x:c r="V51" s="14" t="str"/>
      <x:c r="W51" s="14" t="str">
        <x:v>03564427673</x:v>
      </x:c>
      <x:c r="X51" s="14" t="str">
        <x:v>https://www.google.com/maps/search/?api=1&amp;query=Metal%C3%BArgica+Dominini%2C+A.+Brown+114-120%2C+San+Francisco%2C+C%C3%B3rdoba</x:v>
      </x:c>
      <x:c r="Y51" s="14" t="str">
        <x:v>Google Business</x:v>
      </x:c>
      <x:c r="Z51" s="14" t="str">
        <x:v>https://www.google.com/maps/search/?api=1&amp;query=Metal%C3%BArgica+Dominini%2C+A.+Brown+114%2C+San+Francisco%2C+C%C3%B3rdoba</x:v>
      </x:c>
      <x:c r="AA51" s="14" t="str">
        <x:v>Metalúrgica local con operación comercial vigente.</x:v>
      </x:c>
      <x:c r="AB51" s="14" t="str">
        <x:v>Alta</x:v>
      </x:c>
      <x:c r="AC51" s="14" t="str">
        <x:v>Operativo / verificar antes de visita</x:v>
      </x:c>
      <x:c r="AD51" s="14" t="str">
        <x:v>Rastrillaje San Francisco 2026-09-15</x:v>
      </x:c>
      <x:c r="AE51" s="14" t="str">
        <x:v>Plataforma 20 tn | Hidrogrúa | Malacate | Percha</x:v>
      </x:c>
      <x:c r="AF51" s="14" t="str">
        <x:v>PRIORIDAD ALTA</x:v>
      </x:c>
    </x:row>
    <x:row r="52">
      <x:c r="A52" s="14" t="str">
        <x:v>SF-051</x:v>
      </x:c>
      <x:c r="B52" s="14" t="str">
        <x:v>Pendiente</x:v>
      </x:c>
      <x:c r="C52" s="14" t="str">
        <x:v>Núcleo</x:v>
      </x:c>
      <x:c r="D52" s="14" t="str">
        <x:v>San Francisco</x:v>
      </x:c>
      <x:c r="E52" s="14" t="str">
        <x:v>Parque Industrial</x:v>
      </x:c>
      <x:c r="F52" s="14" t="str">
        <x:v>A</x:v>
      </x:c>
      <x:c r="G52" s="14" t="n">
        <x:v>78</x:v>
      </x:c>
      <x:c r="H52" s="14" t="str">
        <x:v>Metalúrgica Fema S.R.L.</x:v>
      </x:c>
      <x:c r="I52" s="14" t="str">
        <x:v>Metalúrgica / mecanizado / piezas</x:v>
      </x:c>
      <x:c r="J52" s="14" t="str">
        <x:v>A verificar</x:v>
      </x:c>
      <x:c r="K52" s="14" t="str">
        <x:v>A verificar</x:v>
      </x:c>
      <x:c r="L52" s="14" t="str">
        <x:v>producción / expedición / mantenimiento</x:v>
      </x:c>
      <x:c r="M52" s="14" t="str">
        <x:v>Despacho de piezas, conjuntos metálicos, componentes pesados o equipos de producción/mantenimiento.</x:v>
      </x:c>
      <x:c r="N52" s="14" t="str">
        <x:v>Plataforma + hidrogrúa + malacate; percha según carga.</x:v>
      </x:c>
      <x:c r="O52" s="14" t="str">
        <x:v>Resolver piezas pesadas o fuera de medida con un único proveedor.</x:v>
      </x:c>
      <x:c r="P52" s="14" t="str">
        <x:v>Pedir producción/expedición/mantenimiento y relevar piezas máximas/destinos.</x:v>
      </x:c>
      <x:c r="Q52" s="14" t="str"/>
      <x:c r="R52" s="14" t="str">
        <x:v>Parque Industrial San Francisco, San Francisco, Córdoba</x:v>
      </x:c>
      <x:c r="S52" s="14" t="str"/>
      <x:c r="T52" s="14" t="str"/>
      <x:c r="U52" s="14" t="str"/>
      <x:c r="V52" s="14" t="str"/>
      <x:c r="W52" s="14" t="str"/>
      <x:c r="X52" s="14" t="str">
        <x:v>https://www.google.com/maps/search/?api=1&amp;query=Metal%C3%BArgica+Fema+S.R.L.%2C+Parque+Industrial+San+Francisco%2C+San+Francisco%2C+C%C3%B3rdoba</x:v>
      </x:c>
      <x:c r="Y52" s="14" t="str">
        <x:v>Directorio Parque Industrial</x:v>
      </x:c>
      <x:c r="Z52" s="14" t="str">
        <x:v>https://www.empresas.parqueindustrialsanfrancisco.com/directorio/empresas/metalurgica-fundicion-y-trabajo-del-metal/metalurgica/</x:v>
      </x:c>
      <x:c r="AA52" s="14" t="str">
        <x:v>Empresa listada actualmente en el directorio metalúrgico del Parque Industrial San Francisco.</x:v>
      </x:c>
      <x:c r="AB52" s="14" t="str">
        <x:v>Media</x:v>
      </x:c>
      <x:c r="AC52" s="14" t="str">
        <x:v>Operativo / verificar antes de visita</x:v>
      </x:c>
      <x:c r="AD52" s="14" t="str">
        <x:v>Rastrillaje San Francisco 2026-09-15</x:v>
      </x:c>
      <x:c r="AE52" s="14" t="str">
        <x:v>Plataforma 20 tn | Hidrogrúa | Malacate | Percha</x:v>
      </x:c>
      <x:c r="AF52" s="14" t="str">
        <x:v>PRIORIDAD ALTA</x:v>
      </x:c>
    </x:row>
    <x:row r="53">
      <x:c r="A53" s="14" t="str">
        <x:v>SF-052</x:v>
      </x:c>
      <x:c r="B53" s="14" t="str">
        <x:v>Pendiente</x:v>
      </x:c>
      <x:c r="C53" s="14" t="str">
        <x:v>Núcleo</x:v>
      </x:c>
      <x:c r="D53" s="14" t="str">
        <x:v>San Francisco</x:v>
      </x:c>
      <x:c r="E53" s="14" t="str">
        <x:v>Parque Industrial</x:v>
      </x:c>
      <x:c r="F53" s="14" t="str">
        <x:v>A</x:v>
      </x:c>
      <x:c r="G53" s="14" t="n">
        <x:v>78</x:v>
      </x:c>
      <x:c r="H53" s="14" t="str">
        <x:v>Pecile Equipamientos</x:v>
      </x:c>
      <x:c r="I53" s="14" t="str">
        <x:v>Autopartes / automotor</x:v>
      </x:c>
      <x:c r="J53" s="14" t="str">
        <x:v>A verificar</x:v>
      </x:c>
      <x:c r="K53" s="14" t="str">
        <x:v>A verificar</x:v>
      </x:c>
      <x:c r="L53" s="14" t="str">
        <x:v>producción / logística / expedición</x:v>
      </x:c>
      <x:c r="M53" s="14" t="str">
        <x:v>Despacho de piezas, conjuntos metálicos, componentes pesados o equipos de producción/mantenimiento.</x:v>
      </x:c>
      <x:c r="N53" s="14" t="str">
        <x:v>Plataforma + hidrogrúa + malacate; percha según carga.</x:v>
      </x:c>
      <x:c r="O53" s="14" t="str">
        <x:v>Resolver piezas pesadas o fuera de medida con un único proveedor.</x:v>
      </x:c>
      <x:c r="P53" s="14" t="str">
        <x:v>Pedir producción/expedición/mantenimiento y relevar piezas máximas/destinos.</x:v>
      </x:c>
      <x:c r="Q53" s="14" t="str"/>
      <x:c r="R53" s="14" t="str">
        <x:v>Parque Industrial San Francisco, San Francisco, Córdoba</x:v>
      </x:c>
      <x:c r="S53" s="14" t="str"/>
      <x:c r="T53" s="14" t="str"/>
      <x:c r="U53" s="14" t="str"/>
      <x:c r="V53" s="14" t="str"/>
      <x:c r="W53" s="14" t="str"/>
      <x:c r="X53" s="14" t="str">
        <x:v>https://www.google.com/maps/search/?api=1&amp;query=Pecile+Equipamientos%2C+Parque+Industrial+San+Francisco%2C+San+Francisco%2C+C%C3%B3rdoba</x:v>
      </x:c>
      <x:c r="Y53" s="14" t="str">
        <x:v>Directorio Parque Industrial</x:v>
      </x:c>
      <x:c r="Z53" s="14" t="str">
        <x:v>https://empresas.parqueindustrialsanfrancisco.com/directorio/empresas/automotor/autopartes/</x:v>
      </x:c>
      <x:c r="AA53" s="14" t="str">
        <x:v>Empresa listada en la categoría Autopartes del Parque Industrial.</x:v>
      </x:c>
      <x:c r="AB53" s="14" t="str">
        <x:v>Media</x:v>
      </x:c>
      <x:c r="AC53" s="14" t="str">
        <x:v>Operativo / verificar antes de visita</x:v>
      </x:c>
      <x:c r="AD53" s="14" t="str">
        <x:v>Rastrillaje San Francisco 2026-09-15</x:v>
      </x:c>
      <x:c r="AE53" s="14" t="str">
        <x:v>Plataforma 20 tn | Hidrogrúa | Malacate | Percha</x:v>
      </x:c>
      <x:c r="AF53" s="14" t="str">
        <x:v>PRIORIDAD ALTA</x:v>
      </x:c>
    </x:row>
    <x:row r="54">
      <x:c r="A54" s="14" t="str">
        <x:v>SF-053</x:v>
      </x:c>
      <x:c r="B54" s="14" t="str">
        <x:v>Pendiente</x:v>
      </x:c>
      <x:c r="C54" s="14" t="str">
        <x:v>Núcleo</x:v>
      </x:c>
      <x:c r="D54" s="14" t="str">
        <x:v>San Francisco</x:v>
      </x:c>
      <x:c r="E54" s="14" t="str">
        <x:v>Int. Cartier</x:v>
      </x:c>
      <x:c r="F54" s="14" t="str">
        <x:v>A</x:v>
      </x:c>
      <x:c r="G54" s="14" t="n">
        <x:v>78</x:v>
      </x:c>
      <x:c r="H54" s="14" t="str">
        <x:v>Transporte Scarello</x:v>
      </x:c>
      <x:c r="I54" s="14" t="str">
        <x:v>Transporte por camión</x:v>
      </x:c>
      <x:c r="J54" s="14" t="str">
        <x:v>03564 663463</x:v>
      </x:c>
      <x:c r="K54" s="14" t="str">
        <x:v>OK</x:v>
      </x:c>
      <x:c r="L54" s="14" t="str">
        <x:v>tráfico / operaciones</x:v>
      </x:c>
      <x:c r="M54" s="14" t="str">
        <x:v>Overflow y derivación de cargas/equipos que requieren plataforma, malacate o hidrogrúa.</x:v>
      </x:c>
      <x:c r="N54" s="14" t="str">
        <x:v>Capacidad complementaria: plataforma 20 tn + hidrogrúa + malacate.</x:v>
      </x:c>
      <x:c r="O54" s="14" t="str">
        <x:v>Ser socio de respaldo para cargas especiales que excedan la flota habitual.</x:v>
      </x:c>
      <x:c r="P54" s="14" t="str">
        <x:v>Pedir tráfico/operaciones y ofrecer acuerdo de derivaciones.</x:v>
      </x:c>
      <x:c r="Q54" s="14" t="str"/>
      <x:c r="R54" s="14" t="str">
        <x:v>Int. Cartier 278, San Francisco, Córdoba</x:v>
      </x:c>
      <x:c r="S54" s="14" t="str"/>
      <x:c r="T54" s="14" t="str"/>
      <x:c r="U54" s="14" t="str"/>
      <x:c r="V54" s="14" t="str"/>
      <x:c r="W54" s="14" t="str">
        <x:v>03564663463</x:v>
      </x:c>
      <x:c r="X54" s="14" t="str">
        <x:v>https://www.google.com/maps/search/?api=1&amp;query=Transporte+Scarello%2C+Int.+Cartier+278%2C+San+Francisco%2C+C%C3%B3rdoba</x:v>
      </x:c>
      <x:c r="Y54" s="14" t="str">
        <x:v>Google Business</x:v>
      </x:c>
      <x:c r="Z54" s="14" t="str">
        <x:v>https://www.google.com/maps/search/?api=1&amp;query=Transporte+Scarello%2C+Int.+Cartier+278%2C+San+Francisco%2C+C%C3%B3rdoba</x:v>
      </x:c>
      <x:c r="AA54" s="14" t="str">
        <x:v>Empresa local de transporte por camión.</x:v>
      </x:c>
      <x:c r="AB54" s="14" t="str">
        <x:v>Alta</x:v>
      </x:c>
      <x:c r="AC54" s="14" t="str">
        <x:v>Operativo / verificar antes de visita</x:v>
      </x:c>
      <x:c r="AD54" s="14" t="str">
        <x:v>Rastrillaje San Francisco 2026-09-15</x:v>
      </x:c>
      <x:c r="AE54" s="14" t="str">
        <x:v>Plataforma 20 tn | Hidrogrúa | Malacate | Subcontratación</x:v>
      </x:c>
      <x:c r="AF54" s="14" t="str">
        <x:v>PRIORIDAD ALTA</x:v>
      </x:c>
    </x:row>
    <x:row r="55">
      <x:c r="A55" s="14" t="str">
        <x:v>SF-054</x:v>
      </x:c>
      <x:c r="B55" s="14" t="str">
        <x:v>Pendiente</x:v>
      </x:c>
      <x:c r="C55" s="14" t="str">
        <x:v>Núcleo</x:v>
      </x:c>
      <x:c r="D55" s="14" t="str">
        <x:v>San Francisco</x:v>
      </x:c>
      <x:c r="E55" s="14" t="str">
        <x:v>Pampiglione</x:v>
      </x:c>
      <x:c r="F55" s="14" t="str">
        <x:v>A</x:v>
      </x:c>
      <x:c r="G55" s="14" t="n">
        <x:v>78</x:v>
      </x:c>
      <x:c r="H55" s="14" t="str">
        <x:v>TUNI Metalúrgicas</x:v>
      </x:c>
      <x:c r="I55" s="14" t="str">
        <x:v>Metalmecánica / chapistería</x:v>
      </x:c>
      <x:c r="J55" s="14" t="str">
        <x:v>03564 433996</x:v>
      </x:c>
      <x:c r="K55" s="14" t="str">
        <x:v>OK</x:v>
      </x:c>
      <x:c r="L55" s="14" t="str">
        <x:v>producción / expedición / logística</x:v>
      </x:c>
      <x:c r="M55" s="14" t="str">
        <x:v>Movimientos de equipos o cargas especiales asociados a su operación.</x:v>
      </x:c>
      <x:c r="N55" s="14" t="str">
        <x:v>Plataforma 20 tn + hidrogrúa + malacate según necesidad.</x:v>
      </x:c>
      <x:c r="O55" s="14" t="str">
        <x:v>Capacidad externa para movimientos pesados o especiales.</x:v>
      </x:c>
      <x:c r="P55" s="14" t="str">
        <x:v>Contactar operaciones/logística y relevar necesidad real.</x:v>
      </x:c>
      <x:c r="Q55" s="14" t="str"/>
      <x:c r="R55" s="14" t="str">
        <x:v>Santiago Pampiglione 4224, San Francisco, Córdoba</x:v>
      </x:c>
      <x:c r="S55" s="14" t="str"/>
      <x:c r="T55" s="14" t="str"/>
      <x:c r="U55" s="14" t="str"/>
      <x:c r="V55" s="14" t="str"/>
      <x:c r="W55" s="14" t="str">
        <x:v>03564433996</x:v>
      </x:c>
      <x:c r="X55" s="14" t="str">
        <x:v>https://www.google.com/maps/search/?api=1&amp;query=TUNI+Metal%C3%BArgicas%2C+Santiago+Pampiglione+4224%2C+San+Francisco%2C+C%C3%B3rdoba</x:v>
      </x:c>
      <x:c r="Y55" s="14" t="str">
        <x:v>Google Business</x:v>
      </x:c>
      <x:c r="Z55" s="14" t="str">
        <x:v>https://www.google.com/maps/search/?api=1&amp;query=TUNI+METALURGICAS%2C+Santiago+Pampiglione+4224%2C+San+Francisco%2C+C%C3%B3rdoba</x:v>
      </x:c>
      <x:c r="AA55" s="14" t="str">
        <x:v>Taller metalmecánico en corredor industrial.</x:v>
      </x:c>
      <x:c r="AB55" s="14" t="str">
        <x:v>Alta</x:v>
      </x:c>
      <x:c r="AC55" s="14" t="str">
        <x:v>Operativo / verificar antes de visita</x:v>
      </x:c>
      <x:c r="AD55" s="14" t="str">
        <x:v>Rastrillaje San Francisco 2026-09-15</x:v>
      </x:c>
      <x:c r="AE55" s="14" t="str">
        <x:v>Plataforma 20 tn | Hidrogrúa | Malacate</x:v>
      </x:c>
      <x:c r="AF55" s="14" t="str">
        <x:v>PRIORIDAD ALTA</x:v>
      </x:c>
    </x:row>
    <x:row r="56">
      <x:c r="A56" s="14" t="str">
        <x:v>SF-055</x:v>
      </x:c>
      <x:c r="B56" s="14" t="str">
        <x:v>Pendiente</x:v>
      </x:c>
      <x:c r="C56" s="14" t="str">
        <x:v>Núcleo</x:v>
      </x:c>
      <x:c r="D56" s="14" t="str">
        <x:v>San Francisco</x:v>
      </x:c>
      <x:c r="E56" s="14" t="str">
        <x:v>Rivadavia</x:v>
      </x:c>
      <x:c r="F56" s="14" t="str">
        <x:v>A</x:v>
      </x:c>
      <x:c r="G56" s="14" t="n">
        <x:v>76</x:v>
      </x:c>
      <x:c r="H56" s="14" t="str">
        <x:v>Auxilio Grúa San Francisco</x:v>
      </x:c>
      <x:c r="I56" s="14" t="str">
        <x:v>Grúa / auxilio</x:v>
      </x:c>
      <x:c r="J56" s="14" t="str">
        <x:v>03564 583073</x:v>
      </x:c>
      <x:c r="K56" s="14" t="str">
        <x:v>OK</x:v>
      </x:c>
      <x:c r="L56" s="14" t="str">
        <x:v>operaciones / grúas</x:v>
      </x:c>
      <x:c r="M56" s="14" t="str">
        <x:v>Entrega/retiro de equipos y apoyo en maniobras o contingencias.</x:v>
      </x:c>
      <x:c r="N56" s="14" t="str">
        <x:v>Plataforma + malacate + hidrogrúa.</x:v>
      </x:c>
      <x:c r="O56" s="14" t="str">
        <x:v>Complementar alquiler/service o derivaciones de maniobras especiales.</x:v>
      </x:c>
      <x:c r="P56" s="14" t="str">
        <x:v>Pedir operaciones/alquileres; relevar flota y frecuencia.</x:v>
      </x:c>
      <x:c r="Q56" s="14" t="str"/>
      <x:c r="R56" s="14" t="str">
        <x:v>Rivadavia 791, San Francisco, Córdoba</x:v>
      </x:c>
      <x:c r="S56" s="14" t="str"/>
      <x:c r="T56" s="14" t="str"/>
      <x:c r="U56" s="14" t="str"/>
      <x:c r="V56" s="14" t="str"/>
      <x:c r="W56" s="14" t="str">
        <x:v>03564583073</x:v>
      </x:c>
      <x:c r="X56" s="14" t="str">
        <x:v>https://www.google.com/maps/search/?api=1&amp;query=Auxilio+Gr%C3%BAa+San+Francisco%2C+Rivadavia+791%2C+San+Francisco%2C+C%C3%B3rdoba</x:v>
      </x:c>
      <x:c r="Y56" s="14" t="str">
        <x:v>Google Business</x:v>
      </x:c>
      <x:c r="Z56" s="14" t="str">
        <x:v>https://www.google.com/maps/search/?api=1&amp;query=Auxilio+Grua+San+Francisco%2C+Rivadavia+791%2C+San+Francisco%2C+C%C3%B3rdoba</x:v>
      </x:c>
      <x:c r="AA56" s="14" t="str">
        <x:v>Servicio de grúa 24 horas; posible alianza/derivaciones.</x:v>
      </x:c>
      <x:c r="AB56" s="14" t="str">
        <x:v>Alta</x:v>
      </x:c>
      <x:c r="AC56" s="14" t="str">
        <x:v>Operativo / verificar antes de visita</x:v>
      </x:c>
      <x:c r="AD56" s="14" t="str">
        <x:v>Rastrillaje San Francisco 2026-09-15</x:v>
      </x:c>
      <x:c r="AE56" s="14" t="str">
        <x:v>Plataforma 20 tn | Malacate | Hidrogrúa | Entrega/retiro</x:v>
      </x:c>
      <x:c r="AF56" s="14" t="str">
        <x:v>PRIORIDAD ALTA</x:v>
      </x:c>
    </x:row>
    <x:row r="57">
      <x:c r="A57" s="14" t="str">
        <x:v>SF-056</x:v>
      </x:c>
      <x:c r="B57" s="14" t="str">
        <x:v>Pendiente</x:v>
      </x:c>
      <x:c r="C57" s="14" t="str">
        <x:v>Núcleo</x:v>
      </x:c>
      <x:c r="D57" s="14" t="str">
        <x:v>San Francisco</x:v>
      </x:c>
      <x:c r="E57" s="14" t="str">
        <x:v>Parque Industrial</x:v>
      </x:c>
      <x:c r="F57" s="14" t="str">
        <x:v>A</x:v>
      </x:c>
      <x:c r="G57" s="14" t="n">
        <x:v>76</x:v>
      </x:c>
      <x:c r="H57" s="14" t="str">
        <x:v>EMEVG S.A.</x:v>
      </x:c>
      <x:c r="I57" s="14" t="str">
        <x:v>Autopartes / automotor</x:v>
      </x:c>
      <x:c r="J57" s="14" t="str">
        <x:v>A verificar</x:v>
      </x:c>
      <x:c r="K57" s="14" t="str">
        <x:v>A verificar</x:v>
      </x:c>
      <x:c r="L57" s="14" t="str">
        <x:v>producción / logística / expedición</x:v>
      </x:c>
      <x:c r="M57" s="14" t="str">
        <x:v>Despacho de piezas, conjuntos metálicos, componentes pesados o equipos de producción/mantenimiento.</x:v>
      </x:c>
      <x:c r="N57" s="14" t="str">
        <x:v>Plataforma + hidrogrúa + malacate; percha según carga.</x:v>
      </x:c>
      <x:c r="O57" s="14" t="str">
        <x:v>Resolver piezas pesadas o fuera de medida con un único proveedor.</x:v>
      </x:c>
      <x:c r="P57" s="14" t="str">
        <x:v>Pedir producción/expedición/mantenimiento y relevar piezas máximas/destinos.</x:v>
      </x:c>
      <x:c r="Q57" s="14" t="str"/>
      <x:c r="R57" s="14" t="str">
        <x:v>Parque Industrial San Francisco, San Francisco, Córdoba</x:v>
      </x:c>
      <x:c r="S57" s="14" t="str"/>
      <x:c r="T57" s="14" t="str"/>
      <x:c r="U57" s="14" t="str"/>
      <x:c r="V57" s="14" t="str"/>
      <x:c r="W57" s="14" t="str"/>
      <x:c r="X57" s="14" t="str">
        <x:v>https://www.google.com/maps/search/?api=1&amp;query=EMEVG+S.A.%2C+Parque+Industrial+San+Francisco%2C+San+Francisco%2C+C%C3%B3rdoba</x:v>
      </x:c>
      <x:c r="Y57" s="14" t="str">
        <x:v>Directorio Parque Industrial</x:v>
      </x:c>
      <x:c r="Z57" s="14" t="str">
        <x:v>https://empresas.parqueindustrialsanfrancisco.com/directorio/empresas/automotor/autopartes/</x:v>
      </x:c>
      <x:c r="AA57" s="14" t="str">
        <x:v>Empresa listada en la categoría Autopartes del Parque Industrial.</x:v>
      </x:c>
      <x:c r="AB57" s="14" t="str">
        <x:v>Media</x:v>
      </x:c>
      <x:c r="AC57" s="14" t="str">
        <x:v>Operativo / verificar antes de visita</x:v>
      </x:c>
      <x:c r="AD57" s="14" t="str">
        <x:v>Rastrillaje San Francisco 2026-09-15</x:v>
      </x:c>
      <x:c r="AE57" s="14" t="str">
        <x:v>Plataforma 20 tn | Hidrogrúa | Malacate | Percha</x:v>
      </x:c>
      <x:c r="AF57" s="14" t="str">
        <x:v>PRIORIDAD ALTA</x:v>
      </x:c>
    </x:row>
    <x:row r="58">
      <x:c r="A58" s="14" t="str">
        <x:v>SF-057</x:v>
      </x:c>
      <x:c r="B58" s="14" t="str">
        <x:v>Pendiente</x:v>
      </x:c>
      <x:c r="C58" s="14" t="str">
        <x:v>Núcleo</x:v>
      </x:c>
      <x:c r="D58" s="14" t="str">
        <x:v>San Francisco</x:v>
      </x:c>
      <x:c r="E58" s="14" t="str">
        <x:v>Antártida Argentina</x:v>
      </x:c>
      <x:c r="F58" s="14" t="str">
        <x:v>A</x:v>
      </x:c>
      <x:c r="G58" s="14" t="n">
        <x:v>76</x:v>
      </x:c>
      <x:c r="H58" s="14" t="str">
        <x:v>Gattino Repuestos</x:v>
      </x:c>
      <x:c r="I58" s="14" t="str">
        <x:v>Repuestos / tractores</x:v>
      </x:c>
      <x:c r="J58" s="14" t="str">
        <x:v>03564 334866</x:v>
      </x:c>
      <x:c r="K58" s="14" t="str">
        <x:v>OK</x:v>
      </x:c>
      <x:c r="L58" s="14" t="str">
        <x:v>ventas / service / logística</x:v>
      </x:c>
      <x:c r="M58" s="14" t="str">
        <x:v>Entrega/retiro de maquinaria, usados, equipos de service y despachos de fábrica.</x:v>
      </x:c>
      <x:c r="N58" s="14" t="str">
        <x:v>Plataforma 20 tn + malacate + hidrogrúa de apoyo + seguro/GPS.</x:v>
      </x:c>
      <x:c r="O58" s="14" t="str">
        <x:v>Captar entregas, canjes, usados y rescates de service sin inmovilizar transporte propio.</x:v>
      </x:c>
      <x:c r="P58" s="14" t="str">
        <x:v>Pedir logística/expedición/posventa; relevar equipos, pesos y movimientos mensuales.</x:v>
      </x:c>
      <x:c r="Q58" s="14" t="str"/>
      <x:c r="R58" s="14" t="str">
        <x:v>Antártida Argentina 2541, San Francisco, Córdoba</x:v>
      </x:c>
      <x:c r="S58" s="14" t="str"/>
      <x:c r="T58" s="14" t="str"/>
      <x:c r="U58" s="14" t="str"/>
      <x:c r="V58" s="14" t="str"/>
      <x:c r="W58" s="14" t="str">
        <x:v>03564334866</x:v>
      </x:c>
      <x:c r="X58" s="14" t="str">
        <x:v>https://www.google.com/maps/search/?api=1&amp;query=Gattino+Repuestos%2C+Ant%C3%A1rtida+Argentina+2541%2C+San+Francisco%2C+C%C3%B3rdoba</x:v>
      </x:c>
      <x:c r="Y58" s="14" t="str">
        <x:v>Google Business</x:v>
      </x:c>
      <x:c r="Z58" s="14" t="str">
        <x:v>https://www.google.com/maps/search/?api=1&amp;query=Gattino+Repuestos%2C+Ant%C3%A1rtida+Argentina+2541%2C+San+Francisco%2C+C%C3%B3rdoba</x:v>
      </x:c>
      <x:c r="AA58" s="14" t="str">
        <x:v>Comercio vinculado a tractores y repuestos.</x:v>
      </x:c>
      <x:c r="AB58" s="14" t="str">
        <x:v>Alta</x:v>
      </x:c>
      <x:c r="AC58" s="14" t="str">
        <x:v>Operativo / verificar antes de visita</x:v>
      </x:c>
      <x:c r="AD58" s="14" t="str">
        <x:v>Rastrillaje San Francisco 2026-09-15</x:v>
      </x:c>
      <x:c r="AE58" s="14" t="str">
        <x:v>Plataforma 20 tn | Malacate | Hidrogrúa | Entrega/retiro maquinaria | Seguro/GPS</x:v>
      </x:c>
      <x:c r="AF58" s="14" t="str">
        <x:v>PRIORIDAD ALTA</x:v>
      </x:c>
    </x:row>
    <x:row r="59">
      <x:c r="A59" s="14" t="str">
        <x:v>SF-058</x:v>
      </x:c>
      <x:c r="B59" s="14" t="str">
        <x:v>Pendiente</x:v>
      </x:c>
      <x:c r="C59" s="14" t="str">
        <x:v>Núcleo</x:v>
      </x:c>
      <x:c r="D59" s="14" t="str">
        <x:v>San Francisco</x:v>
      </x:c>
      <x:c r="E59" s="14" t="str">
        <x:v>Parque Industrial</x:v>
      </x:c>
      <x:c r="F59" s="14" t="str">
        <x:v>A</x:v>
      </x:c>
      <x:c r="G59" s="14" t="n">
        <x:v>76</x:v>
      </x:c>
      <x:c r="H59" s="14" t="str">
        <x:v>Mapao / Metalúrgica Perotti</x:v>
      </x:c>
      <x:c r="I59" s="14" t="str">
        <x:v>Metalúrgica / mecanizado / piezas</x:v>
      </x:c>
      <x:c r="J59" s="14" t="str">
        <x:v>A verificar</x:v>
      </x:c>
      <x:c r="K59" s="14" t="str">
        <x:v>A verificar</x:v>
      </x:c>
      <x:c r="L59" s="14" t="str">
        <x:v>producción / expedición / mantenimiento</x:v>
      </x:c>
      <x:c r="M59" s="14" t="str">
        <x:v>Despacho de piezas, conjuntos metálicos, componentes pesados o equipos de producción/mantenimiento.</x:v>
      </x:c>
      <x:c r="N59" s="14" t="str">
        <x:v>Plataforma + hidrogrúa + malacate; percha según carga.</x:v>
      </x:c>
      <x:c r="O59" s="14" t="str">
        <x:v>Resolver piezas pesadas o fuera de medida con un único proveedor.</x:v>
      </x:c>
      <x:c r="P59" s="14" t="str">
        <x:v>Pedir producción/expedición/mantenimiento y relevar piezas máximas/destinos.</x:v>
      </x:c>
      <x:c r="Q59" s="14" t="str"/>
      <x:c r="R59" s="14" t="str">
        <x:v>Parque Industrial San Francisco, San Francisco, Córdoba</x:v>
      </x:c>
      <x:c r="S59" s="14" t="str"/>
      <x:c r="T59" s="14" t="str"/>
      <x:c r="U59" s="14" t="str"/>
      <x:c r="V59" s="14" t="str"/>
      <x:c r="W59" s="14" t="str"/>
      <x:c r="X59" s="14" t="str">
        <x:v>https://www.google.com/maps/search/?api=1&amp;query=Mapao+%2F+Metal%C3%BArgica+Perotti%2C+Parque+Industrial+San+Francisco%2C+San+Francisco%2C+C%C3%B3rdoba</x:v>
      </x:c>
      <x:c r="Y59" s="14" t="str">
        <x:v>Directorio Parque Industrial</x:v>
      </x:c>
      <x:c r="Z59" s="14" t="str">
        <x:v>https://www.empresas.parqueindustrialsanfrancisco.com/directorio/empresas/metalurgica-fundicion-y-trabajo-del-metal/metalurgica/</x:v>
      </x:c>
      <x:c r="AA59" s="14" t="str">
        <x:v>Empresa listada actualmente en el directorio metalúrgico del Parque Industrial San Francisco.</x:v>
      </x:c>
      <x:c r="AB59" s="14" t="str">
        <x:v>Media</x:v>
      </x:c>
      <x:c r="AC59" s="14" t="str">
        <x:v>Operativo / verificar antes de visita</x:v>
      </x:c>
      <x:c r="AD59" s="14" t="str">
        <x:v>Rastrillaje San Francisco 2026-09-15</x:v>
      </x:c>
      <x:c r="AE59" s="14" t="str">
        <x:v>Plataforma 20 tn | Hidrogrúa | Malacate | Percha</x:v>
      </x:c>
      <x:c r="AF59" s="14" t="str">
        <x:v>PRIORIDAD ALTA</x:v>
      </x:c>
    </x:row>
    <x:row r="60">
      <x:c r="A60" s="14" t="str">
        <x:v>SF-059</x:v>
      </x:c>
      <x:c r="B60" s="14" t="str">
        <x:v>Pendiente</x:v>
      </x:c>
      <x:c r="C60" s="14" t="str">
        <x:v>Núcleo</x:v>
      </x:c>
      <x:c r="D60" s="14" t="str">
        <x:v>San Francisco</x:v>
      </x:c>
      <x:c r="E60" s="14" t="str">
        <x:v>Parque Industrial</x:v>
      </x:c>
      <x:c r="F60" s="14" t="str">
        <x:v>A</x:v>
      </x:c>
      <x:c r="G60" s="14" t="n">
        <x:v>76</x:v>
      </x:c>
      <x:c r="H60" s="14" t="str">
        <x:v>Metal Zinc S.A.S.</x:v>
      </x:c>
      <x:c r="I60" s="14" t="str">
        <x:v>Metalúrgica / mecanizado / piezas</x:v>
      </x:c>
      <x:c r="J60" s="14" t="str">
        <x:v>A verificar</x:v>
      </x:c>
      <x:c r="K60" s="14" t="str">
        <x:v>A verificar</x:v>
      </x:c>
      <x:c r="L60" s="14" t="str">
        <x:v>producción / expedición / mantenimiento</x:v>
      </x:c>
      <x:c r="M60" s="14" t="str">
        <x:v>Despacho de piezas, conjuntos metálicos, componentes pesados o equipos de producción/mantenimiento.</x:v>
      </x:c>
      <x:c r="N60" s="14" t="str">
        <x:v>Plataforma + hidrogrúa + malacate; percha según carga.</x:v>
      </x:c>
      <x:c r="O60" s="14" t="str">
        <x:v>Resolver piezas pesadas o fuera de medida con un único proveedor.</x:v>
      </x:c>
      <x:c r="P60" s="14" t="str">
        <x:v>Pedir producción/expedición/mantenimiento y relevar piezas máximas/destinos.</x:v>
      </x:c>
      <x:c r="Q60" s="14" t="str"/>
      <x:c r="R60" s="14" t="str">
        <x:v>Parque Industrial San Francisco, San Francisco, Córdoba</x:v>
      </x:c>
      <x:c r="S60" s="14" t="str"/>
      <x:c r="T60" s="14" t="str"/>
      <x:c r="U60" s="14" t="str"/>
      <x:c r="V60" s="14" t="str"/>
      <x:c r="W60" s="14" t="str"/>
      <x:c r="X60" s="14" t="str">
        <x:v>https://www.google.com/maps/search/?api=1&amp;query=Metal+Zinc+S.A.S.%2C+Parque+Industrial+San+Francisco%2C+San+Francisco%2C+C%C3%B3rdoba</x:v>
      </x:c>
      <x:c r="Y60" s="14" t="str">
        <x:v>Directorio Parque Industrial</x:v>
      </x:c>
      <x:c r="Z60" s="14" t="str">
        <x:v>https://www.empresas.parqueindustrialsanfrancisco.com/directorio/empresas/metalurgica-fundicion-y-trabajo-del-metal/metalurgica/</x:v>
      </x:c>
      <x:c r="AA60" s="14" t="str">
        <x:v>Empresa listada actualmente en el directorio metalúrgico del Parque Industrial San Francisco.</x:v>
      </x:c>
      <x:c r="AB60" s="14" t="str">
        <x:v>Media</x:v>
      </x:c>
      <x:c r="AC60" s="14" t="str">
        <x:v>Operativo / verificar antes de visita</x:v>
      </x:c>
      <x:c r="AD60" s="14" t="str">
        <x:v>Rastrillaje San Francisco 2026-09-15</x:v>
      </x:c>
      <x:c r="AE60" s="14" t="str">
        <x:v>Plataforma 20 tn | Hidrogrúa | Malacate | Percha</x:v>
      </x:c>
      <x:c r="AF60" s="14" t="str">
        <x:v>PRIORIDAD ALTA</x:v>
      </x:c>
    </x:row>
    <x:row r="61">
      <x:c r="A61" s="14" t="str">
        <x:v>SF-060</x:v>
      </x:c>
      <x:c r="B61" s="14" t="str">
        <x:v>Pendiente</x:v>
      </x:c>
      <x:c r="C61" s="14" t="str">
        <x:v>Núcleo</x:v>
      </x:c>
      <x:c r="D61" s="14" t="str">
        <x:v>San Francisco</x:v>
      </x:c>
      <x:c r="E61" s="14" t="str">
        <x:v>Parque Industrial</x:v>
      </x:c>
      <x:c r="F61" s="14" t="str">
        <x:v>A</x:v>
      </x:c>
      <x:c r="G61" s="14" t="n">
        <x:v>76</x:v>
      </x:c>
      <x:c r="H61" s="14" t="str">
        <x:v>Pessot S.R.L.</x:v>
      </x:c>
      <x:c r="I61" s="14" t="str">
        <x:v>Metalúrgica / mecanizado / piezas</x:v>
      </x:c>
      <x:c r="J61" s="14" t="str">
        <x:v>A verificar</x:v>
      </x:c>
      <x:c r="K61" s="14" t="str">
        <x:v>A verificar</x:v>
      </x:c>
      <x:c r="L61" s="14" t="str">
        <x:v>producción / expedición / mantenimiento</x:v>
      </x:c>
      <x:c r="M61" s="14" t="str">
        <x:v>Despacho de piezas, conjuntos metálicos, componentes pesados o equipos de producción/mantenimiento.</x:v>
      </x:c>
      <x:c r="N61" s="14" t="str">
        <x:v>Plataforma + hidrogrúa + malacate; percha según carga.</x:v>
      </x:c>
      <x:c r="O61" s="14" t="str">
        <x:v>Resolver piezas pesadas o fuera de medida con un único proveedor.</x:v>
      </x:c>
      <x:c r="P61" s="14" t="str">
        <x:v>Pedir producción/expedición/mantenimiento y relevar piezas máximas/destinos.</x:v>
      </x:c>
      <x:c r="Q61" s="14" t="str"/>
      <x:c r="R61" s="14" t="str">
        <x:v>Parque Industrial San Francisco, San Francisco, Córdoba</x:v>
      </x:c>
      <x:c r="S61" s="14" t="str"/>
      <x:c r="T61" s="14" t="str"/>
      <x:c r="U61" s="14" t="str"/>
      <x:c r="V61" s="14" t="str"/>
      <x:c r="W61" s="14" t="str"/>
      <x:c r="X61" s="14" t="str">
        <x:v>https://www.google.com/maps/search/?api=1&amp;query=Pessot+S.R.L.%2C+Parque+Industrial+San+Francisco%2C+San+Francisco%2C+C%C3%B3rdoba</x:v>
      </x:c>
      <x:c r="Y61" s="14" t="str">
        <x:v>Directorio Parque Industrial</x:v>
      </x:c>
      <x:c r="Z61" s="14" t="str">
        <x:v>https://www.empresas.parqueindustrialsanfrancisco.com/directorio/empresas/metalurgica-fundicion-y-trabajo-del-metal/metalurgica/</x:v>
      </x:c>
      <x:c r="AA61" s="14" t="str">
        <x:v>Empresa listada actualmente en el directorio metalúrgico del Parque Industrial San Francisco.</x:v>
      </x:c>
      <x:c r="AB61" s="14" t="str">
        <x:v>Media</x:v>
      </x:c>
      <x:c r="AC61" s="14" t="str">
        <x:v>Operativo / verificar antes de visita</x:v>
      </x:c>
      <x:c r="AD61" s="14" t="str">
        <x:v>Rastrillaje San Francisco 2026-09-15</x:v>
      </x:c>
      <x:c r="AE61" s="14" t="str">
        <x:v>Plataforma 20 tn | Hidrogrúa | Malacate | Percha</x:v>
      </x:c>
      <x:c r="AF61" s="14" t="str">
        <x:v>PRIORIDAD ALTA</x:v>
      </x:c>
    </x:row>
    <x:row r="62">
      <x:c r="A62" s="14" t="str">
        <x:v>SF-061</x:v>
      </x:c>
      <x:c r="B62" s="14" t="str">
        <x:v>Pendiente</x:v>
      </x:c>
      <x:c r="C62" s="14" t="str">
        <x:v>Núcleo</x:v>
      </x:c>
      <x:c r="D62" s="14" t="str">
        <x:v>San Francisco</x:v>
      </x:c>
      <x:c r="E62" s="14" t="str">
        <x:v>Bv. Roca</x:v>
      </x:c>
      <x:c r="F62" s="14" t="str">
        <x:v>A</x:v>
      </x:c>
      <x:c r="G62" s="14" t="n">
        <x:v>76</x:v>
      </x:c>
      <x:c r="H62" s="14" t="str">
        <x:v>Vuelta Redonda S.A.</x:v>
      </x:c>
      <x:c r="I62" s="14" t="str">
        <x:v>Transporte por camión</x:v>
      </x:c>
      <x:c r="J62" s="14" t="str">
        <x:v>03564 565656</x:v>
      </x:c>
      <x:c r="K62" s="14" t="str">
        <x:v>OK</x:v>
      </x:c>
      <x:c r="L62" s="14" t="str">
        <x:v>tráfico / operaciones</x:v>
      </x:c>
      <x:c r="M62" s="14" t="str">
        <x:v>Overflow y derivación de cargas/equipos que requieren plataforma, malacate o hidrogrúa.</x:v>
      </x:c>
      <x:c r="N62" s="14" t="str">
        <x:v>Capacidad complementaria: plataforma 20 tn + hidrogrúa + malacate.</x:v>
      </x:c>
      <x:c r="O62" s="14" t="str">
        <x:v>Ser socio de respaldo para cargas especiales que excedan la flota habitual.</x:v>
      </x:c>
      <x:c r="P62" s="14" t="str">
        <x:v>Pedir tráfico/operaciones y ofrecer acuerdo de derivaciones.</x:v>
      </x:c>
      <x:c r="Q62" s="14" t="str"/>
      <x:c r="R62" s="14" t="str">
        <x:v>Bv. Roca 2928, San Francisco, Córdoba</x:v>
      </x:c>
      <x:c r="S62" s="14" t="str"/>
      <x:c r="T62" s="14" t="str"/>
      <x:c r="U62" s="14" t="str"/>
      <x:c r="V62" s="14" t="str"/>
      <x:c r="W62" s="14" t="str">
        <x:v>03564565656</x:v>
      </x:c>
      <x:c r="X62" s="14" t="str">
        <x:v>https://www.google.com/maps/search/?api=1&amp;query=Vuelta+Redonda+S.A.%2C+Bv.+Roca+2928%2C+San+Francisco%2C+C%C3%B3rdoba</x:v>
      </x:c>
      <x:c r="Y62" s="14" t="str">
        <x:v>Google Business</x:v>
      </x:c>
      <x:c r="Z62" s="14" t="str">
        <x:v>https://www.google.com/maps/search/?api=1&amp;query=Vuelta+Redonda+SA%2C+Bv.+Roca+2928%2C+San+Francisco%2C+C%C3%B3rdoba</x:v>
      </x:c>
      <x:c r="AA62" s="14" t="str">
        <x:v>Transportista local.</x:v>
      </x:c>
      <x:c r="AB62" s="14" t="str">
        <x:v>Alta</x:v>
      </x:c>
      <x:c r="AC62" s="14" t="str">
        <x:v>Operativo / verificar antes de visita</x:v>
      </x:c>
      <x:c r="AD62" s="14" t="str">
        <x:v>Rastrillaje San Francisco 2026-09-15</x:v>
      </x:c>
      <x:c r="AE62" s="14" t="str">
        <x:v>Plataforma 20 tn | Hidrogrúa | Malacate | Subcontratación</x:v>
      </x:c>
      <x:c r="AF62" s="14" t="str">
        <x:v>PRIORIDAD ALTA</x:v>
      </x:c>
    </x:row>
    <x:row r="63">
      <x:c r="A63" s="14" t="str">
        <x:v>SF-062</x:v>
      </x:c>
      <x:c r="B63" s="14" t="str">
        <x:v>Pendiente</x:v>
      </x:c>
      <x:c r="C63" s="14" t="str">
        <x:v>Núcleo</x:v>
      </x:c>
      <x:c r="D63" s="14" t="str">
        <x:v>San Francisco</x:v>
      </x:c>
      <x:c r="E63" s="14" t="str">
        <x:v>Parque Industrial</x:v>
      </x:c>
      <x:c r="F63" s="14" t="str">
        <x:v>B</x:v>
      </x:c>
      <x:c r="G63" s="14" t="n">
        <x:v>74</x:v>
      </x:c>
      <x:c r="H63" s="14" t="str">
        <x:v>Carisio Jorge Francisco S.R.L.</x:v>
      </x:c>
      <x:c r="I63" s="14" t="str">
        <x:v>Metalúrgica / mecanizado / piezas</x:v>
      </x:c>
      <x:c r="J63" s="14" t="str">
        <x:v>A verificar</x:v>
      </x:c>
      <x:c r="K63" s="14" t="str">
        <x:v>A verificar</x:v>
      </x:c>
      <x:c r="L63" s="14" t="str">
        <x:v>producción / expedición / mantenimiento</x:v>
      </x:c>
      <x:c r="M63" s="14" t="str">
        <x:v>Despacho de piezas, conjuntos metálicos, componentes pesados o equipos de producción/mantenimiento.</x:v>
      </x:c>
      <x:c r="N63" s="14" t="str">
        <x:v>Plataforma + hidrogrúa + malacate; percha según carga.</x:v>
      </x:c>
      <x:c r="O63" s="14" t="str">
        <x:v>Resolver piezas pesadas o fuera de medida con un único proveedor.</x:v>
      </x:c>
      <x:c r="P63" s="14" t="str">
        <x:v>Pedir producción/expedición/mantenimiento y relevar piezas máximas/destinos.</x:v>
      </x:c>
      <x:c r="Q63" s="14" t="str"/>
      <x:c r="R63" s="14" t="str">
        <x:v>Parque Industrial San Francisco, San Francisco, Córdoba</x:v>
      </x:c>
      <x:c r="S63" s="14" t="str"/>
      <x:c r="T63" s="14" t="str"/>
      <x:c r="U63" s="14" t="str"/>
      <x:c r="V63" s="14" t="str"/>
      <x:c r="W63" s="14" t="str"/>
      <x:c r="X63" s="14" t="str">
        <x:v>https://www.google.com/maps/search/?api=1&amp;query=Carisio+Jorge+Francisco+S.R.L.%2C+Parque+Industrial+San+Francisco%2C+San+Francisco%2C+C%C3%B3rdoba</x:v>
      </x:c>
      <x:c r="Y63" s="14" t="str">
        <x:v>Directorio Parque Industrial</x:v>
      </x:c>
      <x:c r="Z63" s="14" t="str">
        <x:v>https://www.empresas.parqueindustrialsanfrancisco.com/directorio/empresas/metalurgica-fundicion-y-trabajo-del-metal/metalurgica/</x:v>
      </x:c>
      <x:c r="AA63" s="14" t="str">
        <x:v>Empresa listada actualmente en el directorio metalúrgico del Parque Industrial San Francisco.</x:v>
      </x:c>
      <x:c r="AB63" s="14" t="str">
        <x:v>Media</x:v>
      </x:c>
      <x:c r="AC63" s="14" t="str">
        <x:v>Operativo / verificar antes de visita</x:v>
      </x:c>
      <x:c r="AD63" s="14" t="str">
        <x:v>Rastrillaje San Francisco 2026-09-15</x:v>
      </x:c>
      <x:c r="AE63" s="14" t="str">
        <x:v>Plataforma 20 tn | Hidrogrúa | Malacate | Percha</x:v>
      </x:c>
      <x:c r="AF63" s="14" t="str">
        <x:v>SEGUNDA PASADA</x:v>
      </x:c>
    </x:row>
    <x:row r="64">
      <x:c r="A64" s="14" t="str">
        <x:v>SF-063</x:v>
      </x:c>
      <x:c r="B64" s="14" t="str">
        <x:v>Pendiente</x:v>
      </x:c>
      <x:c r="C64" s="14" t="str">
        <x:v>Núcleo</x:v>
      </x:c>
      <x:c r="D64" s="14" t="str">
        <x:v>San Francisco</x:v>
      </x:c>
      <x:c r="E64" s="14" t="str">
        <x:v>Parque Industrial</x:v>
      </x:c>
      <x:c r="F64" s="14" t="str">
        <x:v>B</x:v>
      </x:c>
      <x:c r="G64" s="14" t="n">
        <x:v>72</x:v>
      </x:c>
      <x:c r="H64" s="14" t="str">
        <x:v>Cravero Repuestos</x:v>
      </x:c>
      <x:c r="I64" s="14" t="str">
        <x:v>Metalúrgica / mecanizado / piezas</x:v>
      </x:c>
      <x:c r="J64" s="14" t="str">
        <x:v>A verificar</x:v>
      </x:c>
      <x:c r="K64" s="14" t="str">
        <x:v>A verificar</x:v>
      </x:c>
      <x:c r="L64" s="14" t="str">
        <x:v>producción / expedición / mantenimiento</x:v>
      </x:c>
      <x:c r="M64" s="14" t="str">
        <x:v>Despacho de piezas, conjuntos metálicos, componentes pesados o equipos de producción/mantenimiento.</x:v>
      </x:c>
      <x:c r="N64" s="14" t="str">
        <x:v>Plataforma + hidrogrúa + malacate; percha según carga.</x:v>
      </x:c>
      <x:c r="O64" s="14" t="str">
        <x:v>Resolver piezas pesadas o fuera de medida con un único proveedor.</x:v>
      </x:c>
      <x:c r="P64" s="14" t="str">
        <x:v>Pedir producción/expedición/mantenimiento y relevar piezas máximas/destinos.</x:v>
      </x:c>
      <x:c r="Q64" s="14" t="str"/>
      <x:c r="R64" s="14" t="str">
        <x:v>Parque Industrial San Francisco, San Francisco, Córdoba</x:v>
      </x:c>
      <x:c r="S64" s="14" t="str"/>
      <x:c r="T64" s="14" t="str"/>
      <x:c r="U64" s="14" t="str"/>
      <x:c r="V64" s="14" t="str"/>
      <x:c r="W64" s="14" t="str"/>
      <x:c r="X64" s="14" t="str">
        <x:v>https://www.google.com/maps/search/?api=1&amp;query=Cravero+Repuestos%2C+Parque+Industrial+San+Francisco%2C+San+Francisco%2C+C%C3%B3rdoba</x:v>
      </x:c>
      <x:c r="Y64" s="14" t="str">
        <x:v>Directorio Parque Industrial</x:v>
      </x:c>
      <x:c r="Z64" s="14" t="str">
        <x:v>https://www.empresas.parqueindustrialsanfrancisco.com/directorio/empresas/metalurgica-fundicion-y-trabajo-del-metal/metalurgica/</x:v>
      </x:c>
      <x:c r="AA64" s="14" t="str">
        <x:v>Empresa listada actualmente en el directorio metalúrgico del Parque Industrial San Francisco.</x:v>
      </x:c>
      <x:c r="AB64" s="14" t="str">
        <x:v>Media</x:v>
      </x:c>
      <x:c r="AC64" s="14" t="str">
        <x:v>Operativo / verificar antes de visita</x:v>
      </x:c>
      <x:c r="AD64" s="14" t="str">
        <x:v>Rastrillaje San Francisco 2026-09-15</x:v>
      </x:c>
      <x:c r="AE64" s="14" t="str">
        <x:v>Plataforma 20 tn | Hidrogrúa | Malacate | Percha</x:v>
      </x:c>
      <x:c r="AF64" s="14" t="str">
        <x:v>SEGUNDA PASADA</x:v>
      </x:c>
    </x:row>
    <x:row r="65">
      <x:c r="A65" s="14" t="str">
        <x:v>SF-064</x:v>
      </x:c>
      <x:c r="B65" s="14" t="str">
        <x:v>Pendiente</x:v>
      </x:c>
      <x:c r="C65" s="14" t="str">
        <x:v>Núcleo</x:v>
      </x:c>
      <x:c r="D65" s="14" t="str">
        <x:v>San Francisco</x:v>
      </x:c>
      <x:c r="E65" s="14" t="str">
        <x:v>Parque Industrial</x:v>
      </x:c>
      <x:c r="F65" s="14" t="str">
        <x:v>B</x:v>
      </x:c>
      <x:c r="G65" s="14" t="n">
        <x:v>72</x:v>
      </x:c>
      <x:c r="H65" s="14" t="str">
        <x:v>MR Tratamientos Térmicos De Maris</x:v>
      </x:c>
      <x:c r="I65" s="14" t="str">
        <x:v>Metalúrgica / mecanizado / piezas</x:v>
      </x:c>
      <x:c r="J65" s="14" t="str">
        <x:v>A verificar</x:v>
      </x:c>
      <x:c r="K65" s="14" t="str">
        <x:v>A verificar</x:v>
      </x:c>
      <x:c r="L65" s="14" t="str">
        <x:v>producción / expedición / mantenimiento</x:v>
      </x:c>
      <x:c r="M65" s="14" t="str">
        <x:v>Despacho de piezas, conjuntos metálicos, componentes pesados o equipos de producción/mantenimiento.</x:v>
      </x:c>
      <x:c r="N65" s="14" t="str">
        <x:v>Plataforma + hidrogrúa + malacate; percha según carga.</x:v>
      </x:c>
      <x:c r="O65" s="14" t="str">
        <x:v>Resolver piezas pesadas o fuera de medida con un único proveedor.</x:v>
      </x:c>
      <x:c r="P65" s="14" t="str">
        <x:v>Pedir producción/expedición/mantenimiento y relevar piezas máximas/destinos.</x:v>
      </x:c>
      <x:c r="Q65" s="14" t="str"/>
      <x:c r="R65" s="14" t="str">
        <x:v>Parque Industrial San Francisco, San Francisco, Córdoba</x:v>
      </x:c>
      <x:c r="S65" s="14" t="str"/>
      <x:c r="T65" s="14" t="str"/>
      <x:c r="U65" s="14" t="str"/>
      <x:c r="V65" s="14" t="str"/>
      <x:c r="W65" s="14" t="str"/>
      <x:c r="X65" s="14" t="str">
        <x:v>https://www.google.com/maps/search/?api=1&amp;query=MR+Tratamientos+T%C3%A9rmicos+De+Maris%2C+Parque+Industrial+San+Francisco%2C+San+Francisco%2C+C%C3%B3rdoba</x:v>
      </x:c>
      <x:c r="Y65" s="14" t="str">
        <x:v>Directorio Parque Industrial</x:v>
      </x:c>
      <x:c r="Z65" s="14" t="str">
        <x:v>https://www.empresas.parqueindustrialsanfrancisco.com/directorio/empresas/metalurgica-fundicion-y-trabajo-del-metal/metalurgica/</x:v>
      </x:c>
      <x:c r="AA65" s="14" t="str">
        <x:v>Empresa listada actualmente en el directorio metalúrgico del Parque Industrial San Francisco.</x:v>
      </x:c>
      <x:c r="AB65" s="14" t="str">
        <x:v>Media</x:v>
      </x:c>
      <x:c r="AC65" s="14" t="str">
        <x:v>Operativo / verificar antes de visita</x:v>
      </x:c>
      <x:c r="AD65" s="14" t="str">
        <x:v>Rastrillaje San Francisco 2026-09-15</x:v>
      </x:c>
      <x:c r="AE65" s="14" t="str">
        <x:v>Plataforma 20 tn | Hidrogrúa | Malacate | Percha</x:v>
      </x:c>
      <x:c r="AF65" s="14" t="str">
        <x:v>SEGUNDA PASADA</x:v>
      </x:c>
    </x:row>
    <x:row r="66">
      <x:c r="A66" s="14" t="str">
        <x:v>SF-065</x:v>
      </x:c>
      <x:c r="B66" s="14" t="str">
        <x:v>Pendiente</x:v>
      </x:c>
      <x:c r="C66" s="14" t="str">
        <x:v>Núcleo</x:v>
      </x:c>
      <x:c r="D66" s="14" t="str">
        <x:v>San Francisco</x:v>
      </x:c>
      <x:c r="E66" s="14" t="str">
        <x:v>Parque Industrial</x:v>
      </x:c>
      <x:c r="F66" s="14" t="str">
        <x:v>B</x:v>
      </x:c>
      <x:c r="G66" s="14" t="n">
        <x:v>72</x:v>
      </x:c>
      <x:c r="H66" s="14" t="str">
        <x:v>Sottano Tratamientos</x:v>
      </x:c>
      <x:c r="I66" s="14" t="str">
        <x:v>Metalúrgica / mecanizado / piezas</x:v>
      </x:c>
      <x:c r="J66" s="14" t="str">
        <x:v>A verificar</x:v>
      </x:c>
      <x:c r="K66" s="14" t="str">
        <x:v>A verificar</x:v>
      </x:c>
      <x:c r="L66" s="14" t="str">
        <x:v>producción / expedición / mantenimiento</x:v>
      </x:c>
      <x:c r="M66" s="14" t="str">
        <x:v>Despacho de piezas, conjuntos metálicos, componentes pesados o equipos de producción/mantenimiento.</x:v>
      </x:c>
      <x:c r="N66" s="14" t="str">
        <x:v>Plataforma + hidrogrúa + malacate; percha según carga.</x:v>
      </x:c>
      <x:c r="O66" s="14" t="str">
        <x:v>Resolver piezas pesadas o fuera de medida con un único proveedor.</x:v>
      </x:c>
      <x:c r="P66" s="14" t="str">
        <x:v>Pedir producción/expedición/mantenimiento y relevar piezas máximas/destinos.</x:v>
      </x:c>
      <x:c r="Q66" s="14" t="str"/>
      <x:c r="R66" s="14" t="str">
        <x:v>Parque Industrial San Francisco, San Francisco, Córdoba</x:v>
      </x:c>
      <x:c r="S66" s="14" t="str"/>
      <x:c r="T66" s="14" t="str"/>
      <x:c r="U66" s="14" t="str"/>
      <x:c r="V66" s="14" t="str"/>
      <x:c r="W66" s="14" t="str"/>
      <x:c r="X66" s="14" t="str">
        <x:v>https://www.google.com/maps/search/?api=1&amp;query=Sottano+Tratamientos%2C+Parque+Industrial+San+Francisco%2C+San+Francisco%2C+C%C3%B3rdoba</x:v>
      </x:c>
      <x:c r="Y66" s="14" t="str">
        <x:v>Directorio Parque Industrial</x:v>
      </x:c>
      <x:c r="Z66" s="14" t="str">
        <x:v>https://www.empresas.parqueindustrialsanfrancisco.com/directorio/empresas/metalurgica-fundicion-y-trabajo-del-metal/metalurgica/</x:v>
      </x:c>
      <x:c r="AA66" s="14" t="str">
        <x:v>Empresa listada actualmente en el directorio metalúrgico del Parque Industrial San Francisco.</x:v>
      </x:c>
      <x:c r="AB66" s="14" t="str">
        <x:v>Media</x:v>
      </x:c>
      <x:c r="AC66" s="14" t="str">
        <x:v>Operativo / verificar antes de visita</x:v>
      </x:c>
      <x:c r="AD66" s="14" t="str">
        <x:v>Rastrillaje San Francisco 2026-09-15</x:v>
      </x:c>
      <x:c r="AE66" s="14" t="str">
        <x:v>Plataforma 20 tn | Hidrogrúa | Malacate | Percha</x:v>
      </x:c>
      <x:c r="AF66" s="14" t="str">
        <x:v>SEGUNDA PASADA</x:v>
      </x:c>
    </x:row>
    <x:row r="67">
      <x:c r="A67" s="14" t="str">
        <x:v>SF-066</x:v>
      </x:c>
      <x:c r="B67" s="14" t="str">
        <x:v>Pendiente</x:v>
      </x:c>
      <x:c r="C67" s="14" t="str">
        <x:v>Núcleo</x:v>
      </x:c>
      <x:c r="D67" s="14" t="str">
        <x:v>San Francisco</x:v>
      </x:c>
      <x:c r="E67" s="14" t="str">
        <x:v>Parque Industrial</x:v>
      </x:c>
      <x:c r="F67" s="14" t="str">
        <x:v>B</x:v>
      </x:c>
      <x:c r="G67" s="14" t="n">
        <x:v>70</x:v>
      </x:c>
      <x:c r="H67" s="14" t="str">
        <x:v>JCM Soldadura</x:v>
      </x:c>
      <x:c r="I67" s="14" t="str">
        <x:v>Metalúrgica / mecanizado / piezas</x:v>
      </x:c>
      <x:c r="J67" s="14" t="str">
        <x:v>A verificar</x:v>
      </x:c>
      <x:c r="K67" s="14" t="str">
        <x:v>A verificar</x:v>
      </x:c>
      <x:c r="L67" s="14" t="str">
        <x:v>producción / expedición / mantenimiento</x:v>
      </x:c>
      <x:c r="M67" s="14" t="str">
        <x:v>Despacho de piezas, conjuntos metálicos, componentes pesados o equipos de producción/mantenimiento.</x:v>
      </x:c>
      <x:c r="N67" s="14" t="str">
        <x:v>Plataforma + hidrogrúa + malacate; percha según carga.</x:v>
      </x:c>
      <x:c r="O67" s="14" t="str">
        <x:v>Resolver piezas pesadas o fuera de medida con un único proveedor.</x:v>
      </x:c>
      <x:c r="P67" s="14" t="str">
        <x:v>Pedir producción/expedición/mantenimiento y relevar piezas máximas/destinos.</x:v>
      </x:c>
      <x:c r="Q67" s="14" t="str"/>
      <x:c r="R67" s="14" t="str">
        <x:v>Parque Industrial San Francisco, San Francisco, Córdoba</x:v>
      </x:c>
      <x:c r="S67" s="14" t="str"/>
      <x:c r="T67" s="14" t="str"/>
      <x:c r="U67" s="14" t="str"/>
      <x:c r="V67" s="14" t="str"/>
      <x:c r="W67" s="14" t="str"/>
      <x:c r="X67" s="14" t="str">
        <x:v>https://www.google.com/maps/search/?api=1&amp;query=JCM+Soldadura%2C+Parque+Industrial+San+Francisco%2C+San+Francisco%2C+C%C3%B3rdoba</x:v>
      </x:c>
      <x:c r="Y67" s="14" t="str">
        <x:v>Directorio Parque Industrial</x:v>
      </x:c>
      <x:c r="Z67" s="14" t="str">
        <x:v>https://www.empresas.parqueindustrialsanfrancisco.com/directorio/empresas/metalurgica-fundicion-y-trabajo-del-metal/metalurgica/</x:v>
      </x:c>
      <x:c r="AA67" s="14" t="str">
        <x:v>Empresa listada actualmente en el directorio metalúrgico del Parque Industrial San Francisco.</x:v>
      </x:c>
      <x:c r="AB67" s="14" t="str">
        <x:v>Media</x:v>
      </x:c>
      <x:c r="AC67" s="14" t="str">
        <x:v>Operativo / verificar antes de visita</x:v>
      </x:c>
      <x:c r="AD67" s="14" t="str">
        <x:v>Rastrillaje San Francisco 2026-09-15</x:v>
      </x:c>
      <x:c r="AE67" s="14" t="str">
        <x:v>Plataforma 20 tn | Hidrogrúa | Malacate | Percha</x:v>
      </x:c>
      <x:c r="AF67" s="14" t="str">
        <x:v>SEGUNDA PASADA</x:v>
      </x:c>
    </x:row>
    <x:row r="68">
      <x:c r="A68" s="14" t="str">
        <x:v>SF-067</x:v>
      </x:c>
      <x:c r="B68" s="14" t="str">
        <x:v>Pendiente</x:v>
      </x:c>
      <x:c r="C68" s="14" t="str">
        <x:v>Núcleo</x:v>
      </x:c>
      <x:c r="D68" s="14" t="str">
        <x:v>San Francisco</x:v>
      </x:c>
      <x:c r="E68" s="14" t="str">
        <x:v>Parque Industrial</x:v>
      </x:c>
      <x:c r="F68" s="14" t="str">
        <x:v>B</x:v>
      </x:c>
      <x:c r="G68" s="14" t="n">
        <x:v>70</x:v>
      </x:c>
      <x:c r="H68" s="14" t="str">
        <x:v>P.G. S.R.L.</x:v>
      </x:c>
      <x:c r="I68" s="14" t="str">
        <x:v>Metalúrgica / mecanizado / piezas</x:v>
      </x:c>
      <x:c r="J68" s="14" t="str">
        <x:v>A verificar</x:v>
      </x:c>
      <x:c r="K68" s="14" t="str">
        <x:v>A verificar</x:v>
      </x:c>
      <x:c r="L68" s="14" t="str">
        <x:v>producción / expedición / mantenimiento</x:v>
      </x:c>
      <x:c r="M68" s="14" t="str">
        <x:v>Despacho de piezas, conjuntos metálicos, componentes pesados o equipos de producción/mantenimiento.</x:v>
      </x:c>
      <x:c r="N68" s="14" t="str">
        <x:v>Plataforma + hidrogrúa + malacate; percha según carga.</x:v>
      </x:c>
      <x:c r="O68" s="14" t="str">
        <x:v>Resolver piezas pesadas o fuera de medida con un único proveedor.</x:v>
      </x:c>
      <x:c r="P68" s="14" t="str">
        <x:v>Pedir producción/expedición/mantenimiento y relevar piezas máximas/destinos.</x:v>
      </x:c>
      <x:c r="Q68" s="14" t="str"/>
      <x:c r="R68" s="14" t="str">
        <x:v>Parque Industrial San Francisco, San Francisco, Córdoba</x:v>
      </x:c>
      <x:c r="S68" s="14" t="str"/>
      <x:c r="T68" s="14" t="str"/>
      <x:c r="U68" s="14" t="str"/>
      <x:c r="V68" s="14" t="str"/>
      <x:c r="W68" s="14" t="str"/>
      <x:c r="X68" s="14" t="str">
        <x:v>https://www.google.com/maps/search/?api=1&amp;query=P.G.+S.R.L.%2C+Parque+Industrial+San+Francisco%2C+San+Francisco%2C+C%C3%B3rdoba</x:v>
      </x:c>
      <x:c r="Y68" s="14" t="str">
        <x:v>Directorio Parque Industrial</x:v>
      </x:c>
      <x:c r="Z68" s="14" t="str">
        <x:v>https://www.empresas.parqueindustrialsanfrancisco.com/directorio/empresas/metalurgica-fundicion-y-trabajo-del-metal/metalurgica/</x:v>
      </x:c>
      <x:c r="AA68" s="14" t="str">
        <x:v>Empresa listada actualmente en el directorio metalúrgico del Parque Industrial San Francisco.</x:v>
      </x:c>
      <x:c r="AB68" s="14" t="str">
        <x:v>Media</x:v>
      </x:c>
      <x:c r="AC68" s="14" t="str">
        <x:v>Operativo / verificar antes de visita</x:v>
      </x:c>
      <x:c r="AD68" s="14" t="str">
        <x:v>Rastrillaje San Francisco 2026-09-15</x:v>
      </x:c>
      <x:c r="AE68" s="14" t="str">
        <x:v>Plataforma 20 tn | Hidrogrúa | Malacate | Percha</x:v>
      </x:c>
      <x:c r="AF68" s="14" t="str">
        <x:v>SEGUNDA PASADA</x:v>
      </x:c>
    </x:row>
    <x:row r="69">
      <x:c r="A69" s="14" t="str">
        <x:v>SF-068</x:v>
      </x:c>
      <x:c r="B69" s="14" t="str">
        <x:v>Pendiente</x:v>
      </x:c>
      <x:c r="C69" s="14" t="str">
        <x:v>Núcleo</x:v>
      </x:c>
      <x:c r="D69" s="14" t="str">
        <x:v>San Francisco</x:v>
      </x:c>
      <x:c r="E69" s="14" t="str">
        <x:v>Parque Industrial</x:v>
      </x:c>
      <x:c r="F69" s="14" t="str">
        <x:v>B</x:v>
      </x:c>
      <x:c r="G69" s="14" t="n">
        <x:v>68</x:v>
      </x:c>
      <x:c r="H69" s="14" t="str">
        <x:v>Boetto Omar</x:v>
      </x:c>
      <x:c r="I69" s="14" t="str">
        <x:v>Metalúrgica / mecanizado / piezas</x:v>
      </x:c>
      <x:c r="J69" s="14" t="str">
        <x:v>A verificar</x:v>
      </x:c>
      <x:c r="K69" s="14" t="str">
        <x:v>A verificar</x:v>
      </x:c>
      <x:c r="L69" s="14" t="str">
        <x:v>producción / expedición / mantenimiento</x:v>
      </x:c>
      <x:c r="M69" s="14" t="str">
        <x:v>Despacho de piezas, conjuntos metálicos, componentes pesados o equipos de producción/mantenimiento.</x:v>
      </x:c>
      <x:c r="N69" s="14" t="str">
        <x:v>Plataforma + hidrogrúa + malacate; percha según carga.</x:v>
      </x:c>
      <x:c r="O69" s="14" t="str">
        <x:v>Resolver piezas pesadas o fuera de medida con un único proveedor.</x:v>
      </x:c>
      <x:c r="P69" s="14" t="str">
        <x:v>Pedir producción/expedición/mantenimiento y relevar piezas máximas/destinos.</x:v>
      </x:c>
      <x:c r="Q69" s="14" t="str"/>
      <x:c r="R69" s="14" t="str">
        <x:v>Parque Industrial San Francisco, San Francisco, Córdoba</x:v>
      </x:c>
      <x:c r="S69" s="14" t="str"/>
      <x:c r="T69" s="14" t="str"/>
      <x:c r="U69" s="14" t="str"/>
      <x:c r="V69" s="14" t="str"/>
      <x:c r="W69" s="14" t="str"/>
      <x:c r="X69" s="14" t="str">
        <x:v>https://www.google.com/maps/search/?api=1&amp;query=Boetto+Omar%2C+Parque+Industrial+San+Francisco%2C+San+Francisco%2C+C%C3%B3rdoba</x:v>
      </x:c>
      <x:c r="Y69" s="14" t="str">
        <x:v>Directorio Parque Industrial</x:v>
      </x:c>
      <x:c r="Z69" s="14" t="str">
        <x:v>https://www.empresas.parqueindustrialsanfrancisco.com/directorio/empresas/metalurgica-fundicion-y-trabajo-del-metal/metalurgica/</x:v>
      </x:c>
      <x:c r="AA69" s="14" t="str">
        <x:v>Empresa listada actualmente en el directorio metalúrgico del Parque Industrial San Francisco.</x:v>
      </x:c>
      <x:c r="AB69" s="14" t="str">
        <x:v>Media</x:v>
      </x:c>
      <x:c r="AC69" s="14" t="str">
        <x:v>Operativo / verificar antes de visita</x:v>
      </x:c>
      <x:c r="AD69" s="14" t="str">
        <x:v>Rastrillaje San Francisco 2026-09-15</x:v>
      </x:c>
      <x:c r="AE69" s="14" t="str">
        <x:v>Plataforma 20 tn | Hidrogrúa | Malacate | Percha</x:v>
      </x:c>
      <x:c r="AF69" s="14" t="str">
        <x:v>SEGUNDA PASADA</x:v>
      </x:c>
    </x:row>
    <x:row r="70">
      <x:c r="A70" s="14" t="str">
        <x:v>SF-069</x:v>
      </x:c>
      <x:c r="B70" s="14" t="str">
        <x:v>Pendiente</x:v>
      </x:c>
      <x:c r="C70" s="14" t="str">
        <x:v>Núcleo</x:v>
      </x:c>
      <x:c r="D70" s="14" t="str">
        <x:v>San Francisco</x:v>
      </x:c>
      <x:c r="E70" s="14" t="str">
        <x:v>Parque Industrial / Carra</x:v>
      </x:c>
      <x:c r="F70" s="14" t="str">
        <x:v>B</x:v>
      </x:c>
      <x:c r="G70" s="14" t="n">
        <x:v>68</x:v>
      </x:c>
      <x:c r="H70" s="14" t="str">
        <x:v>Cavour Desarrollos S.R.L.</x:v>
      </x:c>
      <x:c r="I70" s="14" t="str">
        <x:v>Industria alimenticia / planta industrial</x:v>
      </x:c>
      <x:c r="J70" s="14" t="str">
        <x:v>03564 445833</x:v>
      </x:c>
      <x:c r="K70" s="14" t="str">
        <x:v>OK</x:v>
      </x:c>
      <x:c r="L70" s="14" t="str">
        <x:v>planta / mantenimiento / logística</x:v>
      </x:c>
      <x:c r="M70" s="14" t="str">
        <x:v>Movimientos de mantenimiento, motores, bombas, equipos y cargas extraordinarias de planta.</x:v>
      </x:c>
      <x:c r="N70" s="14" t="str">
        <x:v>Plataforma + hidrogrúa + percha + seguro/GPS.</x:v>
      </x:c>
      <x:c r="O70" s="14" t="str">
        <x:v>Proveedor local para paradas, montajes y movimientos no rutinarios.</x:v>
      </x:c>
      <x:c r="P70" s="14" t="str">
        <x:v>Pedir mantenimiento/compras/planta; relevar equipos críticos.</x:v>
      </x:c>
      <x:c r="Q70" s="14" t="str"/>
      <x:c r="R70" s="14" t="str">
        <x:v>M.A. Carra 1576, San Francisco, Córdoba</x:v>
      </x:c>
      <x:c r="S70" s="14" t="str"/>
      <x:c r="T70" s="14" t="str"/>
      <x:c r="U70" s="14" t="str"/>
      <x:c r="V70" s="14" t="str"/>
      <x:c r="W70" s="14" t="str">
        <x:v>03564445833</x:v>
      </x:c>
      <x:c r="X70" s="14" t="str">
        <x:v>https://www.google.com/maps/search/?api=1&amp;query=Cavour+Desarrollos+S.R.L.%2C+M.A.+Carra+1576%2C+San+Francisco%2C+C%C3%B3rdoba</x:v>
      </x:c>
      <x:c r="Y70" s="14" t="str">
        <x:v>Parque Industrial oficial</x:v>
      </x:c>
      <x:c r="Z70" s="14" t="str">
        <x:v>https://www.empresas.parqueindustrialsanfrancisco.com/empresas/cavour-desarrollos-srl-227/</x:v>
      </x:c>
      <x:c r="AA70" s="14" t="str">
        <x:v>Planta industrial de ingredientes alimenticios.</x:v>
      </x:c>
      <x:c r="AB70" s="14" t="str">
        <x:v>Alta</x:v>
      </x:c>
      <x:c r="AC70" s="14" t="str">
        <x:v>Operativo / verificar antes de visita</x:v>
      </x:c>
      <x:c r="AD70" s="14" t="str">
        <x:v>Rastrillaje San Francisco 2026-09-15</x:v>
      </x:c>
      <x:c r="AE70" s="14" t="str">
        <x:v>Plataforma 20 tn | Hidrogrúa | Percha | Seguro/GPS</x:v>
      </x:c>
      <x:c r="AF70" s="14" t="str">
        <x:v>SEGUNDA PASADA</x:v>
      </x:c>
    </x:row>
    <x:row r="71">
      <x:c r="A71" s="14" t="str">
        <x:v>SF-070</x:v>
      </x:c>
      <x:c r="B71" s="14" t="str">
        <x:v>Pendiente</x:v>
      </x:c>
      <x:c r="C71" s="14" t="str">
        <x:v>Núcleo</x:v>
      </x:c>
      <x:c r="D71" s="14" t="str">
        <x:v>San Francisco</x:v>
      </x:c>
      <x:c r="E71" s="14" t="str">
        <x:v>Parque Industrial</x:v>
      </x:c>
      <x:c r="F71" s="14" t="str">
        <x:v>B</x:v>
      </x:c>
      <x:c r="G71" s="14" t="n">
        <x:v>68</x:v>
      </x:c>
      <x:c r="H71" s="14" t="str">
        <x:v>Gerardo Casalegno</x:v>
      </x:c>
      <x:c r="I71" s="14" t="str">
        <x:v>Metalúrgica / mecanizado / piezas</x:v>
      </x:c>
      <x:c r="J71" s="14" t="str">
        <x:v>A verificar</x:v>
      </x:c>
      <x:c r="K71" s="14" t="str">
        <x:v>A verificar</x:v>
      </x:c>
      <x:c r="L71" s="14" t="str">
        <x:v>producción / expedición / mantenimiento</x:v>
      </x:c>
      <x:c r="M71" s="14" t="str">
        <x:v>Despacho de piezas, conjuntos metálicos, componentes pesados o equipos de producción/mantenimiento.</x:v>
      </x:c>
      <x:c r="N71" s="14" t="str">
        <x:v>Plataforma + hidrogrúa + malacate; percha según carga.</x:v>
      </x:c>
      <x:c r="O71" s="14" t="str">
        <x:v>Resolver piezas pesadas o fuera de medida con un único proveedor.</x:v>
      </x:c>
      <x:c r="P71" s="14" t="str">
        <x:v>Pedir producción/expedición/mantenimiento y relevar piezas máximas/destinos.</x:v>
      </x:c>
      <x:c r="Q71" s="14" t="str"/>
      <x:c r="R71" s="14" t="str">
        <x:v>Parque Industrial San Francisco, San Francisco, Córdoba</x:v>
      </x:c>
      <x:c r="S71" s="14" t="str"/>
      <x:c r="T71" s="14" t="str"/>
      <x:c r="U71" s="14" t="str"/>
      <x:c r="V71" s="14" t="str"/>
      <x:c r="W71" s="14" t="str"/>
      <x:c r="X71" s="14" t="str">
        <x:v>https://www.google.com/maps/search/?api=1&amp;query=Gerardo+Casalegno%2C+Parque+Industrial+San+Francisco%2C+San+Francisco%2C+C%C3%B3rdoba</x:v>
      </x:c>
      <x:c r="Y71" s="14" t="str">
        <x:v>Directorio Parque Industrial</x:v>
      </x:c>
      <x:c r="Z71" s="14" t="str">
        <x:v>https://www.empresas.parqueindustrialsanfrancisco.com/directorio/empresas/metalurgica-fundicion-y-trabajo-del-metal/metalurgica/</x:v>
      </x:c>
      <x:c r="AA71" s="14" t="str">
        <x:v>Empresa listada actualmente en el directorio metalúrgico del Parque Industrial San Francisco.</x:v>
      </x:c>
      <x:c r="AB71" s="14" t="str">
        <x:v>Media</x:v>
      </x:c>
      <x:c r="AC71" s="14" t="str">
        <x:v>Operativo / verificar antes de visita</x:v>
      </x:c>
      <x:c r="AD71" s="14" t="str">
        <x:v>Rastrillaje San Francisco 2026-09-15</x:v>
      </x:c>
      <x:c r="AE71" s="14" t="str">
        <x:v>Plataforma 20 tn | Hidrogrúa | Malacate | Percha</x:v>
      </x:c>
      <x:c r="AF71" s="14" t="str">
        <x:v>SEGUNDA PASADA</x:v>
      </x:c>
    </x:row>
    <x:row r="72">
      <x:c r="A72" s="14" t="str">
        <x:v>SF-071</x:v>
      </x:c>
      <x:c r="B72" s="14" t="str">
        <x:v>Pendiente</x:v>
      </x:c>
      <x:c r="C72" s="14" t="str">
        <x:v>Núcleo</x:v>
      </x:c>
      <x:c r="D72" s="14" t="str">
        <x:v>San Francisco</x:v>
      </x:c>
      <x:c r="E72" s="14" t="str">
        <x:v>Parque Industrial</x:v>
      </x:c>
      <x:c r="F72" s="14" t="str">
        <x:v>B</x:v>
      </x:c>
      <x:c r="G72" s="14" t="n">
        <x:v>68</x:v>
      </x:c>
      <x:c r="H72" s="14" t="str">
        <x:v>Goiran Andrés Roque</x:v>
      </x:c>
      <x:c r="I72" s="14" t="str">
        <x:v>Metalúrgica / mecanizado / piezas</x:v>
      </x:c>
      <x:c r="J72" s="14" t="str">
        <x:v>A verificar</x:v>
      </x:c>
      <x:c r="K72" s="14" t="str">
        <x:v>A verificar</x:v>
      </x:c>
      <x:c r="L72" s="14" t="str">
        <x:v>producción / expedición / mantenimiento</x:v>
      </x:c>
      <x:c r="M72" s="14" t="str">
        <x:v>Despacho de piezas, conjuntos metálicos, componentes pesados o equipos de producción/mantenimiento.</x:v>
      </x:c>
      <x:c r="N72" s="14" t="str">
        <x:v>Plataforma + hidrogrúa + malacate; percha según carga.</x:v>
      </x:c>
      <x:c r="O72" s="14" t="str">
        <x:v>Resolver piezas pesadas o fuera de medida con un único proveedor.</x:v>
      </x:c>
      <x:c r="P72" s="14" t="str">
        <x:v>Pedir producción/expedición/mantenimiento y relevar piezas máximas/destinos.</x:v>
      </x:c>
      <x:c r="Q72" s="14" t="str"/>
      <x:c r="R72" s="14" t="str">
        <x:v>Parque Industrial San Francisco, San Francisco, Córdoba</x:v>
      </x:c>
      <x:c r="S72" s="14" t="str"/>
      <x:c r="T72" s="14" t="str"/>
      <x:c r="U72" s="14" t="str"/>
      <x:c r="V72" s="14" t="str"/>
      <x:c r="W72" s="14" t="str"/>
      <x:c r="X72" s="14" t="str">
        <x:v>https://www.google.com/maps/search/?api=1&amp;query=Goiran+Andr%C3%A9s+Roque%2C+Parque+Industrial+San+Francisco%2C+San+Francisco%2C+C%C3%B3rdoba</x:v>
      </x:c>
      <x:c r="Y72" s="14" t="str">
        <x:v>Directorio Parque Industrial</x:v>
      </x:c>
      <x:c r="Z72" s="14" t="str">
        <x:v>https://www.empresas.parqueindustrialsanfrancisco.com/directorio/empresas/metalurgica-fundicion-y-trabajo-del-metal/metalurgica/</x:v>
      </x:c>
      <x:c r="AA72" s="14" t="str">
        <x:v>Empresa listada actualmente en el directorio metalúrgico del Parque Industrial San Francisco.</x:v>
      </x:c>
      <x:c r="AB72" s="14" t="str">
        <x:v>Media</x:v>
      </x:c>
      <x:c r="AC72" s="14" t="str">
        <x:v>Operativo / verificar antes de visita</x:v>
      </x:c>
      <x:c r="AD72" s="14" t="str">
        <x:v>Rastrillaje San Francisco 2026-09-15</x:v>
      </x:c>
      <x:c r="AE72" s="14" t="str">
        <x:v>Plataforma 20 tn | Hidrogrúa | Malacate | Percha</x:v>
      </x:c>
      <x:c r="AF72" s="14" t="str">
        <x:v>SEGUNDA PASADA</x:v>
      </x:c>
    </x:row>
    <x:row r="73">
      <x:c r="A73" s="14" t="str">
        <x:v>SF-072</x:v>
      </x:c>
      <x:c r="B73" s="14" t="str">
        <x:v>Pendiente</x:v>
      </x:c>
      <x:c r="C73" s="14" t="str">
        <x:v>Núcleo</x:v>
      </x:c>
      <x:c r="D73" s="14" t="str">
        <x:v>San Francisco</x:v>
      </x:c>
      <x:c r="E73" s="14" t="str">
        <x:v>Fleming</x:v>
      </x:c>
      <x:c r="F73" s="14" t="str">
        <x:v>B</x:v>
      </x:c>
      <x:c r="G73" s="14" t="n">
        <x:v>68</x:v>
      </x:c>
      <x:c r="H73" s="14" t="str">
        <x:v>GR Remolques</x:v>
      </x:c>
      <x:c r="I73" s="14" t="str">
        <x:v>Auxilio / grúa / remolque</x:v>
      </x:c>
      <x:c r="J73" s="14" t="str">
        <x:v>03564 528080</x:v>
      </x:c>
      <x:c r="K73" s="14" t="str">
        <x:v>OK</x:v>
      </x:c>
      <x:c r="L73" s="14" t="str">
        <x:v>operaciones / grúas</x:v>
      </x:c>
      <x:c r="M73" s="14" t="str">
        <x:v>Entrega/retiro de equipos y apoyo en maniobras o contingencias.</x:v>
      </x:c>
      <x:c r="N73" s="14" t="str">
        <x:v>Plataforma + malacate + hidrogrúa.</x:v>
      </x:c>
      <x:c r="O73" s="14" t="str">
        <x:v>Complementar alquiler/service o derivaciones de maniobras especiales.</x:v>
      </x:c>
      <x:c r="P73" s="14" t="str">
        <x:v>Pedir operaciones/alquileres; relevar flota y frecuencia.</x:v>
      </x:c>
      <x:c r="Q73" s="14" t="str"/>
      <x:c r="R73" s="14" t="str">
        <x:v>Fleming 1066, San Francisco, Córdoba</x:v>
      </x:c>
      <x:c r="S73" s="14" t="str"/>
      <x:c r="T73" s="14" t="str"/>
      <x:c r="U73" s="14" t="str"/>
      <x:c r="V73" s="14" t="str"/>
      <x:c r="W73" s="14" t="str">
        <x:v>03564528080</x:v>
      </x:c>
      <x:c r="X73" s="14" t="str">
        <x:v>https://www.google.com/maps/search/?api=1&amp;query=GR+Remolques%2C+Fleming+1066%2C+San+Francisco%2C+C%C3%B3rdoba</x:v>
      </x:c>
      <x:c r="Y73" s="14" t="str">
        <x:v>Google Business</x:v>
      </x:c>
      <x:c r="Z73" s="14" t="str">
        <x:v>https://www.google.com/maps/search/?api=1&amp;query=GR+REMOLQUES%2C+Fleming+1066%2C+San+Francisco%2C+C%C3%B3rdoba</x:v>
      </x:c>
      <x:c r="AA73" s="14" t="str">
        <x:v>Servicio de remolque; potencial como alianza de contingencia.</x:v>
      </x:c>
      <x:c r="AB73" s="14" t="str">
        <x:v>Alta</x:v>
      </x:c>
      <x:c r="AC73" s="14" t="str">
        <x:v>Operativo / verificar antes de visita</x:v>
      </x:c>
      <x:c r="AD73" s="14" t="str">
        <x:v>Rastrillaje San Francisco 2026-09-15</x:v>
      </x:c>
      <x:c r="AE73" s="14" t="str">
        <x:v>Plataforma 20 tn | Malacate | Hidrogrúa | Entrega/retiro</x:v>
      </x:c>
      <x:c r="AF73" s="14" t="str">
        <x:v>SEGUNDA PASADA</x:v>
      </x:c>
    </x:row>
    <x:row r="74">
      <x:c r="A74" s="14" t="str">
        <x:v>SF-073</x:v>
      </x:c>
      <x:c r="B74" s="14" t="str">
        <x:v>Pendiente</x:v>
      </x:c>
      <x:c r="C74" s="14" t="str">
        <x:v>Núcleo</x:v>
      </x:c>
      <x:c r="D74" s="14" t="str">
        <x:v>San Francisco</x:v>
      </x:c>
      <x:c r="E74" s="14" t="str">
        <x:v>Parque Industrial</x:v>
      </x:c>
      <x:c r="F74" s="14" t="str">
        <x:v>B</x:v>
      </x:c>
      <x:c r="G74" s="14" t="n">
        <x:v>68</x:v>
      </x:c>
      <x:c r="H74" s="14" t="str">
        <x:v>Nicolás Fernando Felippa</x:v>
      </x:c>
      <x:c r="I74" s="14" t="str">
        <x:v>Metalúrgica / mecanizado / piezas</x:v>
      </x:c>
      <x:c r="J74" s="14" t="str">
        <x:v>A verificar</x:v>
      </x:c>
      <x:c r="K74" s="14" t="str">
        <x:v>A verificar</x:v>
      </x:c>
      <x:c r="L74" s="14" t="str">
        <x:v>producción / expedición / mantenimiento</x:v>
      </x:c>
      <x:c r="M74" s="14" t="str">
        <x:v>Despacho de piezas, conjuntos metálicos, componentes pesados o equipos de producción/mantenimiento.</x:v>
      </x:c>
      <x:c r="N74" s="14" t="str">
        <x:v>Plataforma + hidrogrúa + malacate; percha según carga.</x:v>
      </x:c>
      <x:c r="O74" s="14" t="str">
        <x:v>Resolver piezas pesadas o fuera de medida con un único proveedor.</x:v>
      </x:c>
      <x:c r="P74" s="14" t="str">
        <x:v>Pedir producción/expedición/mantenimiento y relevar piezas máximas/destinos.</x:v>
      </x:c>
      <x:c r="Q74" s="14" t="str"/>
      <x:c r="R74" s="14" t="str">
        <x:v>Parque Industrial San Francisco, San Francisco, Córdoba</x:v>
      </x:c>
      <x:c r="S74" s="14" t="str"/>
      <x:c r="T74" s="14" t="str"/>
      <x:c r="U74" s="14" t="str"/>
      <x:c r="V74" s="14" t="str"/>
      <x:c r="W74" s="14" t="str"/>
      <x:c r="X74" s="14" t="str">
        <x:v>https://www.google.com/maps/search/?api=1&amp;query=Nicol%C3%A1s+Fernando+Felippa%2C+Parque+Industrial+San+Francisco%2C+San+Francisco%2C+C%C3%B3rdoba</x:v>
      </x:c>
      <x:c r="Y74" s="14" t="str">
        <x:v>Directorio Parque Industrial</x:v>
      </x:c>
      <x:c r="Z74" s="14" t="str">
        <x:v>https://www.empresas.parqueindustrialsanfrancisco.com/directorio/empresas/metalurgica-fundicion-y-trabajo-del-metal/metalurgica/</x:v>
      </x:c>
      <x:c r="AA74" s="14" t="str">
        <x:v>Empresa listada actualmente en el directorio metalúrgico del Parque Industrial San Francisco.</x:v>
      </x:c>
      <x:c r="AB74" s="14" t="str">
        <x:v>Media</x:v>
      </x:c>
      <x:c r="AC74" s="14" t="str">
        <x:v>Operativo / verificar antes de visita</x:v>
      </x:c>
      <x:c r="AD74" s="14" t="str">
        <x:v>Rastrillaje San Francisco 2026-09-15</x:v>
      </x:c>
      <x:c r="AE74" s="14" t="str">
        <x:v>Plataforma 20 tn | Hidrogrúa | Malacate | Percha</x:v>
      </x:c>
      <x:c r="AF74" s="14" t="str">
        <x:v>SEGUNDA PASADA</x:v>
      </x:c>
    </x:row>
    <x:row r="75">
      <x:c r="A75" s="14" t="str">
        <x:v>SF-074</x:v>
      </x:c>
      <x:c r="B75" s="14" t="str">
        <x:v>Pendiente</x:v>
      </x:c>
      <x:c r="C75" s="14" t="str">
        <x:v>Núcleo</x:v>
      </x:c>
      <x:c r="D75" s="14" t="str">
        <x:v>San Francisco</x:v>
      </x:c>
      <x:c r="E75" s="14" t="str">
        <x:v>Salta</x:v>
      </x:c>
      <x:c r="F75" s="14" t="str">
        <x:v>B</x:v>
      </x:c>
      <x:c r="G75" s="14" t="n">
        <x:v>68</x:v>
      </x:c>
      <x:c r="H75" s="14" t="str">
        <x:v>Transporte San Francisco</x:v>
      </x:c>
      <x:c r="I75" s="14" t="str">
        <x:v>Transporte de mercancías</x:v>
      </x:c>
      <x:c r="J75" s="14" t="str">
        <x:v>03564 572250</x:v>
      </x:c>
      <x:c r="K75" s="14" t="str">
        <x:v>OK</x:v>
      </x:c>
      <x:c r="L75" s="14" t="str">
        <x:v>tráfico / operaciones</x:v>
      </x:c>
      <x:c r="M75" s="14" t="str">
        <x:v>Overflow y derivación de cargas/equipos que requieren plataforma, malacate o hidrogrúa.</x:v>
      </x:c>
      <x:c r="N75" s="14" t="str">
        <x:v>Capacidad complementaria: plataforma 20 tn + hidrogrúa + malacate.</x:v>
      </x:c>
      <x:c r="O75" s="14" t="str">
        <x:v>Ser socio de respaldo para cargas especiales que excedan la flota habitual.</x:v>
      </x:c>
      <x:c r="P75" s="14" t="str">
        <x:v>Pedir tráfico/operaciones y ofrecer acuerdo de derivaciones.</x:v>
      </x:c>
      <x:c r="Q75" s="14" t="str"/>
      <x:c r="R75" s="14" t="str">
        <x:v>Salta 270, San Francisco, Córdoba</x:v>
      </x:c>
      <x:c r="S75" s="14" t="str"/>
      <x:c r="T75" s="14" t="str"/>
      <x:c r="U75" s="14" t="str"/>
      <x:c r="V75" s="14" t="str"/>
      <x:c r="W75" s="14" t="str">
        <x:v>03564572250</x:v>
      </x:c>
      <x:c r="X75" s="14" t="str">
        <x:v>https://www.google.com/maps/search/?api=1&amp;query=Transporte+San+Francisco%2C+Salta+270%2C+San+Francisco%2C+C%C3%B3rdoba</x:v>
      </x:c>
      <x:c r="Y75" s="14" t="str">
        <x:v>Google Business</x:v>
      </x:c>
      <x:c r="Z75" s="14" t="str">
        <x:v>https://www.google.com/maps/search/?api=1&amp;query=Transporte+San+Francisco%2C+Salta+270%2C+San+Francisco%2C+C%C3%B3rdoba</x:v>
      </x:c>
      <x:c r="AA75" s="14" t="str">
        <x:v>Servicio local de transporte de mercancías.</x:v>
      </x:c>
      <x:c r="AB75" s="14" t="str">
        <x:v>Alta</x:v>
      </x:c>
      <x:c r="AC75" s="14" t="str">
        <x:v>Operativo / verificar antes de visita</x:v>
      </x:c>
      <x:c r="AD75" s="14" t="str">
        <x:v>Rastrillaje San Francisco 2026-09-15</x:v>
      </x:c>
      <x:c r="AE75" s="14" t="str">
        <x:v>Plataforma 20 tn | Hidrogrúa | Malacate | Subcontratación</x:v>
      </x:c>
      <x:c r="AF75" s="14" t="str">
        <x:v>SEGUNDA PASADA</x:v>
      </x:c>
    </x:row>
    <x:row r="76">
      <x:c r="A76" s="14" t="str">
        <x:v>SF-075</x:v>
      </x:c>
      <x:c r="B76" s="14" t="str">
        <x:v>Pendiente</x:v>
      </x:c>
      <x:c r="C76" s="14" t="str">
        <x:v>Núcleo</x:v>
      </x:c>
      <x:c r="D76" s="14" t="str">
        <x:v>San Francisco</x:v>
      </x:c>
      <x:c r="E76" s="14" t="str">
        <x:v>Parque Industrial</x:v>
      </x:c>
      <x:c r="F76" s="14" t="str">
        <x:v>B</x:v>
      </x:c>
      <x:c r="G76" s="14" t="n">
        <x:v>66</x:v>
      </x:c>
      <x:c r="H76" s="14" t="str">
        <x:v>Bollati Alejandro Humberto</x:v>
      </x:c>
      <x:c r="I76" s="14" t="str">
        <x:v>Metalúrgica / mecanizado / piezas</x:v>
      </x:c>
      <x:c r="J76" s="14" t="str">
        <x:v>A verificar</x:v>
      </x:c>
      <x:c r="K76" s="14" t="str">
        <x:v>A verificar</x:v>
      </x:c>
      <x:c r="L76" s="14" t="str">
        <x:v>producción / expedición / mantenimiento</x:v>
      </x:c>
      <x:c r="M76" s="14" t="str">
        <x:v>Despacho de piezas, conjuntos metálicos, componentes pesados o equipos de producción/mantenimiento.</x:v>
      </x:c>
      <x:c r="N76" s="14" t="str">
        <x:v>Plataforma + hidrogrúa + malacate; percha según carga.</x:v>
      </x:c>
      <x:c r="O76" s="14" t="str">
        <x:v>Resolver piezas pesadas o fuera de medida con un único proveedor.</x:v>
      </x:c>
      <x:c r="P76" s="14" t="str">
        <x:v>Pedir producción/expedición/mantenimiento y relevar piezas máximas/destinos.</x:v>
      </x:c>
      <x:c r="Q76" s="14" t="str"/>
      <x:c r="R76" s="14" t="str">
        <x:v>Parque Industrial San Francisco, San Francisco, Córdoba</x:v>
      </x:c>
      <x:c r="S76" s="14" t="str"/>
      <x:c r="T76" s="14" t="str"/>
      <x:c r="U76" s="14" t="str"/>
      <x:c r="V76" s="14" t="str"/>
      <x:c r="W76" s="14" t="str"/>
      <x:c r="X76" s="14" t="str">
        <x:v>https://www.google.com/maps/search/?api=1&amp;query=Bollati+Alejandro+Humberto%2C+Parque+Industrial+San+Francisco%2C+San+Francisco%2C+C%C3%B3rdoba</x:v>
      </x:c>
      <x:c r="Y76" s="14" t="str">
        <x:v>Directorio Parque Industrial</x:v>
      </x:c>
      <x:c r="Z76" s="14" t="str">
        <x:v>https://www.empresas.parqueindustrialsanfrancisco.com/directorio/empresas/metalurgica-fundicion-y-trabajo-del-metal/metalurgica/</x:v>
      </x:c>
      <x:c r="AA76" s="14" t="str">
        <x:v>Empresa listada actualmente en el directorio metalúrgico del Parque Industrial San Francisco.</x:v>
      </x:c>
      <x:c r="AB76" s="14" t="str">
        <x:v>Media</x:v>
      </x:c>
      <x:c r="AC76" s="14" t="str">
        <x:v>Operativo / verificar antes de visita</x:v>
      </x:c>
      <x:c r="AD76" s="14" t="str">
        <x:v>Rastrillaje San Francisco 2026-09-15</x:v>
      </x:c>
      <x:c r="AE76" s="14" t="str">
        <x:v>Plataforma 20 tn | Hidrogrúa | Malacate | Percha</x:v>
      </x:c>
      <x:c r="AF76" s="14" t="str">
        <x:v>SEGUNDA PASADA</x:v>
      </x:c>
    </x:row>
    <x:row r="77">
      <x:c r="A77" s="14" t="str">
        <x:v>SF-076</x:v>
      </x:c>
      <x:c r="B77" s="14" t="str">
        <x:v>Pendiente</x:v>
      </x:c>
      <x:c r="C77" s="14" t="str">
        <x:v>Núcleo</x:v>
      </x:c>
      <x:c r="D77" s="14" t="str">
        <x:v>San Francisco</x:v>
      </x:c>
      <x:c r="E77" s="14" t="str">
        <x:v>Parque Industrial</x:v>
      </x:c>
      <x:c r="F77" s="14" t="str">
        <x:v>B</x:v>
      </x:c>
      <x:c r="G77" s="14" t="n">
        <x:v>66</x:v>
      </x:c>
      <x:c r="H77" s="14" t="str">
        <x:v>Mario Aimar</x:v>
      </x:c>
      <x:c r="I77" s="14" t="str">
        <x:v>Metalúrgica / mecanizado / piezas</x:v>
      </x:c>
      <x:c r="J77" s="14" t="str">
        <x:v>A verificar</x:v>
      </x:c>
      <x:c r="K77" s="14" t="str">
        <x:v>A verificar</x:v>
      </x:c>
      <x:c r="L77" s="14" t="str">
        <x:v>producción / expedición / mantenimiento</x:v>
      </x:c>
      <x:c r="M77" s="14" t="str">
        <x:v>Despacho de piezas, conjuntos metálicos, componentes pesados o equipos de producción/mantenimiento.</x:v>
      </x:c>
      <x:c r="N77" s="14" t="str">
        <x:v>Plataforma + hidrogrúa + malacate; percha según carga.</x:v>
      </x:c>
      <x:c r="O77" s="14" t="str">
        <x:v>Resolver piezas pesadas o fuera de medida con un único proveedor.</x:v>
      </x:c>
      <x:c r="P77" s="14" t="str">
        <x:v>Pedir producción/expedición/mantenimiento y relevar piezas máximas/destinos.</x:v>
      </x:c>
      <x:c r="Q77" s="14" t="str"/>
      <x:c r="R77" s="14" t="str">
        <x:v>Parque Industrial San Francisco, San Francisco, Córdoba</x:v>
      </x:c>
      <x:c r="S77" s="14" t="str"/>
      <x:c r="T77" s="14" t="str"/>
      <x:c r="U77" s="14" t="str"/>
      <x:c r="V77" s="14" t="str"/>
      <x:c r="W77" s="14" t="str"/>
      <x:c r="X77" s="14" t="str">
        <x:v>https://www.google.com/maps/search/?api=1&amp;query=Mario+Aimar%2C+Parque+Industrial+San+Francisco%2C+San+Francisco%2C+C%C3%B3rdoba</x:v>
      </x:c>
      <x:c r="Y77" s="14" t="str">
        <x:v>Directorio Parque Industrial</x:v>
      </x:c>
      <x:c r="Z77" s="14" t="str">
        <x:v>https://www.empresas.parqueindustrialsanfrancisco.com/directorio/empresas/metalurgica-fundicion-y-trabajo-del-metal/metalurgica/</x:v>
      </x:c>
      <x:c r="AA77" s="14" t="str">
        <x:v>Empresa listada actualmente en el directorio metalúrgico del Parque Industrial San Francisco.</x:v>
      </x:c>
      <x:c r="AB77" s="14" t="str">
        <x:v>Media</x:v>
      </x:c>
      <x:c r="AC77" s="14" t="str">
        <x:v>Operativo / verificar antes de visita</x:v>
      </x:c>
      <x:c r="AD77" s="14" t="str">
        <x:v>Rastrillaje San Francisco 2026-09-15</x:v>
      </x:c>
      <x:c r="AE77" s="14" t="str">
        <x:v>Plataforma 20 tn | Hidrogrúa | Malacate | Percha</x:v>
      </x:c>
      <x:c r="AF77" s="14" t="str">
        <x:v>SEGUNDA PASADA</x:v>
      </x:c>
    </x:row>
    <x:row r="78">
      <x:c r="A78" s="14" t="str">
        <x:v>SF-077</x:v>
      </x:c>
      <x:c r="B78" s="14" t="str">
        <x:v>Pendiente</x:v>
      </x:c>
      <x:c r="C78" s="14" t="str">
        <x:v>Núcleo</x:v>
      </x:c>
      <x:c r="D78" s="14" t="str">
        <x:v>San Francisco</x:v>
      </x:c>
      <x:c r="E78" s="14" t="str">
        <x:v>Parque Industrial</x:v>
      </x:c>
      <x:c r="F78" s="14" t="str">
        <x:v>B</x:v>
      </x:c>
      <x:c r="G78" s="14" t="n">
        <x:v>66</x:v>
      </x:c>
      <x:c r="H78" s="14" t="str">
        <x:v>Tuninetti Miguel Ángel</x:v>
      </x:c>
      <x:c r="I78" s="14" t="str">
        <x:v>Metalúrgica / mecanizado / piezas</x:v>
      </x:c>
      <x:c r="J78" s="14" t="str">
        <x:v>A verificar</x:v>
      </x:c>
      <x:c r="K78" s="14" t="str">
        <x:v>A verificar</x:v>
      </x:c>
      <x:c r="L78" s="14" t="str">
        <x:v>producción / expedición / mantenimiento</x:v>
      </x:c>
      <x:c r="M78" s="14" t="str">
        <x:v>Despacho de piezas, conjuntos metálicos, componentes pesados o equipos de producción/mantenimiento.</x:v>
      </x:c>
      <x:c r="N78" s="14" t="str">
        <x:v>Plataforma + hidrogrúa + malacate; percha según carga.</x:v>
      </x:c>
      <x:c r="O78" s="14" t="str">
        <x:v>Resolver piezas pesadas o fuera de medida con un único proveedor.</x:v>
      </x:c>
      <x:c r="P78" s="14" t="str">
        <x:v>Pedir producción/expedición/mantenimiento y relevar piezas máximas/destinos.</x:v>
      </x:c>
      <x:c r="Q78" s="14" t="str"/>
      <x:c r="R78" s="14" t="str">
        <x:v>Parque Industrial San Francisco, San Francisco, Córdoba</x:v>
      </x:c>
      <x:c r="S78" s="14" t="str"/>
      <x:c r="T78" s="14" t="str"/>
      <x:c r="U78" s="14" t="str"/>
      <x:c r="V78" s="14" t="str"/>
      <x:c r="W78" s="14" t="str"/>
      <x:c r="X78" s="14" t="str">
        <x:v>https://www.google.com/maps/search/?api=1&amp;query=Tuninetti+Miguel+%C3%81ngel%2C+Parque+Industrial+San+Francisco%2C+San+Francisco%2C+C%C3%B3rdoba</x:v>
      </x:c>
      <x:c r="Y78" s="14" t="str">
        <x:v>Directorio Parque Industrial</x:v>
      </x:c>
      <x:c r="Z78" s="14" t="str">
        <x:v>https://www.empresas.parqueindustrialsanfrancisco.com/directorio/empresas/metalurgica-fundicion-y-trabajo-del-metal/metalurgica/</x:v>
      </x:c>
      <x:c r="AA78" s="14" t="str">
        <x:v>Empresa listada actualmente en el directorio metalúrgico del Parque Industrial San Francisco.</x:v>
      </x:c>
      <x:c r="AB78" s="14" t="str">
        <x:v>Media</x:v>
      </x:c>
      <x:c r="AC78" s="14" t="str">
        <x:v>Operativo / verificar antes de visita</x:v>
      </x:c>
      <x:c r="AD78" s="14" t="str">
        <x:v>Rastrillaje San Francisco 2026-09-15</x:v>
      </x:c>
      <x:c r="AE78" s="14" t="str">
        <x:v>Plataforma 20 tn | Hidrogrúa | Malacate | Percha</x:v>
      </x:c>
      <x:c r="AF78" s="14" t="str">
        <x:v>SEGUNDA PASADA</x:v>
      </x:c>
    </x:row>
    <x:row r="79">
      <x:c r="A79" s="14" t="str">
        <x:v>SF-078</x:v>
      </x:c>
      <x:c r="B79" s="14" t="str">
        <x:v>Pendiente</x:v>
      </x:c>
      <x:c r="C79" s="14" t="str">
        <x:v>Núcleo</x:v>
      </x:c>
      <x:c r="D79" s="14" t="str">
        <x:v>San Francisco</x:v>
      </x:c>
      <x:c r="E79" s="14" t="str">
        <x:v>Parque Industrial</x:v>
      </x:c>
      <x:c r="F79" s="14" t="str">
        <x:v>B</x:v>
      </x:c>
      <x:c r="G79" s="14" t="n">
        <x:v>64</x:v>
      </x:c>
      <x:c r="H79" s="14" t="str">
        <x:v>Adrian Pagliano</x:v>
      </x:c>
      <x:c r="I79" s="14" t="str">
        <x:v>Metalúrgica / mecanizado / piezas</x:v>
      </x:c>
      <x:c r="J79" s="14" t="str">
        <x:v>A verificar</x:v>
      </x:c>
      <x:c r="K79" s="14" t="str">
        <x:v>A verificar</x:v>
      </x:c>
      <x:c r="L79" s="14" t="str">
        <x:v>producción / expedición / mantenimiento</x:v>
      </x:c>
      <x:c r="M79" s="14" t="str">
        <x:v>Despacho de piezas, conjuntos metálicos, componentes pesados o equipos de producción/mantenimiento.</x:v>
      </x:c>
      <x:c r="N79" s="14" t="str">
        <x:v>Plataforma + hidrogrúa + malacate; percha según carga.</x:v>
      </x:c>
      <x:c r="O79" s="14" t="str">
        <x:v>Resolver piezas pesadas o fuera de medida con un único proveedor.</x:v>
      </x:c>
      <x:c r="P79" s="14" t="str">
        <x:v>Pedir producción/expedición/mantenimiento y relevar piezas máximas/destinos.</x:v>
      </x:c>
      <x:c r="Q79" s="14" t="str"/>
      <x:c r="R79" s="14" t="str">
        <x:v>Parque Industrial San Francisco, San Francisco, Córdoba</x:v>
      </x:c>
      <x:c r="S79" s="14" t="str"/>
      <x:c r="T79" s="14" t="str"/>
      <x:c r="U79" s="14" t="str"/>
      <x:c r="V79" s="14" t="str"/>
      <x:c r="W79" s="14" t="str"/>
      <x:c r="X79" s="14" t="str">
        <x:v>https://www.google.com/maps/search/?api=1&amp;query=Adrian+Pagliano%2C+Parque+Industrial+San+Francisco%2C+San+Francisco%2C+C%C3%B3rdoba</x:v>
      </x:c>
      <x:c r="Y79" s="14" t="str">
        <x:v>Directorio Parque Industrial</x:v>
      </x:c>
      <x:c r="Z79" s="14" t="str">
        <x:v>https://www.empresas.parqueindustrialsanfrancisco.com/directorio/empresas/metalurgica-fundicion-y-trabajo-del-metal/metalurgica/</x:v>
      </x:c>
      <x:c r="AA79" s="14" t="str">
        <x:v>Empresa listada actualmente en el directorio metalúrgico del Parque Industrial San Francisco.</x:v>
      </x:c>
      <x:c r="AB79" s="14" t="str">
        <x:v>Media</x:v>
      </x:c>
      <x:c r="AC79" s="14" t="str">
        <x:v>Operativo / verificar antes de visita</x:v>
      </x:c>
      <x:c r="AD79" s="14" t="str">
        <x:v>Rastrillaje San Francisco 2026-09-15</x:v>
      </x:c>
      <x:c r="AE79" s="14" t="str">
        <x:v>Plataforma 20 tn | Hidrogrúa | Malacate | Percha</x:v>
      </x:c>
      <x:c r="AF79" s="14" t="str">
        <x:v>SEGUNDA PASADA</x:v>
      </x:c>
    </x:row>
    <x:row r="80">
      <x:c r="A80" s="14" t="str">
        <x:v>SF-079</x:v>
      </x:c>
      <x:c r="B80" s="14" t="str">
        <x:v>Pendiente</x:v>
      </x:c>
      <x:c r="C80" s="14" t="str">
        <x:v>Núcleo</x:v>
      </x:c>
      <x:c r="D80" s="14" t="str">
        <x:v>San Francisco</x:v>
      </x:c>
      <x:c r="E80" s="14" t="str">
        <x:v>Parque Industrial</x:v>
      </x:c>
      <x:c r="F80" s="14" t="str">
        <x:v>B</x:v>
      </x:c>
      <x:c r="G80" s="14" t="n">
        <x:v>64</x:v>
      </x:c>
      <x:c r="H80" s="14" t="str">
        <x:v>Machado Gabriel Horacio</x:v>
      </x:c>
      <x:c r="I80" s="14" t="str">
        <x:v>Metalúrgica / mecanizado / piezas</x:v>
      </x:c>
      <x:c r="J80" s="14" t="str">
        <x:v>A verificar</x:v>
      </x:c>
      <x:c r="K80" s="14" t="str">
        <x:v>A verificar</x:v>
      </x:c>
      <x:c r="L80" s="14" t="str">
        <x:v>producción / expedición / mantenimiento</x:v>
      </x:c>
      <x:c r="M80" s="14" t="str">
        <x:v>Despacho de piezas, conjuntos metálicos, componentes pesados o equipos de producción/mantenimiento.</x:v>
      </x:c>
      <x:c r="N80" s="14" t="str">
        <x:v>Plataforma + hidrogrúa + malacate; percha según carga.</x:v>
      </x:c>
      <x:c r="O80" s="14" t="str">
        <x:v>Resolver piezas pesadas o fuera de medida con un único proveedor.</x:v>
      </x:c>
      <x:c r="P80" s="14" t="str">
        <x:v>Pedir producción/expedición/mantenimiento y relevar piezas máximas/destinos.</x:v>
      </x:c>
      <x:c r="Q80" s="14" t="str"/>
      <x:c r="R80" s="14" t="str">
        <x:v>Parque Industrial San Francisco, San Francisco, Córdoba</x:v>
      </x:c>
      <x:c r="S80" s="14" t="str"/>
      <x:c r="T80" s="14" t="str"/>
      <x:c r="U80" s="14" t="str"/>
      <x:c r="V80" s="14" t="str"/>
      <x:c r="W80" s="14" t="str"/>
      <x:c r="X80" s="14" t="str">
        <x:v>https://www.google.com/maps/search/?api=1&amp;query=Machado+Gabriel+Horacio%2C+Parque+Industrial+San+Francisco%2C+San+Francisco%2C+C%C3%B3rdoba</x:v>
      </x:c>
      <x:c r="Y80" s="14" t="str">
        <x:v>Directorio Parque Industrial</x:v>
      </x:c>
      <x:c r="Z80" s="14" t="str">
        <x:v>https://www.empresas.parqueindustrialsanfrancisco.com/directorio/empresas/metalurgica-fundicion-y-trabajo-del-metal/metalurgica/</x:v>
      </x:c>
      <x:c r="AA80" s="14" t="str">
        <x:v>Empresa listada actualmente en el directorio metalúrgico del Parque Industrial San Francisco.</x:v>
      </x:c>
      <x:c r="AB80" s="14" t="str">
        <x:v>Media</x:v>
      </x:c>
      <x:c r="AC80" s="14" t="str">
        <x:v>Operativo / verificar antes de visita</x:v>
      </x:c>
      <x:c r="AD80" s="14" t="str">
        <x:v>Rastrillaje San Francisco 2026-09-15</x:v>
      </x:c>
      <x:c r="AE80" s="14" t="str">
        <x:v>Plataforma 20 tn | Hidrogrúa | Malacate | Percha</x:v>
      </x:c>
      <x:c r="AF80" s="14" t="str">
        <x:v>SEGUNDA PASADA</x:v>
      </x:c>
    </x:row>
    <x:row r="81">
      <x:c r="A81" s="14" t="str">
        <x:v>SF-080</x:v>
      </x:c>
      <x:c r="B81" s="14" t="str">
        <x:v>Pendiente</x:v>
      </x:c>
      <x:c r="C81" s="14" t="str">
        <x:v>Núcleo</x:v>
      </x:c>
      <x:c r="D81" s="14" t="str">
        <x:v>San Francisco</x:v>
      </x:c>
      <x:c r="E81" s="14" t="str">
        <x:v>Parque Industrial</x:v>
      </x:c>
      <x:c r="F81" s="14" t="str">
        <x:v>B</x:v>
      </x:c>
      <x:c r="G81" s="14" t="n">
        <x:v>64</x:v>
      </x:c>
      <x:c r="H81" s="14" t="str">
        <x:v>Marcelo Luis Tortolo</x:v>
      </x:c>
      <x:c r="I81" s="14" t="str">
        <x:v>Autopartes / automotor</x:v>
      </x:c>
      <x:c r="J81" s="14" t="str">
        <x:v>A verificar</x:v>
      </x:c>
      <x:c r="K81" s="14" t="str">
        <x:v>A verificar</x:v>
      </x:c>
      <x:c r="L81" s="14" t="str">
        <x:v>producción / logística / expedición</x:v>
      </x:c>
      <x:c r="M81" s="14" t="str">
        <x:v>Despacho de piezas, conjuntos metálicos, componentes pesados o equipos de producción/mantenimiento.</x:v>
      </x:c>
      <x:c r="N81" s="14" t="str">
        <x:v>Plataforma + hidrogrúa + malacate; percha según carga.</x:v>
      </x:c>
      <x:c r="O81" s="14" t="str">
        <x:v>Resolver piezas pesadas o fuera de medida con un único proveedor.</x:v>
      </x:c>
      <x:c r="P81" s="14" t="str">
        <x:v>Pedir producción/expedición/mantenimiento y relevar piezas máximas/destinos.</x:v>
      </x:c>
      <x:c r="Q81" s="14" t="str"/>
      <x:c r="R81" s="14" t="str">
        <x:v>Parque Industrial San Francisco, San Francisco, Córdoba</x:v>
      </x:c>
      <x:c r="S81" s="14" t="str"/>
      <x:c r="T81" s="14" t="str"/>
      <x:c r="U81" s="14" t="str"/>
      <x:c r="V81" s="14" t="str"/>
      <x:c r="W81" s="14" t="str"/>
      <x:c r="X81" s="14" t="str">
        <x:v>https://www.google.com/maps/search/?api=1&amp;query=Marcelo+Luis+Tortolo%2C+Parque+Industrial+San+Francisco%2C+San+Francisco%2C+C%C3%B3rdoba</x:v>
      </x:c>
      <x:c r="Y81" s="14" t="str">
        <x:v>Directorio Parque Industrial</x:v>
      </x:c>
      <x:c r="Z81" s="14" t="str">
        <x:v>https://empresas.parqueindustrialsanfrancisco.com/directorio/empresas/automotor/autopartes/</x:v>
      </x:c>
      <x:c r="AA81" s="14" t="str">
        <x:v>Empresa listada en la categoría Autopartes del Parque Industrial.</x:v>
      </x:c>
      <x:c r="AB81" s="14" t="str">
        <x:v>Media</x:v>
      </x:c>
      <x:c r="AC81" s="14" t="str">
        <x:v>Operativo / verificar antes de visita</x:v>
      </x:c>
      <x:c r="AD81" s="14" t="str">
        <x:v>Rastrillaje San Francisco 2026-09-15</x:v>
      </x:c>
      <x:c r="AE81" s="14" t="str">
        <x:v>Plataforma 20 tn | Hidrogrúa | Malacate | Percha</x:v>
      </x:c>
      <x:c r="AF81" s="14" t="str">
        <x:v>SEGUNDA PASADA</x:v>
      </x:c>
    </x:row>
    <x:row r="82">
      <x:c r="A82" s="14" t="str">
        <x:v>SF-081</x:v>
      </x:c>
      <x:c r="B82" s="14" t="str">
        <x:v>Pendiente</x:v>
      </x:c>
      <x:c r="C82" s="14" t="str">
        <x:v>Núcleo</x:v>
      </x:c>
      <x:c r="D82" s="14" t="str">
        <x:v>San Francisco</x:v>
      </x:c>
      <x:c r="E82" s="14" t="str">
        <x:v>Parque Industrial</x:v>
      </x:c>
      <x:c r="F82" s="14" t="str">
        <x:v>B</x:v>
      </x:c>
      <x:c r="G82" s="14" t="n">
        <x:v>64</x:v>
      </x:c>
      <x:c r="H82" s="14" t="str">
        <x:v>Mosca Eduardo Osvaldo</x:v>
      </x:c>
      <x:c r="I82" s="14" t="str">
        <x:v>Metalúrgica / mecanizado / piezas</x:v>
      </x:c>
      <x:c r="J82" s="14" t="str">
        <x:v>A verificar</x:v>
      </x:c>
      <x:c r="K82" s="14" t="str">
        <x:v>A verificar</x:v>
      </x:c>
      <x:c r="L82" s="14" t="str">
        <x:v>producción / expedición / mantenimiento</x:v>
      </x:c>
      <x:c r="M82" s="14" t="str">
        <x:v>Despacho de piezas, conjuntos metálicos, componentes pesados o equipos de producción/mantenimiento.</x:v>
      </x:c>
      <x:c r="N82" s="14" t="str">
        <x:v>Plataforma + hidrogrúa + malacate; percha según carga.</x:v>
      </x:c>
      <x:c r="O82" s="14" t="str">
        <x:v>Resolver piezas pesadas o fuera de medida con un único proveedor.</x:v>
      </x:c>
      <x:c r="P82" s="14" t="str">
        <x:v>Pedir producción/expedición/mantenimiento y relevar piezas máximas/destinos.</x:v>
      </x:c>
      <x:c r="Q82" s="14" t="str"/>
      <x:c r="R82" s="14" t="str">
        <x:v>Parque Industrial San Francisco, San Francisco, Córdoba</x:v>
      </x:c>
      <x:c r="S82" s="14" t="str"/>
      <x:c r="T82" s="14" t="str"/>
      <x:c r="U82" s="14" t="str"/>
      <x:c r="V82" s="14" t="str"/>
      <x:c r="W82" s="14" t="str"/>
      <x:c r="X82" s="14" t="str">
        <x:v>https://www.google.com/maps/search/?api=1&amp;query=Mosca+Eduardo+Osvaldo%2C+Parque+Industrial+San+Francisco%2C+San+Francisco%2C+C%C3%B3rdoba</x:v>
      </x:c>
      <x:c r="Y82" s="14" t="str">
        <x:v>Directorio Parque Industrial</x:v>
      </x:c>
      <x:c r="Z82" s="14" t="str">
        <x:v>https://www.empresas.parqueindustrialsanfrancisco.com/directorio/empresas/metalurgica-fundicion-y-trabajo-del-metal/metalurgica/</x:v>
      </x:c>
      <x:c r="AA82" s="14" t="str">
        <x:v>Empresa listada actualmente en el directorio metalúrgico del Parque Industrial San Francisco.</x:v>
      </x:c>
      <x:c r="AB82" s="14" t="str">
        <x:v>Media</x:v>
      </x:c>
      <x:c r="AC82" s="14" t="str">
        <x:v>Operativo / verificar antes de visita</x:v>
      </x:c>
      <x:c r="AD82" s="14" t="str">
        <x:v>Rastrillaje San Francisco 2026-09-15</x:v>
      </x:c>
      <x:c r="AE82" s="14" t="str">
        <x:v>Plataforma 20 tn | Hidrogrúa | Malacate | Percha</x:v>
      </x:c>
      <x:c r="AF82" s="14" t="str">
        <x:v>SEGUNDA PASADA</x:v>
      </x:c>
    </x:row>
    <x:row r="83">
      <x:c r="A83" s="14" t="str">
        <x:v>SF-082</x:v>
      </x:c>
      <x:c r="B83" s="14" t="str">
        <x:v>Pendiente</x:v>
      </x:c>
      <x:c r="C83" s="14" t="str">
        <x:v>Núcleo</x:v>
      </x:c>
      <x:c r="D83" s="14" t="str">
        <x:v>San Francisco</x:v>
      </x:c>
      <x:c r="E83" s="14" t="str">
        <x:v>Parque Industrial</x:v>
      </x:c>
      <x:c r="F83" s="14" t="str">
        <x:v>B</x:v>
      </x:c>
      <x:c r="G83" s="14" t="n">
        <x:v>64</x:v>
      </x:c>
      <x:c r="H83" s="14" t="str">
        <x:v>Scocco Alberto Luis</x:v>
      </x:c>
      <x:c r="I83" s="14" t="str">
        <x:v>Metalúrgica / mecanizado / piezas</x:v>
      </x:c>
      <x:c r="J83" s="14" t="str">
        <x:v>A verificar</x:v>
      </x:c>
      <x:c r="K83" s="14" t="str">
        <x:v>A verificar</x:v>
      </x:c>
      <x:c r="L83" s="14" t="str">
        <x:v>producción / expedición / mantenimiento</x:v>
      </x:c>
      <x:c r="M83" s="14" t="str">
        <x:v>Despacho de piezas, conjuntos metálicos, componentes pesados o equipos de producción/mantenimiento.</x:v>
      </x:c>
      <x:c r="N83" s="14" t="str">
        <x:v>Plataforma + hidrogrúa + malacate; percha según carga.</x:v>
      </x:c>
      <x:c r="O83" s="14" t="str">
        <x:v>Resolver piezas pesadas o fuera de medida con un único proveedor.</x:v>
      </x:c>
      <x:c r="P83" s="14" t="str">
        <x:v>Pedir producción/expedición/mantenimiento y relevar piezas máximas/destinos.</x:v>
      </x:c>
      <x:c r="Q83" s="14" t="str"/>
      <x:c r="R83" s="14" t="str">
        <x:v>Parque Industrial San Francisco, San Francisco, Córdoba</x:v>
      </x:c>
      <x:c r="S83" s="14" t="str"/>
      <x:c r="T83" s="14" t="str"/>
      <x:c r="U83" s="14" t="str"/>
      <x:c r="V83" s="14" t="str"/>
      <x:c r="W83" s="14" t="str"/>
      <x:c r="X83" s="14" t="str">
        <x:v>https://www.google.com/maps/search/?api=1&amp;query=Scocco+Alberto+Luis%2C+Parque+Industrial+San+Francisco%2C+San+Francisco%2C+C%C3%B3rdoba</x:v>
      </x:c>
      <x:c r="Y83" s="14" t="str">
        <x:v>Directorio Parque Industrial</x:v>
      </x:c>
      <x:c r="Z83" s="14" t="str">
        <x:v>https://www.empresas.parqueindustrialsanfrancisco.com/directorio/empresas/metalurgica-fundicion-y-trabajo-del-metal/metalurgica/</x:v>
      </x:c>
      <x:c r="AA83" s="14" t="str">
        <x:v>Empresa listada actualmente en el directorio metalúrgico del Parque Industrial San Francisco.</x:v>
      </x:c>
      <x:c r="AB83" s="14" t="str">
        <x:v>Media</x:v>
      </x:c>
      <x:c r="AC83" s="14" t="str">
        <x:v>Operativo / verificar antes de visita</x:v>
      </x:c>
      <x:c r="AD83" s="14" t="str">
        <x:v>Rastrillaje San Francisco 2026-09-15</x:v>
      </x:c>
      <x:c r="AE83" s="14" t="str">
        <x:v>Plataforma 20 tn | Hidrogrúa | Malacate | Percha</x:v>
      </x:c>
      <x:c r="AF83" s="14" t="str">
        <x:v>SEGUNDA PASADA</x:v>
      </x:c>
    </x:row>
    <x:row r="84">
      <x:c r="A84" s="14" t="str">
        <x:v>SF-083</x:v>
      </x:c>
      <x:c r="B84" s="14" t="str">
        <x:v>Pendiente</x:v>
      </x:c>
      <x:c r="C84" s="14" t="str">
        <x:v>Núcleo</x:v>
      </x:c>
      <x:c r="D84" s="14" t="str">
        <x:v>San Francisco</x:v>
      </x:c>
      <x:c r="E84" s="14" t="str">
        <x:v>Parque Industrial</x:v>
      </x:c>
      <x:c r="F84" s="14" t="str">
        <x:v>B</x:v>
      </x:c>
      <x:c r="G84" s="14" t="n">
        <x:v>64</x:v>
      </x:c>
      <x:c r="H84" s="14" t="str">
        <x:v>Vagliente Javier Adalberto</x:v>
      </x:c>
      <x:c r="I84" s="14" t="str">
        <x:v>Metalúrgica / mecanizado / piezas</x:v>
      </x:c>
      <x:c r="J84" s="14" t="str">
        <x:v>A verificar</x:v>
      </x:c>
      <x:c r="K84" s="14" t="str">
        <x:v>A verificar</x:v>
      </x:c>
      <x:c r="L84" s="14" t="str">
        <x:v>producción / expedición / mantenimiento</x:v>
      </x:c>
      <x:c r="M84" s="14" t="str">
        <x:v>Despacho de piezas, conjuntos metálicos, componentes pesados o equipos de producción/mantenimiento.</x:v>
      </x:c>
      <x:c r="N84" s="14" t="str">
        <x:v>Plataforma + hidrogrúa + malacate; percha según carga.</x:v>
      </x:c>
      <x:c r="O84" s="14" t="str">
        <x:v>Resolver piezas pesadas o fuera de medida con un único proveedor.</x:v>
      </x:c>
      <x:c r="P84" s="14" t="str">
        <x:v>Pedir producción/expedición/mantenimiento y relevar piezas máximas/destinos.</x:v>
      </x:c>
      <x:c r="Q84" s="14" t="str"/>
      <x:c r="R84" s="14" t="str">
        <x:v>Parque Industrial San Francisco, San Francisco, Córdoba</x:v>
      </x:c>
      <x:c r="S84" s="14" t="str"/>
      <x:c r="T84" s="14" t="str"/>
      <x:c r="U84" s="14" t="str"/>
      <x:c r="V84" s="14" t="str"/>
      <x:c r="W84" s="14" t="str"/>
      <x:c r="X84" s="14" t="str">
        <x:v>https://www.google.com/maps/search/?api=1&amp;query=Vagliente+Javier+Adalberto%2C+Parque+Industrial+San+Francisco%2C+San+Francisco%2C+C%C3%B3rdoba</x:v>
      </x:c>
      <x:c r="Y84" s="14" t="str">
        <x:v>Directorio Parque Industrial</x:v>
      </x:c>
      <x:c r="Z84" s="14" t="str">
        <x:v>https://www.empresas.parqueindustrialsanfrancisco.com/directorio/empresas/metalurgica-fundicion-y-trabajo-del-metal/metalurgica/</x:v>
      </x:c>
      <x:c r="AA84" s="14" t="str">
        <x:v>Empresa listada actualmente en el directorio metalúrgico del Parque Industrial San Francisco.</x:v>
      </x:c>
      <x:c r="AB84" s="14" t="str">
        <x:v>Media</x:v>
      </x:c>
      <x:c r="AC84" s="14" t="str">
        <x:v>Operativo / verificar antes de visita</x:v>
      </x:c>
      <x:c r="AD84" s="14" t="str">
        <x:v>Rastrillaje San Francisco 2026-09-15</x:v>
      </x:c>
      <x:c r="AE84" s="14" t="str">
        <x:v>Plataforma 20 tn | Hidrogrúa | Malacate | Percha</x:v>
      </x:c>
      <x:c r="AF84" s="14" t="str">
        <x:v>SEGUNDA PASADA</x:v>
      </x:c>
    </x:row>
    <x:row r="85">
      <x:c r="A85" s="14" t="str">
        <x:v>SF-084</x:v>
      </x:c>
      <x:c r="B85" s="14" t="str">
        <x:v>Pendiente</x:v>
      </x:c>
      <x:c r="C85" s="14" t="str">
        <x:v>Núcleo</x:v>
      </x:c>
      <x:c r="D85" s="14" t="str">
        <x:v>San Francisco</x:v>
      </x:c>
      <x:c r="E85" s="14" t="str">
        <x:v>Parque Industrial</x:v>
      </x:c>
      <x:c r="F85" s="14" t="str">
        <x:v>B</x:v>
      </x:c>
      <x:c r="G85" s="14" t="n">
        <x:v>62</x:v>
      </x:c>
      <x:c r="H85" s="14" t="str">
        <x:v>MSF Tech S.A.</x:v>
      </x:c>
      <x:c r="I85" s="14" t="str">
        <x:v>Tecnología / industria</x:v>
      </x:c>
      <x:c r="J85" s="14" t="str">
        <x:v>A verificar</x:v>
      </x:c>
      <x:c r="K85" s="14" t="str">
        <x:v>A verificar</x:v>
      </x:c>
      <x:c r="L85" s="14" t="str">
        <x:v>operaciones / mantenimiento</x:v>
      </x:c>
      <x:c r="M85" s="14" t="str">
        <x:v>Movimientos de mantenimiento, motores, bombas, equipos y cargas extraordinarias de planta.</x:v>
      </x:c>
      <x:c r="N85" s="14" t="str">
        <x:v>Plataforma + hidrogrúa + percha + seguro/GPS.</x:v>
      </x:c>
      <x:c r="O85" s="14" t="str">
        <x:v>Proveedor local para paradas, montajes y movimientos no rutinarios.</x:v>
      </x:c>
      <x:c r="P85" s="14" t="str">
        <x:v>Pedir mantenimiento/compras/planta; relevar equipos críticos.</x:v>
      </x:c>
      <x:c r="Q85" s="14" t="str"/>
      <x:c r="R85" s="14" t="str">
        <x:v>Parque Industrial San Francisco, San Francisco, Córdoba</x:v>
      </x:c>
      <x:c r="S85" s="14" t="str"/>
      <x:c r="T85" s="14" t="str"/>
      <x:c r="U85" s="14" t="str"/>
      <x:c r="V85" s="14" t="str"/>
      <x:c r="W85" s="14" t="str"/>
      <x:c r="X85" s="14" t="str">
        <x:v>https://www.google.com/maps/search/?api=1&amp;query=MSF+Tech+S.A.%2C+Parque+Industrial+San+Francisco%2C+San+Francisco%2C+C%C3%B3rdoba</x:v>
      </x:c>
      <x:c r="Y85" s="14" t="str">
        <x:v>Parque Industrial oficial</x:v>
      </x:c>
      <x:c r="Z85" s="14" t="str">
        <x:v>https://www.parqueindustrialsanfrancisco.com/</x:v>
      </x:c>
      <x:c r="AA85" s="14" t="str">
        <x:v>Empresa radicada en el Parque Industrial; requiere calificación comercial.</x:v>
      </x:c>
      <x:c r="AB85" s="14" t="str">
        <x:v>Media</x:v>
      </x:c>
      <x:c r="AC85" s="14" t="str">
        <x:v>Operativo / verificar antes de visita</x:v>
      </x:c>
      <x:c r="AD85" s="14" t="str">
        <x:v>Rastrillaje San Francisco 2026-09-15</x:v>
      </x:c>
      <x:c r="AE85" s="14" t="str">
        <x:v>Plataforma 20 tn | Hidrogrúa | Percha | Seguro/GPS</x:v>
      </x:c>
      <x:c r="AF85" s="14" t="str">
        <x:v>SEGUNDA PASADA</x:v>
      </x:c>
    </x:row>
    <x:row r="86">
      <x:c r="A86" s="14" t="str">
        <x:v>SF-085</x:v>
      </x:c>
      <x:c r="B86" s="14" t="str">
        <x:v>Pendiente</x:v>
      </x:c>
      <x:c r="C86" s="14" t="str">
        <x:v>Núcleo</x:v>
      </x:c>
      <x:c r="D86" s="14" t="str">
        <x:v>San Francisco</x:v>
      </x:c>
      <x:c r="E86" s="14" t="str">
        <x:v>Parque Industrial</x:v>
      </x:c>
      <x:c r="F86" s="14" t="str">
        <x:v>B</x:v>
      </x:c>
      <x:c r="G86" s="14" t="n">
        <x:v>60</x:v>
      </x:c>
      <x:c r="H86" s="14" t="str">
        <x:v>H.M. Plastic S.A.</x:v>
      </x:c>
      <x:c r="I86" s="14" t="str">
        <x:v>Industria plástica</x:v>
      </x:c>
      <x:c r="J86" s="14" t="str">
        <x:v>A verificar</x:v>
      </x:c>
      <x:c r="K86" s="14" t="str">
        <x:v>A verificar</x:v>
      </x:c>
      <x:c r="L86" s="14" t="str">
        <x:v>producción / logística</x:v>
      </x:c>
      <x:c r="M86" s="14" t="str">
        <x:v>Movimientos de mantenimiento, motores, bombas, equipos y cargas extraordinarias de planta.</x:v>
      </x:c>
      <x:c r="N86" s="14" t="str">
        <x:v>Plataforma + hidrogrúa + percha + seguro/GPS.</x:v>
      </x:c>
      <x:c r="O86" s="14" t="str">
        <x:v>Proveedor local para paradas, montajes y movimientos no rutinarios.</x:v>
      </x:c>
      <x:c r="P86" s="14" t="str">
        <x:v>Pedir mantenimiento/compras/planta; relevar equipos críticos.</x:v>
      </x:c>
      <x:c r="Q86" s="14" t="str"/>
      <x:c r="R86" s="14" t="str">
        <x:v>Parque Industrial San Francisco, San Francisco, Córdoba</x:v>
      </x:c>
      <x:c r="S86" s="14" t="str"/>
      <x:c r="T86" s="14" t="str"/>
      <x:c r="U86" s="14" t="str"/>
      <x:c r="V86" s="14" t="str"/>
      <x:c r="W86" s="14" t="str"/>
      <x:c r="X86" s="14" t="str">
        <x:v>https://www.google.com/maps/search/?api=1&amp;query=H.M.+Plastic+S.A.%2C+Parque+Industrial+San+Francisco%2C+San+Francisco%2C+C%C3%B3rdoba</x:v>
      </x:c>
      <x:c r="Y86" s="14" t="str">
        <x:v>Parque Industrial oficial</x:v>
      </x:c>
      <x:c r="Z86" s="14" t="str">
        <x:v>https://www.parqueindustrialsanfrancisco.com/</x:v>
      </x:c>
      <x:c r="AA86" s="14" t="str">
        <x:v>Industria plástica radicada en el parque; menor afinidad con transporte pesado.</x:v>
      </x:c>
      <x:c r="AB86" s="14" t="str">
        <x:v>Media</x:v>
      </x:c>
      <x:c r="AC86" s="14" t="str">
        <x:v>Operativo / verificar antes de visita</x:v>
      </x:c>
      <x:c r="AD86" s="14" t="str">
        <x:v>Rastrillaje San Francisco 2026-09-15</x:v>
      </x:c>
      <x:c r="AE86" s="14" t="str">
        <x:v>Plataforma 20 tn | Hidrogrúa | Percha | Seguro/GPS</x:v>
      </x:c>
      <x:c r="AF86" s="14" t="str">
        <x:v>SEGUNDA PASADA</x:v>
      </x:c>
    </x:row>
    <x:row r="87">
      <x:c r="A87" s="14" t="str">
        <x:v>SF-086</x:v>
      </x:c>
      <x:c r="B87" s="14" t="str">
        <x:v>Pendiente</x:v>
      </x:c>
      <x:c r="C87" s="14" t="str">
        <x:v>Núcleo</x:v>
      </x:c>
      <x:c r="D87" s="14" t="str">
        <x:v>San Francisco</x:v>
      </x:c>
      <x:c r="E87" s="14" t="str">
        <x:v>Parque Industrial / Torres</x:v>
      </x:c>
      <x:c r="F87" s="14" t="str">
        <x:v>B</x:v>
      </x:c>
      <x:c r="G87" s="14" t="n">
        <x:v>58</x:v>
      </x:c>
      <x:c r="H87" s="14" t="str">
        <x:v>Estación La Finca</x:v>
      </x:c>
      <x:c r="I87" s="14" t="str">
        <x:v>Industria alimenticia</x:v>
      </x:c>
      <x:c r="J87" s="14" t="str">
        <x:v>03564 445823</x:v>
      </x:c>
      <x:c r="K87" s="14" t="str">
        <x:v>OK</x:v>
      </x:c>
      <x:c r="L87" s="14" t="str">
        <x:v>planta / logística</x:v>
      </x:c>
      <x:c r="M87" s="14" t="str">
        <x:v>Movimientos de mantenimiento, motores, bombas, equipos y cargas extraordinarias de planta.</x:v>
      </x:c>
      <x:c r="N87" s="14" t="str">
        <x:v>Plataforma + hidrogrúa + percha + seguro/GPS.</x:v>
      </x:c>
      <x:c r="O87" s="14" t="str">
        <x:v>Proveedor local para paradas, montajes y movimientos no rutinarios.</x:v>
      </x:c>
      <x:c r="P87" s="14" t="str">
        <x:v>Pedir mantenimiento/compras/planta; relevar equipos críticos.</x:v>
      </x:c>
      <x:c r="Q87" s="14" t="str"/>
      <x:c r="R87" s="14" t="str">
        <x:v>J.J. Torres 4537, San Francisco, Córdoba</x:v>
      </x:c>
      <x:c r="S87" s="14" t="str"/>
      <x:c r="T87" s="14" t="str"/>
      <x:c r="U87" s="14" t="str"/>
      <x:c r="V87" s="14" t="str"/>
      <x:c r="W87" s="14" t="str">
        <x:v>03564445823</x:v>
      </x:c>
      <x:c r="X87" s="14" t="str">
        <x:v>https://www.google.com/maps/search/?api=1&amp;query=Estaci%C3%B3n+La+Finca%2C+J.J.+Torres+4537%2C+San+Francisco%2C+C%C3%B3rdoba</x:v>
      </x:c>
      <x:c r="Y87" s="14" t="str">
        <x:v>Web oficial</x:v>
      </x:c>
      <x:c r="Z87" s="14" t="str">
        <x:v>https://estacionlafinca.com/nosotros</x:v>
      </x:c>
      <x:c r="AA87" s="14" t="str">
        <x:v>Fábrica de chocolates y licores en el Parque Industrial.</x:v>
      </x:c>
      <x:c r="AB87" s="14" t="str">
        <x:v>Alta</x:v>
      </x:c>
      <x:c r="AC87" s="14" t="str">
        <x:v>Operativo / verificar antes de visita</x:v>
      </x:c>
      <x:c r="AD87" s="14" t="str">
        <x:v>Rastrillaje San Francisco 2026-09-15</x:v>
      </x:c>
      <x:c r="AE87" s="14" t="str">
        <x:v>Plataforma 20 tn | Hidrogrúa | Percha | Seguro/GPS</x:v>
      </x:c>
      <x:c r="AF87" s="14" t="str">
        <x:v>SEGUNDA PASADA</x:v>
      </x:c>
    </x:row>
    <x:row r="88">
      <x:c r="A88" s="14" t="str">
        <x:v>SF-087</x:v>
      </x:c>
      <x:c r="B88" s="14" t="str">
        <x:v>Pendiente</x:v>
      </x:c>
      <x:c r="C88" s="14" t="str">
        <x:v>Zona ampliada</x:v>
      </x:c>
      <x:c r="D88" s="14" t="str">
        <x:v>Frontera</x:v>
      </x:c>
      <x:c r="E88" s="14" t="str">
        <x:v>Frontera / Calle 50</x:v>
      </x:c>
      <x:c r="F88" s="14" t="str">
        <x:v>A+</x:v>
      </x:c>
      <x:c r="G88" s="14" t="n">
        <x:v>100</x:v>
      </x:c>
      <x:c r="H88" s="14" t="str">
        <x:v>Agro Frontera S.R.L.</x:v>
      </x:c>
      <x:c r="I88" s="14" t="str">
        <x:v>Concesionario integral de maquinaria agrícola</x:v>
      </x:c>
      <x:c r="J88" s="14" t="str">
        <x:v>+54 3564 616161</x:v>
      </x:c>
      <x:c r="K88" s="14" t="str">
        <x:v>OK</x:v>
      </x:c>
      <x:c r="L88" s="14" t="str">
        <x:v>ventas / logística / posventa / usados</x:v>
      </x:c>
      <x:c r="M88" s="14" t="str">
        <x:v>Entrega/retiro de maquinaria, usados, equipos de service y despachos de fábrica.</x:v>
      </x:c>
      <x:c r="N88" s="14" t="str">
        <x:v>Plataforma 20 tn + malacate + hidrogrúa de apoyo + seguro/GPS.</x:v>
      </x:c>
      <x:c r="O88" s="14" t="str">
        <x:v>Captar entregas, canjes, usados y rescates de service sin inmovilizar transporte propio.</x:v>
      </x:c>
      <x:c r="P88" s="14" t="str">
        <x:v>Pedir logística/expedición/posventa; relevar equipos, pesos y movimientos mensuales.</x:v>
      </x:c>
      <x:c r="Q88" s="14" t="str"/>
      <x:c r="R88" s="14" t="str">
        <x:v>Calle 50 N° 570, Frontera, Santa Fe</x:v>
      </x:c>
      <x:c r="S88" s="14" t="str"/>
      <x:c r="T88" s="14" t="str"/>
      <x:c r="U88" s="14" t="str"/>
      <x:c r="V88" s="14" t="str"/>
      <x:c r="W88" s="14" t="str">
        <x:v>+543564616161</x:v>
      </x:c>
      <x:c r="X88" s="14" t="str">
        <x:v>https://www.google.com/maps/search/?api=1&amp;query=Agro+Frontera+S.R.L.%2C+Calle+50+N%C2%B0+570%2C+Frontera%2C+Santa+Fe</x:v>
      </x:c>
      <x:c r="Y88" s="14" t="str">
        <x:v>Web oficial</x:v>
      </x:c>
      <x:c r="Z88" s="14" t="str">
        <x:v>https://agrofronterasrl.com.ar/</x:v>
      </x:c>
      <x:c r="AA88" s="14" t="str">
        <x:v>Venta de tractores, pulverización, cosecha, siembra, labranza, repuestos y servicio técnico.</x:v>
      </x:c>
      <x:c r="AB88" s="14" t="str">
        <x:v>Alta</x:v>
      </x:c>
      <x:c r="AC88" s="14" t="str">
        <x:v>Operativo / verificar antes de visita</x:v>
      </x:c>
      <x:c r="AD88" s="14" t="str">
        <x:v>Rastrillaje San Francisco 2026-09-15</x:v>
      </x:c>
      <x:c r="AE88" s="14" t="str">
        <x:v>Plataforma 20 tn | Malacate | Hidrogrúa | Entrega/retiro maquinaria | Seguro/GPS</x:v>
      </x:c>
      <x:c r="AF88" s="14" t="str">
        <x:v>VISITA INMEDIATA</x:v>
      </x:c>
    </x:row>
    <x:row r="89">
      <x:c r="A89" s="14" t="str">
        <x:v>SF-088</x:v>
      </x:c>
      <x:c r="B89" s="14" t="str">
        <x:v>Pendiente</x:v>
      </x:c>
      <x:c r="C89" s="14" t="str">
        <x:v>Zona ampliada</x:v>
      </x:c>
      <x:c r="D89" s="14" t="str">
        <x:v>La Francia</x:v>
      </x:c>
      <x:c r="E89" s="14" t="str">
        <x:v>Güiraldes</x:v>
      </x:c>
      <x:c r="F89" s="14" t="str">
        <x:v>A+</x:v>
      </x:c>
      <x:c r="G89" s="14" t="n">
        <x:v>100</x:v>
      </x:c>
      <x:c r="H89" s="14" t="str">
        <x:v>Metalbert S.R.L.</x:v>
      </x:c>
      <x:c r="I89" s="14" t="str">
        <x:v>Fábrica de implementos agrícolas y viales</x:v>
      </x:c>
      <x:c r="J89" s="14" t="str">
        <x:v>+54 9 3564 584834</x:v>
      </x:c>
      <x:c r="K89" s="14" t="str">
        <x:v>OK</x:v>
      </x:c>
      <x:c r="L89" s="14" t="str">
        <x:v>producción / expedición / ventas</x:v>
      </x:c>
      <x:c r="M89" s="14" t="str">
        <x:v>Entrega/retiro de maquinaria, usados, equipos de service y despachos de fábrica.</x:v>
      </x:c>
      <x:c r="N89" s="14" t="str">
        <x:v>Plataforma 20 tn + malacate + hidrogrúa de apoyo + seguro/GPS.</x:v>
      </x:c>
      <x:c r="O89" s="14" t="str">
        <x:v>Captar entregas, canjes, usados y rescates de service sin inmovilizar transporte propio.</x:v>
      </x:c>
      <x:c r="P89" s="14" t="str">
        <x:v>Pedir logística/expedición/posventa; relevar equipos, pesos y movimientos mensuales.</x:v>
      </x:c>
      <x:c r="Q89" s="14" t="str"/>
      <x:c r="R89" s="14" t="str">
        <x:v>Güiraldes 575, La Francia, Córdoba</x:v>
      </x:c>
      <x:c r="S89" s="14" t="str"/>
      <x:c r="T89" s="14" t="str"/>
      <x:c r="U89" s="14" t="str"/>
      <x:c r="V89" s="14" t="str"/>
      <x:c r="W89" s="14" t="str">
        <x:v>+5493564584834</x:v>
      </x:c>
      <x:c r="X89" s="14" t="str">
        <x:v>https://www.google.com/maps/search/?api=1&amp;query=Metalbert+S.R.L.%2C+G%C3%BCiraldes+575%2C+La+Francia%2C+C%C3%B3rdoba</x:v>
      </x:c>
      <x:c r="Y89" s="14" t="str">
        <x:v>Web oficial / AFAMAC</x:v>
      </x:c>
      <x:c r="Z89" s="14" t="str">
        <x:v>https://www.metalbertsrl.com/</x:v>
      </x:c>
      <x:c r="AA89" s="14" t="str">
        <x:v>Fabrica embolsadoras, niveladoras, palas hidráulicas, desmalezadoras, grúas y equipos viales.</x:v>
      </x:c>
      <x:c r="AB89" s="14" t="str">
        <x:v>Alta</x:v>
      </x:c>
      <x:c r="AC89" s="14" t="str">
        <x:v>Operativo / verificar antes de visita</x:v>
      </x:c>
      <x:c r="AD89" s="14" t="str">
        <x:v>Rastrillaje San Francisco 2026-09-15</x:v>
      </x:c>
      <x:c r="AE89" s="14" t="str">
        <x:v>Plataforma 20 tn | Malacate | Hidrogrúa | Entrega/retiro maquinaria | Seguro/GPS</x:v>
      </x:c>
      <x:c r="AF89" s="14" t="str">
        <x:v>VISITA INMEDIATA</x:v>
      </x:c>
    </x:row>
    <x:row r="90">
      <x:c r="A90" s="14" t="str">
        <x:v>SF-089</x:v>
      </x:c>
      <x:c r="B90" s="14" t="str">
        <x:v>Pendiente</x:v>
      </x:c>
      <x:c r="C90" s="14" t="str">
        <x:v>Zona ampliada</x:v>
      </x:c>
      <x:c r="D90" s="14" t="str">
        <x:v>La Francia</x:v>
      </x:c>
      <x:c r="E90" s="14" t="str">
        <x:v>Güiraldes</x:v>
      </x:c>
      <x:c r="F90" s="14" t="str">
        <x:v>A+</x:v>
      </x:c>
      <x:c r="G90" s="14" t="n">
        <x:v>99</x:v>
      </x:c>
      <x:c r="H90" s="14" t="str">
        <x:v>Juárez Industria Metalúrgica S.A.</x:v>
      </x:c>
      <x:c r="I90" s="14" t="str">
        <x:v>Fábrica de maquinaria agrícola</x:v>
      </x:c>
      <x:c r="J90" s="14" t="str">
        <x:v>03564 471610</x:v>
      </x:c>
      <x:c r="K90" s="14" t="str">
        <x:v>OK</x:v>
      </x:c>
      <x:c r="L90" s="14" t="str">
        <x:v>producción / expedición / ventas</x:v>
      </x:c>
      <x:c r="M90" s="14" t="str">
        <x:v>Entrega/retiro de maquinaria, usados, equipos de service y despachos de fábrica.</x:v>
      </x:c>
      <x:c r="N90" s="14" t="str">
        <x:v>Plataforma 20 tn + malacate + hidrogrúa de apoyo + seguro/GPS.</x:v>
      </x:c>
      <x:c r="O90" s="14" t="str">
        <x:v>Captar entregas, canjes, usados y rescates de service sin inmovilizar transporte propio.</x:v>
      </x:c>
      <x:c r="P90" s="14" t="str">
        <x:v>Pedir logística/expedición/posventa; relevar equipos, pesos y movimientos mensuales.</x:v>
      </x:c>
      <x:c r="Q90" s="14" t="str"/>
      <x:c r="R90" s="14" t="str">
        <x:v>Ricardo Güiraldes 709, La Francia, Córdoba</x:v>
      </x:c>
      <x:c r="S90" s="14" t="str"/>
      <x:c r="T90" s="14" t="str"/>
      <x:c r="U90" s="14" t="str"/>
      <x:c r="V90" s="14" t="str"/>
      <x:c r="W90" s="14" t="str">
        <x:v>03564471610</x:v>
      </x:c>
      <x:c r="X90" s="14" t="str">
        <x:v>https://www.google.com/maps/search/?api=1&amp;query=Ju%C3%A1rez+Industria+Metal%C3%BArgica+S.A.%2C+Ricardo+G%C3%BCiraldes+709%2C+La+Francia%2C+C%C3%B3rdoba</x:v>
      </x:c>
      <x:c r="Y90" s="14" t="str">
        <x:v>AFAMAC</x:v>
      </x:c>
      <x:c r="Z90" s="14" t="str">
        <x:v>https://afamac.com.ar/catalogo/asociados-afamac/juarez-industria-metalurgica/</x:v>
      </x:c>
      <x:c r="AA90" s="14" t="str">
        <x:v>Fabricante regional de máquinas agrícolas.</x:v>
      </x:c>
      <x:c r="AB90" s="14" t="str">
        <x:v>Alta</x:v>
      </x:c>
      <x:c r="AC90" s="14" t="str">
        <x:v>Operativo / verificar antes de visita</x:v>
      </x:c>
      <x:c r="AD90" s="14" t="str">
        <x:v>Rastrillaje San Francisco 2026-09-15</x:v>
      </x:c>
      <x:c r="AE90" s="14" t="str">
        <x:v>Plataforma 20 tn | Malacate | Hidrogrúa | Entrega/retiro maquinaria | Seguro/GPS</x:v>
      </x:c>
      <x:c r="AF90" s="14" t="str">
        <x:v>VISITA INMEDIATA</x:v>
      </x:c>
    </x:row>
    <x:row r="91">
      <x:c r="A91" s="14" t="str">
        <x:v>SF-090</x:v>
      </x:c>
      <x:c r="B91" s="14" t="str">
        <x:v>Pendiente</x:v>
      </x:c>
      <x:c r="C91" s="14" t="str">
        <x:v>Zona ampliada</x:v>
      </x:c>
      <x:c r="D91" s="14" t="str">
        <x:v>La Francia</x:v>
      </x:c>
      <x:c r="E91" s="14" t="str">
        <x:v>Güiraldes</x:v>
      </x:c>
      <x:c r="F91" s="14" t="str">
        <x:v>A+</x:v>
      </x:c>
      <x:c r="G91" s="14" t="n">
        <x:v>98</x:v>
      </x:c>
      <x:c r="H91" s="14" t="str">
        <x:v>SECMAN</x:v>
      </x:c>
      <x:c r="I91" s="14" t="str">
        <x:v>Fábrica de máquinas agrícolas</x:v>
      </x:c>
      <x:c r="J91" s="14" t="str">
        <x:v>03564 591382 / 3564 470251</x:v>
      </x:c>
      <x:c r="K91" s="14" t="str">
        <x:v>OK</x:v>
      </x:c>
      <x:c r="L91" s="14" t="str">
        <x:v>ventas / producción / expedición</x:v>
      </x:c>
      <x:c r="M91" s="14" t="str">
        <x:v>Movimientos de equipos o cargas especiales asociados a su operación.</x:v>
      </x:c>
      <x:c r="N91" s="14" t="str">
        <x:v>Plataforma 20 tn + hidrogrúa + malacate según necesidad.</x:v>
      </x:c>
      <x:c r="O91" s="14" t="str">
        <x:v>Capacidad externa para movimientos pesados o especiales.</x:v>
      </x:c>
      <x:c r="P91" s="14" t="str">
        <x:v>Contactar operaciones/logística y relevar necesidad real.</x:v>
      </x:c>
      <x:c r="Q91" s="14" t="str"/>
      <x:c r="R91" s="14" t="str">
        <x:v>Güiraldes 873, La Francia, Córdoba</x:v>
      </x:c>
      <x:c r="S91" s="14" t="str"/>
      <x:c r="T91" s="14" t="str"/>
      <x:c r="U91" s="14" t="str"/>
      <x:c r="V91" s="14" t="str"/>
      <x:c r="W91" s="14" t="str">
        <x:v>03564591382</x:v>
      </x:c>
      <x:c r="X91" s="14" t="str">
        <x:v>https://www.google.com/maps/search/?api=1&amp;query=SECMAN%2C+G%C3%BCiraldes+873%2C+La+Francia%2C+C%C3%B3rdoba</x:v>
      </x:c>
      <x:c r="Y91" s="14" t="str">
        <x:v>Web oficial</x:v>
      </x:c>
      <x:c r="Z91" s="14" t="str">
        <x:v>https://secman.com.ar/contacto/</x:v>
      </x:c>
      <x:c r="AA91" s="14" t="str">
        <x:v>Fabricante de implementos agrícolas con áreas de ventas, compras y repuestos.</x:v>
      </x:c>
      <x:c r="AB91" s="14" t="str">
        <x:v>Alta</x:v>
      </x:c>
      <x:c r="AC91" s="14" t="str">
        <x:v>Operativo / verificar antes de visita</x:v>
      </x:c>
      <x:c r="AD91" s="14" t="str">
        <x:v>Rastrillaje San Francisco 2026-09-15</x:v>
      </x:c>
      <x:c r="AE91" s="14" t="str">
        <x:v>Plataforma 20 tn | Hidrogrúa | Malacate</x:v>
      </x:c>
      <x:c r="AF91" s="14" t="str">
        <x:v>VISITA INMEDIATA</x:v>
      </x:c>
    </x:row>
    <x:row r="92">
      <x:c r="A92" s="14" t="str">
        <x:v>SF-091</x:v>
      </x:c>
      <x:c r="B92" s="14" t="str">
        <x:v>Pendiente</x:v>
      </x:c>
      <x:c r="C92" s="14" t="str">
        <x:v>Zona ampliada</x:v>
      </x:c>
      <x:c r="D92" s="14" t="str">
        <x:v>La Francia</x:v>
      </x:c>
      <x:c r="E92" s="14" t="str">
        <x:v>San Juan</x:v>
      </x:c>
      <x:c r="F92" s="14" t="str">
        <x:v>A</x:v>
      </x:c>
      <x:c r="G92" s="14" t="n">
        <x:v>90</x:v>
      </x:c>
      <x:c r="H92" s="14" t="str">
        <x:v>SC Agropartes</x:v>
      </x:c>
      <x:c r="I92" s="14" t="str">
        <x:v>Fábrica de agropartes</x:v>
      </x:c>
      <x:c r="J92" s="14" t="str">
        <x:v>03564 471526 / 471800</x:v>
      </x:c>
      <x:c r="K92" s="14" t="str">
        <x:v>OK</x:v>
      </x:c>
      <x:c r="L92" s="14" t="str">
        <x:v>producción / expedición / logística</x:v>
      </x:c>
      <x:c r="M92" s="14" t="str">
        <x:v>Movimientos de equipos o cargas especiales asociados a su operación.</x:v>
      </x:c>
      <x:c r="N92" s="14" t="str">
        <x:v>Plataforma 20 tn + hidrogrúa + malacate según necesidad.</x:v>
      </x:c>
      <x:c r="O92" s="14" t="str">
        <x:v>Capacidad externa para movimientos pesados o especiales.</x:v>
      </x:c>
      <x:c r="P92" s="14" t="str">
        <x:v>Contactar operaciones/logística y relevar necesidad real.</x:v>
      </x:c>
      <x:c r="Q92" s="14" t="str"/>
      <x:c r="R92" s="14" t="str">
        <x:v>San Juan 272, La Francia, Córdoba</x:v>
      </x:c>
      <x:c r="S92" s="14" t="str"/>
      <x:c r="T92" s="14" t="str"/>
      <x:c r="U92" s="14" t="str"/>
      <x:c r="V92" s="14" t="str"/>
      <x:c r="W92" s="14" t="str">
        <x:v>03564471526</x:v>
      </x:c>
      <x:c r="X92" s="14" t="str">
        <x:v>https://www.google.com/maps/search/?api=1&amp;query=SC+Agropartes%2C+San+Juan+272%2C+La+Francia%2C+C%C3%B3rdoba</x:v>
      </x:c>
      <x:c r="Y92" s="14" t="str">
        <x:v>Web oficial</x:v>
      </x:c>
      <x:c r="Z92" s="14" t="str">
        <x:v>https://scagropartes.com.ar/contacto/</x:v>
      </x:c>
      <x:c r="AA92" s="14" t="str">
        <x:v>Fabricante y comercializador de agropartes para maquinaria y carros de arrastre.</x:v>
      </x:c>
      <x:c r="AB92" s="14" t="str">
        <x:v>Alta</x:v>
      </x:c>
      <x:c r="AC92" s="14" t="str">
        <x:v>Operativo / verificar antes de visita</x:v>
      </x:c>
      <x:c r="AD92" s="14" t="str">
        <x:v>Rastrillaje San Francisco 2026-09-15</x:v>
      </x:c>
      <x:c r="AE92" s="14" t="str">
        <x:v>Plataforma 20 tn | Hidrogrúa | Malacate</x:v>
      </x:c>
      <x:c r="AF92" s="14" t="str">
        <x:v>PRIORIDAD ALTA</x:v>
      </x:c>
    </x:row>
    <x:row r="93">
      <x:c r="A93" s="14" t="str">
        <x:v>SF-092</x:v>
      </x:c>
      <x:c r="B93" s="14" t="str">
        <x:v>Pendiente</x:v>
      </x:c>
      <x:c r="C93" s="14" t="str">
        <x:v>Zona ampliada</x:v>
      </x:c>
      <x:c r="D93" s="14" t="str">
        <x:v>La Francia</x:v>
      </x:c>
      <x:c r="E93" s="14" t="str">
        <x:v>Dr. Carignano</x:v>
      </x:c>
      <x:c r="F93" s="14" t="str">
        <x:v>A</x:v>
      </x:c>
      <x:c r="G93" s="14" t="n">
        <x:v>88</x:v>
      </x:c>
      <x:c r="H93" s="14" t="str">
        <x:v>Manescotto Metalmecánica</x:v>
      </x:c>
      <x:c r="I93" s="14" t="str">
        <x:v>Cintas transportadoras / chimangos / metalmecánica</x:v>
      </x:c>
      <x:c r="J93" s="14" t="str">
        <x:v>03564 365463</x:v>
      </x:c>
      <x:c r="K93" s="14" t="str">
        <x:v>OK</x:v>
      </x:c>
      <x:c r="L93" s="14" t="str">
        <x:v>producción / expedición / ventas</x:v>
      </x:c>
      <x:c r="M93" s="14" t="str">
        <x:v>Movimientos de equipos o cargas especiales asociados a su operación.</x:v>
      </x:c>
      <x:c r="N93" s="14" t="str">
        <x:v>Plataforma 20 tn + hidrogrúa + malacate según necesidad.</x:v>
      </x:c>
      <x:c r="O93" s="14" t="str">
        <x:v>Capacidad externa para movimientos pesados o especiales.</x:v>
      </x:c>
      <x:c r="P93" s="14" t="str">
        <x:v>Contactar operaciones/logística y relevar necesidad real.</x:v>
      </x:c>
      <x:c r="Q93" s="14" t="str"/>
      <x:c r="R93" s="14" t="str">
        <x:v>Dr. Aldo S. Carignano 105, La Francia, Córdoba</x:v>
      </x:c>
      <x:c r="S93" s="14" t="str"/>
      <x:c r="T93" s="14" t="str"/>
      <x:c r="U93" s="14" t="str"/>
      <x:c r="V93" s="14" t="str"/>
      <x:c r="W93" s="14" t="str">
        <x:v>03564365463</x:v>
      </x:c>
      <x:c r="X93" s="14" t="str">
        <x:v>https://www.google.com/maps/search/?api=1&amp;query=Manescotto+Metalmec%C3%A1nica%2C+Dr.+Aldo+S.+Carignano+105%2C+La+Francia%2C+C%C3%B3rdoba</x:v>
      </x:c>
      <x:c r="Y93" s="14" t="str">
        <x:v>Web oficial</x:v>
      </x:c>
      <x:c r="Z93" s="14" t="str">
        <x:v>https://www.manescottometalmecanica.com/</x:v>
      </x:c>
      <x:c r="AA93" s="14" t="str">
        <x:v>Fabrica cintas transportadoras y chimangos; proyecta nuevas soluciones para el agro.</x:v>
      </x:c>
      <x:c r="AB93" s="14" t="str">
        <x:v>Alta</x:v>
      </x:c>
      <x:c r="AC93" s="14" t="str">
        <x:v>Operativo / verificar antes de visita</x:v>
      </x:c>
      <x:c r="AD93" s="14" t="str">
        <x:v>Rastrillaje San Francisco 2026-09-15</x:v>
      </x:c>
      <x:c r="AE93" s="14" t="str">
        <x:v>Plataforma 20 tn | Hidrogrúa | Malacate</x:v>
      </x:c>
      <x:c r="AF93" s="14" t="str">
        <x:v>PRIORIDAD ALTA</x:v>
      </x:c>
    </x:row>
    <x:row r="94">
      <x:c r="A94" s="14" t="str">
        <x:v>SF-093</x:v>
      </x:c>
      <x:c r="B94" s="14" t="str">
        <x:v>Pendiente</x:v>
      </x:c>
      <x:c r="C94" s="14" t="str">
        <x:v>Zona ampliada</x:v>
      </x:c>
      <x:c r="D94" s="14" t="str">
        <x:v>La Francia</x:v>
      </x:c>
      <x:c r="E94" s="14" t="str">
        <x:v>25 de Mayo</x:v>
      </x:c>
      <x:c r="F94" s="14" t="str">
        <x:v>A</x:v>
      </x:c>
      <x:c r="G94" s="14" t="n">
        <x:v>78</x:v>
      </x:c>
      <x:c r="H94" s="14" t="str">
        <x:v>Metalúrgica La Francia</x:v>
      </x:c>
      <x:c r="I94" s="14" t="str">
        <x:v>Metalúrgica</x:v>
      </x:c>
      <x:c r="J94" s="14" t="str">
        <x:v>+54 9 3564 660470</x:v>
      </x:c>
      <x:c r="K94" s="14" t="str">
        <x:v>OK</x:v>
      </x:c>
      <x:c r="L94" s="14" t="str">
        <x:v>producción / expedición</x:v>
      </x:c>
      <x:c r="M94" s="14" t="str">
        <x:v>Despacho de piezas, conjuntos metálicos, componentes pesados o equipos de producción/mantenimiento.</x:v>
      </x:c>
      <x:c r="N94" s="14" t="str">
        <x:v>Plataforma + hidrogrúa + malacate; percha según carga.</x:v>
      </x:c>
      <x:c r="O94" s="14" t="str">
        <x:v>Resolver piezas pesadas o fuera de medida con un único proveedor.</x:v>
      </x:c>
      <x:c r="P94" s="14" t="str">
        <x:v>Pedir producción/expedición/mantenimiento y relevar piezas máximas/destinos.</x:v>
      </x:c>
      <x:c r="Q94" s="14" t="str"/>
      <x:c r="R94" s="14" t="str">
        <x:v>25 de Mayo 829, La Francia, Córdoba</x:v>
      </x:c>
      <x:c r="S94" s="14" t="str"/>
      <x:c r="T94" s="14" t="str"/>
      <x:c r="U94" s="14" t="str"/>
      <x:c r="V94" s="14" t="str"/>
      <x:c r="W94" s="14" t="str">
        <x:v>+5493564660470</x:v>
      </x:c>
      <x:c r="X94" s="14" t="str">
        <x:v>https://www.google.com/maps/search/?api=1&amp;query=Metal%C3%BArgica+La+Francia%2C+25+de+Mayo+829%2C+La+Francia%2C+C%C3%B3rdoba</x:v>
      </x:c>
      <x:c r="Y94" s="14" t="str">
        <x:v>Google Business</x:v>
      </x:c>
      <x:c r="Z94" s="14" t="str">
        <x:v>https://www.google.com/maps/search/?api=1&amp;query=Metal%C3%BArgica+La+Francia%2C+25+de+Mayo+829%2C+La+Francia%2C+C%C3%B3rdoba</x:v>
      </x:c>
      <x:c r="AA94" s="14" t="str">
        <x:v>Taller metalúrgico local.</x:v>
      </x:c>
      <x:c r="AB94" s="14" t="str">
        <x:v>Alta</x:v>
      </x:c>
      <x:c r="AC94" s="14" t="str">
        <x:v>Operativo / verificar antes de visita</x:v>
      </x:c>
      <x:c r="AD94" s="14" t="str">
        <x:v>Rastrillaje San Francisco 2026-09-15</x:v>
      </x:c>
      <x:c r="AE94" s="14" t="str">
        <x:v>Plataforma 20 tn | Hidrogrúa | Malacate | Percha</x:v>
      </x:c>
      <x:c r="AF94" s="14" t="str">
        <x:v>PRIORIDAD ALTA</x:v>
      </x:c>
    </x:row>
    <x:row r="95">
      <x:c r="A95" s="14" t="str">
        <x:v>SF-094</x:v>
      </x:c>
      <x:c r="B95" s="14" t="str">
        <x:v>Pendiente</x:v>
      </x:c>
      <x:c r="C95" s="14" t="str">
        <x:v>Zona ampliada</x:v>
      </x:c>
      <x:c r="D95" s="14" t="str">
        <x:v>Devoto</x:v>
      </x:c>
      <x:c r="E95" s="14" t="str">
        <x:v>Córdoba</x:v>
      </x:c>
      <x:c r="F95" s="14" t="str">
        <x:v>A</x:v>
      </x:c>
      <x:c r="G95" s="14" t="n">
        <x:v>76</x:v>
      </x:c>
      <x:c r="H95" s="14" t="str">
        <x:v>Transporte Gaido</x:v>
      </x:c>
      <x:c r="I95" s="14" t="str">
        <x:v>Transporte / logística</x:v>
      </x:c>
      <x:c r="J95" s="14" t="str">
        <x:v>03564 481367</x:v>
      </x:c>
      <x:c r="K95" s="14" t="str">
        <x:v>OK</x:v>
      </x:c>
      <x:c r="L95" s="14" t="str">
        <x:v>tráfico / operaciones</x:v>
      </x:c>
      <x:c r="M95" s="14" t="str">
        <x:v>Overflow y derivación de cargas/equipos que requieren plataforma, malacate o hidrogrúa.</x:v>
      </x:c>
      <x:c r="N95" s="14" t="str">
        <x:v>Capacidad complementaria: plataforma 20 tn + hidrogrúa + malacate.</x:v>
      </x:c>
      <x:c r="O95" s="14" t="str">
        <x:v>Ser socio de respaldo para cargas especiales que excedan la flota habitual.</x:v>
      </x:c>
      <x:c r="P95" s="14" t="str">
        <x:v>Pedir tráfico/operaciones y ofrecer acuerdo de derivaciones.</x:v>
      </x:c>
      <x:c r="Q95" s="14" t="str"/>
      <x:c r="R95" s="14" t="str">
        <x:v>Córdoba 180, Devoto, Córdoba</x:v>
      </x:c>
      <x:c r="S95" s="14" t="str"/>
      <x:c r="T95" s="14" t="str"/>
      <x:c r="U95" s="14" t="str"/>
      <x:c r="V95" s="14" t="str"/>
      <x:c r="W95" s="14" t="str">
        <x:v>03564481367</x:v>
      </x:c>
      <x:c r="X95" s="14" t="str">
        <x:v>https://www.google.com/maps/search/?api=1&amp;query=Transporte+Gaido%2C+C%C3%B3rdoba+180%2C+Devoto%2C+C%C3%B3rdoba</x:v>
      </x:c>
      <x:c r="Y95" s="14" t="str">
        <x:v>Google Business</x:v>
      </x:c>
      <x:c r="Z95" s="14" t="str">
        <x:v>https://www.google.com/maps/search/?api=1&amp;query=Transporte+Gaido%2C+C%C3%B3rdoba+180%2C+Devoto%2C+C%C3%B3rdoba</x:v>
      </x:c>
      <x:c r="AA95" s="14" t="str">
        <x:v>Transportista regional.</x:v>
      </x:c>
      <x:c r="AB95" s="14" t="str">
        <x:v>Alta</x:v>
      </x:c>
      <x:c r="AC95" s="14" t="str">
        <x:v>Operativo / verificar antes de visita</x:v>
      </x:c>
      <x:c r="AD95" s="14" t="str">
        <x:v>Rastrillaje San Francisco 2026-09-15</x:v>
      </x:c>
      <x:c r="AE95" s="14" t="str">
        <x:v>Plataforma 20 tn | Hidrogrúa | Malacate | Subcontratación</x:v>
      </x:c>
      <x:c r="AF95" s="14" t="str">
        <x:v>PRIORIDAD ALTA</x:v>
      </x:c>
    </x:row>
    <x:row r="96">
      <x:c r="A96" s="14" t="str">
        <x:v>SF-095</x:v>
      </x:c>
      <x:c r="B96" s="14" t="str">
        <x:v>Pendiente</x:v>
      </x:c>
      <x:c r="C96" s="14" t="str">
        <x:v>Zona ampliada</x:v>
      </x:c>
      <x:c r="D96" s="14" t="str">
        <x:v>Devoto</x:v>
      </x:c>
      <x:c r="E96" s="14" t="str">
        <x:v>Devoto</x:v>
      </x:c>
      <x:c r="F96" s="14" t="str">
        <x:v>B</x:v>
      </x:c>
      <x:c r="G96" s="14" t="n">
        <x:v>68</x:v>
      </x:c>
      <x:c r="H96" s="14" t="str">
        <x:v>Metal Peye</x:v>
      </x:c>
      <x:c r="I96" s="14" t="str">
        <x:v>Metalúrgica</x:v>
      </x:c>
      <x:c r="J96" s="14" t="str">
        <x:v>03564 330306</x:v>
      </x:c>
      <x:c r="K96" s="14" t="str">
        <x:v>OK</x:v>
      </x:c>
      <x:c r="L96" s="14" t="str">
        <x:v>producción / logística</x:v>
      </x:c>
      <x:c r="M96" s="14" t="str">
        <x:v>Despacho de piezas, conjuntos metálicos, componentes pesados o equipos de producción/mantenimiento.</x:v>
      </x:c>
      <x:c r="N96" s="14" t="str">
        <x:v>Plataforma + hidrogrúa + malacate; percha según carga.</x:v>
      </x:c>
      <x:c r="O96" s="14" t="str">
        <x:v>Resolver piezas pesadas o fuera de medida con un único proveedor.</x:v>
      </x:c>
      <x:c r="P96" s="14" t="str">
        <x:v>Pedir producción/expedición/mantenimiento y relevar piezas máximas/destinos.</x:v>
      </x:c>
      <x:c r="Q96" s="14" t="str"/>
      <x:c r="R96" s="14" t="str">
        <x:v>Devoto, Córdoba</x:v>
      </x:c>
      <x:c r="S96" s="14" t="str"/>
      <x:c r="T96" s="14" t="str"/>
      <x:c r="U96" s="14" t="str"/>
      <x:c r="V96" s="14" t="str"/>
      <x:c r="W96" s="14" t="str">
        <x:v>03564330306</x:v>
      </x:c>
      <x:c r="X96" s="14" t="str">
        <x:v>https://www.google.com/maps/search/?api=1&amp;query=Metal+Peye%2C+Devoto%2C+C%C3%B3rdoba</x:v>
      </x:c>
      <x:c r="Y96" s="14" t="str">
        <x:v>Google Business</x:v>
      </x:c>
      <x:c r="Z96" s="14" t="str">
        <x:v>https://www.google.com/maps/search/?api=1&amp;query=Metal+Peye%2C+Devoto%2C+C%C3%B3rdoba</x:v>
      </x:c>
      <x:c r="AA96" s="14" t="str">
        <x:v>Taller metalúrgico regional; validar escala y necesidades.</x:v>
      </x:c>
      <x:c r="AB96" s="14" t="str">
        <x:v>Alta</x:v>
      </x:c>
      <x:c r="AC96" s="14" t="str">
        <x:v>Operativo / verificar antes de visita</x:v>
      </x:c>
      <x:c r="AD96" s="14" t="str">
        <x:v>Rastrillaje San Francisco 2026-09-15</x:v>
      </x:c>
      <x:c r="AE96" s="14" t="str">
        <x:v>Plataforma 20 tn | Hidrogrúa | Malacate | Percha</x:v>
      </x:c>
      <x:c r="AF96" s="14" t="str">
        <x:v>SEGUNDA PASADA</x:v>
      </x:c>
    </x:row>
    <x:row r="97">
      <x:c r="A97" s="14" t="str">
        <x:v>SF-096</x:v>
      </x:c>
      <x:c r="B97" s="14" t="str">
        <x:v>Pendiente</x:v>
      </x:c>
      <x:c r="C97" s="14" t="str">
        <x:v>Zona ampliada</x:v>
      </x:c>
      <x:c r="D97" s="14" t="str">
        <x:v>Devoto</x:v>
      </x:c>
      <x:c r="E97" s="14" t="str">
        <x:v>Devoto</x:v>
      </x:c>
      <x:c r="F97" s="14" t="str">
        <x:v>B</x:v>
      </x:c>
      <x:c r="G97" s="14" t="n">
        <x:v>68</x:v>
      </x:c>
      <x:c r="H97" s="14" t="str">
        <x:v>Roggio - Devoto</x:v>
      </x:c>
      <x:c r="I97" s="14" t="str">
        <x:v>Empresa constructora</x:v>
      </x:c>
      <x:c r="J97" s="14" t="str">
        <x:v>A verificar</x:v>
      </x:c>
      <x:c r="K97" s="14" t="str">
        <x:v>A verificar</x:v>
      </x:c>
      <x:c r="L97" s="14" t="str">
        <x:v>obras / equipos / logística</x:v>
      </x:c>
      <x:c r="M97" s="14" t="str">
        <x:v>Traslados interobra de equipos, herramientas, premoldeados y cargas especiales.</x:v>
      </x:c>
      <x:c r="N97" s="14" t="str">
        <x:v>Plataforma + hidrogrúa + malacate + percha.</x:v>
      </x:c>
      <x:c r="O97" s="14" t="str">
        <x:v>Cubrir movimientos interobra y cargas que no resuelve el camión convencional.</x:v>
      </x:c>
      <x:c r="P97" s="14" t="str">
        <x:v>Pedir obras/equipos/logística; relevar maquinaria propia y frecuencia.</x:v>
      </x:c>
      <x:c r="Q97" s="14" t="str"/>
      <x:c r="R97" s="14" t="str">
        <x:v>Devoto, Córdoba</x:v>
      </x:c>
      <x:c r="S97" s="14" t="str"/>
      <x:c r="T97" s="14" t="str"/>
      <x:c r="U97" s="14" t="str"/>
      <x:c r="V97" s="14" t="str"/>
      <x:c r="W97" s="14" t="str"/>
      <x:c r="X97" s="14" t="str">
        <x:v>https://www.google.com/maps/search/?api=1&amp;query=Roggio+-+Devoto%2C+Devoto%2C+C%C3%B3rdoba</x:v>
      </x:c>
      <x:c r="Y97" s="14" t="str">
        <x:v>Google Business</x:v>
      </x:c>
      <x:c r="Z97" s="14" t="str">
        <x:v>https://www.google.com/maps/search/?api=1&amp;query=ROGGIO%2C+Devoto%2C+C%C3%B3rdoba</x:v>
      </x:c>
      <x:c r="AA97" s="14" t="str">
        <x:v>Empresa constructora local; requiere calificación de flota.</x:v>
      </x:c>
      <x:c r="AB97" s="14" t="str">
        <x:v>Media</x:v>
      </x:c>
      <x:c r="AC97" s="14" t="str">
        <x:v>Operativo / verificar antes de visita</x:v>
      </x:c>
      <x:c r="AD97" s="14" t="str">
        <x:v>Rastrillaje San Francisco 2026-09-15</x:v>
      </x:c>
      <x:c r="AE97" s="14" t="str">
        <x:v>Plataforma 20 tn | Hidrogrúa | Malacate | Traslados interobra</x:v>
      </x:c>
      <x:c r="AF97" s="14" t="str">
        <x:v>SEGUNDA PASADA</x:v>
      </x:c>
    </x:row>
    <x:row r="98">
      <x:c r="A98" s="14" t="str">
        <x:v>SF-097</x:v>
      </x:c>
      <x:c r="B98" s="14" t="str">
        <x:v>Pendiente</x:v>
      </x:c>
      <x:c r="C98" s="14" t="str">
        <x:v>Zona ampliada</x:v>
      </x:c>
      <x:c r="D98" s="14" t="str">
        <x:v>Devoto</x:v>
      </x:c>
      <x:c r="E98" s="14" t="str">
        <x:v>9 de Julio</x:v>
      </x:c>
      <x:c r="F98" s="14" t="str">
        <x:v>B</x:v>
      </x:c>
      <x:c r="G98" s="14" t="n">
        <x:v>68</x:v>
      </x:c>
      <x:c r="H98" s="14" t="str">
        <x:v>Transporte Junio 21 S.R.L.</x:v>
      </x:c>
      <x:c r="I98" s="14" t="str">
        <x:v>Transporte / logística</x:v>
      </x:c>
      <x:c r="J98" s="14" t="str">
        <x:v>A verificar</x:v>
      </x:c>
      <x:c r="K98" s="14" t="str">
        <x:v>A verificar</x:v>
      </x:c>
      <x:c r="L98" s="14" t="str">
        <x:v>tráfico / operaciones</x:v>
      </x:c>
      <x:c r="M98" s="14" t="str">
        <x:v>Overflow y derivación de cargas/equipos que requieren plataforma, malacate o hidrogrúa.</x:v>
      </x:c>
      <x:c r="N98" s="14" t="str">
        <x:v>Capacidad complementaria: plataforma 20 tn + hidrogrúa + malacate.</x:v>
      </x:c>
      <x:c r="O98" s="14" t="str">
        <x:v>Ser socio de respaldo para cargas especiales que excedan la flota habitual.</x:v>
      </x:c>
      <x:c r="P98" s="14" t="str">
        <x:v>Pedir tráfico/operaciones y ofrecer acuerdo de derivaciones.</x:v>
      </x:c>
      <x:c r="Q98" s="14" t="str"/>
      <x:c r="R98" s="14" t="str">
        <x:v>Bv. 9 de Julio 562, Devoto, Córdoba</x:v>
      </x:c>
      <x:c r="S98" s="14" t="str"/>
      <x:c r="T98" s="14" t="str"/>
      <x:c r="U98" s="14" t="str"/>
      <x:c r="V98" s="14" t="str"/>
      <x:c r="W98" s="14" t="str"/>
      <x:c r="X98" s="14" t="str">
        <x:v>https://www.google.com/maps/search/?api=1&amp;query=Transporte+Junio+21+S.R.L.%2C+Bv.+9+de+Julio+562%2C+Devoto%2C+C%C3%B3rdoba</x:v>
      </x:c>
      <x:c r="Y98" s="14" t="str">
        <x:v>Google Business</x:v>
      </x:c>
      <x:c r="Z98" s="14" t="str">
        <x:v>https://www.google.com/maps/search/?api=1&amp;query=Transporte+Junio+21+SRL%2C+Bv.+9+de+Julio+562%2C+Devoto%2C+C%C3%B3rdoba</x:v>
      </x:c>
      <x:c r="AA98" s="14" t="str">
        <x:v>Transportista regional; validar contacto directo.</x:v>
      </x:c>
      <x:c r="AB98" s="14" t="str">
        <x:v>Media</x:v>
      </x:c>
      <x:c r="AC98" s="14" t="str">
        <x:v>Operativo / verificar antes de visita</x:v>
      </x:c>
      <x:c r="AD98" s="14" t="str">
        <x:v>Rastrillaje San Francisco 2026-09-15</x:v>
      </x:c>
      <x:c r="AE98" s="14" t="str">
        <x:v>Plataforma 20 tn | Hidrogrúa | Malacate | Subcontratación</x:v>
      </x:c>
      <x:c r="AF98" s="14" t="str">
        <x:v>SEGUNDA PASADA</x:v>
      </x:c>
    </x:row>
    <x:row r="99">
      <x:c r="A99" s="14" t="str">
        <x:v>SF-098</x:v>
      </x:c>
      <x:c r="B99" s="14" t="str">
        <x:v>Pendiente</x:v>
      </x:c>
      <x:c r="C99" s="14" t="str">
        <x:v>Zona ampliada</x:v>
      </x:c>
      <x:c r="D99" s="14" t="str">
        <x:v>Devoto</x:v>
      </x:c>
      <x:c r="E99" s="14" t="str">
        <x:v>Brasil</x:v>
      </x:c>
      <x:c r="F99" s="14" t="str">
        <x:v>B</x:v>
      </x:c>
      <x:c r="G99" s="14" t="n">
        <x:v>58</x:v>
      </x:c>
      <x:c r="H99" s="14" t="str">
        <x:v>Heladeras Honeker</x:v>
      </x:c>
      <x:c r="I99" s="14" t="str">
        <x:v>Fábrica industrial</x:v>
      </x:c>
      <x:c r="J99" s="14" t="str">
        <x:v>A verificar</x:v>
      </x:c>
      <x:c r="K99" s="14" t="str">
        <x:v>A verificar</x:v>
      </x:c>
      <x:c r="L99" s="14" t="str">
        <x:v>producción / logística</x:v>
      </x:c>
      <x:c r="M99" s="14" t="str">
        <x:v>Movimientos de equipos o cargas especiales asociados a su operación.</x:v>
      </x:c>
      <x:c r="N99" s="14" t="str">
        <x:v>Plataforma 20 tn + hidrogrúa + malacate según necesidad.</x:v>
      </x:c>
      <x:c r="O99" s="14" t="str">
        <x:v>Capacidad externa para movimientos pesados o especiales.</x:v>
      </x:c>
      <x:c r="P99" s="14" t="str">
        <x:v>Contactar operaciones/logística y relevar necesidad real.</x:v>
      </x:c>
      <x:c r="Q99" s="14" t="str"/>
      <x:c r="R99" s="14" t="str">
        <x:v>Brasil 1130, Devoto, Córdoba</x:v>
      </x:c>
      <x:c r="S99" s="14" t="str"/>
      <x:c r="T99" s="14" t="str"/>
      <x:c r="U99" s="14" t="str"/>
      <x:c r="V99" s="14" t="str"/>
      <x:c r="W99" s="14" t="str"/>
      <x:c r="X99" s="14" t="str">
        <x:v>https://www.google.com/maps/search/?api=1&amp;query=Heladeras+Honeker%2C+Brasil+1130%2C+Devoto%2C+C%C3%B3rdoba</x:v>
      </x:c>
      <x:c r="Y99" s="14" t="str">
        <x:v>Google Business</x:v>
      </x:c>
      <x:c r="Z99" s="14" t="str">
        <x:v>https://www.google.com/maps/search/?api=1&amp;query=Heladeras+Honeker%2C+Brasil+1130%2C+Devoto%2C+C%C3%B3rdoba</x:v>
      </x:c>
      <x:c r="AA99" s="14" t="str">
        <x:v>Fábrica regional; menor afinidad directa con transporte pesado.</x:v>
      </x:c>
      <x:c r="AB99" s="14" t="str">
        <x:v>Media</x:v>
      </x:c>
      <x:c r="AC99" s="14" t="str">
        <x:v>Operativo / verificar antes de visita</x:v>
      </x:c>
      <x:c r="AD99" s="14" t="str">
        <x:v>Rastrillaje San Francisco 2026-09-15</x:v>
      </x:c>
      <x:c r="AE99" s="14" t="str">
        <x:v>Plataforma 20 tn | Hidrogrúa | Malacate</x:v>
      </x:c>
      <x:c r="AF99" s="14" t="str">
        <x:v>SEGUNDA PASADA</x:v>
      </x:c>
    </x:row>
  </x:sheetData>
  <x:conditionalFormatting sqref="F2:F99">
    <x:cfRule type="expression" dxfId="0" priority="1">
      <x:formula>F2="A+"</x:formula>
    </x:cfRule>
    <x:cfRule type="expression" dxfId="1" priority="2">
      <x:formula>F2="A"</x:formula>
    </x:cfRule>
    <x:cfRule type="expression" dxfId="2" priority="3">
      <x:formula>F2="B"</x:formula>
    </x:cfRule>
  </x:conditionalFormatting>
  <x:conditionalFormatting sqref="K2:K99">
    <x:cfRule type="expression" dxfId="3" priority="4">
      <x:formula>K2="A verificar"</x:formula>
    </x:cfRule>
  </x:conditionalFormatting>
  <x:dataValidations count="1">
    <x:dataValidation type="list" sqref="B2:B99">
      <x:formula1>"Pendiente,Contactado,Reunión,Cotizado,Seguimiento,Cliente,Descartado"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f78de41fa44f9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5" max="5" width="42" hidden="0" customWidth="1"/>
    <x:col min="6" max="6" width="12" hidden="0" customWidth="1"/>
    <x:col min="7" max="7" width="12" hidden="0" customWidth="1"/>
  </x:cols>
  <x:sheetData>
    <x:row r="1">
      <x:c r="A1" s="17" t="str">
        <x:v>INDICADORES · SAN FRANCISCO</x:v>
      </x:c>
      <x:c r="B1" s="17"/>
      <x:c r="C1" s="17"/>
      <x:c r="D1" s="17"/>
      <x:c r="E1" s="17"/>
      <x:c r="F1" s="17"/>
      <x:c r="G1" s="17"/>
      <x:c r="H1" s="17"/>
    </x:row>
    <x:row r="3">
      <x:c r="A3" s="6" t="str">
        <x:v>Clase</x:v>
      </x:c>
      <x:c r="B3" s="6" t="str">
        <x:v>Prospectos</x:v>
      </x:c>
      <x:c r="C3" s="6" t="str">
        <x:v>% total</x:v>
      </x:c>
      <x:c r="E3" s="6" t="str">
        <x:v>Categoría</x:v>
      </x:c>
      <x:c r="F3" s="6" t="str">
        <x:v>Prospectos</x:v>
      </x:c>
      <x:c r="G3" s="6" t="str">
        <x:v>% total</x:v>
      </x:c>
    </x:row>
    <x:row r="4">
      <x:c r="A4" t="str">
        <x:v>A+</x:v>
      </x:c>
      <x:c r="B4" t="n">
        <x:f>COUNTIF(Prospectos!F:F,A4)</x:f>
        <x:v>17</x:v>
      </x:c>
      <x:c r="C4" s="32" t="n">
        <x:f>B4/$B$7</x:f>
        <x:v>0.17346938775510204</x:v>
      </x:c>
      <x:c r="E4" t="str">
        <x:v>Autoelevadores / equipos de elevación</x:v>
      </x:c>
      <x:c r="F4" t="n">
        <x:f>COUNTIF(Prospectos!I:I,E4)</x:f>
        <x:v>1</x:v>
      </x:c>
      <x:c r="G4" s="32" t="n">
        <x:f>F4/$B$7</x:f>
        <x:v>0.01020408163265306</x:v>
      </x:c>
    </x:row>
    <x:row r="5">
      <x:c r="A5" t="str">
        <x:v>A</x:v>
      </x:c>
      <x:c r="B5" t="n">
        <x:f>COUNTIF(Prospectos!F:F,A5)</x:f>
        <x:v>52</x:v>
      </x:c>
      <x:c r="C5" s="32" t="n">
        <x:f>B5/$B$7</x:f>
        <x:v>0.5306122448979592</x:v>
      </x:c>
      <x:c r="E5" t="str">
        <x:v>Autopartes / automotor</x:v>
      </x:c>
      <x:c r="F5" t="n">
        <x:f>COUNTIF(Prospectos!I:I,E5)</x:f>
        <x:v>4</x:v>
      </x:c>
      <x:c r="G5" s="32" t="n">
        <x:f>F5/$B$7</x:f>
        <x:v>0.04081632653061224</x:v>
      </x:c>
    </x:row>
    <x:row r="6">
      <x:c r="A6" t="str">
        <x:v>B</x:v>
      </x:c>
      <x:c r="B6" t="n">
        <x:f>COUNTIF(Prospectos!F:F,A6)</x:f>
        <x:v>29</x:v>
      </x:c>
      <x:c r="C6" s="32" t="n">
        <x:f>B6/$B$7</x:f>
        <x:v>0.29591836734693877</x:v>
      </x:c>
      <x:c r="E6" t="str">
        <x:v>Auxilio / grúa / remolque</x:v>
      </x:c>
      <x:c r="F6" t="n">
        <x:f>COUNTIF(Prospectos!I:I,E6)</x:f>
        <x:v>1</x:v>
      </x:c>
      <x:c r="G6" s="32" t="n">
        <x:f>F6/$B$7</x:f>
        <x:v>0.01020408163265306</x:v>
      </x:c>
    </x:row>
    <x:row r="7">
      <x:c r="A7" s="26" t="str">
        <x:v>TOTAL</x:v>
      </x:c>
      <x:c r="B7" s="26" t="n">
        <x:f>COUNTA(Prospectos!H:H)-1</x:f>
        <x:v>98</x:v>
      </x:c>
      <x:c r="C7" s="26"/>
      <x:c r="E7" t="str">
        <x:v>Cilindros hidráulicos / agroindustria</x:v>
      </x:c>
      <x:c r="F7" t="n">
        <x:f>COUNTIF(Prospectos!I:I,E7)</x:f>
        <x:v>1</x:v>
      </x:c>
      <x:c r="G7" s="32" t="n">
        <x:f>F7/$B$7</x:f>
        <x:v>0.01020408163265306</x:v>
      </x:c>
    </x:row>
    <x:row r="8">
      <x:c r="E8" t="str">
        <x:v>Cintas transportadoras / chimangos / metalmecánica</x:v>
      </x:c>
      <x:c r="F8" t="n">
        <x:f>COUNTIF(Prospectos!I:I,E8)</x:f>
        <x:v>1</x:v>
      </x:c>
      <x:c r="G8" s="32" t="n">
        <x:f>F8/$B$7</x:f>
        <x:v>0.01020408163265306</x:v>
      </x:c>
    </x:row>
    <x:row r="9">
      <x:c r="E9" t="str">
        <x:v>Concesionario de camiones</x:v>
      </x:c>
      <x:c r="F9" t="n">
        <x:f>COUNTIF(Prospectos!I:I,E9)</x:f>
        <x:v>3</x:v>
      </x:c>
      <x:c r="G9" s="32" t="n">
        <x:f>F9/$B$7</x:f>
        <x:v>0.030612244897959183</x:v>
      </x:c>
    </x:row>
    <x:row r="10">
      <x:c r="E10" t="str">
        <x:v>Concesionario de tractores</x:v>
      </x:c>
      <x:c r="F10" t="n">
        <x:f>COUNTIF(Prospectos!I:I,E10)</x:f>
        <x:v>1</x:v>
      </x:c>
      <x:c r="G10" s="32" t="n">
        <x:f>F10/$B$7</x:f>
        <x:v>0.01020408163265306</x:v>
      </x:c>
    </x:row>
    <x:row r="11">
      <x:c r="E11" t="str">
        <x:v>Concesionario de tractores, cosechadoras y maquinaria agrícola</x:v>
      </x:c>
      <x:c r="F11" t="n">
        <x:f>COUNTIF(Prospectos!I:I,E11)</x:f>
        <x:v>1</x:v>
      </x:c>
      <x:c r="G11" s="32" t="n">
        <x:f>F11/$B$7</x:f>
        <x:v>0.01020408163265306</x:v>
      </x:c>
    </x:row>
    <x:row r="12">
      <x:c r="E12" t="str">
        <x:v>Concesionario integral de maquinaria agrícola</x:v>
      </x:c>
      <x:c r="F12" t="n">
        <x:f>COUNTIF(Prospectos!I:I,E12)</x:f>
        <x:v>1</x:v>
      </x:c>
      <x:c r="G12" s="32" t="n">
        <x:f>F12/$B$7</x:f>
        <x:v>0.01020408163265306</x:v>
      </x:c>
    </x:row>
    <x:row r="13">
      <x:c r="E13" t="str">
        <x:v>Construcción / obra civil</x:v>
      </x:c>
      <x:c r="F13" t="n">
        <x:f>COUNTIF(Prospectos!I:I,E13)</x:f>
        <x:v>1</x:v>
      </x:c>
      <x:c r="G13" s="32" t="n">
        <x:f>F13/$B$7</x:f>
        <x:v>0.01020408163265306</x:v>
      </x:c>
    </x:row>
    <x:row r="14">
      <x:c r="E14" t="str">
        <x:v>Contratista / constructora</x:v>
      </x:c>
      <x:c r="F14" t="n">
        <x:f>COUNTIF(Prospectos!I:I,E14)</x:f>
        <x:v>1</x:v>
      </x:c>
      <x:c r="G14" s="32" t="n">
        <x:f>F14/$B$7</x:f>
        <x:v>0.01020408163265306</x:v>
      </x:c>
    </x:row>
    <x:row r="15">
      <x:c r="E15" t="str">
        <x:v>Cosechadoras, picadoras y maquinaria agrícola</x:v>
      </x:c>
      <x:c r="F15" t="n">
        <x:f>COUNTIF(Prospectos!I:I,E15)</x:f>
        <x:v>1</x:v>
      </x:c>
      <x:c r="G15" s="32" t="n">
        <x:f>F15/$B$7</x:f>
        <x:v>0.01020408163265306</x:v>
      </x:c>
    </x:row>
    <x:row r="16">
      <x:c r="E16" t="str">
        <x:v>Depósito fiscal / logística internacional</x:v>
      </x:c>
      <x:c r="F16" t="n">
        <x:f>COUNTIF(Prospectos!I:I,E16)</x:f>
        <x:v>1</x:v>
      </x:c>
      <x:c r="G16" s="32" t="n">
        <x:f>F16/$B$7</x:f>
        <x:v>0.01020408163265306</x:v>
      </x:c>
    </x:row>
    <x:row r="17">
      <x:c r="E17" t="str">
        <x:v>Electrónica para maquinaria agrícola y transporte</x:v>
      </x:c>
      <x:c r="F17" t="n">
        <x:f>COUNTIF(Prospectos!I:I,E17)</x:f>
        <x:v>1</x:v>
      </x:c>
      <x:c r="G17" s="32" t="n">
        <x:f>F17/$B$7</x:f>
        <x:v>0.01020408163265306</x:v>
      </x:c>
    </x:row>
    <x:row r="18">
      <x:c r="E18" t="str">
        <x:v>Empresa constructora</x:v>
      </x:c>
      <x:c r="F18" t="n">
        <x:f>COUNTIF(Prospectos!I:I,E18)</x:f>
        <x:v>2</x:v>
      </x:c>
      <x:c r="G18" s="32" t="n">
        <x:f>F18/$B$7</x:f>
        <x:v>0.02040816326530612</x:v>
      </x:c>
    </x:row>
    <x:row r="19">
      <x:c r="E19" t="str">
        <x:v>Equipos industriales, tanques inoxidables y líneas de embotellado</x:v>
      </x:c>
      <x:c r="F19" t="n">
        <x:f>COUNTIF(Prospectos!I:I,E19)</x:f>
        <x:v>1</x:v>
      </x:c>
      <x:c r="G19" s="32" t="n">
        <x:f>F19/$B$7</x:f>
        <x:v>0.01020408163265306</x:v>
      </x:c>
    </x:row>
    <x:row r="20">
      <x:c r="E20" t="str">
        <x:v>Fabricación de maquinaria agrícola</x:v>
      </x:c>
      <x:c r="F20" t="n">
        <x:f>COUNTIF(Prospectos!I:I,E20)</x:f>
        <x:v>6</x:v>
      </x:c>
      <x:c r="G20" s="32" t="n">
        <x:f>F20/$B$7</x:f>
        <x:v>0.061224489795918366</x:v>
      </x:c>
    </x:row>
    <x:row r="21">
      <x:c r="E21" t="str">
        <x:v>Fabricante de herramientas / metalmecánica</x:v>
      </x:c>
      <x:c r="F21" t="n">
        <x:f>COUNTIF(Prospectos!I:I,E21)</x:f>
        <x:v>1</x:v>
      </x:c>
      <x:c r="G21" s="32" t="n">
        <x:f>F21/$B$7</x:f>
        <x:v>0.01020408163265306</x:v>
      </x:c>
    </x:row>
    <x:row r="22">
      <x:c r="E22" t="str">
        <x:v>Fabricante de máquinas y herramientas</x:v>
      </x:c>
      <x:c r="F22" t="n">
        <x:f>COUNTIF(Prospectos!I:I,E22)</x:f>
        <x:v>1</x:v>
      </x:c>
      <x:c r="G22" s="32" t="n">
        <x:f>F22/$B$7</x:f>
        <x:v>0.01020408163265306</x:v>
      </x:c>
    </x:row>
    <x:row r="23">
      <x:c r="E23" t="str">
        <x:v>Fabricante de máquinas-herramienta industriales</x:v>
      </x:c>
      <x:c r="F23" t="n">
        <x:f>COUNTIF(Prospectos!I:I,E23)</x:f>
        <x:v>1</x:v>
      </x:c>
      <x:c r="G23" s="32" t="n">
        <x:f>F23/$B$7</x:f>
        <x:v>0.01020408163265306</x:v>
      </x:c>
    </x:row>
    <x:row r="24">
      <x:c r="E24" t="str">
        <x:v>Forja / metalúrgica</x:v>
      </x:c>
      <x:c r="F24" t="n">
        <x:f>COUNTIF(Prospectos!I:I,E24)</x:f>
        <x:v>1</x:v>
      </x:c>
      <x:c r="G24" s="32" t="n">
        <x:f>F24/$B$7</x:f>
        <x:v>0.01020408163265306</x:v>
      </x:c>
    </x:row>
    <x:row r="25">
      <x:c r="E25" t="str">
        <x:v>Frigorífico / planta industrial</x:v>
      </x:c>
      <x:c r="F25" t="n">
        <x:f>COUNTIF(Prospectos!I:I,E25)</x:f>
        <x:v>1</x:v>
      </x:c>
      <x:c r="G25" s="32" t="n">
        <x:f>F25/$B$7</x:f>
        <x:v>0.01020408163265306</x:v>
      </x:c>
    </x:row>
    <x:row r="26">
      <x:c r="E26" t="str">
        <x:v>Fábrica de agropartes</x:v>
      </x:c>
      <x:c r="F26" t="n">
        <x:f>COUNTIF(Prospectos!I:I,E26)</x:f>
        <x:v>1</x:v>
      </x:c>
      <x:c r="G26" s="32" t="n">
        <x:f>F26/$B$7</x:f>
        <x:v>0.01020408163265306</x:v>
      </x:c>
    </x:row>
    <x:row r="27">
      <x:c r="E27" t="str">
        <x:v>Fábrica de implementos agrícolas</x:v>
      </x:c>
      <x:c r="F27" t="n">
        <x:f>COUNTIF(Prospectos!I:I,E27)</x:f>
        <x:v>2</x:v>
      </x:c>
      <x:c r="G27" s="32" t="n">
        <x:f>F27/$B$7</x:f>
        <x:v>0.02040816326530612</x:v>
      </x:c>
    </x:row>
    <x:row r="28">
      <x:c r="E28" t="str">
        <x:v>Fábrica de implementos agrícolas y viales</x:v>
      </x:c>
      <x:c r="F28" t="n">
        <x:f>COUNTIF(Prospectos!I:I,E28)</x:f>
        <x:v>1</x:v>
      </x:c>
      <x:c r="G28" s="32" t="n">
        <x:f>F28/$B$7</x:f>
        <x:v>0.01020408163265306</x:v>
      </x:c>
    </x:row>
    <x:row r="29">
      <x:c r="E29" t="str">
        <x:v>Fábrica de maquinaria agrícola</x:v>
      </x:c>
      <x:c r="F29" t="n">
        <x:f>COUNTIF(Prospectos!I:I,E29)</x:f>
        <x:v>1</x:v>
      </x:c>
      <x:c r="G29" s="32" t="n">
        <x:f>F29/$B$7</x:f>
        <x:v>0.01020408163265306</x:v>
      </x:c>
    </x:row>
    <x:row r="30">
      <x:c r="E30" t="str">
        <x:v>Fábrica de máquinas agrícolas</x:v>
      </x:c>
      <x:c r="F30" t="n">
        <x:f>COUNTIF(Prospectos!I:I,E30)</x:f>
        <x:v>1</x:v>
      </x:c>
      <x:c r="G30" s="32" t="n">
        <x:f>F30/$B$7</x:f>
        <x:v>0.01020408163265306</x:v>
      </x:c>
    </x:row>
    <x:row r="31">
      <x:c r="E31" t="str">
        <x:v>Fábrica industrial</x:v>
      </x:c>
      <x:c r="F31" t="n">
        <x:f>COUNTIF(Prospectos!I:I,E31)</x:f>
        <x:v>1</x:v>
      </x:c>
      <x:c r="G31" s="32" t="n">
        <x:f>F31/$B$7</x:f>
        <x:v>0.01020408163265306</x:v>
      </x:c>
    </x:row>
    <x:row r="32">
      <x:c r="E32" t="str">
        <x:v>Fábrica y comercialización de maquinaria agrícola</x:v>
      </x:c>
      <x:c r="F32" t="n">
        <x:f>COUNTIF(Prospectos!I:I,E32)</x:f>
        <x:v>1</x:v>
      </x:c>
      <x:c r="G32" s="32" t="n">
        <x:f>F32/$B$7</x:f>
        <x:v>0.01020408163265306</x:v>
      </x:c>
    </x:row>
    <x:row r="33">
      <x:c r="E33" t="str">
        <x:v>Grúa / auxilio</x:v>
      </x:c>
      <x:c r="F33" t="n">
        <x:f>COUNTIF(Prospectos!I:I,E33)</x:f>
        <x:v>1</x:v>
      </x:c>
      <x:c r="G33" s="32" t="n">
        <x:f>F33/$B$7</x:f>
        <x:v>0.01020408163265306</x:v>
      </x:c>
    </x:row>
    <x:row r="34">
      <x:c r="E34" t="str">
        <x:v>Hormigón elaborado</x:v>
      </x:c>
      <x:c r="F34" t="n">
        <x:f>COUNTIF(Prospectos!I:I,E34)</x:f>
        <x:v>1</x:v>
      </x:c>
      <x:c r="G34" s="32" t="n">
        <x:f>F34/$B$7</x:f>
        <x:v>0.01020408163265306</x:v>
      </x:c>
    </x:row>
    <x:row r="35">
      <x:c r="E35" t="str">
        <x:v>Hormigón elaborado / premoldeados</x:v>
      </x:c>
      <x:c r="F35" t="n">
        <x:f>COUNTIF(Prospectos!I:I,E35)</x:f>
        <x:v>1</x:v>
      </x:c>
      <x:c r="G35" s="32" t="n">
        <x:f>F35/$B$7</x:f>
        <x:v>0.01020408163265306</x:v>
      </x:c>
    </x:row>
    <x:row r="36">
      <x:c r="E36" t="str">
        <x:v>Industria alimenticia</x:v>
      </x:c>
      <x:c r="F36" t="n">
        <x:f>COUNTIF(Prospectos!I:I,E36)</x:f>
        <x:v>1</x:v>
      </x:c>
      <x:c r="G36" s="32" t="n">
        <x:f>F36/$B$7</x:f>
        <x:v>0.01020408163265306</x:v>
      </x:c>
    </x:row>
    <x:row r="37">
      <x:c r="E37" t="str">
        <x:v>Industria alimenticia / planta industrial</x:v>
      </x:c>
      <x:c r="F37" t="n">
        <x:f>COUNTIF(Prospectos!I:I,E37)</x:f>
        <x:v>1</x:v>
      </x:c>
      <x:c r="G37" s="32" t="n">
        <x:f>F37/$B$7</x:f>
        <x:v>0.01020408163265306</x:v>
      </x:c>
    </x:row>
    <x:row r="38">
      <x:c r="E38" t="str">
        <x:v>Industria láctea / planta industrial</x:v>
      </x:c>
      <x:c r="F38" t="n">
        <x:f>COUNTIF(Prospectos!I:I,E38)</x:f>
        <x:v>1</x:v>
      </x:c>
      <x:c r="G38" s="32" t="n">
        <x:f>F38/$B$7</x:f>
        <x:v>0.01020408163265306</x:v>
      </x:c>
    </x:row>
    <x:row r="39">
      <x:c r="E39" t="str">
        <x:v>Industria plástica</x:v>
      </x:c>
      <x:c r="F39" t="n">
        <x:f>COUNTIF(Prospectos!I:I,E39)</x:f>
        <x:v>1</x:v>
      </x:c>
      <x:c r="G39" s="32" t="n">
        <x:f>F39/$B$7</x:f>
        <x:v>0.01020408163265306</x:v>
      </x:c>
    </x:row>
    <x:row r="40">
      <x:c r="E40" t="str">
        <x:v>Metalmecánica / chapistería</x:v>
      </x:c>
      <x:c r="F40" t="n">
        <x:f>COUNTIF(Prospectos!I:I,E40)</x:f>
        <x:v>1</x:v>
      </x:c>
      <x:c r="G40" s="32" t="n">
        <x:f>F40/$B$7</x:f>
        <x:v>0.01020408163265306</x:v>
      </x:c>
    </x:row>
    <x:row r="41">
      <x:c r="E41" t="str">
        <x:v>Metalúrgica</x:v>
      </x:c>
      <x:c r="F41" t="n">
        <x:f>COUNTIF(Prospectos!I:I,E41)</x:f>
        <x:v>3</x:v>
      </x:c>
      <x:c r="G41" s="32" t="n">
        <x:f>F41/$B$7</x:f>
        <x:v>0.030612244897959183</x:v>
      </x:c>
    </x:row>
    <x:row r="42">
      <x:c r="E42" t="str">
        <x:v>Metalúrgica / mecanizado / piezas</x:v>
      </x:c>
      <x:c r="F42" t="n">
        <x:f>COUNTIF(Prospectos!I:I,E42)</x:f>
        <x:v>29</x:v>
      </x:c>
      <x:c r="G42" s="32" t="n">
        <x:f>F42/$B$7</x:f>
        <x:v>0.29591836734693877</x:v>
      </x:c>
    </x:row>
    <x:row r="43">
      <x:c r="E43" t="str">
        <x:v>Motores / repuestos / tractores</x:v>
      </x:c>
      <x:c r="F43" t="n">
        <x:f>COUNTIF(Prospectos!I:I,E43)</x:f>
        <x:v>1</x:v>
      </x:c>
      <x:c r="G43" s="32" t="n">
        <x:f>F43/$B$7</x:f>
        <x:v>0.01020408163265306</x:v>
      </x:c>
    </x:row>
    <x:row r="44">
      <x:c r="E44" t="str">
        <x:v>Neumática e hidráulica</x:v>
      </x:c>
      <x:c r="F44" t="n">
        <x:f>COUNTIF(Prospectos!I:I,E44)</x:f>
        <x:v>1</x:v>
      </x:c>
      <x:c r="G44" s="32" t="n">
        <x:f>F44/$B$7</x:f>
        <x:v>0.01020408163265306</x:v>
      </x:c>
    </x:row>
    <x:row r="45">
      <x:c r="E45" t="str">
        <x:v>Repuestos / tractores</x:v>
      </x:c>
      <x:c r="F45" t="n">
        <x:f>COUNTIF(Prospectos!I:I,E45)</x:f>
        <x:v>1</x:v>
      </x:c>
      <x:c r="G45" s="32" t="n">
        <x:f>F45/$B$7</x:f>
        <x:v>0.01020408163265306</x:v>
      </x:c>
    </x:row>
    <x:row r="46">
      <x:c r="E46" t="str">
        <x:v>Repuestos e implementos agro-industriales</x:v>
      </x:c>
      <x:c r="F46" t="n">
        <x:f>COUNTIF(Prospectos!I:I,E46)</x:f>
        <x:v>1</x:v>
      </x:c>
      <x:c r="G46" s="32" t="n">
        <x:f>F46/$B$7</x:f>
        <x:v>0.01020408163265306</x:v>
      </x:c>
    </x:row>
    <x:row r="47">
      <x:c r="E47" t="str">
        <x:v>Service de maquinaria agrícola</x:v>
      </x:c>
      <x:c r="F47" t="n">
        <x:f>COUNTIF(Prospectos!I:I,E47)</x:f>
        <x:v>1</x:v>
      </x:c>
      <x:c r="G47" s="32" t="n">
        <x:f>F47/$B$7</x:f>
        <x:v>0.01020408163265306</x:v>
      </x:c>
    </x:row>
    <x:row r="48">
      <x:c r="E48" t="str">
        <x:v>Tecnología / industria</x:v>
      </x:c>
      <x:c r="F48" t="n">
        <x:f>COUNTIF(Prospectos!I:I,E48)</x:f>
        <x:v>1</x:v>
      </x:c>
      <x:c r="G48" s="32" t="n">
        <x:f>F48/$B$7</x:f>
        <x:v>0.01020408163265306</x:v>
      </x:c>
    </x:row>
    <x:row r="49">
      <x:c r="E49" t="str">
        <x:v>Transporte / logística</x:v>
      </x:c>
      <x:c r="F49" t="n">
        <x:f>COUNTIF(Prospectos!I:I,E49)</x:f>
        <x:v>2</x:v>
      </x:c>
      <x:c r="G49" s="32" t="n">
        <x:f>F49/$B$7</x:f>
        <x:v>0.02040816326530612</x:v>
      </x:c>
    </x:row>
    <x:row r="50">
      <x:c r="E50" t="str">
        <x:v>Transporte / logística / almacenamiento</x:v>
      </x:c>
      <x:c r="F50" t="n">
        <x:f>COUNTIF(Prospectos!I:I,E50)</x:f>
        <x:v>1</x:v>
      </x:c>
      <x:c r="G50" s="32" t="n">
        <x:f>F50/$B$7</x:f>
        <x:v>0.01020408163265306</x:v>
      </x:c>
    </x:row>
    <x:row r="51">
      <x:c r="E51" t="str">
        <x:v>Transporte de cargas</x:v>
      </x:c>
      <x:c r="F51" t="n">
        <x:f>COUNTIF(Prospectos!I:I,E51)</x:f>
        <x:v>1</x:v>
      </x:c>
      <x:c r="G51" s="32" t="n">
        <x:f>F51/$B$7</x:f>
        <x:v>0.01020408163265306</x:v>
      </x:c>
    </x:row>
    <x:row r="52">
      <x:c r="E52" t="str">
        <x:v>Transporte de cargas / encomiendas</x:v>
      </x:c>
      <x:c r="F52" t="n">
        <x:f>COUNTIF(Prospectos!I:I,E52)</x:f>
        <x:v>1</x:v>
      </x:c>
      <x:c r="G52" s="32" t="n">
        <x:f>F52/$B$7</x:f>
        <x:v>0.01020408163265306</x:v>
      </x:c>
    </x:row>
    <x:row r="53">
      <x:c r="E53" t="str">
        <x:v>Transporte de mercancías</x:v>
      </x:c>
      <x:c r="F53" t="n">
        <x:f>COUNTIF(Prospectos!I:I,E53)</x:f>
        <x:v>1</x:v>
      </x:c>
      <x:c r="G53" s="32" t="n">
        <x:f>F53/$B$7</x:f>
        <x:v>0.01020408163265306</x:v>
      </x:c>
    </x:row>
    <x:row r="54">
      <x:c r="E54" t="str">
        <x:v>Transporte por camión</x:v>
      </x:c>
      <x:c r="F54" t="n">
        <x:f>COUNTIF(Prospectos!I:I,E54)</x:f>
        <x:v>3</x:v>
      </x:c>
      <x:c r="G54" s="32" t="n">
        <x:f>F54/$B$7</x:f>
        <x:v>0.030612244897959183</x:v>
      </x:c>
    </x:row>
    <x:row r="55">
      <x:c r="E55" t="str">
        <x:v>Transporte y logística</x:v>
      </x:c>
      <x:c r="F55" t="n">
        <x:f>COUNTIF(Prospectos!I:I,E55)</x:f>
        <x:v>1</x:v>
      </x:c>
      <x:c r="G55" s="32" t="n">
        <x:f>F55/$B$7</x:f>
        <x:v>0.01020408163265306</x:v>
      </x:c>
    </x:row>
    <x:row r="56">
      <x:c r="E56" t="str">
        <x:v>Venta de maquinaria vial pesada / hidroelevadores / minicargadoras</x:v>
      </x:c>
      <x:c r="F56" t="n">
        <x:f>COUNTIF(Prospectos!I:I,E56)</x:f>
        <x:v>1</x:v>
      </x:c>
      <x:c r="G56" s="32" t="n">
        <x:f>F56/$B$7</x:f>
        <x:v>0.01020408163265306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92989244a5554814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20" hidden="0" customWidth="1"/>
    <x:col min="4" max="4" width="35" hidden="0" customWidth="1"/>
    <x:col min="5" max="5" width="8" hidden="0" customWidth="1"/>
    <x:col min="6" max="6" width="40" hidden="0" customWidth="1"/>
    <x:col min="7" max="7" width="24" hidden="0" customWidth="1"/>
    <x:col min="8" max="8" width="46" hidden="0" customWidth="1"/>
    <x:col min="9" max="9" width="28" hidden="0" customWidth="1"/>
    <x:col min="10" max="10" width="42" hidden="0" customWidth="1"/>
    <x:col min="11" max="11" width="40" hidden="0" customWidth="1"/>
    <x:col min="12" max="12" width="40" hidden="0" customWidth="1"/>
  </x:cols>
  <x:sheetData>
    <x:row r="1">
      <x:c r="A1" s="17" t="str">
        <x:v>FOCO A+ · SAN FRANCISCO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3">
      <x:c r="A3" s="6" t="str">
        <x:v>Orden</x:v>
      </x:c>
      <x:c r="B3" s="6" t="str">
        <x:v>Área</x:v>
      </x:c>
      <x:c r="C3" s="6" t="str">
        <x:v>Localidad</x:v>
      </x:c>
      <x:c r="D3" s="6" t="str">
        <x:v>Empresa</x:v>
      </x:c>
      <x:c r="E3" s="6" t="str">
        <x:v>Score</x:v>
      </x:c>
      <x:c r="F3" s="6" t="str">
        <x:v>Categoría</x:v>
      </x:c>
      <x:c r="G3" s="6" t="str">
        <x:v>Teléfono</x:v>
      </x:c>
      <x:c r="H3" s="6" t="str">
        <x:v>Dirección</x:v>
      </x:c>
      <x:c r="I3" s="6" t="str">
        <x:v>Preguntar por</x:v>
      </x:c>
      <x:c r="J3" s="6" t="str">
        <x:v>Necesidad</x:v>
      </x:c>
      <x:c r="K3" s="6" t="str">
        <x:v>Acción</x:v>
      </x:c>
      <x:c r="L3" s="6" t="str">
        <x:v>Google Maps</x:v>
      </x:c>
    </x:row>
    <x:row r="4">
      <x:c r="A4" s="12" t="n">
        <x:v>1</x:v>
      </x:c>
      <x:c r="B4" s="12" t="str">
        <x:v>Núcleo</x:v>
      </x:c>
      <x:c r="C4" s="12" t="str">
        <x:v>San Francisco</x:v>
      </x:c>
      <x:c r="D4" s="12" t="str">
        <x:v>AKRON S.A.</x:v>
      </x:c>
      <x:c r="E4" s="12" t="n">
        <x:v>100</x:v>
      </x:c>
      <x:c r="F4" s="12" t="str">
        <x:v>Fábrica y comercialización de maquinaria agrícola</x:v>
      </x:c>
      <x:c r="G4" s="12" t="str">
        <x:v>+54 3564 435900</x:v>
      </x:c>
      <x:c r="H4" s="12" t="str">
        <x:v>Av. Rosario de Santa Fe 2256, San Francisco, Córdoba</x:v>
      </x:c>
      <x:c r="I4" s="12" t="str">
        <x:v>logística / expedición / posventa / ventas</x:v>
      </x:c>
      <x:c r="J4" s="12" t="str">
        <x:v>Entrega/retiro de maquinaria, usados, equipos de service y despachos de fábrica.</x:v>
      </x:c>
      <x:c r="K4" s="12" t="str">
        <x:v>Pedir logística/expedición/posventa; relevar equipos, pesos y movimientos mensuales.</x:v>
      </x:c>
      <x:c r="L4" s="12" t="str">
        <x:v>https://www.google.com/maps/search/?api=1&amp;query=AKRON+S.A.%2C+Av.+Rosario+de+Santa+Fe+2256%2C+San+Francisco%2C+C%C3%B3rdoba</x:v>
      </x:c>
    </x:row>
    <x:row r="5">
      <x:c r="A5" s="12" t="n">
        <x:v>2</x:v>
      </x:c>
      <x:c r="B5" s="12" t="str">
        <x:v>Núcleo</x:v>
      </x:c>
      <x:c r="C5" s="12" t="str">
        <x:v>San Francisco</x:v>
      </x:c>
      <x:c r="D5" s="12" t="str">
        <x:v>GOMSELMASH Argentina</x:v>
      </x:c>
      <x:c r="E5" s="12" t="n">
        <x:v>100</x:v>
      </x:c>
      <x:c r="F5" s="12" t="str">
        <x:v>Cosechadoras, picadoras y maquinaria agrícola</x:v>
      </x:c>
      <x:c r="G5" s="12" t="str">
        <x:v>03564 445814 / +54 9 3564 639900</x:v>
      </x:c>
      <x:c r="H5" s="12" t="str">
        <x:v>Ingeniero Huergo 1154, Parque Industrial, San Francisco, Córdoba</x:v>
      </x:c>
      <x:c r="I5" s="12" t="str">
        <x:v>ventas / logística / service / repuestos</x:v>
      </x:c>
      <x:c r="J5" s="12" t="str">
        <x:v>Entrega/retiro de maquinaria, usados, equipos de service y despachos de fábrica.</x:v>
      </x:c>
      <x:c r="K5" s="12" t="str">
        <x:v>Pedir logística/expedición/posventa; relevar equipos, pesos y movimientos mensuales.</x:v>
      </x:c>
      <x:c r="L5" s="12" t="str">
        <x:v>https://www.google.com/maps/search/?api=1&amp;query=GOMSELMASH+Argentina%2C+Ingeniero+Huergo+1154%2C+Parque+Industrial%2C+San+Francisco%2C+C%C3%B3rdoba</x:v>
      </x:c>
    </x:row>
    <x:row r="6">
      <x:c r="A6" s="12" t="n">
        <x:v>3</x:v>
      </x:c>
      <x:c r="B6" s="12" t="str">
        <x:v>Núcleo</x:v>
      </x:c>
      <x:c r="C6" s="12" t="str">
        <x:v>San Francisco</x:v>
      </x:c>
      <x:c r="D6" s="12" t="str">
        <x:v>Hannover Maquinarias</x:v>
      </x:c>
      <x:c r="E6" s="12" t="n">
        <x:v>100</x:v>
      </x:c>
      <x:c r="F6" s="12" t="str">
        <x:v>Venta de maquinaria vial pesada / hidroelevadores / minicargadoras</x:v>
      </x:c>
      <x:c r="G6" s="12" t="str">
        <x:v>03564 527646</x:v>
      </x:c>
      <x:c r="H6" s="12" t="str">
        <x:v>Rosario de Santa Fe 1698, San Francisco, Córdoba</x:v>
      </x:c>
      <x:c r="I6" s="12" t="str">
        <x:v>ventas / logística / service / repuestos</x:v>
      </x:c>
      <x:c r="J6" s="12" t="str">
        <x:v>Entrega/retiro de maquinaria, usados, equipos de service y despachos de fábrica.</x:v>
      </x:c>
      <x:c r="K6" s="12" t="str">
        <x:v>Pedir logística/expedición/posventa; relevar equipos, pesos y movimientos mensuales.</x:v>
      </x:c>
      <x:c r="L6" s="12" t="str">
        <x:v>https://www.google.com/maps/search/?api=1&amp;query=Hannover+Maquinarias%2C+Rosario+de+Santa+Fe+1698%2C+San+Francisco%2C+C%C3%B3rdoba</x:v>
      </x:c>
    </x:row>
    <x:row r="7">
      <x:c r="A7" s="12" t="n">
        <x:v>4</x:v>
      </x:c>
      <x:c r="B7" s="12" t="str">
        <x:v>Núcleo</x:v>
      </x:c>
      <x:c r="C7" s="12" t="str">
        <x:v>San Francisco</x:v>
      </x:c>
      <x:c r="D7" s="12" t="str">
        <x:v>Máquinas del Centro S.R.L. - Case IH</x:v>
      </x:c>
      <x:c r="E7" s="12" t="n">
        <x:v>100</x:v>
      </x:c>
      <x:c r="F7" s="12" t="str">
        <x:v>Concesionario de tractores, cosechadoras y maquinaria agrícola</x:v>
      </x:c>
      <x:c r="G7" s="12" t="str">
        <x:v>+54 3564 313207</x:v>
      </x:c>
      <x:c r="H7" s="12" t="str">
        <x:v>M. Nicolini 1379, San Francisco, Córdoba</x:v>
      </x:c>
      <x:c r="I7" s="12" t="str">
        <x:v>gerencia / logística / posventa / usados</x:v>
      </x:c>
      <x:c r="J7" s="12" t="str">
        <x:v>Entrega/retiro de maquinaria, usados, equipos de service y despachos de fábrica.</x:v>
      </x:c>
      <x:c r="K7" s="12" t="str">
        <x:v>Pedir logística/expedición/posventa; relevar equipos, pesos y movimientos mensuales.</x:v>
      </x:c>
      <x:c r="L7" s="12" t="str">
        <x:v>https://www.google.com/maps/search/?api=1&amp;query=M%C3%A1quinas+del+Centro+S.R.L.+-+Case+IH%2C+M.+Nicolini+1379%2C+San+Francisco%2C+C%C3%B3rdoba</x:v>
      </x:c>
    </x:row>
    <x:row r="8">
      <x:c r="A8" s="12" t="n">
        <x:v>5</x:v>
      </x:c>
      <x:c r="B8" s="12" t="str">
        <x:v>Núcleo</x:v>
      </x:c>
      <x:c r="C8" s="12" t="str">
        <x:v>San Francisco</x:v>
      </x:c>
      <x:c r="D8" s="12" t="str">
        <x:v>FEBRA Implementos Agrícolas</x:v>
      </x:c>
      <x:c r="E8" s="12" t="n">
        <x:v>99</x:v>
      </x:c>
      <x:c r="F8" s="12" t="str">
        <x:v>Fábrica de implementos agrícolas</x:v>
      </x:c>
      <x:c r="G8" s="12" t="str">
        <x:v>+54 9 3564 506516</x:v>
      </x:c>
      <x:c r="H8" s="12" t="str">
        <x:v>Lother Barders 4461, Parque Industrial, San Francisco, Córdoba</x:v>
      </x:c>
      <x:c r="I8" s="12" t="str">
        <x:v>producción / expedición / logística</x:v>
      </x:c>
      <x:c r="J8" s="12" t="str">
        <x:v>Entrega/retiro de maquinaria, usados, equipos de service y despachos de fábrica.</x:v>
      </x:c>
      <x:c r="K8" s="12" t="str">
        <x:v>Pedir logística/expedición/posventa; relevar equipos, pesos y movimientos mensuales.</x:v>
      </x:c>
      <x:c r="L8" s="12" t="str">
        <x:v>https://www.google.com/maps/search/?api=1&amp;query=FEBRA+Implementos+Agr%C3%ADcolas%2C+Lother+Barders+4461%2C+Parque+Industrial%2C+San+Francisco%2C+C%C3%B3rdoba</x:v>
      </x:c>
    </x:row>
    <x:row r="9">
      <x:c r="A9" s="12" t="n">
        <x:v>6</x:v>
      </x:c>
      <x:c r="B9" s="12" t="str">
        <x:v>Núcleo</x:v>
      </x:c>
      <x:c r="C9" s="12" t="str">
        <x:v>San Francisco</x:v>
      </x:c>
      <x:c r="D9" s="12" t="str">
        <x:v>Tamagnini S.R.L. - Valtra</x:v>
      </x:c>
      <x:c r="E9" s="12" t="n">
        <x:v>99</x:v>
      </x:c>
      <x:c r="F9" s="12" t="str">
        <x:v>Concesionario de tractores</x:v>
      </x:c>
      <x:c r="G9" s="12" t="str">
        <x:v>+54 3564 425478</x:v>
      </x:c>
      <x:c r="H9" s="12" t="str">
        <x:v>Av. Rosario de Santa Fe 2156, San Francisco, Córdoba</x:v>
      </x:c>
      <x:c r="I9" s="12" t="str">
        <x:v>ventas / logística / posventa</x:v>
      </x:c>
      <x:c r="J9" s="12" t="str">
        <x:v>Entrega/retiro de maquinaria, usados, equipos de service y despachos de fábrica.</x:v>
      </x:c>
      <x:c r="K9" s="12" t="str">
        <x:v>Pedir logística/expedición/posventa; relevar equipos, pesos y movimientos mensuales.</x:v>
      </x:c>
      <x:c r="L9" s="12" t="str">
        <x:v>https://www.google.com/maps/search/?api=1&amp;query=Tamagnini+S.R.L.+-+Valtra%2C+Av.+Rosario+de+Santa+Fe+2156%2C+San+Francisco%2C+C%C3%B3rdoba</x:v>
      </x:c>
    </x:row>
    <x:row r="10">
      <x:c r="A10" s="12" t="n">
        <x:v>7</x:v>
      </x:c>
      <x:c r="B10" s="12" t="str">
        <x:v>Núcleo</x:v>
      </x:c>
      <x:c r="C10" s="12" t="str">
        <x:v>San Francisco</x:v>
      </x:c>
      <x:c r="D10" s="12" t="str">
        <x:v>MAGAL S.R.L.</x:v>
      </x:c>
      <x:c r="E10" s="12" t="n">
        <x:v>98</x:v>
      </x:c>
      <x:c r="F10" s="12" t="str">
        <x:v>Fábrica de implementos agrícolas</x:v>
      </x:c>
      <x:c r="G10" s="12" t="str">
        <x:v>03564 602712</x:v>
      </x:c>
      <x:c r="H10" s="12" t="str">
        <x:v>9 de Septiembre 2466, San Francisco, Córdoba</x:v>
      </x:c>
      <x:c r="I10" s="12" t="str">
        <x:v>producción / expedición / ventas</x:v>
      </x:c>
      <x:c r="J10" s="12" t="str">
        <x:v>Entrega/retiro de maquinaria, usados, equipos de service y despachos de fábrica.</x:v>
      </x:c>
      <x:c r="K10" s="12" t="str">
        <x:v>Pedir logística/expedición/posventa; relevar equipos, pesos y movimientos mensuales.</x:v>
      </x:c>
      <x:c r="L10" s="12" t="str">
        <x:v>https://www.google.com/maps/search/?api=1&amp;query=MAGAL+S.R.L.%2C+9+de+Septiembre+2466%2C+San+Francisco%2C+C%C3%B3rdoba</x:v>
      </x:c>
    </x:row>
    <x:row r="11">
      <x:c r="A11" s="12" t="n">
        <x:v>8</x:v>
      </x:c>
      <x:c r="B11" s="12" t="str">
        <x:v>Núcleo</x:v>
      </x:c>
      <x:c r="C11" s="12" t="str">
        <x:v>San Francisco</x:v>
      </x:c>
      <x:c r="D11" s="12" t="str">
        <x:v>PORTA Autoelevadores</x:v>
      </x:c>
      <x:c r="E11" s="12" t="n">
        <x:v>98</x:v>
      </x:c>
      <x:c r="F11" s="12" t="str">
        <x:v>Autoelevadores / equipos de elevación</x:v>
      </x:c>
      <x:c r="G11" s="12" t="str">
        <x:v>+54 9 3564 333743</x:v>
      </x:c>
      <x:c r="H11" s="12" t="str">
        <x:v>Av. Rosario de Santa Fe 579, San Francisco, Córdoba</x:v>
      </x:c>
      <x:c r="I11" s="12" t="str">
        <x:v>ventas / alquileres / logística / service</x:v>
      </x:c>
      <x:c r="J11" s="12" t="str">
        <x:v>Entrega/retiro de equipos y apoyo en maniobras o contingencias.</x:v>
      </x:c>
      <x:c r="K11" s="12" t="str">
        <x:v>Pedir operaciones/alquileres; relevar flota y frecuencia.</x:v>
      </x:c>
      <x:c r="L11" s="12" t="str">
        <x:v>https://www.google.com/maps/search/?api=1&amp;query=PORTA+Autoelevadores%2C+Av.+Rosario+de+Santa+Fe+579%2C+San+Francisco%2C+C%C3%B3rdoba</x:v>
      </x:c>
    </x:row>
    <x:row r="12">
      <x:c r="A12" s="12" t="n">
        <x:v>9</x:v>
      </x:c>
      <x:c r="B12" s="12" t="str">
        <x:v>Núcleo</x:v>
      </x:c>
      <x:c r="C12" s="12" t="str">
        <x:v>San Francisco</x:v>
      </x:c>
      <x:c r="D12" s="12" t="str">
        <x:v>CENA Hnos. S.R.L.</x:v>
      </x:c>
      <x:c r="E12" s="12" t="n">
        <x:v>96</x:v>
      </x:c>
      <x:c r="F12" s="12" t="str">
        <x:v>Fabricante de máquinas-herramienta industriales</x:v>
      </x:c>
      <x:c r="G12" s="12" t="str">
        <x:v>03564 426367 / 437858</x:v>
      </x:c>
      <x:c r="H12" s="12" t="str">
        <x:v>Av. Ingeniero Huergo 1456, San Francisco, Córdoba</x:v>
      </x:c>
      <x:c r="I12" s="12" t="str">
        <x:v>producción / expedición / logística</x:v>
      </x:c>
      <x:c r="J12" s="12" t="str">
        <x:v>Movimientos de equipos o cargas especiales asociados a su operación.</x:v>
      </x:c>
      <x:c r="K12" s="12" t="str">
        <x:v>Contactar operaciones/logística y relevar necesidad real.</x:v>
      </x:c>
      <x:c r="L12" s="12" t="str">
        <x:v>https://www.google.com/maps/search/?api=1&amp;query=CENA+Hnos.+S.R.L.%2C+Av.+Ingeniero+Huergo+1456%2C+San+Francisco%2C+C%C3%B3rdoba</x:v>
      </x:c>
    </x:row>
    <x:row r="13">
      <x:c r="A13" s="12" t="n">
        <x:v>10</x:v>
      </x:c>
      <x:c r="B13" s="12" t="str">
        <x:v>Núcleo</x:v>
      </x:c>
      <x:c r="C13" s="12" t="str">
        <x:v>San Francisco</x:v>
      </x:c>
      <x:c r="D13" s="12" t="str">
        <x:v>Rodacam</x:v>
      </x:c>
      <x:c r="E13" s="12" t="n">
        <x:v>96</x:v>
      </x:c>
      <x:c r="F13" s="12" t="str">
        <x:v>Concesionario de camiones</x:v>
      </x:c>
      <x:c r="G13" s="12" t="str">
        <x:v>03564 436100</x:v>
      </x:c>
      <x:c r="H13" s="12" t="str">
        <x:v>Av. Rosario de Santa Fe 1712, San Francisco, Córdoba</x:v>
      </x:c>
      <x:c r="I13" s="12" t="str">
        <x:v>ventas / taller / logística</x:v>
      </x:c>
      <x:c r="J13" s="12" t="str">
        <x:v>Entrega/retiro de maquinaria, usados, equipos de service y despachos de fábrica.</x:v>
      </x:c>
      <x:c r="K13" s="12" t="str">
        <x:v>Pedir logística/expedición/posventa; relevar equipos, pesos y movimientos mensuales.</x:v>
      </x:c>
      <x:c r="L13" s="12" t="str">
        <x:v>https://www.google.com/maps/search/?api=1&amp;query=Rodacam%2C+Av.+Rosario+de+Santa+Fe+1712%2C+San+Francisco%2C+C%C3%B3rdoba</x:v>
      </x:c>
    </x:row>
    <x:row r="14">
      <x:c r="A14" s="12" t="n">
        <x:v>11</x:v>
      </x:c>
      <x:c r="B14" s="12" t="str">
        <x:v>Núcleo</x:v>
      </x:c>
      <x:c r="C14" s="12" t="str">
        <x:v>San Francisco</x:v>
      </x:c>
      <x:c r="D14" s="12" t="str">
        <x:v>Ruta Camiones</x:v>
      </x:c>
      <x:c r="E14" s="12" t="n">
        <x:v>96</x:v>
      </x:c>
      <x:c r="F14" s="12" t="str">
        <x:v>Concesionario de camiones</x:v>
      </x:c>
      <x:c r="G14" s="12" t="str">
        <x:v>03564 425807</x:v>
      </x:c>
      <x:c r="H14" s="12" t="str">
        <x:v>Av. Rosario de Santa Fe 2076, San Francisco, Córdoba</x:v>
      </x:c>
      <x:c r="I14" s="12" t="str">
        <x:v>ventas / taller / logística / usados</x:v>
      </x:c>
      <x:c r="J14" s="12" t="str">
        <x:v>Entrega/retiro de maquinaria, usados, equipos de service y despachos de fábrica.</x:v>
      </x:c>
      <x:c r="K14" s="12" t="str">
        <x:v>Pedir logística/expedición/posventa; relevar equipos, pesos y movimientos mensuales.</x:v>
      </x:c>
      <x:c r="L14" s="12" t="str">
        <x:v>https://www.google.com/maps/search/?api=1&amp;query=Ruta+Camiones%2C+Av.+Rosario+de+Santa+Fe+2076%2C+San+Francisco%2C+C%C3%B3rdoba</x:v>
      </x:c>
    </x:row>
    <x:row r="15">
      <x:c r="A15" s="12" t="n">
        <x:v>12</x:v>
      </x:c>
      <x:c r="B15" s="12" t="str">
        <x:v>Núcleo</x:v>
      </x:c>
      <x:c r="C15" s="12" t="str">
        <x:v>San Francisco</x:v>
      </x:c>
      <x:c r="D15" s="12" t="str">
        <x:v>FRUSSO</x:v>
      </x:c>
      <x:c r="E15" s="12" t="n">
        <x:v>95</x:v>
      </x:c>
      <x:c r="F15" s="12" t="str">
        <x:v>Equipos industriales, tanques inoxidables y líneas de embotellado</x:v>
      </x:c>
      <x:c r="G15" s="12" t="str">
        <x:v>03564 445971 / 445972</x:v>
      </x:c>
      <x:c r="H15" s="12" t="str">
        <x:v>Marco Nicolini 2280, Parque Industrial, San Francisco, Córdoba</x:v>
      </x:c>
      <x:c r="I15" s="12" t="str">
        <x:v>producción / proyectos / expedición / logística</x:v>
      </x:c>
      <x:c r="J15" s="12" t="str">
        <x:v>Despacho de piezas, conjuntos metálicos, componentes pesados o equipos de producción/mantenimiento.</x:v>
      </x:c>
      <x:c r="K15" s="12" t="str">
        <x:v>Pedir producción/expedición/mantenimiento y relevar piezas máximas/destinos.</x:v>
      </x:c>
      <x:c r="L15" s="12" t="str">
        <x:v>https://www.google.com/maps/search/?api=1&amp;query=FRUSSO%2C+Marco+Nicolini+2280%2C+Parque+Industrial%2C+San+Francisco%2C+C%C3%B3rdoba</x:v>
      </x:c>
    </x:row>
    <x:row r="16">
      <x:c r="A16" s="12" t="n">
        <x:v>13</x:v>
      </x:c>
      <x:c r="B16" s="12" t="str">
        <x:v>Núcleo</x:v>
      </x:c>
      <x:c r="C16" s="12" t="str">
        <x:v>San Francisco</x:v>
      </x:c>
      <x:c r="D16" s="12" t="str">
        <x:v>Oscar Racca Camiones</x:v>
      </x:c>
      <x:c r="E16" s="12" t="n">
        <x:v>95</x:v>
      </x:c>
      <x:c r="F16" s="12" t="str">
        <x:v>Concesionario de camiones</x:v>
      </x:c>
      <x:c r="G16" s="12" t="str">
        <x:v>03564 363596</x:v>
      </x:c>
      <x:c r="H16" s="12" t="str">
        <x:v>Ruta 158 y Av. 9 de Septiembre, San Francisco, Córdoba</x:v>
      </x:c>
      <x:c r="I16" s="12" t="str">
        <x:v>ventas / logística / taller</x:v>
      </x:c>
      <x:c r="J16" s="12" t="str">
        <x:v>Entrega/retiro de maquinaria, usados, equipos de service y despachos de fábrica.</x:v>
      </x:c>
      <x:c r="K16" s="12" t="str">
        <x:v>Pedir logística/expedición/posventa; relevar equipos, pesos y movimientos mensuales.</x:v>
      </x:c>
      <x:c r="L16" s="12" t="str">
        <x:v>https://www.google.com/maps/search/?api=1&amp;query=Oscar+Racca+Camiones%2C+Ruta+158+y+Av.+9+de+Septiembre%2C+San+Francisco%2C+C%C3%B3rdoba</x:v>
      </x:c>
    </x:row>
    <x:row r="17">
      <x:c r="A17" s="12" t="n">
        <x:v>14</x:v>
      </x:c>
      <x:c r="B17" s="12" t="str">
        <x:v>Zona ampliada</x:v>
      </x:c>
      <x:c r="C17" s="12" t="str">
        <x:v>Frontera</x:v>
      </x:c>
      <x:c r="D17" s="12" t="str">
        <x:v>Agro Frontera S.R.L.</x:v>
      </x:c>
      <x:c r="E17" s="12" t="n">
        <x:v>100</x:v>
      </x:c>
      <x:c r="F17" s="12" t="str">
        <x:v>Concesionario integral de maquinaria agrícola</x:v>
      </x:c>
      <x:c r="G17" s="12" t="str">
        <x:v>+54 3564 616161</x:v>
      </x:c>
      <x:c r="H17" s="12" t="str">
        <x:v>Calle 50 N° 570, Frontera, Santa Fe</x:v>
      </x:c>
      <x:c r="I17" s="12" t="str">
        <x:v>ventas / logística / posventa / usados</x:v>
      </x:c>
      <x:c r="J17" s="12" t="str">
        <x:v>Entrega/retiro de maquinaria, usados, equipos de service y despachos de fábrica.</x:v>
      </x:c>
      <x:c r="K17" s="12" t="str">
        <x:v>Pedir logística/expedición/posventa; relevar equipos, pesos y movimientos mensuales.</x:v>
      </x:c>
      <x:c r="L17" s="12" t="str">
        <x:v>https://www.google.com/maps/search/?api=1&amp;query=Agro+Frontera+S.R.L.%2C+Calle+50+N%C2%B0+570%2C+Frontera%2C+Santa+Fe</x:v>
      </x:c>
    </x:row>
    <x:row r="18">
      <x:c r="A18" s="12" t="n">
        <x:v>15</x:v>
      </x:c>
      <x:c r="B18" s="12" t="str">
        <x:v>Zona ampliada</x:v>
      </x:c>
      <x:c r="C18" s="12" t="str">
        <x:v>La Francia</x:v>
      </x:c>
      <x:c r="D18" s="12" t="str">
        <x:v>Metalbert S.R.L.</x:v>
      </x:c>
      <x:c r="E18" s="12" t="n">
        <x:v>100</x:v>
      </x:c>
      <x:c r="F18" s="12" t="str">
        <x:v>Fábrica de implementos agrícolas y viales</x:v>
      </x:c>
      <x:c r="G18" s="12" t="str">
        <x:v>+54 9 3564 584834</x:v>
      </x:c>
      <x:c r="H18" s="12" t="str">
        <x:v>Güiraldes 575, La Francia, Córdoba</x:v>
      </x:c>
      <x:c r="I18" s="12" t="str">
        <x:v>producción / expedición / ventas</x:v>
      </x:c>
      <x:c r="J18" s="12" t="str">
        <x:v>Entrega/retiro de maquinaria, usados, equipos de service y despachos de fábrica.</x:v>
      </x:c>
      <x:c r="K18" s="12" t="str">
        <x:v>Pedir logística/expedición/posventa; relevar equipos, pesos y movimientos mensuales.</x:v>
      </x:c>
      <x:c r="L18" s="12" t="str">
        <x:v>https://www.google.com/maps/search/?api=1&amp;query=Metalbert+S.R.L.%2C+G%C3%BCiraldes+575%2C+La+Francia%2C+C%C3%B3rdoba</x:v>
      </x:c>
    </x:row>
    <x:row r="19">
      <x:c r="A19" s="12" t="n">
        <x:v>16</x:v>
      </x:c>
      <x:c r="B19" s="12" t="str">
        <x:v>Zona ampliada</x:v>
      </x:c>
      <x:c r="C19" s="12" t="str">
        <x:v>La Francia</x:v>
      </x:c>
      <x:c r="D19" s="12" t="str">
        <x:v>Juárez Industria Metalúrgica S.A.</x:v>
      </x:c>
      <x:c r="E19" s="12" t="n">
        <x:v>99</x:v>
      </x:c>
      <x:c r="F19" s="12" t="str">
        <x:v>Fábrica de maquinaria agrícola</x:v>
      </x:c>
      <x:c r="G19" s="12" t="str">
        <x:v>03564 471610</x:v>
      </x:c>
      <x:c r="H19" s="12" t="str">
        <x:v>Ricardo Güiraldes 709, La Francia, Córdoba</x:v>
      </x:c>
      <x:c r="I19" s="12" t="str">
        <x:v>producción / expedición / ventas</x:v>
      </x:c>
      <x:c r="J19" s="12" t="str">
        <x:v>Entrega/retiro de maquinaria, usados, equipos de service y despachos de fábrica.</x:v>
      </x:c>
      <x:c r="K19" s="12" t="str">
        <x:v>Pedir logística/expedición/posventa; relevar equipos, pesos y movimientos mensuales.</x:v>
      </x:c>
      <x:c r="L19" s="12" t="str">
        <x:v>https://www.google.com/maps/search/?api=1&amp;query=Ju%C3%A1rez+Industria+Metal%C3%BArgica+S.A.%2C+Ricardo+G%C3%BCiraldes+709%2C+La+Francia%2C+C%C3%B3rdoba</x:v>
      </x:c>
    </x:row>
    <x:row r="20">
      <x:c r="A20" s="12" t="n">
        <x:v>17</x:v>
      </x:c>
      <x:c r="B20" s="12" t="str">
        <x:v>Zona ampliada</x:v>
      </x:c>
      <x:c r="C20" s="12" t="str">
        <x:v>La Francia</x:v>
      </x:c>
      <x:c r="D20" s="12" t="str">
        <x:v>SECMAN</x:v>
      </x:c>
      <x:c r="E20" s="12" t="n">
        <x:v>98</x:v>
      </x:c>
      <x:c r="F20" s="12" t="str">
        <x:v>Fábrica de máquinas agrícolas</x:v>
      </x:c>
      <x:c r="G20" s="12" t="str">
        <x:v>03564 591382 / 3564 470251</x:v>
      </x:c>
      <x:c r="H20" s="12" t="str">
        <x:v>Güiraldes 873, La Francia, Córdoba</x:v>
      </x:c>
      <x:c r="I20" s="12" t="str">
        <x:v>ventas / producción / expedición</x:v>
      </x:c>
      <x:c r="J20" s="12" t="str">
        <x:v>Movimientos de equipos o cargas especiales asociados a su operación.</x:v>
      </x:c>
      <x:c r="K20" s="12" t="str">
        <x:v>Contactar operaciones/logística y relevar necesidad real.</x:v>
      </x:c>
      <x:c r="L20" s="12" t="str">
        <x:v>https://www.google.com/maps/search/?api=1&amp;query=SECMAN%2C+G%C3%BCiraldes+873%2C+La+Francia%2C+C%C3%B3rdoba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f1ec89d380d448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" hidden="0" customWidth="1"/>
    <x:col min="3" max="3" width="8" hidden="0" customWidth="1"/>
    <x:col min="4" max="4" width="34" hidden="0" customWidth="1"/>
    <x:col min="5" max="5" width="38" hidden="0" customWidth="1"/>
    <x:col min="6" max="6" width="24" hidden="0" customWidth="1"/>
    <x:col min="7" max="7" width="46" hidden="0" customWidth="1"/>
    <x:col min="8" max="8" width="28" hidden="0" customWidth="1"/>
    <x:col min="9" max="9" width="52" hidden="0" customWidth="1"/>
    <x:col min="10" max="10" width="13" hidden="0" customWidth="1"/>
    <x:col min="11" max="11" width="28" hidden="0" customWidth="1"/>
    <x:col min="12" max="12" width="52" hidden="0" customWidth="1"/>
  </x:cols>
  <x:sheetData>
    <x:row r="1">
      <x:c r="A1" s="17" t="str">
        <x:v>RASTRILLAJE PARQUE INDUSTRIAL SAN FRANCISCO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3">
      <x:c r="A3" s="6" t="str">
        <x:v>ID</x:v>
      </x:c>
      <x:c r="B3" s="6" t="str">
        <x:v>Clase</x:v>
      </x:c>
      <x:c r="C3" s="6" t="str">
        <x:v>Score</x:v>
      </x:c>
      <x:c r="D3" s="6" t="str">
        <x:v>Empresa</x:v>
      </x:c>
      <x:c r="E3" s="6" t="str">
        <x:v>Categoría</x:v>
      </x:c>
      <x:c r="F3" s="6" t="str">
        <x:v>Teléfono</x:v>
      </x:c>
      <x:c r="G3" s="6" t="str">
        <x:v>Dirección</x:v>
      </x:c>
      <x:c r="H3" s="6" t="str">
        <x:v>Preguntar por</x:v>
      </x:c>
      <x:c r="I3" s="6" t="str">
        <x:v>Evidencia</x:v>
      </x:c>
      <x:c r="J3" s="6" t="str">
        <x:v>Calidad</x:v>
      </x:c>
      <x:c r="K3" s="6" t="str">
        <x:v>Fuente</x:v>
      </x:c>
      <x:c r="L3" s="6" t="str">
        <x:v>URL</x:v>
      </x:c>
    </x:row>
    <x:row r="4">
      <x:c r="A4" s="12" t="str">
        <x:v>SF-002</x:v>
      </x:c>
      <x:c r="B4" s="12" t="str">
        <x:v>A+</x:v>
      </x:c>
      <x:c r="C4" s="12" t="n">
        <x:v>100</x:v>
      </x:c>
      <x:c r="D4" s="12" t="str">
        <x:v>GOMSELMASH Argentina</x:v>
      </x:c>
      <x:c r="E4" s="12" t="str">
        <x:v>Cosechadoras, picadoras y maquinaria agrícola</x:v>
      </x:c>
      <x:c r="F4" s="12" t="str">
        <x:v>03564 445814 / +54 9 3564 639900</x:v>
      </x:c>
      <x:c r="G4" s="12" t="str">
        <x:v>Ingeniero Huergo 1154, Parque Industrial, San Francisco, Córdoba</x:v>
      </x:c>
      <x:c r="H4" s="12" t="str">
        <x:v>ventas / logística / service / repuestos</x:v>
      </x:c>
      <x:c r="I4" s="12" t="str">
        <x:v>Sucursal/operación argentina con cosechadoras de granos y forraje, segadoras, cabezales, service y repuestos.</x:v>
      </x:c>
      <x:c r="J4" s="12" t="str">
        <x:v>Alta</x:v>
      </x:c>
      <x:c r="K4" s="12" t="str">
        <x:v>Web oficial</x:v>
      </x:c>
      <x:c r="L4" s="12" t="str">
        <x:v>https://gomselmash.com.ar/</x:v>
      </x:c>
    </x:row>
    <x:row r="5">
      <x:c r="A5" s="12" t="str">
        <x:v>SF-005</x:v>
      </x:c>
      <x:c r="B5" s="12" t="str">
        <x:v>A+</x:v>
      </x:c>
      <x:c r="C5" s="12" t="n">
        <x:v>99</x:v>
      </x:c>
      <x:c r="D5" s="12" t="str">
        <x:v>FEBRA Implementos Agrícolas</x:v>
      </x:c>
      <x:c r="E5" s="12" t="str">
        <x:v>Fábrica de implementos agrícolas</x:v>
      </x:c>
      <x:c r="F5" s="12" t="str">
        <x:v>+54 9 3564 506516</x:v>
      </x:c>
      <x:c r="G5" s="12" t="str">
        <x:v>Lother Barders 4461, Parque Industrial, San Francisco, Córdoba</x:v>
      </x:c>
      <x:c r="H5" s="12" t="str">
        <x:v>producción / expedición / logística</x:v>
      </x:c>
      <x:c r="I5" s="12" t="str">
        <x:v>Fabrica rastras, embolsadoras, subsoladores, acoplados, trailers y guinches grúa.</x:v>
      </x:c>
      <x:c r="J5" s="12" t="str">
        <x:v>Alta</x:v>
      </x:c>
      <x:c r="K5" s="12" t="str">
        <x:v>AFAMAC / Maquinac</x:v>
      </x:c>
      <x:c r="L5" s="12" t="str">
        <x:v>https://afamac.com.ar/catalogo/asociados-afamac/febra/</x:v>
      </x:c>
    </x:row>
    <x:row r="6">
      <x:c r="A6" s="12" t="str">
        <x:v>SF-009</x:v>
      </x:c>
      <x:c r="B6" s="12" t="str">
        <x:v>A+</x:v>
      </x:c>
      <x:c r="C6" s="12" t="n">
        <x:v>96</x:v>
      </x:c>
      <x:c r="D6" s="12" t="str">
        <x:v>CENA Hnos. S.R.L.</x:v>
      </x:c>
      <x:c r="E6" s="12" t="str">
        <x:v>Fabricante de máquinas-herramienta industriales</x:v>
      </x:c>
      <x:c r="F6" s="12" t="str">
        <x:v>03564 426367 / 437858</x:v>
      </x:c>
      <x:c r="G6" s="12" t="str">
        <x:v>Av. Ingeniero Huergo 1456, San Francisco, Córdoba</x:v>
      </x:c>
      <x:c r="H6" s="12" t="str">
        <x:v>producción / expedición / logística</x:v>
      </x:c>
      <x:c r="I6" s="12" t="str">
        <x:v>Fabrica plegadoras, guillotinas y cilindradoras para sectores agrícola, construcción, transporte, ferroviario y automotor.</x:v>
      </x:c>
      <x:c r="J6" s="12" t="str">
        <x:v>Alta</x:v>
      </x:c>
      <x:c r="K6" s="12" t="str">
        <x:v>Parque Industrial oficial</x:v>
      </x:c>
      <x:c r="L6" s="12" t="str">
        <x:v>https://www.empresas.parqueindustrialsanfrancisco.com/empresas/cena-hnos-srl-53/</x:v>
      </x:c>
    </x:row>
    <x:row r="7">
      <x:c r="A7" s="12" t="str">
        <x:v>SF-012</x:v>
      </x:c>
      <x:c r="B7" s="12" t="str">
        <x:v>A+</x:v>
      </x:c>
      <x:c r="C7" s="12" t="n">
        <x:v>95</x:v>
      </x:c>
      <x:c r="D7" s="12" t="str">
        <x:v>FRUSSO</x:v>
      </x:c>
      <x:c r="E7" s="12" t="str">
        <x:v>Equipos industriales, tanques inoxidables y líneas de embotellado</x:v>
      </x:c>
      <x:c r="F7" s="12" t="str">
        <x:v>03564 445971 / 445972</x:v>
      </x:c>
      <x:c r="G7" s="12" t="str">
        <x:v>Marco Nicolini 2280, Parque Industrial, San Francisco, Córdoba</x:v>
      </x:c>
      <x:c r="H7" s="12" t="str">
        <x:v>producción / proyectos / expedición / logística</x:v>
      </x:c>
      <x:c r="I7" s="12" t="str">
        <x:v>Fabrica tanques, líneas de embotellado y maquinaria industrial en planta del Parque Industrial.</x:v>
      </x:c>
      <x:c r="J7" s="12" t="str">
        <x:v>Alta</x:v>
      </x:c>
      <x:c r="K7" s="12" t="str">
        <x:v>Web oficial</x:v>
      </x:c>
      <x:c r="L7" s="12" t="str">
        <x:v>https://www.frusso.com/contacto.html</x:v>
      </x:c>
    </x:row>
    <x:row r="8">
      <x:c r="A8" s="12" t="str">
        <x:v>SF-014</x:v>
      </x:c>
      <x:c r="B8" s="12" t="str">
        <x:v>A</x:v>
      </x:c>
      <x:c r="C8" s="12" t="n">
        <x:v>90</x:v>
      </x:c>
      <x:c r="D8" s="12" t="str">
        <x:v>Ever Wear S.A.</x:v>
      </x:c>
      <x:c r="E8" s="12" t="str">
        <x:v>Repuestos e implementos agro-industriales</x:v>
      </x:c>
      <x:c r="F8" s="12" t="str">
        <x:v>03564 237659</x:v>
      </x:c>
      <x:c r="G8" s="12" t="str">
        <x:v>Gontero 4885, Parque Industrial, San Francisco, Córdoba</x:v>
      </x:c>
      <x:c r="H8" s="12" t="str">
        <x:v>producción / expedición / logística</x:v>
      </x:c>
      <x:c r="I8" s="12" t="str">
        <x:v>Fabrica y comercializa repuestos e implementos agro-industriales con logística a todo el país.</x:v>
      </x:c>
      <x:c r="J8" s="12" t="str">
        <x:v>Alta</x:v>
      </x:c>
      <x:c r="K8" s="12" t="str">
        <x:v>Web oficial</x:v>
      </x:c>
      <x:c r="L8" s="12" t="str">
        <x:v>https://everwear.com.ar/</x:v>
      </x:c>
    </x:row>
    <x:row r="9">
      <x:c r="A9" s="12" t="str">
        <x:v>SF-018</x:v>
      </x:c>
      <x:c r="B9" s="12" t="str">
        <x:v>A</x:v>
      </x:c>
      <x:c r="C9" s="12" t="n">
        <x:v>88</x:v>
      </x:c>
      <x:c r="D9" s="12" t="str">
        <x:v>Transporte Santa Rita</x:v>
      </x:c>
      <x:c r="E9" s="12" t="str">
        <x:v>Transporte y logística</x:v>
      </x:c>
      <x:c r="F9" s="12" t="str">
        <x:v>03564 416955 / +54 3564 626335</x:v>
      </x:c>
      <x:c r="G9" s="12" t="str">
        <x:v>Ing. Huergo esq. Santiago Pampiglione, Parque Industrial, San Francisco, Córdoba</x:v>
      </x:c>
      <x:c r="H9" s="12" t="str">
        <x:v>tráfico / operaciones / logística</x:v>
      </x:c>
      <x:c r="I9" s="12" t="str">
        <x:v>Transporte, distribución, contenedores y cargas generales; base central en el Parque Industrial.</x:v>
      </x:c>
      <x:c r="J9" s="12" t="str">
        <x:v>Alta</x:v>
      </x:c>
      <x:c r="K9" s="12" t="str">
        <x:v>Web oficial</x:v>
      </x:c>
      <x:c r="L9" s="12" t="str">
        <x:v>https://www.santaritatransporte.com.ar/index.html</x:v>
      </x:c>
    </x:row>
    <x:row r="10">
      <x:c r="A10" s="12" t="str">
        <x:v>SF-019</x:v>
      </x:c>
      <x:c r="B10" s="12" t="str">
        <x:v>A</x:v>
      </x:c>
      <x:c r="C10" s="12" t="n">
        <x:v>86</x:v>
      </x:c>
      <x:c r="D10" s="12" t="str">
        <x:v>BBB Express</x:v>
      </x:c>
      <x:c r="E10" s="12" t="str">
        <x:v>Transporte / logística / almacenamiento</x:v>
      </x:c>
      <x:c r="F10" s="12" t="str">
        <x:v>+54 3564 313209</x:v>
      </x:c>
      <x:c r="G10" s="12" t="str">
        <x:v>Santiago Pampiglione 4611, San Francisco, Córdoba</x:v>
      </x:c>
      <x:c r="H10" s="12" t="str">
        <x:v>tráfico / operaciones / logística</x:v>
      </x:c>
      <x:c r="I10" s="12" t="str">
        <x:v>Distribución, almacenamiento y movimiento de cargas; sucursal San Francisco.</x:v>
      </x:c>
      <x:c r="J10" s="12" t="str">
        <x:v>Alta</x:v>
      </x:c>
      <x:c r="K10" s="12" t="str">
        <x:v>Web oficial</x:v>
      </x:c>
      <x:c r="L10" s="12" t="str">
        <x:v>https://www.bbbexpress.com.ar/</x:v>
      </x:c>
    </x:row>
    <x:row r="11">
      <x:c r="A11" s="12" t="str">
        <x:v>SF-024</x:v>
      </x:c>
      <x:c r="B11" s="12" t="str">
        <x:v>A</x:v>
      </x:c>
      <x:c r="C11" s="12" t="n">
        <x:v>84</x:v>
      </x:c>
      <x:c r="D11" s="12" t="str">
        <x:v>Computrol S.R.L.</x:v>
      </x:c>
      <x:c r="E11" s="12" t="str">
        <x:v>Electrónica para maquinaria agrícola y transporte</x:v>
      </x:c>
      <x:c r="F11" s="12" t="str">
        <x:v>A verificar</x:v>
      </x:c>
      <x:c r="G11" s="12" t="str">
        <x:v>Parque Industrial San Francisco, San Francisco, Córdoba</x:v>
      </x:c>
      <x:c r="H11" s="12" t="str">
        <x:v>producción / logística / proyectos</x:v>
      </x:c>
      <x:c r="I11" s="12" t="str">
        <x:v>Diseña y produce equipos eléctricos/electrónicos para maquinaria agrícola, transporte e industria.</x:v>
      </x:c>
      <x:c r="J11" s="12" t="str">
        <x:v>Alta</x:v>
      </x:c>
      <x:c r="K11" s="12" t="str">
        <x:v>AFAMAC</x:v>
      </x:c>
      <x:c r="L11" s="12" t="str">
        <x:v>https://afamac.com.ar/catalogo/asociados-afamac/computrol/</x:v>
      </x:c>
    </x:row>
    <x:row r="12">
      <x:c r="A12" s="12" t="str">
        <x:v>SF-025</x:v>
      </x:c>
      <x:c r="B12" s="12" t="str">
        <x:v>A</x:v>
      </x:c>
      <x:c r="C12" s="12" t="n">
        <x:v>84</x:v>
      </x:c>
      <x:c r="D12" s="12" t="str">
        <x:v>Forja San Francisco S.R.L.</x:v>
      </x:c>
      <x:c r="E12" s="12" t="str">
        <x:v>Forja / metalúrgica</x:v>
      </x:c>
      <x:c r="F12" s="12" t="str">
        <x:v>03564 425945 / 420416</x:v>
      </x:c>
      <x:c r="G12" s="12" t="str">
        <x:v>Juan José Torres 4110, San Francisco, Córdoba</x:v>
      </x:c>
      <x:c r="H12" s="12" t="str">
        <x:v>producción / expedición / logística</x:v>
      </x:c>
      <x:c r="I12" s="12" t="str">
        <x:v>Empresa metalúrgica radicada en área industrial con contacto actual.</x:v>
      </x:c>
      <x:c r="J12" s="12" t="str">
        <x:v>Alta</x:v>
      </x:c>
      <x:c r="K12" s="12" t="str">
        <x:v>Parque Industrial oficial</x:v>
      </x:c>
      <x:c r="L12" s="12" t="str">
        <x:v>https://www.empresas.parqueindustrialsanfrancisco.com/empresas/forja-san-francisco-srl-240/</x:v>
      </x:c>
    </x:row>
    <x:row r="13">
      <x:c r="A13" s="12" t="str">
        <x:v>SF-028</x:v>
      </x:c>
      <x:c r="B13" s="12" t="str">
        <x:v>A</x:v>
      </x:c>
      <x:c r="C13" s="12" t="n">
        <x:v>84</x:v>
      </x:c>
      <x:c r="D13" s="12" t="str">
        <x:v>Mare Logística Internacional</x:v>
      </x:c>
      <x:c r="E13" s="12" t="str">
        <x:v>Depósito fiscal / logística internacional</x:v>
      </x:c>
      <x:c r="F13" s="12" t="str">
        <x:v>03564 445873</x:v>
      </x:c>
      <x:c r="G13" s="12" t="str">
        <x:v>Carra 1542, San Francisco, Córdoba</x:v>
      </x:c>
      <x:c r="H13" s="12" t="str">
        <x:v>operaciones / depósito / tráfico</x:v>
      </x:c>
      <x:c r="I13" s="12" t="str">
        <x:v>Depósito fiscal habilitado para operaciones aduaneras.</x:v>
      </x:c>
      <x:c r="J13" s="12" t="str">
        <x:v>Alta</x:v>
      </x:c>
      <x:c r="K13" s="12" t="str">
        <x:v>Parque Industrial oficial</x:v>
      </x:c>
      <x:c r="L13" s="12" t="str">
        <x:v>https://www.empresas.parqueindustrialsanfrancisco.com/empresas/mare-logistica-internacional-329/</x:v>
      </x:c>
    </x:row>
    <x:row r="14">
      <x:c r="A14" s="12" t="str">
        <x:v>SF-031</x:v>
      </x:c>
      <x:c r="B14" s="12" t="str">
        <x:v>A</x:v>
      </x:c>
      <x:c r="C14" s="12" t="n">
        <x:v>82</x:v>
      </x:c>
      <x:c r="D14" s="12" t="str">
        <x:v>Hidrar S.R.L.</x:v>
      </x:c>
      <x:c r="E14" s="12" t="str">
        <x:v>Neumática e hidráulica</x:v>
      </x:c>
      <x:c r="F14" s="12" t="str">
        <x:v>A verificar</x:v>
      </x:c>
      <x:c r="G14" s="12" t="str">
        <x:v>Parque Industrial San Francisco, San Francisco, Córdoba</x:v>
      </x:c>
      <x:c r="H14" s="12" t="str">
        <x:v>producción / service / logística</x:v>
      </x:c>
      <x:c r="I14" s="12" t="str">
        <x:v>Empresa radicada en el Parque Industrial; afinidad por hidráulica/equipos.</x:v>
      </x:c>
      <x:c r="J14" s="12" t="str">
        <x:v>Media</x:v>
      </x:c>
      <x:c r="K14" s="12" t="str">
        <x:v>Parque Industrial oficial</x:v>
      </x:c>
      <x:c r="L14" s="12" t="str">
        <x:v>https://www.parqueindustrialsanfrancisco.com/</x:v>
      </x:c>
    </x:row>
    <x:row r="15">
      <x:c r="A15" s="12" t="str">
        <x:v>SF-032</x:v>
      </x:c>
      <x:c r="B15" s="12" t="str">
        <x:v>A</x:v>
      </x:c>
      <x:c r="C15" s="12" t="n">
        <x:v>82</x:v>
      </x:c>
      <x:c r="D15" s="12" t="str">
        <x:v>Industrias Lear de Argentina S.R.L.</x:v>
      </x:c>
      <x:c r="E15" s="12" t="str">
        <x:v>Autopartes / automotor</x:v>
      </x:c>
      <x:c r="F15" s="12" t="str">
        <x:v>A verificar</x:v>
      </x:c>
      <x:c r="G15" s="12" t="str">
        <x:v>Parque Industrial San Francisco, San Francisco, Córdoba</x:v>
      </x:c>
      <x:c r="H15" s="12" t="str">
        <x:v>producción / logística / expedición</x:v>
      </x:c>
      <x:c r="I15" s="12" t="str">
        <x:v>Empresa listada en la categoría Autopartes del Parque Industrial.</x:v>
      </x:c>
      <x:c r="J15" s="12" t="str">
        <x:v>Media</x:v>
      </x:c>
      <x:c r="K15" s="12" t="str">
        <x:v>Directorio Parque Industrial</x:v>
      </x:c>
      <x:c r="L15" s="12" t="str">
        <x:v>https://empresas.parqueindustrialsanfrancisco.com/directorio/empresas/automotor/autopartes/</x:v>
      </x:c>
    </x:row>
    <x:row r="16">
      <x:c r="A16" s="12" t="str">
        <x:v>SF-034</x:v>
      </x:c>
      <x:c r="B16" s="12" t="str">
        <x:v>A</x:v>
      </x:c>
      <x:c r="C16" s="12" t="n">
        <x:v>82</x:v>
      </x:c>
      <x:c r="D16" s="12" t="str">
        <x:v>Talleres Inco S.A.</x:v>
      </x:c>
      <x:c r="E16" s="12" t="str">
        <x:v>Metalúrgica / mecanizado / piezas</x:v>
      </x:c>
      <x:c r="F16" s="12" t="str">
        <x:v>A verificar</x:v>
      </x:c>
      <x:c r="G16" s="12" t="str">
        <x:v>Parque Industrial San Francisco, San Francisco, Córdoba</x:v>
      </x:c>
      <x:c r="H16" s="12" t="str">
        <x:v>producción / expedición / mantenimiento</x:v>
      </x:c>
      <x:c r="I16" s="12" t="str">
        <x:v>Empresa listada actualmente en el directorio metalúrgico del Parque Industrial San Francisco.</x:v>
      </x:c>
      <x:c r="J16" s="12" t="str">
        <x:v>Media</x:v>
      </x:c>
      <x:c r="K16" s="12" t="str">
        <x:v>Directorio Parque Industrial</x:v>
      </x:c>
      <x:c r="L16" s="12" t="str">
        <x:v>https://www.empresas.parqueindustrialsanfrancisco.com/directorio/empresas/metalurgica-fundicion-y-trabajo-del-metal/metalurgica/</x:v>
      </x:c>
    </x:row>
    <x:row r="17">
      <x:c r="A17" s="12" t="str">
        <x:v>SF-036</x:v>
      </x:c>
      <x:c r="B17" s="12" t="str">
        <x:v>A</x:v>
      </x:c>
      <x:c r="C17" s="12" t="n">
        <x:v>80</x:v>
      </x:c>
      <x:c r="D17" s="12" t="str">
        <x:v>Autopartes MPV S.R.L.</x:v>
      </x:c>
      <x:c r="E17" s="12" t="str">
        <x:v>Metalúrgica / mecanizado / piezas</x:v>
      </x:c>
      <x:c r="F17" s="12" t="str">
        <x:v>A verificar</x:v>
      </x:c>
      <x:c r="G17" s="12" t="str">
        <x:v>Parque Industrial San Francisco, San Francisco, Córdoba</x:v>
      </x:c>
      <x:c r="H17" s="12" t="str">
        <x:v>producción / expedición / mantenimiento</x:v>
      </x:c>
      <x:c r="I17" s="12" t="str">
        <x:v>Empresa listada actualmente en el directorio metalúrgico del Parque Industrial San Francisco.</x:v>
      </x:c>
      <x:c r="J17" s="12" t="str">
        <x:v>Media</x:v>
      </x:c>
      <x:c r="K17" s="12" t="str">
        <x:v>Directorio Parque Industrial</x:v>
      </x:c>
      <x:c r="L17" s="12" t="str">
        <x:v>https://www.empresas.parqueindustrialsanfrancisco.com/directorio/empresas/metalurgica-fundicion-y-trabajo-del-metal/metalurgica/</x:v>
      </x:c>
    </x:row>
    <x:row r="18">
      <x:c r="A18" s="12" t="str">
        <x:v>SF-037</x:v>
      </x:c>
      <x:c r="B18" s="12" t="str">
        <x:v>A</x:v>
      </x:c>
      <x:c r="C18" s="12" t="n">
        <x:v>80</x:v>
      </x:c>
      <x:c r="D18" s="12" t="str">
        <x:v>Expreso Brío S.R.L.</x:v>
      </x:c>
      <x:c r="E18" s="12" t="str">
        <x:v>Transporte de cargas / encomiendas</x:v>
      </x:c>
      <x:c r="F18" s="12" t="str">
        <x:v>A verificar</x:v>
      </x:c>
      <x:c r="G18" s="12" t="str">
        <x:v>Parque Industrial San Francisco, San Francisco, Córdoba</x:v>
      </x:c>
      <x:c r="H18" s="12" t="str">
        <x:v>tráfico / operaciones</x:v>
      </x:c>
      <x:c r="I18" s="12" t="str">
        <x:v>Empresa listada en transporte de cargas y encomiendas del Parque Industrial.</x:v>
      </x:c>
      <x:c r="J18" s="12" t="str">
        <x:v>Media</x:v>
      </x:c>
      <x:c r="K18" s="12" t="str">
        <x:v>Parque Industrial oficial</x:v>
      </x:c>
      <x:c r="L18" s="12" t="str">
        <x:v>https://empresas.parqueindustrialsanfrancisco.com/directorio/empresas/logistica/transporte-de-cargas-y-encomiendas/</x:v>
      </x:c>
    </x:row>
    <x:row r="19">
      <x:c r="A19" s="12" t="str">
        <x:v>SF-039</x:v>
      </x:c>
      <x:c r="B19" s="12" t="str">
        <x:v>A</x:v>
      </x:c>
      <x:c r="C19" s="12" t="n">
        <x:v>80</x:v>
      </x:c>
      <x:c r="D19" s="12" t="str">
        <x:v>Lácteos Santa María</x:v>
      </x:c>
      <x:c r="E19" s="12" t="str">
        <x:v>Industria láctea / planta industrial</x:v>
      </x:c>
      <x:c r="F19" s="12" t="str">
        <x:v>03564 445845</x:v>
      </x:c>
      <x:c r="G19" s="12" t="str">
        <x:v>Juan Venier 2099, Parque Industrial, San Francisco, Córdoba</x:v>
      </x:c>
      <x:c r="H19" s="12" t="str">
        <x:v>mantenimiento / logística / planta</x:v>
      </x:c>
      <x:c r="I19" s="12" t="str">
        <x:v>Fábrica láctea con planta en el Parque Industrial.</x:v>
      </x:c>
      <x:c r="J19" s="12" t="str">
        <x:v>Alta</x:v>
      </x:c>
      <x:c r="K19" s="12" t="str">
        <x:v>Web oficial</x:v>
      </x:c>
      <x:c r="L19" s="12" t="str">
        <x:v>https://www.lacteossantamaria.com.ar/</x:v>
      </x:c>
    </x:row>
    <x:row r="20">
      <x:c r="A20" s="12" t="str">
        <x:v>SF-040</x:v>
      </x:c>
      <x:c r="B20" s="12" t="str">
        <x:v>A</x:v>
      </x:c>
      <x:c r="C20" s="12" t="n">
        <x:v>80</x:v>
      </x:c>
      <x:c r="D20" s="12" t="str">
        <x:v>M y R Mecanizado y Forjado SAS</x:v>
      </x:c>
      <x:c r="E20" s="12" t="str">
        <x:v>Metalúrgica / mecanizado / piezas</x:v>
      </x:c>
      <x:c r="F20" s="12" t="str">
        <x:v>A verificar</x:v>
      </x:c>
      <x:c r="G20" s="12" t="str">
        <x:v>Parque Industrial San Francisco, San Francisco, Córdoba</x:v>
      </x:c>
      <x:c r="H20" s="12" t="str">
        <x:v>producción / expedición / mantenimiento</x:v>
      </x:c>
      <x:c r="I20" s="12" t="str">
        <x:v>Empresa listada actualmente en el directorio metalúrgico del Parque Industrial San Francisco.</x:v>
      </x:c>
      <x:c r="J20" s="12" t="str">
        <x:v>Media</x:v>
      </x:c>
      <x:c r="K20" s="12" t="str">
        <x:v>Directorio Parque Industrial</x:v>
      </x:c>
      <x:c r="L20" s="12" t="str">
        <x:v>https://www.empresas.parqueindustrialsanfrancisco.com/directorio/empresas/metalurgica-fundicion-y-trabajo-del-metal/metalurgica/</x:v>
      </x:c>
    </x:row>
    <x:row r="21">
      <x:c r="A21" s="12" t="str">
        <x:v>SF-043</x:v>
      </x:c>
      <x:c r="B21" s="12" t="str">
        <x:v>A</x:v>
      </x:c>
      <x:c r="C21" s="12" t="n">
        <x:v>80</x:v>
      </x:c>
      <x:c r="D21" s="12" t="str">
        <x:v>Trater Aranda SAS</x:v>
      </x:c>
      <x:c r="E21" s="12" t="str">
        <x:v>Metalúrgica / mecanizado / piezas</x:v>
      </x:c>
      <x:c r="F21" s="12" t="str">
        <x:v>A verificar</x:v>
      </x:c>
      <x:c r="G21" s="12" t="str">
        <x:v>Parque Industrial San Francisco, San Francisco, Córdoba</x:v>
      </x:c>
      <x:c r="H21" s="12" t="str">
        <x:v>producción / expedición / mantenimiento</x:v>
      </x:c>
      <x:c r="I21" s="12" t="str">
        <x:v>Empresa listada actualmente en el directorio metalúrgico del Parque Industrial San Francisco.</x:v>
      </x:c>
      <x:c r="J21" s="12" t="str">
        <x:v>Media</x:v>
      </x:c>
      <x:c r="K21" s="12" t="str">
        <x:v>Directorio Parque Industrial</x:v>
      </x:c>
      <x:c r="L21" s="12" t="str">
        <x:v>https://www.empresas.parqueindustrialsanfrancisco.com/directorio/empresas/metalurgica-fundicion-y-trabajo-del-metal/metalurgica/</x:v>
      </x:c>
    </x:row>
    <x:row r="22">
      <x:c r="A22" s="12" t="str">
        <x:v>SF-044</x:v>
      </x:c>
      <x:c r="B22" s="12" t="str">
        <x:v>A</x:v>
      </x:c>
      <x:c r="C22" s="12" t="n">
        <x:v>78</x:v>
      </x:c>
      <x:c r="D22" s="12" t="str">
        <x:v>Cesca S.A.</x:v>
      </x:c>
      <x:c r="E22" s="12" t="str">
        <x:v>Metalúrgica / mecanizado / piezas</x:v>
      </x:c>
      <x:c r="F22" s="12" t="str">
        <x:v>A verificar</x:v>
      </x:c>
      <x:c r="G22" s="12" t="str">
        <x:v>Parque Industrial San Francisco, San Francisco, Córdoba</x:v>
      </x:c>
      <x:c r="H22" s="12" t="str">
        <x:v>producción / expedición / mantenimiento</x:v>
      </x:c>
      <x:c r="I22" s="12" t="str">
        <x:v>Empresa listada actualmente en el directorio metalúrgico del Parque Industrial San Francisco.</x:v>
      </x:c>
      <x:c r="J22" s="12" t="str">
        <x:v>Media</x:v>
      </x:c>
      <x:c r="K22" s="12" t="str">
        <x:v>Directorio Parque Industrial</x:v>
      </x:c>
      <x:c r="L22" s="12" t="str">
        <x:v>https://www.empresas.parqueindustrialsanfrancisco.com/directorio/empresas/metalurgica-fundicion-y-trabajo-del-metal/metalurgica/</x:v>
      </x:c>
    </x:row>
    <x:row r="23">
      <x:c r="A23" s="12" t="str">
        <x:v>SF-046</x:v>
      </x:c>
      <x:c r="B23" s="12" t="str">
        <x:v>A</x:v>
      </x:c>
      <x:c r="C23" s="12" t="n">
        <x:v>78</x:v>
      </x:c>
      <x:c r="D23" s="12" t="str">
        <x:v>Delbre S.R.L.</x:v>
      </x:c>
      <x:c r="E23" s="12" t="str">
        <x:v>Metalúrgica / mecanizado / piezas</x:v>
      </x:c>
      <x:c r="F23" s="12" t="str">
        <x:v>A verificar</x:v>
      </x:c>
      <x:c r="G23" s="12" t="str">
        <x:v>Parque Industrial San Francisco, San Francisco, Córdoba</x:v>
      </x:c>
      <x:c r="H23" s="12" t="str">
        <x:v>producción / expedición / mantenimiento</x:v>
      </x:c>
      <x:c r="I23" s="12" t="str">
        <x:v>Empresa listada actualmente en el directorio metalúrgico del Parque Industrial San Francisco.</x:v>
      </x:c>
      <x:c r="J23" s="12" t="str">
        <x:v>Media</x:v>
      </x:c>
      <x:c r="K23" s="12" t="str">
        <x:v>Directorio Parque Industrial</x:v>
      </x:c>
      <x:c r="L23" s="12" t="str">
        <x:v>https://www.empresas.parqueindustrialsanfrancisco.com/directorio/empresas/metalurgica-fundicion-y-trabajo-del-metal/metalurgica/</x:v>
      </x:c>
    </x:row>
    <x:row r="24">
      <x:c r="A24" s="12" t="str">
        <x:v>SF-048</x:v>
      </x:c>
      <x:c r="B24" s="12" t="str">
        <x:v>A</x:v>
      </x:c>
      <x:c r="C24" s="12" t="n">
        <x:v>78</x:v>
      </x:c>
      <x:c r="D24" s="12" t="str">
        <x:v>Lumetal S.R.L.</x:v>
      </x:c>
      <x:c r="E24" s="12" t="str">
        <x:v>Metalúrgica / mecanizado / piezas</x:v>
      </x:c>
      <x:c r="F24" s="12" t="str">
        <x:v>A verificar</x:v>
      </x:c>
      <x:c r="G24" s="12" t="str">
        <x:v>Parque Industrial San Francisco, San Francisco, Córdoba</x:v>
      </x:c>
      <x:c r="H24" s="12" t="str">
        <x:v>producción / expedición / mantenimiento</x:v>
      </x:c>
      <x:c r="I24" s="12" t="str">
        <x:v>Empresa listada actualmente en el directorio metalúrgico del Parque Industrial San Francisco.</x:v>
      </x:c>
      <x:c r="J24" s="12" t="str">
        <x:v>Media</x:v>
      </x:c>
      <x:c r="K24" s="12" t="str">
        <x:v>Directorio Parque Industrial</x:v>
      </x:c>
      <x:c r="L24" s="12" t="str">
        <x:v>https://www.empresas.parqueindustrialsanfrancisco.com/directorio/empresas/metalurgica-fundicion-y-trabajo-del-metal/metalurgica/</x:v>
      </x:c>
    </x:row>
    <x:row r="25">
      <x:c r="A25" s="12" t="str">
        <x:v>SF-051</x:v>
      </x:c>
      <x:c r="B25" s="12" t="str">
        <x:v>A</x:v>
      </x:c>
      <x:c r="C25" s="12" t="n">
        <x:v>78</x:v>
      </x:c>
      <x:c r="D25" s="12" t="str">
        <x:v>Metalúrgica Fema S.R.L.</x:v>
      </x:c>
      <x:c r="E25" s="12" t="str">
        <x:v>Metalúrgica / mecanizado / piezas</x:v>
      </x:c>
      <x:c r="F25" s="12" t="str">
        <x:v>A verificar</x:v>
      </x:c>
      <x:c r="G25" s="12" t="str">
        <x:v>Parque Industrial San Francisco, San Francisco, Córdoba</x:v>
      </x:c>
      <x:c r="H25" s="12" t="str">
        <x:v>producción / expedición / mantenimiento</x:v>
      </x:c>
      <x:c r="I25" s="12" t="str">
        <x:v>Empresa listada actualmente en el directorio metalúrgico del Parque Industrial San Francisco.</x:v>
      </x:c>
      <x:c r="J25" s="12" t="str">
        <x:v>Media</x:v>
      </x:c>
      <x:c r="K25" s="12" t="str">
        <x:v>Directorio Parque Industrial</x:v>
      </x:c>
      <x:c r="L25" s="12" t="str">
        <x:v>https://www.empresas.parqueindustrialsanfrancisco.com/directorio/empresas/metalurgica-fundicion-y-trabajo-del-metal/metalurgica/</x:v>
      </x:c>
    </x:row>
    <x:row r="26">
      <x:c r="A26" s="12" t="str">
        <x:v>SF-052</x:v>
      </x:c>
      <x:c r="B26" s="12" t="str">
        <x:v>A</x:v>
      </x:c>
      <x:c r="C26" s="12" t="n">
        <x:v>78</x:v>
      </x:c>
      <x:c r="D26" s="12" t="str">
        <x:v>Pecile Equipamientos</x:v>
      </x:c>
      <x:c r="E26" s="12" t="str">
        <x:v>Autopartes / automotor</x:v>
      </x:c>
      <x:c r="F26" s="12" t="str">
        <x:v>A verificar</x:v>
      </x:c>
      <x:c r="G26" s="12" t="str">
        <x:v>Parque Industrial San Francisco, San Francisco, Córdoba</x:v>
      </x:c>
      <x:c r="H26" s="12" t="str">
        <x:v>producción / logística / expedición</x:v>
      </x:c>
      <x:c r="I26" s="12" t="str">
        <x:v>Empresa listada en la categoría Autopartes del Parque Industrial.</x:v>
      </x:c>
      <x:c r="J26" s="12" t="str">
        <x:v>Media</x:v>
      </x:c>
      <x:c r="K26" s="12" t="str">
        <x:v>Directorio Parque Industrial</x:v>
      </x:c>
      <x:c r="L26" s="12" t="str">
        <x:v>https://empresas.parqueindustrialsanfrancisco.com/directorio/empresas/automotor/autopartes/</x:v>
      </x:c>
    </x:row>
    <x:row r="27">
      <x:c r="A27" s="12" t="str">
        <x:v>SF-056</x:v>
      </x:c>
      <x:c r="B27" s="12" t="str">
        <x:v>A</x:v>
      </x:c>
      <x:c r="C27" s="12" t="n">
        <x:v>76</x:v>
      </x:c>
      <x:c r="D27" s="12" t="str">
        <x:v>EMEVG S.A.</x:v>
      </x:c>
      <x:c r="E27" s="12" t="str">
        <x:v>Autopartes / automotor</x:v>
      </x:c>
      <x:c r="F27" s="12" t="str">
        <x:v>A verificar</x:v>
      </x:c>
      <x:c r="G27" s="12" t="str">
        <x:v>Parque Industrial San Francisco, San Francisco, Córdoba</x:v>
      </x:c>
      <x:c r="H27" s="12" t="str">
        <x:v>producción / logística / expedición</x:v>
      </x:c>
      <x:c r="I27" s="12" t="str">
        <x:v>Empresa listada en la categoría Autopartes del Parque Industrial.</x:v>
      </x:c>
      <x:c r="J27" s="12" t="str">
        <x:v>Media</x:v>
      </x:c>
      <x:c r="K27" s="12" t="str">
        <x:v>Directorio Parque Industrial</x:v>
      </x:c>
      <x:c r="L27" s="12" t="str">
        <x:v>https://empresas.parqueindustrialsanfrancisco.com/directorio/empresas/automotor/autopartes/</x:v>
      </x:c>
    </x:row>
    <x:row r="28">
      <x:c r="A28" s="12" t="str">
        <x:v>SF-058</x:v>
      </x:c>
      <x:c r="B28" s="12" t="str">
        <x:v>A</x:v>
      </x:c>
      <x:c r="C28" s="12" t="n">
        <x:v>76</x:v>
      </x:c>
      <x:c r="D28" s="12" t="str">
        <x:v>Mapao / Metalúrgica Perotti</x:v>
      </x:c>
      <x:c r="E28" s="12" t="str">
        <x:v>Metalúrgica / mecanizado / piezas</x:v>
      </x:c>
      <x:c r="F28" s="12" t="str">
        <x:v>A verificar</x:v>
      </x:c>
      <x:c r="G28" s="12" t="str">
        <x:v>Parque Industrial San Francisco, San Francisco, Córdoba</x:v>
      </x:c>
      <x:c r="H28" s="12" t="str">
        <x:v>producción / expedición / mantenimiento</x:v>
      </x:c>
      <x:c r="I28" s="12" t="str">
        <x:v>Empresa listada actualmente en el directorio metalúrgico del Parque Industrial San Francisco.</x:v>
      </x:c>
      <x:c r="J28" s="12" t="str">
        <x:v>Media</x:v>
      </x:c>
      <x:c r="K28" s="12" t="str">
        <x:v>Directorio Parque Industrial</x:v>
      </x:c>
      <x:c r="L28" s="12" t="str">
        <x:v>https://www.empresas.parqueindustrialsanfrancisco.com/directorio/empresas/metalurgica-fundicion-y-trabajo-del-metal/metalurgica/</x:v>
      </x:c>
    </x:row>
    <x:row r="29">
      <x:c r="A29" s="12" t="str">
        <x:v>SF-059</x:v>
      </x:c>
      <x:c r="B29" s="12" t="str">
        <x:v>A</x:v>
      </x:c>
      <x:c r="C29" s="12" t="n">
        <x:v>76</x:v>
      </x:c>
      <x:c r="D29" s="12" t="str">
        <x:v>Metal Zinc S.A.S.</x:v>
      </x:c>
      <x:c r="E29" s="12" t="str">
        <x:v>Metalúrgica / mecanizado / piezas</x:v>
      </x:c>
      <x:c r="F29" s="12" t="str">
        <x:v>A verificar</x:v>
      </x:c>
      <x:c r="G29" s="12" t="str">
        <x:v>Parque Industrial San Francisco, San Francisco, Córdoba</x:v>
      </x:c>
      <x:c r="H29" s="12" t="str">
        <x:v>producción / expedición / mantenimiento</x:v>
      </x:c>
      <x:c r="I29" s="12" t="str">
        <x:v>Empresa listada actualmente en el directorio metalúrgico del Parque Industrial San Francisco.</x:v>
      </x:c>
      <x:c r="J29" s="12" t="str">
        <x:v>Media</x:v>
      </x:c>
      <x:c r="K29" s="12" t="str">
        <x:v>Directorio Parque Industrial</x:v>
      </x:c>
      <x:c r="L29" s="12" t="str">
        <x:v>https://www.empresas.parqueindustrialsanfrancisco.com/directorio/empresas/metalurgica-fundicion-y-trabajo-del-metal/metalurgica/</x:v>
      </x:c>
    </x:row>
    <x:row r="30">
      <x:c r="A30" s="12" t="str">
        <x:v>SF-060</x:v>
      </x:c>
      <x:c r="B30" s="12" t="str">
        <x:v>A</x:v>
      </x:c>
      <x:c r="C30" s="12" t="n">
        <x:v>76</x:v>
      </x:c>
      <x:c r="D30" s="12" t="str">
        <x:v>Pessot S.R.L.</x:v>
      </x:c>
      <x:c r="E30" s="12" t="str">
        <x:v>Metalúrgica / mecanizado / piezas</x:v>
      </x:c>
      <x:c r="F30" s="12" t="str">
        <x:v>A verificar</x:v>
      </x:c>
      <x:c r="G30" s="12" t="str">
        <x:v>Parque Industrial San Francisco, San Francisco, Córdoba</x:v>
      </x:c>
      <x:c r="H30" s="12" t="str">
        <x:v>producción / expedición / mantenimiento</x:v>
      </x:c>
      <x:c r="I30" s="12" t="str">
        <x:v>Empresa listada actualmente en el directorio metalúrgico del Parque Industrial San Francisco.</x:v>
      </x:c>
      <x:c r="J30" s="12" t="str">
        <x:v>Media</x:v>
      </x:c>
      <x:c r="K30" s="12" t="str">
        <x:v>Directorio Parque Industrial</x:v>
      </x:c>
      <x:c r="L30" s="12" t="str">
        <x:v>https://www.empresas.parqueindustrialsanfrancisco.com/directorio/empresas/metalurgica-fundicion-y-trabajo-del-metal/metalurgica/</x:v>
      </x:c>
    </x:row>
    <x:row r="31">
      <x:c r="A31" s="12" t="str">
        <x:v>SF-062</x:v>
      </x:c>
      <x:c r="B31" s="12" t="str">
        <x:v>B</x:v>
      </x:c>
      <x:c r="C31" s="12" t="n">
        <x:v>74</x:v>
      </x:c>
      <x:c r="D31" s="12" t="str">
        <x:v>Carisio Jorge Francisco S.R.L.</x:v>
      </x:c>
      <x:c r="E31" s="12" t="str">
        <x:v>Metalúrgica / mecanizado / piezas</x:v>
      </x:c>
      <x:c r="F31" s="12" t="str">
        <x:v>A verificar</x:v>
      </x:c>
      <x:c r="G31" s="12" t="str">
        <x:v>Parque Industrial San Francisco, San Francisco, Córdoba</x:v>
      </x:c>
      <x:c r="H31" s="12" t="str">
        <x:v>producción / expedición / mantenimiento</x:v>
      </x:c>
      <x:c r="I31" s="12" t="str">
        <x:v>Empresa listada actualmente en el directorio metalúrgico del Parque Industrial San Francisco.</x:v>
      </x:c>
      <x:c r="J31" s="12" t="str">
        <x:v>Media</x:v>
      </x:c>
      <x:c r="K31" s="12" t="str">
        <x:v>Directorio Parque Industrial</x:v>
      </x:c>
      <x:c r="L31" s="12" t="str">
        <x:v>https://www.empresas.parqueindustrialsanfrancisco.com/directorio/empresas/metalurgica-fundicion-y-trabajo-del-metal/metalurgica/</x:v>
      </x:c>
    </x:row>
    <x:row r="32">
      <x:c r="A32" s="12" t="str">
        <x:v>SF-063</x:v>
      </x:c>
      <x:c r="B32" s="12" t="str">
        <x:v>B</x:v>
      </x:c>
      <x:c r="C32" s="12" t="n">
        <x:v>72</x:v>
      </x:c>
      <x:c r="D32" s="12" t="str">
        <x:v>Cravero Repuestos</x:v>
      </x:c>
      <x:c r="E32" s="12" t="str">
        <x:v>Metalúrgica / mecanizado / piezas</x:v>
      </x:c>
      <x:c r="F32" s="12" t="str">
        <x:v>A verificar</x:v>
      </x:c>
      <x:c r="G32" s="12" t="str">
        <x:v>Parque Industrial San Francisco, San Francisco, Córdoba</x:v>
      </x:c>
      <x:c r="H32" s="12" t="str">
        <x:v>producción / expedición / mantenimiento</x:v>
      </x:c>
      <x:c r="I32" s="12" t="str">
        <x:v>Empresa listada actualmente en el directorio metalúrgico del Parque Industrial San Francisco.</x:v>
      </x:c>
      <x:c r="J32" s="12" t="str">
        <x:v>Media</x:v>
      </x:c>
      <x:c r="K32" s="12" t="str">
        <x:v>Directorio Parque Industrial</x:v>
      </x:c>
      <x:c r="L32" s="12" t="str">
        <x:v>https://www.empresas.parqueindustrialsanfrancisco.com/directorio/empresas/metalurgica-fundicion-y-trabajo-del-metal/metalurgica/</x:v>
      </x:c>
    </x:row>
    <x:row r="33">
      <x:c r="A33" s="12" t="str">
        <x:v>SF-064</x:v>
      </x:c>
      <x:c r="B33" s="12" t="str">
        <x:v>B</x:v>
      </x:c>
      <x:c r="C33" s="12" t="n">
        <x:v>72</x:v>
      </x:c>
      <x:c r="D33" s="12" t="str">
        <x:v>MR Tratamientos Térmicos De Maris</x:v>
      </x:c>
      <x:c r="E33" s="12" t="str">
        <x:v>Metalúrgica / mecanizado / piezas</x:v>
      </x:c>
      <x:c r="F33" s="12" t="str">
        <x:v>A verificar</x:v>
      </x:c>
      <x:c r="G33" s="12" t="str">
        <x:v>Parque Industrial San Francisco, San Francisco, Córdoba</x:v>
      </x:c>
      <x:c r="H33" s="12" t="str">
        <x:v>producción / expedición / mantenimiento</x:v>
      </x:c>
      <x:c r="I33" s="12" t="str">
        <x:v>Empresa listada actualmente en el directorio metalúrgico del Parque Industrial San Francisco.</x:v>
      </x:c>
      <x:c r="J33" s="12" t="str">
        <x:v>Media</x:v>
      </x:c>
      <x:c r="K33" s="12" t="str">
        <x:v>Directorio Parque Industrial</x:v>
      </x:c>
      <x:c r="L33" s="12" t="str">
        <x:v>https://www.empresas.parqueindustrialsanfrancisco.com/directorio/empresas/metalurgica-fundicion-y-trabajo-del-metal/metalurgica/</x:v>
      </x:c>
    </x:row>
    <x:row r="34">
      <x:c r="A34" s="12" t="str">
        <x:v>SF-065</x:v>
      </x:c>
      <x:c r="B34" s="12" t="str">
        <x:v>B</x:v>
      </x:c>
      <x:c r="C34" s="12" t="n">
        <x:v>72</x:v>
      </x:c>
      <x:c r="D34" s="12" t="str">
        <x:v>Sottano Tratamientos</x:v>
      </x:c>
      <x:c r="E34" s="12" t="str">
        <x:v>Metalúrgica / mecanizado / piezas</x:v>
      </x:c>
      <x:c r="F34" s="12" t="str">
        <x:v>A verificar</x:v>
      </x:c>
      <x:c r="G34" s="12" t="str">
        <x:v>Parque Industrial San Francisco, San Francisco, Córdoba</x:v>
      </x:c>
      <x:c r="H34" s="12" t="str">
        <x:v>producción / expedición / mantenimiento</x:v>
      </x:c>
      <x:c r="I34" s="12" t="str">
        <x:v>Empresa listada actualmente en el directorio metalúrgico del Parque Industrial San Francisco.</x:v>
      </x:c>
      <x:c r="J34" s="12" t="str">
        <x:v>Media</x:v>
      </x:c>
      <x:c r="K34" s="12" t="str">
        <x:v>Directorio Parque Industrial</x:v>
      </x:c>
      <x:c r="L34" s="12" t="str">
        <x:v>https://www.empresas.parqueindustrialsanfrancisco.com/directorio/empresas/metalurgica-fundicion-y-trabajo-del-metal/metalurgica/</x:v>
      </x:c>
    </x:row>
    <x:row r="35">
      <x:c r="A35" s="12" t="str">
        <x:v>SF-066</x:v>
      </x:c>
      <x:c r="B35" s="12" t="str">
        <x:v>B</x:v>
      </x:c>
      <x:c r="C35" s="12" t="n">
        <x:v>70</x:v>
      </x:c>
      <x:c r="D35" s="12" t="str">
        <x:v>JCM Soldadura</x:v>
      </x:c>
      <x:c r="E35" s="12" t="str">
        <x:v>Metalúrgica / mecanizado / piezas</x:v>
      </x:c>
      <x:c r="F35" s="12" t="str">
        <x:v>A verificar</x:v>
      </x:c>
      <x:c r="G35" s="12" t="str">
        <x:v>Parque Industrial San Francisco, San Francisco, Córdoba</x:v>
      </x:c>
      <x:c r="H35" s="12" t="str">
        <x:v>producción / expedición / mantenimiento</x:v>
      </x:c>
      <x:c r="I35" s="12" t="str">
        <x:v>Empresa listada actualmente en el directorio metalúrgico del Parque Industrial San Francisco.</x:v>
      </x:c>
      <x:c r="J35" s="12" t="str">
        <x:v>Media</x:v>
      </x:c>
      <x:c r="K35" s="12" t="str">
        <x:v>Directorio Parque Industrial</x:v>
      </x:c>
      <x:c r="L35" s="12" t="str">
        <x:v>https://www.empresas.parqueindustrialsanfrancisco.com/directorio/empresas/metalurgica-fundicion-y-trabajo-del-metal/metalurgica/</x:v>
      </x:c>
    </x:row>
    <x:row r="36">
      <x:c r="A36" s="12" t="str">
        <x:v>SF-067</x:v>
      </x:c>
      <x:c r="B36" s="12" t="str">
        <x:v>B</x:v>
      </x:c>
      <x:c r="C36" s="12" t="n">
        <x:v>70</x:v>
      </x:c>
      <x:c r="D36" s="12" t="str">
        <x:v>P.G. S.R.L.</x:v>
      </x:c>
      <x:c r="E36" s="12" t="str">
        <x:v>Metalúrgica / mecanizado / piezas</x:v>
      </x:c>
      <x:c r="F36" s="12" t="str">
        <x:v>A verificar</x:v>
      </x:c>
      <x:c r="G36" s="12" t="str">
        <x:v>Parque Industrial San Francisco, San Francisco, Córdoba</x:v>
      </x:c>
      <x:c r="H36" s="12" t="str">
        <x:v>producción / expedición / mantenimiento</x:v>
      </x:c>
      <x:c r="I36" s="12" t="str">
        <x:v>Empresa listada actualmente en el directorio metalúrgico del Parque Industrial San Francisco.</x:v>
      </x:c>
      <x:c r="J36" s="12" t="str">
        <x:v>Media</x:v>
      </x:c>
      <x:c r="K36" s="12" t="str">
        <x:v>Directorio Parque Industrial</x:v>
      </x:c>
      <x:c r="L36" s="12" t="str">
        <x:v>https://www.empresas.parqueindustrialsanfrancisco.com/directorio/empresas/metalurgica-fundicion-y-trabajo-del-metal/metalurgica/</x:v>
      </x:c>
    </x:row>
    <x:row r="37">
      <x:c r="A37" s="12" t="str">
        <x:v>SF-068</x:v>
      </x:c>
      <x:c r="B37" s="12" t="str">
        <x:v>B</x:v>
      </x:c>
      <x:c r="C37" s="12" t="n">
        <x:v>68</x:v>
      </x:c>
      <x:c r="D37" s="12" t="str">
        <x:v>Boetto Omar</x:v>
      </x:c>
      <x:c r="E37" s="12" t="str">
        <x:v>Metalúrgica / mecanizado / piezas</x:v>
      </x:c>
      <x:c r="F37" s="12" t="str">
        <x:v>A verificar</x:v>
      </x:c>
      <x:c r="G37" s="12" t="str">
        <x:v>Parque Industrial San Francisco, San Francisco, Córdoba</x:v>
      </x:c>
      <x:c r="H37" s="12" t="str">
        <x:v>producción / expedición / mantenimiento</x:v>
      </x:c>
      <x:c r="I37" s="12" t="str">
        <x:v>Empresa listada actualmente en el directorio metalúrgico del Parque Industrial San Francisco.</x:v>
      </x:c>
      <x:c r="J37" s="12" t="str">
        <x:v>Media</x:v>
      </x:c>
      <x:c r="K37" s="12" t="str">
        <x:v>Directorio Parque Industrial</x:v>
      </x:c>
      <x:c r="L37" s="12" t="str">
        <x:v>https://www.empresas.parqueindustrialsanfrancisco.com/directorio/empresas/metalurgica-fundicion-y-trabajo-del-metal/metalurgica/</x:v>
      </x:c>
    </x:row>
    <x:row r="38">
      <x:c r="A38" s="12" t="str">
        <x:v>SF-069</x:v>
      </x:c>
      <x:c r="B38" s="12" t="str">
        <x:v>B</x:v>
      </x:c>
      <x:c r="C38" s="12" t="n">
        <x:v>68</x:v>
      </x:c>
      <x:c r="D38" s="12" t="str">
        <x:v>Cavour Desarrollos S.R.L.</x:v>
      </x:c>
      <x:c r="E38" s="12" t="str">
        <x:v>Industria alimenticia / planta industrial</x:v>
      </x:c>
      <x:c r="F38" s="12" t="str">
        <x:v>03564 445833</x:v>
      </x:c>
      <x:c r="G38" s="12" t="str">
        <x:v>M.A. Carra 1576, San Francisco, Córdoba</x:v>
      </x:c>
      <x:c r="H38" s="12" t="str">
        <x:v>planta / mantenimiento / logística</x:v>
      </x:c>
      <x:c r="I38" s="12" t="str">
        <x:v>Planta industrial de ingredientes alimenticios.</x:v>
      </x:c>
      <x:c r="J38" s="12" t="str">
        <x:v>Alta</x:v>
      </x:c>
      <x:c r="K38" s="12" t="str">
        <x:v>Parque Industrial oficial</x:v>
      </x:c>
      <x:c r="L38" s="12" t="str">
        <x:v>https://www.empresas.parqueindustrialsanfrancisco.com/empresas/cavour-desarrollos-srl-227/</x:v>
      </x:c>
    </x:row>
    <x:row r="39">
      <x:c r="A39" s="12" t="str">
        <x:v>SF-070</x:v>
      </x:c>
      <x:c r="B39" s="12" t="str">
        <x:v>B</x:v>
      </x:c>
      <x:c r="C39" s="12" t="n">
        <x:v>68</x:v>
      </x:c>
      <x:c r="D39" s="12" t="str">
        <x:v>Gerardo Casalegno</x:v>
      </x:c>
      <x:c r="E39" s="12" t="str">
        <x:v>Metalúrgica / mecanizado / piezas</x:v>
      </x:c>
      <x:c r="F39" s="12" t="str">
        <x:v>A verificar</x:v>
      </x:c>
      <x:c r="G39" s="12" t="str">
        <x:v>Parque Industrial San Francisco, San Francisco, Córdoba</x:v>
      </x:c>
      <x:c r="H39" s="12" t="str">
        <x:v>producción / expedición / mantenimiento</x:v>
      </x:c>
      <x:c r="I39" s="12" t="str">
        <x:v>Empresa listada actualmente en el directorio metalúrgico del Parque Industrial San Francisco.</x:v>
      </x:c>
      <x:c r="J39" s="12" t="str">
        <x:v>Media</x:v>
      </x:c>
      <x:c r="K39" s="12" t="str">
        <x:v>Directorio Parque Industrial</x:v>
      </x:c>
      <x:c r="L39" s="12" t="str">
        <x:v>https://www.empresas.parqueindustrialsanfrancisco.com/directorio/empresas/metalurgica-fundicion-y-trabajo-del-metal/metalurgica/</x:v>
      </x:c>
    </x:row>
    <x:row r="40">
      <x:c r="A40" s="12" t="str">
        <x:v>SF-071</x:v>
      </x:c>
      <x:c r="B40" s="12" t="str">
        <x:v>B</x:v>
      </x:c>
      <x:c r="C40" s="12" t="n">
        <x:v>68</x:v>
      </x:c>
      <x:c r="D40" s="12" t="str">
        <x:v>Goiran Andrés Roque</x:v>
      </x:c>
      <x:c r="E40" s="12" t="str">
        <x:v>Metalúrgica / mecanizado / piezas</x:v>
      </x:c>
      <x:c r="F40" s="12" t="str">
        <x:v>A verificar</x:v>
      </x:c>
      <x:c r="G40" s="12" t="str">
        <x:v>Parque Industrial San Francisco, San Francisco, Córdoba</x:v>
      </x:c>
      <x:c r="H40" s="12" t="str">
        <x:v>producción / expedición / mantenimiento</x:v>
      </x:c>
      <x:c r="I40" s="12" t="str">
        <x:v>Empresa listada actualmente en el directorio metalúrgico del Parque Industrial San Francisco.</x:v>
      </x:c>
      <x:c r="J40" s="12" t="str">
        <x:v>Media</x:v>
      </x:c>
      <x:c r="K40" s="12" t="str">
        <x:v>Directorio Parque Industrial</x:v>
      </x:c>
      <x:c r="L40" s="12" t="str">
        <x:v>https://www.empresas.parqueindustrialsanfrancisco.com/directorio/empresas/metalurgica-fundicion-y-trabajo-del-metal/metalurgica/</x:v>
      </x:c>
    </x:row>
    <x:row r="41">
      <x:c r="A41" s="12" t="str">
        <x:v>SF-073</x:v>
      </x:c>
      <x:c r="B41" s="12" t="str">
        <x:v>B</x:v>
      </x:c>
      <x:c r="C41" s="12" t="n">
        <x:v>68</x:v>
      </x:c>
      <x:c r="D41" s="12" t="str">
        <x:v>Nicolás Fernando Felippa</x:v>
      </x:c>
      <x:c r="E41" s="12" t="str">
        <x:v>Metalúrgica / mecanizado / piezas</x:v>
      </x:c>
      <x:c r="F41" s="12" t="str">
        <x:v>A verificar</x:v>
      </x:c>
      <x:c r="G41" s="12" t="str">
        <x:v>Parque Industrial San Francisco, San Francisco, Córdoba</x:v>
      </x:c>
      <x:c r="H41" s="12" t="str">
        <x:v>producción / expedición / mantenimiento</x:v>
      </x:c>
      <x:c r="I41" s="12" t="str">
        <x:v>Empresa listada actualmente en el directorio metalúrgico del Parque Industrial San Francisco.</x:v>
      </x:c>
      <x:c r="J41" s="12" t="str">
        <x:v>Media</x:v>
      </x:c>
      <x:c r="K41" s="12" t="str">
        <x:v>Directorio Parque Industrial</x:v>
      </x:c>
      <x:c r="L41" s="12" t="str">
        <x:v>https://www.empresas.parqueindustrialsanfrancisco.com/directorio/empresas/metalurgica-fundicion-y-trabajo-del-metal/metalurgica/</x:v>
      </x:c>
    </x:row>
    <x:row r="42">
      <x:c r="A42" s="12" t="str">
        <x:v>SF-075</x:v>
      </x:c>
      <x:c r="B42" s="12" t="str">
        <x:v>B</x:v>
      </x:c>
      <x:c r="C42" s="12" t="n">
        <x:v>66</x:v>
      </x:c>
      <x:c r="D42" s="12" t="str">
        <x:v>Bollati Alejandro Humberto</x:v>
      </x:c>
      <x:c r="E42" s="12" t="str">
        <x:v>Metalúrgica / mecanizado / piezas</x:v>
      </x:c>
      <x:c r="F42" s="12" t="str">
        <x:v>A verificar</x:v>
      </x:c>
      <x:c r="G42" s="12" t="str">
        <x:v>Parque Industrial San Francisco, San Francisco, Córdoba</x:v>
      </x:c>
      <x:c r="H42" s="12" t="str">
        <x:v>producción / expedición / mantenimiento</x:v>
      </x:c>
      <x:c r="I42" s="12" t="str">
        <x:v>Empresa listada actualmente en el directorio metalúrgico del Parque Industrial San Francisco.</x:v>
      </x:c>
      <x:c r="J42" s="12" t="str">
        <x:v>Media</x:v>
      </x:c>
      <x:c r="K42" s="12" t="str">
        <x:v>Directorio Parque Industrial</x:v>
      </x:c>
      <x:c r="L42" s="12" t="str">
        <x:v>https://www.empresas.parqueindustrialsanfrancisco.com/directorio/empresas/metalurgica-fundicion-y-trabajo-del-metal/metalurgica/</x:v>
      </x:c>
    </x:row>
    <x:row r="43">
      <x:c r="A43" s="12" t="str">
        <x:v>SF-076</x:v>
      </x:c>
      <x:c r="B43" s="12" t="str">
        <x:v>B</x:v>
      </x:c>
      <x:c r="C43" s="12" t="n">
        <x:v>66</x:v>
      </x:c>
      <x:c r="D43" s="12" t="str">
        <x:v>Mario Aimar</x:v>
      </x:c>
      <x:c r="E43" s="12" t="str">
        <x:v>Metalúrgica / mecanizado / piezas</x:v>
      </x:c>
      <x:c r="F43" s="12" t="str">
        <x:v>A verificar</x:v>
      </x:c>
      <x:c r="G43" s="12" t="str">
        <x:v>Parque Industrial San Francisco, San Francisco, Córdoba</x:v>
      </x:c>
      <x:c r="H43" s="12" t="str">
        <x:v>producción / expedición / mantenimiento</x:v>
      </x:c>
      <x:c r="I43" s="12" t="str">
        <x:v>Empresa listada actualmente en el directorio metalúrgico del Parque Industrial San Francisco.</x:v>
      </x:c>
      <x:c r="J43" s="12" t="str">
        <x:v>Media</x:v>
      </x:c>
      <x:c r="K43" s="12" t="str">
        <x:v>Directorio Parque Industrial</x:v>
      </x:c>
      <x:c r="L43" s="12" t="str">
        <x:v>https://www.empresas.parqueindustrialsanfrancisco.com/directorio/empresas/metalurgica-fundicion-y-trabajo-del-metal/metalurgica/</x:v>
      </x:c>
    </x:row>
    <x:row r="44">
      <x:c r="A44" s="12" t="str">
        <x:v>SF-077</x:v>
      </x:c>
      <x:c r="B44" s="12" t="str">
        <x:v>B</x:v>
      </x:c>
      <x:c r="C44" s="12" t="n">
        <x:v>66</x:v>
      </x:c>
      <x:c r="D44" s="12" t="str">
        <x:v>Tuninetti Miguel Ángel</x:v>
      </x:c>
      <x:c r="E44" s="12" t="str">
        <x:v>Metalúrgica / mecanizado / piezas</x:v>
      </x:c>
      <x:c r="F44" s="12" t="str">
        <x:v>A verificar</x:v>
      </x:c>
      <x:c r="G44" s="12" t="str">
        <x:v>Parque Industrial San Francisco, San Francisco, Córdoba</x:v>
      </x:c>
      <x:c r="H44" s="12" t="str">
        <x:v>producción / expedición / mantenimiento</x:v>
      </x:c>
      <x:c r="I44" s="12" t="str">
        <x:v>Empresa listada actualmente en el directorio metalúrgico del Parque Industrial San Francisco.</x:v>
      </x:c>
      <x:c r="J44" s="12" t="str">
        <x:v>Media</x:v>
      </x:c>
      <x:c r="K44" s="12" t="str">
        <x:v>Directorio Parque Industrial</x:v>
      </x:c>
      <x:c r="L44" s="12" t="str">
        <x:v>https://www.empresas.parqueindustrialsanfrancisco.com/directorio/empresas/metalurgica-fundicion-y-trabajo-del-metal/metalurgica/</x:v>
      </x:c>
    </x:row>
    <x:row r="45">
      <x:c r="A45" s="12" t="str">
        <x:v>SF-078</x:v>
      </x:c>
      <x:c r="B45" s="12" t="str">
        <x:v>B</x:v>
      </x:c>
      <x:c r="C45" s="12" t="n">
        <x:v>64</x:v>
      </x:c>
      <x:c r="D45" s="12" t="str">
        <x:v>Adrian Pagliano</x:v>
      </x:c>
      <x:c r="E45" s="12" t="str">
        <x:v>Metalúrgica / mecanizado / piezas</x:v>
      </x:c>
      <x:c r="F45" s="12" t="str">
        <x:v>A verificar</x:v>
      </x:c>
      <x:c r="G45" s="12" t="str">
        <x:v>Parque Industrial San Francisco, San Francisco, Córdoba</x:v>
      </x:c>
      <x:c r="H45" s="12" t="str">
        <x:v>producción / expedición / mantenimiento</x:v>
      </x:c>
      <x:c r="I45" s="12" t="str">
        <x:v>Empresa listada actualmente en el directorio metalúrgico del Parque Industrial San Francisco.</x:v>
      </x:c>
      <x:c r="J45" s="12" t="str">
        <x:v>Media</x:v>
      </x:c>
      <x:c r="K45" s="12" t="str">
        <x:v>Directorio Parque Industrial</x:v>
      </x:c>
      <x:c r="L45" s="12" t="str">
        <x:v>https://www.empresas.parqueindustrialsanfrancisco.com/directorio/empresas/metalurgica-fundicion-y-trabajo-del-metal/metalurgica/</x:v>
      </x:c>
    </x:row>
    <x:row r="46">
      <x:c r="A46" s="12" t="str">
        <x:v>SF-079</x:v>
      </x:c>
      <x:c r="B46" s="12" t="str">
        <x:v>B</x:v>
      </x:c>
      <x:c r="C46" s="12" t="n">
        <x:v>64</x:v>
      </x:c>
      <x:c r="D46" s="12" t="str">
        <x:v>Machado Gabriel Horacio</x:v>
      </x:c>
      <x:c r="E46" s="12" t="str">
        <x:v>Metalúrgica / mecanizado / piezas</x:v>
      </x:c>
      <x:c r="F46" s="12" t="str">
        <x:v>A verificar</x:v>
      </x:c>
      <x:c r="G46" s="12" t="str">
        <x:v>Parque Industrial San Francisco, San Francisco, Córdoba</x:v>
      </x:c>
      <x:c r="H46" s="12" t="str">
        <x:v>producción / expedición / mantenimiento</x:v>
      </x:c>
      <x:c r="I46" s="12" t="str">
        <x:v>Empresa listada actualmente en el directorio metalúrgico del Parque Industrial San Francisco.</x:v>
      </x:c>
      <x:c r="J46" s="12" t="str">
        <x:v>Media</x:v>
      </x:c>
      <x:c r="K46" s="12" t="str">
        <x:v>Directorio Parque Industrial</x:v>
      </x:c>
      <x:c r="L46" s="12" t="str">
        <x:v>https://www.empresas.parqueindustrialsanfrancisco.com/directorio/empresas/metalurgica-fundicion-y-trabajo-del-metal/metalurgica/</x:v>
      </x:c>
    </x:row>
    <x:row r="47">
      <x:c r="A47" s="12" t="str">
        <x:v>SF-080</x:v>
      </x:c>
      <x:c r="B47" s="12" t="str">
        <x:v>B</x:v>
      </x:c>
      <x:c r="C47" s="12" t="n">
        <x:v>64</x:v>
      </x:c>
      <x:c r="D47" s="12" t="str">
        <x:v>Marcelo Luis Tortolo</x:v>
      </x:c>
      <x:c r="E47" s="12" t="str">
        <x:v>Autopartes / automotor</x:v>
      </x:c>
      <x:c r="F47" s="12" t="str">
        <x:v>A verificar</x:v>
      </x:c>
      <x:c r="G47" s="12" t="str">
        <x:v>Parque Industrial San Francisco, San Francisco, Córdoba</x:v>
      </x:c>
      <x:c r="H47" s="12" t="str">
        <x:v>producción / logística / expedición</x:v>
      </x:c>
      <x:c r="I47" s="12" t="str">
        <x:v>Empresa listada en la categoría Autopartes del Parque Industrial.</x:v>
      </x:c>
      <x:c r="J47" s="12" t="str">
        <x:v>Media</x:v>
      </x:c>
      <x:c r="K47" s="12" t="str">
        <x:v>Directorio Parque Industrial</x:v>
      </x:c>
      <x:c r="L47" s="12" t="str">
        <x:v>https://empresas.parqueindustrialsanfrancisco.com/directorio/empresas/automotor/autopartes/</x:v>
      </x:c>
    </x:row>
    <x:row r="48">
      <x:c r="A48" s="12" t="str">
        <x:v>SF-081</x:v>
      </x:c>
      <x:c r="B48" s="12" t="str">
        <x:v>B</x:v>
      </x:c>
      <x:c r="C48" s="12" t="n">
        <x:v>64</x:v>
      </x:c>
      <x:c r="D48" s="12" t="str">
        <x:v>Mosca Eduardo Osvaldo</x:v>
      </x:c>
      <x:c r="E48" s="12" t="str">
        <x:v>Metalúrgica / mecanizado / piezas</x:v>
      </x:c>
      <x:c r="F48" s="12" t="str">
        <x:v>A verificar</x:v>
      </x:c>
      <x:c r="G48" s="12" t="str">
        <x:v>Parque Industrial San Francisco, San Francisco, Córdoba</x:v>
      </x:c>
      <x:c r="H48" s="12" t="str">
        <x:v>producción / expedición / mantenimiento</x:v>
      </x:c>
      <x:c r="I48" s="12" t="str">
        <x:v>Empresa listada actualmente en el directorio metalúrgico del Parque Industrial San Francisco.</x:v>
      </x:c>
      <x:c r="J48" s="12" t="str">
        <x:v>Media</x:v>
      </x:c>
      <x:c r="K48" s="12" t="str">
        <x:v>Directorio Parque Industrial</x:v>
      </x:c>
      <x:c r="L48" s="12" t="str">
        <x:v>https://www.empresas.parqueindustrialsanfrancisco.com/directorio/empresas/metalurgica-fundicion-y-trabajo-del-metal/metalurgica/</x:v>
      </x:c>
    </x:row>
    <x:row r="49">
      <x:c r="A49" s="12" t="str">
        <x:v>SF-082</x:v>
      </x:c>
      <x:c r="B49" s="12" t="str">
        <x:v>B</x:v>
      </x:c>
      <x:c r="C49" s="12" t="n">
        <x:v>64</x:v>
      </x:c>
      <x:c r="D49" s="12" t="str">
        <x:v>Scocco Alberto Luis</x:v>
      </x:c>
      <x:c r="E49" s="12" t="str">
        <x:v>Metalúrgica / mecanizado / piezas</x:v>
      </x:c>
      <x:c r="F49" s="12" t="str">
        <x:v>A verificar</x:v>
      </x:c>
      <x:c r="G49" s="12" t="str">
        <x:v>Parque Industrial San Francisco, San Francisco, Córdoba</x:v>
      </x:c>
      <x:c r="H49" s="12" t="str">
        <x:v>producción / expedición / mantenimiento</x:v>
      </x:c>
      <x:c r="I49" s="12" t="str">
        <x:v>Empresa listada actualmente en el directorio metalúrgico del Parque Industrial San Francisco.</x:v>
      </x:c>
      <x:c r="J49" s="12" t="str">
        <x:v>Media</x:v>
      </x:c>
      <x:c r="K49" s="12" t="str">
        <x:v>Directorio Parque Industrial</x:v>
      </x:c>
      <x:c r="L49" s="12" t="str">
        <x:v>https://www.empresas.parqueindustrialsanfrancisco.com/directorio/empresas/metalurgica-fundicion-y-trabajo-del-metal/metalurgica/</x:v>
      </x:c>
    </x:row>
    <x:row r="50">
      <x:c r="A50" s="12" t="str">
        <x:v>SF-083</x:v>
      </x:c>
      <x:c r="B50" s="12" t="str">
        <x:v>B</x:v>
      </x:c>
      <x:c r="C50" s="12" t="n">
        <x:v>64</x:v>
      </x:c>
      <x:c r="D50" s="12" t="str">
        <x:v>Vagliente Javier Adalberto</x:v>
      </x:c>
      <x:c r="E50" s="12" t="str">
        <x:v>Metalúrgica / mecanizado / piezas</x:v>
      </x:c>
      <x:c r="F50" s="12" t="str">
        <x:v>A verificar</x:v>
      </x:c>
      <x:c r="G50" s="12" t="str">
        <x:v>Parque Industrial San Francisco, San Francisco, Córdoba</x:v>
      </x:c>
      <x:c r="H50" s="12" t="str">
        <x:v>producción / expedición / mantenimiento</x:v>
      </x:c>
      <x:c r="I50" s="12" t="str">
        <x:v>Empresa listada actualmente en el directorio metalúrgico del Parque Industrial San Francisco.</x:v>
      </x:c>
      <x:c r="J50" s="12" t="str">
        <x:v>Media</x:v>
      </x:c>
      <x:c r="K50" s="12" t="str">
        <x:v>Directorio Parque Industrial</x:v>
      </x:c>
      <x:c r="L50" s="12" t="str">
        <x:v>https://www.empresas.parqueindustrialsanfrancisco.com/directorio/empresas/metalurgica-fundicion-y-trabajo-del-metal/metalurgica/</x:v>
      </x:c>
    </x:row>
    <x:row r="51">
      <x:c r="A51" s="12" t="str">
        <x:v>SF-084</x:v>
      </x:c>
      <x:c r="B51" s="12" t="str">
        <x:v>B</x:v>
      </x:c>
      <x:c r="C51" s="12" t="n">
        <x:v>62</x:v>
      </x:c>
      <x:c r="D51" s="12" t="str">
        <x:v>MSF Tech S.A.</x:v>
      </x:c>
      <x:c r="E51" s="12" t="str">
        <x:v>Tecnología / industria</x:v>
      </x:c>
      <x:c r="F51" s="12" t="str">
        <x:v>A verificar</x:v>
      </x:c>
      <x:c r="G51" s="12" t="str">
        <x:v>Parque Industrial San Francisco, San Francisco, Córdoba</x:v>
      </x:c>
      <x:c r="H51" s="12" t="str">
        <x:v>operaciones / mantenimiento</x:v>
      </x:c>
      <x:c r="I51" s="12" t="str">
        <x:v>Empresa radicada en el Parque Industrial; requiere calificación comercial.</x:v>
      </x:c>
      <x:c r="J51" s="12" t="str">
        <x:v>Media</x:v>
      </x:c>
      <x:c r="K51" s="12" t="str">
        <x:v>Parque Industrial oficial</x:v>
      </x:c>
      <x:c r="L51" s="12" t="str">
        <x:v>https://www.parqueindustrialsanfrancisco.com/</x:v>
      </x:c>
    </x:row>
    <x:row r="52">
      <x:c r="A52" s="12" t="str">
        <x:v>SF-085</x:v>
      </x:c>
      <x:c r="B52" s="12" t="str">
        <x:v>B</x:v>
      </x:c>
      <x:c r="C52" s="12" t="n">
        <x:v>60</x:v>
      </x:c>
      <x:c r="D52" s="12" t="str">
        <x:v>H.M. Plastic S.A.</x:v>
      </x:c>
      <x:c r="E52" s="12" t="str">
        <x:v>Industria plástica</x:v>
      </x:c>
      <x:c r="F52" s="12" t="str">
        <x:v>A verificar</x:v>
      </x:c>
      <x:c r="G52" s="12" t="str">
        <x:v>Parque Industrial San Francisco, San Francisco, Córdoba</x:v>
      </x:c>
      <x:c r="H52" s="12" t="str">
        <x:v>producción / logística</x:v>
      </x:c>
      <x:c r="I52" s="12" t="str">
        <x:v>Industria plástica radicada en el parque; menor afinidad con transporte pesado.</x:v>
      </x:c>
      <x:c r="J52" s="12" t="str">
        <x:v>Media</x:v>
      </x:c>
      <x:c r="K52" s="12" t="str">
        <x:v>Parque Industrial oficial</x:v>
      </x:c>
      <x:c r="L52" s="12" t="str">
        <x:v>https://www.parqueindustrialsanfrancisco.com/</x:v>
      </x:c>
    </x:row>
    <x:row r="53">
      <x:c r="A53" s="12" t="str">
        <x:v>SF-086</x:v>
      </x:c>
      <x:c r="B53" s="12" t="str">
        <x:v>B</x:v>
      </x:c>
      <x:c r="C53" s="12" t="n">
        <x:v>58</x:v>
      </x:c>
      <x:c r="D53" s="12" t="str">
        <x:v>Estación La Finca</x:v>
      </x:c>
      <x:c r="E53" s="12" t="str">
        <x:v>Industria alimenticia</x:v>
      </x:c>
      <x:c r="F53" s="12" t="str">
        <x:v>03564 445823</x:v>
      </x:c>
      <x:c r="G53" s="12" t="str">
        <x:v>J.J. Torres 4537, San Francisco, Córdoba</x:v>
      </x:c>
      <x:c r="H53" s="12" t="str">
        <x:v>planta / logística</x:v>
      </x:c>
      <x:c r="I53" s="12" t="str">
        <x:v>Fábrica de chocolates y licores en el Parque Industrial.</x:v>
      </x:c>
      <x:c r="J53" s="12" t="str">
        <x:v>Alta</x:v>
      </x:c>
      <x:c r="K53" s="12" t="str">
        <x:v>Web oficial</x:v>
      </x:c>
      <x:c r="L53" s="12" t="str">
        <x:v>https://estacionlafinca.com/nosotros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e4547efcb6e498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8" hidden="0" customWidth="1"/>
    <x:col min="4" max="4" width="8" hidden="0" customWidth="1"/>
    <x:col min="5" max="5" width="34" hidden="0" customWidth="1"/>
    <x:col min="6" max="6" width="40" hidden="0" customWidth="1"/>
    <x:col min="7" max="7" width="24" hidden="0" customWidth="1"/>
    <x:col min="8" max="8" width="46" hidden="0" customWidth="1"/>
    <x:col min="9" max="9" width="28" hidden="0" customWidth="1"/>
    <x:col min="10" max="10" width="42" hidden="0" customWidth="1"/>
    <x:col min="11" max="11" width="28" hidden="0" customWidth="1"/>
    <x:col min="12" max="12" width="40" hidden="0" customWidth="1"/>
  </x:cols>
  <x:sheetData>
    <x:row r="1">
      <x:c r="A1" s="17" t="str">
        <x:v>ZONA AMPLIADA · SAN FRANCISCO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>
      <x:c r="A2" s="21" t="str">
        <x:v>Localidades incluidas: Frontera (Santa Fe), La Francia y Devoto. Separadas del núcleo para planificar una jornada regional aparte.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4">
      <x:c r="A4" s="6" t="str">
        <x:v>ID</x:v>
      </x:c>
      <x:c r="B4" s="6" t="str">
        <x:v>Localidad</x:v>
      </x:c>
      <x:c r="C4" s="6" t="str">
        <x:v>Clase</x:v>
      </x:c>
      <x:c r="D4" s="6" t="str">
        <x:v>Score</x:v>
      </x:c>
      <x:c r="E4" s="6" t="str">
        <x:v>Empresa</x:v>
      </x:c>
      <x:c r="F4" s="6" t="str">
        <x:v>Categoría</x:v>
      </x:c>
      <x:c r="G4" s="6" t="str">
        <x:v>Teléfono</x:v>
      </x:c>
      <x:c r="H4" s="6" t="str">
        <x:v>Dirección</x:v>
      </x:c>
      <x:c r="I4" s="6" t="str">
        <x:v>Preguntar por</x:v>
      </x:c>
      <x:c r="J4" s="6" t="str">
        <x:v>Acción</x:v>
      </x:c>
      <x:c r="K4" s="6" t="str">
        <x:v>Fuente</x:v>
      </x:c>
      <x:c r="L4" s="6" t="str">
        <x:v>Google Maps</x:v>
      </x:c>
    </x:row>
    <x:row r="5">
      <x:c r="A5" s="12" t="str">
        <x:v>SF-087</x:v>
      </x:c>
      <x:c r="B5" s="12" t="str">
        <x:v>Frontera</x:v>
      </x:c>
      <x:c r="C5" s="12" t="str">
        <x:v>A+</x:v>
      </x:c>
      <x:c r="D5" s="12" t="n">
        <x:v>100</x:v>
      </x:c>
      <x:c r="E5" s="12" t="str">
        <x:v>Agro Frontera S.R.L.</x:v>
      </x:c>
      <x:c r="F5" s="12" t="str">
        <x:v>Concesionario integral de maquinaria agrícola</x:v>
      </x:c>
      <x:c r="G5" s="12" t="str">
        <x:v>+54 3564 616161</x:v>
      </x:c>
      <x:c r="H5" s="12" t="str">
        <x:v>Calle 50 N° 570, Frontera, Santa Fe</x:v>
      </x:c>
      <x:c r="I5" s="12" t="str">
        <x:v>ventas / logística / posventa / usados</x:v>
      </x:c>
      <x:c r="J5" s="12" t="str">
        <x:v>Pedir logística/expedición/posventa; relevar equipos, pesos y movimientos mensuales.</x:v>
      </x:c>
      <x:c r="K5" s="12" t="str">
        <x:v>Web oficial</x:v>
      </x:c>
      <x:c r="L5" s="12" t="str">
        <x:v>https://www.google.com/maps/search/?api=1&amp;query=Agro+Frontera+S.R.L.%2C+Calle+50+N%C2%B0+570%2C+Frontera%2C+Santa+Fe</x:v>
      </x:c>
    </x:row>
    <x:row r="6">
      <x:c r="A6" s="12" t="str">
        <x:v>SF-088</x:v>
      </x:c>
      <x:c r="B6" s="12" t="str">
        <x:v>La Francia</x:v>
      </x:c>
      <x:c r="C6" s="12" t="str">
        <x:v>A+</x:v>
      </x:c>
      <x:c r="D6" s="12" t="n">
        <x:v>100</x:v>
      </x:c>
      <x:c r="E6" s="12" t="str">
        <x:v>Metalbert S.R.L.</x:v>
      </x:c>
      <x:c r="F6" s="12" t="str">
        <x:v>Fábrica de implementos agrícolas y viales</x:v>
      </x:c>
      <x:c r="G6" s="12" t="str">
        <x:v>+54 9 3564 584834</x:v>
      </x:c>
      <x:c r="H6" s="12" t="str">
        <x:v>Güiraldes 575, La Francia, Córdoba</x:v>
      </x:c>
      <x:c r="I6" s="12" t="str">
        <x:v>producción / expedición / ventas</x:v>
      </x:c>
      <x:c r="J6" s="12" t="str">
        <x:v>Pedir logística/expedición/posventa; relevar equipos, pesos y movimientos mensuales.</x:v>
      </x:c>
      <x:c r="K6" s="12" t="str">
        <x:v>Web oficial / AFAMAC</x:v>
      </x:c>
      <x:c r="L6" s="12" t="str">
        <x:v>https://www.google.com/maps/search/?api=1&amp;query=Metalbert+S.R.L.%2C+G%C3%BCiraldes+575%2C+La+Francia%2C+C%C3%B3rdoba</x:v>
      </x:c>
    </x:row>
    <x:row r="7">
      <x:c r="A7" s="12" t="str">
        <x:v>SF-089</x:v>
      </x:c>
      <x:c r="B7" s="12" t="str">
        <x:v>La Francia</x:v>
      </x:c>
      <x:c r="C7" s="12" t="str">
        <x:v>A+</x:v>
      </x:c>
      <x:c r="D7" s="12" t="n">
        <x:v>99</x:v>
      </x:c>
      <x:c r="E7" s="12" t="str">
        <x:v>Juárez Industria Metalúrgica S.A.</x:v>
      </x:c>
      <x:c r="F7" s="12" t="str">
        <x:v>Fábrica de maquinaria agrícola</x:v>
      </x:c>
      <x:c r="G7" s="12" t="str">
        <x:v>03564 471610</x:v>
      </x:c>
      <x:c r="H7" s="12" t="str">
        <x:v>Ricardo Güiraldes 709, La Francia, Córdoba</x:v>
      </x:c>
      <x:c r="I7" s="12" t="str">
        <x:v>producción / expedición / ventas</x:v>
      </x:c>
      <x:c r="J7" s="12" t="str">
        <x:v>Pedir logística/expedición/posventa; relevar equipos, pesos y movimientos mensuales.</x:v>
      </x:c>
      <x:c r="K7" s="12" t="str">
        <x:v>AFAMAC</x:v>
      </x:c>
      <x:c r="L7" s="12" t="str">
        <x:v>https://www.google.com/maps/search/?api=1&amp;query=Ju%C3%A1rez+Industria+Metal%C3%BArgica+S.A.%2C+Ricardo+G%C3%BCiraldes+709%2C+La+Francia%2C+C%C3%B3rdoba</x:v>
      </x:c>
    </x:row>
    <x:row r="8">
      <x:c r="A8" s="12" t="str">
        <x:v>SF-090</x:v>
      </x:c>
      <x:c r="B8" s="12" t="str">
        <x:v>La Francia</x:v>
      </x:c>
      <x:c r="C8" s="12" t="str">
        <x:v>A+</x:v>
      </x:c>
      <x:c r="D8" s="12" t="n">
        <x:v>98</x:v>
      </x:c>
      <x:c r="E8" s="12" t="str">
        <x:v>SECMAN</x:v>
      </x:c>
      <x:c r="F8" s="12" t="str">
        <x:v>Fábrica de máquinas agrícolas</x:v>
      </x:c>
      <x:c r="G8" s="12" t="str">
        <x:v>03564 591382 / 3564 470251</x:v>
      </x:c>
      <x:c r="H8" s="12" t="str">
        <x:v>Güiraldes 873, La Francia, Córdoba</x:v>
      </x:c>
      <x:c r="I8" s="12" t="str">
        <x:v>ventas / producción / expedición</x:v>
      </x:c>
      <x:c r="J8" s="12" t="str">
        <x:v>Contactar operaciones/logística y relevar necesidad real.</x:v>
      </x:c>
      <x:c r="K8" s="12" t="str">
        <x:v>Web oficial</x:v>
      </x:c>
      <x:c r="L8" s="12" t="str">
        <x:v>https://www.google.com/maps/search/?api=1&amp;query=SECMAN%2C+G%C3%BCiraldes+873%2C+La+Francia%2C+C%C3%B3rdoba</x:v>
      </x:c>
    </x:row>
    <x:row r="9">
      <x:c r="A9" s="12" t="str">
        <x:v>SF-091</x:v>
      </x:c>
      <x:c r="B9" s="12" t="str">
        <x:v>La Francia</x:v>
      </x:c>
      <x:c r="C9" s="12" t="str">
        <x:v>A</x:v>
      </x:c>
      <x:c r="D9" s="12" t="n">
        <x:v>90</x:v>
      </x:c>
      <x:c r="E9" s="12" t="str">
        <x:v>SC Agropartes</x:v>
      </x:c>
      <x:c r="F9" s="12" t="str">
        <x:v>Fábrica de agropartes</x:v>
      </x:c>
      <x:c r="G9" s="12" t="str">
        <x:v>03564 471526 / 471800</x:v>
      </x:c>
      <x:c r="H9" s="12" t="str">
        <x:v>San Juan 272, La Francia, Córdoba</x:v>
      </x:c>
      <x:c r="I9" s="12" t="str">
        <x:v>producción / expedición / logística</x:v>
      </x:c>
      <x:c r="J9" s="12" t="str">
        <x:v>Contactar operaciones/logística y relevar necesidad real.</x:v>
      </x:c>
      <x:c r="K9" s="12" t="str">
        <x:v>Web oficial</x:v>
      </x:c>
      <x:c r="L9" s="12" t="str">
        <x:v>https://www.google.com/maps/search/?api=1&amp;query=SC+Agropartes%2C+San+Juan+272%2C+La+Francia%2C+C%C3%B3rdoba</x:v>
      </x:c>
    </x:row>
    <x:row r="10">
      <x:c r="A10" s="12" t="str">
        <x:v>SF-092</x:v>
      </x:c>
      <x:c r="B10" s="12" t="str">
        <x:v>La Francia</x:v>
      </x:c>
      <x:c r="C10" s="12" t="str">
        <x:v>A</x:v>
      </x:c>
      <x:c r="D10" s="12" t="n">
        <x:v>88</x:v>
      </x:c>
      <x:c r="E10" s="12" t="str">
        <x:v>Manescotto Metalmecánica</x:v>
      </x:c>
      <x:c r="F10" s="12" t="str">
        <x:v>Cintas transportadoras / chimangos / metalmecánica</x:v>
      </x:c>
      <x:c r="G10" s="12" t="str">
        <x:v>03564 365463</x:v>
      </x:c>
      <x:c r="H10" s="12" t="str">
        <x:v>Dr. Aldo S. Carignano 105, La Francia, Córdoba</x:v>
      </x:c>
      <x:c r="I10" s="12" t="str">
        <x:v>producción / expedición / ventas</x:v>
      </x:c>
      <x:c r="J10" s="12" t="str">
        <x:v>Contactar operaciones/logística y relevar necesidad real.</x:v>
      </x:c>
      <x:c r="K10" s="12" t="str">
        <x:v>Web oficial</x:v>
      </x:c>
      <x:c r="L10" s="12" t="str">
        <x:v>https://www.google.com/maps/search/?api=1&amp;query=Manescotto+Metalmec%C3%A1nica%2C+Dr.+Aldo+S.+Carignano+105%2C+La+Francia%2C+C%C3%B3rdoba</x:v>
      </x:c>
    </x:row>
    <x:row r="11">
      <x:c r="A11" s="12" t="str">
        <x:v>SF-093</x:v>
      </x:c>
      <x:c r="B11" s="12" t="str">
        <x:v>La Francia</x:v>
      </x:c>
      <x:c r="C11" s="12" t="str">
        <x:v>A</x:v>
      </x:c>
      <x:c r="D11" s="12" t="n">
        <x:v>78</x:v>
      </x:c>
      <x:c r="E11" s="12" t="str">
        <x:v>Metalúrgica La Francia</x:v>
      </x:c>
      <x:c r="F11" s="12" t="str">
        <x:v>Metalúrgica</x:v>
      </x:c>
      <x:c r="G11" s="12" t="str">
        <x:v>+54 9 3564 660470</x:v>
      </x:c>
      <x:c r="H11" s="12" t="str">
        <x:v>25 de Mayo 829, La Francia, Córdoba</x:v>
      </x:c>
      <x:c r="I11" s="12" t="str">
        <x:v>producción / expedición</x:v>
      </x:c>
      <x:c r="J11" s="12" t="str">
        <x:v>Pedir producción/expedición/mantenimiento y relevar piezas máximas/destinos.</x:v>
      </x:c>
      <x:c r="K11" s="12" t="str">
        <x:v>Google Business</x:v>
      </x:c>
      <x:c r="L11" s="12" t="str">
        <x:v>https://www.google.com/maps/search/?api=1&amp;query=Metal%C3%BArgica+La+Francia%2C+25+de+Mayo+829%2C+La+Francia%2C+C%C3%B3rdoba</x:v>
      </x:c>
    </x:row>
    <x:row r="12">
      <x:c r="A12" s="12" t="str">
        <x:v>SF-094</x:v>
      </x:c>
      <x:c r="B12" s="12" t="str">
        <x:v>Devoto</x:v>
      </x:c>
      <x:c r="C12" s="12" t="str">
        <x:v>A</x:v>
      </x:c>
      <x:c r="D12" s="12" t="n">
        <x:v>76</x:v>
      </x:c>
      <x:c r="E12" s="12" t="str">
        <x:v>Transporte Gaido</x:v>
      </x:c>
      <x:c r="F12" s="12" t="str">
        <x:v>Transporte / logística</x:v>
      </x:c>
      <x:c r="G12" s="12" t="str">
        <x:v>03564 481367</x:v>
      </x:c>
      <x:c r="H12" s="12" t="str">
        <x:v>Córdoba 180, Devoto, Córdoba</x:v>
      </x:c>
      <x:c r="I12" s="12" t="str">
        <x:v>tráfico / operaciones</x:v>
      </x:c>
      <x:c r="J12" s="12" t="str">
        <x:v>Pedir tráfico/operaciones y ofrecer acuerdo de derivaciones.</x:v>
      </x:c>
      <x:c r="K12" s="12" t="str">
        <x:v>Google Business</x:v>
      </x:c>
      <x:c r="L12" s="12" t="str">
        <x:v>https://www.google.com/maps/search/?api=1&amp;query=Transporte+Gaido%2C+C%C3%B3rdoba+180%2C+Devoto%2C+C%C3%B3rdoba</x:v>
      </x:c>
    </x:row>
    <x:row r="13">
      <x:c r="A13" s="12" t="str">
        <x:v>SF-095</x:v>
      </x:c>
      <x:c r="B13" s="12" t="str">
        <x:v>Devoto</x:v>
      </x:c>
      <x:c r="C13" s="12" t="str">
        <x:v>B</x:v>
      </x:c>
      <x:c r="D13" s="12" t="n">
        <x:v>68</x:v>
      </x:c>
      <x:c r="E13" s="12" t="str">
        <x:v>Metal Peye</x:v>
      </x:c>
      <x:c r="F13" s="12" t="str">
        <x:v>Metalúrgica</x:v>
      </x:c>
      <x:c r="G13" s="12" t="str">
        <x:v>03564 330306</x:v>
      </x:c>
      <x:c r="H13" s="12" t="str">
        <x:v>Devoto, Córdoba</x:v>
      </x:c>
      <x:c r="I13" s="12" t="str">
        <x:v>producción / logística</x:v>
      </x:c>
      <x:c r="J13" s="12" t="str">
        <x:v>Pedir producción/expedición/mantenimiento y relevar piezas máximas/destinos.</x:v>
      </x:c>
      <x:c r="K13" s="12" t="str">
        <x:v>Google Business</x:v>
      </x:c>
      <x:c r="L13" s="12" t="str">
        <x:v>https://www.google.com/maps/search/?api=1&amp;query=Metal+Peye%2C+Devoto%2C+C%C3%B3rdoba</x:v>
      </x:c>
    </x:row>
    <x:row r="14">
      <x:c r="A14" s="12" t="str">
        <x:v>SF-096</x:v>
      </x:c>
      <x:c r="B14" s="12" t="str">
        <x:v>Devoto</x:v>
      </x:c>
      <x:c r="C14" s="12" t="str">
        <x:v>B</x:v>
      </x:c>
      <x:c r="D14" s="12" t="n">
        <x:v>68</x:v>
      </x:c>
      <x:c r="E14" s="12" t="str">
        <x:v>Roggio - Devoto</x:v>
      </x:c>
      <x:c r="F14" s="12" t="str">
        <x:v>Empresa constructora</x:v>
      </x:c>
      <x:c r="G14" s="12" t="str">
        <x:v>A verificar</x:v>
      </x:c>
      <x:c r="H14" s="12" t="str">
        <x:v>Devoto, Córdoba</x:v>
      </x:c>
      <x:c r="I14" s="12" t="str">
        <x:v>obras / equipos / logística</x:v>
      </x:c>
      <x:c r="J14" s="12" t="str">
        <x:v>Pedir obras/equipos/logística; relevar maquinaria propia y frecuencia.</x:v>
      </x:c>
      <x:c r="K14" s="12" t="str">
        <x:v>Google Business</x:v>
      </x:c>
      <x:c r="L14" s="12" t="str">
        <x:v>https://www.google.com/maps/search/?api=1&amp;query=Roggio+-+Devoto%2C+Devoto%2C+C%C3%B3rdoba</x:v>
      </x:c>
    </x:row>
    <x:row r="15">
      <x:c r="A15" s="12" t="str">
        <x:v>SF-097</x:v>
      </x:c>
      <x:c r="B15" s="12" t="str">
        <x:v>Devoto</x:v>
      </x:c>
      <x:c r="C15" s="12" t="str">
        <x:v>B</x:v>
      </x:c>
      <x:c r="D15" s="12" t="n">
        <x:v>68</x:v>
      </x:c>
      <x:c r="E15" s="12" t="str">
        <x:v>Transporte Junio 21 S.R.L.</x:v>
      </x:c>
      <x:c r="F15" s="12" t="str">
        <x:v>Transporte / logística</x:v>
      </x:c>
      <x:c r="G15" s="12" t="str">
        <x:v>A verificar</x:v>
      </x:c>
      <x:c r="H15" s="12" t="str">
        <x:v>Bv. 9 de Julio 562, Devoto, Córdoba</x:v>
      </x:c>
      <x:c r="I15" s="12" t="str">
        <x:v>tráfico / operaciones</x:v>
      </x:c>
      <x:c r="J15" s="12" t="str">
        <x:v>Pedir tráfico/operaciones y ofrecer acuerdo de derivaciones.</x:v>
      </x:c>
      <x:c r="K15" s="12" t="str">
        <x:v>Google Business</x:v>
      </x:c>
      <x:c r="L15" s="12" t="str">
        <x:v>https://www.google.com/maps/search/?api=1&amp;query=Transporte+Junio+21+S.R.L.%2C+Bv.+9+de+Julio+562%2C+Devoto%2C+C%C3%B3rdoba</x:v>
      </x:c>
    </x:row>
    <x:row r="16">
      <x:c r="A16" s="12" t="str">
        <x:v>SF-098</x:v>
      </x:c>
      <x:c r="B16" s="12" t="str">
        <x:v>Devoto</x:v>
      </x:c>
      <x:c r="C16" s="12" t="str">
        <x:v>B</x:v>
      </x:c>
      <x:c r="D16" s="12" t="n">
        <x:v>58</x:v>
      </x:c>
      <x:c r="E16" s="12" t="str">
        <x:v>Heladeras Honeker</x:v>
      </x:c>
      <x:c r="F16" s="12" t="str">
        <x:v>Fábrica industrial</x:v>
      </x:c>
      <x:c r="G16" s="12" t="str">
        <x:v>A verificar</x:v>
      </x:c>
      <x:c r="H16" s="12" t="str">
        <x:v>Brasil 1130, Devoto, Córdoba</x:v>
      </x:c>
      <x:c r="I16" s="12" t="str">
        <x:v>producción / logística</x:v>
      </x:c>
      <x:c r="J16" s="12" t="str">
        <x:v>Contactar operaciones/logística y relevar necesidad real.</x:v>
      </x:c>
      <x:c r="K16" s="12" t="str">
        <x:v>Google Business</x:v>
      </x:c>
      <x:c r="L16" s="12" t="str">
        <x:v>https://www.google.com/maps/search/?api=1&amp;query=Heladeras+Honeker%2C+Brasil+1130%2C+Devoto%2C+C%C3%B3rdoba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a02de08a3edf439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" hidden="0" customWidth="1"/>
    <x:col min="3" max="3" width="35" hidden="0" customWidth="1"/>
    <x:col min="4" max="4" width="20" hidden="0" customWidth="1"/>
    <x:col min="5" max="5" width="24" hidden="0" customWidth="1"/>
    <x:col min="6" max="6" width="35" hidden="0" customWidth="1"/>
    <x:col min="7" max="7" width="28" hidden="0" customWidth="1"/>
    <x:col min="8" max="8" width="46" hidden="0" customWidth="1"/>
    <x:col min="9" max="9" width="28" hidden="0" customWidth="1"/>
    <x:col min="10" max="10" width="52" hidden="0" customWidth="1"/>
  </x:cols>
  <x:sheetData>
    <x:row r="1">
      <x:c r="A1" s="6" t="str">
        <x:v>ID</x:v>
      </x:c>
      <x:c r="B1" s="6" t="str">
        <x:v>Clase</x:v>
      </x:c>
      <x:c r="C1" s="6" t="str">
        <x:v>Empresa</x:v>
      </x:c>
      <x:c r="D1" s="6" t="str">
        <x:v>Localidad</x:v>
      </x:c>
      <x:c r="E1" s="6" t="str">
        <x:v>Teléfono</x:v>
      </x:c>
      <x:c r="F1" s="6" t="str">
        <x:v>Estado</x:v>
      </x:c>
      <x:c r="G1" s="6" t="str">
        <x:v>Preguntar por</x:v>
      </x:c>
      <x:c r="H1" s="6" t="str">
        <x:v>Dirección</x:v>
      </x:c>
      <x:c r="I1" s="6" t="str">
        <x:v>Fuente</x:v>
      </x:c>
      <x:c r="J1" s="6" t="str">
        <x:v>URL</x:v>
      </x:c>
    </x:row>
    <x:row r="2">
      <x:c r="A2" s="12" t="str">
        <x:v>SF-016</x:v>
      </x:c>
      <x:c r="B2" s="12" t="str">
        <x:v>A</x:v>
      </x:c>
      <x:c r="C2" s="12" t="str">
        <x:v>Cilindros Hidráulicos Delfabro S.R.L.</x:v>
      </x:c>
      <x:c r="D2" s="12" t="str">
        <x:v>San Francisco</x:v>
      </x:c>
      <x:c r="E2" s="12" t="str">
        <x:v>A verificar</x:v>
      </x:c>
      <x:c r="F2" s="12" t="str">
        <x:v>Operativo / verificar antes de visita</x:v>
      </x:c>
      <x:c r="G2" s="12" t="str">
        <x:v>producción / expedición / hidráulica</x:v>
      </x:c>
      <x:c r="H2" s="12" t="str">
        <x:v>San Francisco, Córdoba</x:v>
      </x:c>
      <x:c r="I2" s="12" t="str">
        <x:v>Indicadores AR</x:v>
      </x:c>
      <x:c r="J2" s="12" t="str">
        <x:v>https://indicadores.ar/empresas/sector/fabricacion-de-maquinaria-y-equipo-de-uso-agropecuario-y-forestal/cordoba/san-francisco</x:v>
      </x:c>
    </x:row>
    <x:row r="3">
      <x:c r="A3" s="12" t="str">
        <x:v>SF-020</x:v>
      </x:c>
      <x:c r="B3" s="12" t="str">
        <x:v>A</x:v>
      </x:c>
      <x:c r="C3" s="12" t="str">
        <x:v>FRAGA S.R.L.</x:v>
      </x:c>
      <x:c r="D3" s="12" t="str">
        <x:v>San Francisco</x:v>
      </x:c>
      <x:c r="E3" s="12" t="str">
        <x:v>A verificar</x:v>
      </x:c>
      <x:c r="F3" s="12" t="str">
        <x:v>Operativo / verificar antes de visita</x:v>
      </x:c>
      <x:c r="G3" s="12" t="str">
        <x:v>producción / expedición / ventas</x:v>
      </x:c>
      <x:c r="H3" s="12" t="str">
        <x:v>San Francisco, Córdoba</x:v>
      </x:c>
      <x:c r="I3" s="12" t="str">
        <x:v>Indicadores AR</x:v>
      </x:c>
      <x:c r="J3" s="12" t="str">
        <x:v>https://indicadores.ar/empresas/sector/fabricacion-de-maquinaria-y-equipo-de-uso-agropecuario-y-forestal/cordoba/san-francisco</x:v>
      </x:c>
    </x:row>
    <x:row r="4">
      <x:c r="A4" s="12" t="str">
        <x:v>SF-021</x:v>
      </x:c>
      <x:c r="B4" s="12" t="str">
        <x:v>A</x:v>
      </x:c>
      <x:c r="C4" s="12" t="str">
        <x:v>Francione y Cía S.R.L.</x:v>
      </x:c>
      <x:c r="D4" s="12" t="str">
        <x:v>San Francisco</x:v>
      </x:c>
      <x:c r="E4" s="12" t="str">
        <x:v>A verificar</x:v>
      </x:c>
      <x:c r="F4" s="12" t="str">
        <x:v>Operativo / verificar antes de visita</x:v>
      </x:c>
      <x:c r="G4" s="12" t="str">
        <x:v>producción / expedición / ventas</x:v>
      </x:c>
      <x:c r="H4" s="12" t="str">
        <x:v>San Francisco, Córdoba</x:v>
      </x:c>
      <x:c r="I4" s="12" t="str">
        <x:v>Indicadores AR</x:v>
      </x:c>
      <x:c r="J4" s="12" t="str">
        <x:v>https://indicadores.ar/empresas/sector/fabricacion-de-maquinaria-y-equipo-de-uso-agropecuario-y-forestal/cordoba/san-francisco</x:v>
      </x:c>
    </x:row>
    <x:row r="5">
      <x:c r="A5" s="12" t="str">
        <x:v>SF-022</x:v>
      </x:c>
      <x:c r="B5" s="12" t="str">
        <x:v>A</x:v>
      </x:c>
      <x:c r="C5" s="12" t="str">
        <x:v>Miretti y Cía S.A.I.C.I.A.F.</x:v>
      </x:c>
      <x:c r="D5" s="12" t="str">
        <x:v>San Francisco</x:v>
      </x:c>
      <x:c r="E5" s="12" t="str">
        <x:v>A verificar</x:v>
      </x:c>
      <x:c r="F5" s="12" t="str">
        <x:v>Operativo / verificar antes de visita</x:v>
      </x:c>
      <x:c r="G5" s="12" t="str">
        <x:v>producción / expedición / ventas</x:v>
      </x:c>
      <x:c r="H5" s="12" t="str">
        <x:v>San Francisco, Córdoba</x:v>
      </x:c>
      <x:c r="I5" s="12" t="str">
        <x:v>Indicadores AR</x:v>
      </x:c>
      <x:c r="J5" s="12" t="str">
        <x:v>https://indicadores.ar/empresas/sector/fabricacion-de-maquinaria-y-equipo-de-uso-agropecuario-y-forestal/cordoba/san-francisco</x:v>
      </x:c>
    </x:row>
    <x:row r="6">
      <x:c r="A6" s="12" t="str">
        <x:v>SF-024</x:v>
      </x:c>
      <x:c r="B6" s="12" t="str">
        <x:v>A</x:v>
      </x:c>
      <x:c r="C6" s="12" t="str">
        <x:v>Computrol S.R.L.</x:v>
      </x:c>
      <x:c r="D6" s="12" t="str">
        <x:v>San Francisco</x:v>
      </x:c>
      <x:c r="E6" s="12" t="str">
        <x:v>A verificar</x:v>
      </x:c>
      <x:c r="F6" s="12" t="str">
        <x:v>Operativo / verificar antes de visita</x:v>
      </x:c>
      <x:c r="G6" s="12" t="str">
        <x:v>producción / logística / proyectos</x:v>
      </x:c>
      <x:c r="H6" s="12" t="str">
        <x:v>Parque Industrial San Francisco, San Francisco, Córdoba</x:v>
      </x:c>
      <x:c r="I6" s="12" t="str">
        <x:v>AFAMAC</x:v>
      </x:c>
      <x:c r="J6" s="12" t="str">
        <x:v>https://afamac.com.ar/catalogo/asociados-afamac/computrol/</x:v>
      </x:c>
    </x:row>
    <x:row r="7">
      <x:c r="A7" s="12" t="str">
        <x:v>SF-026</x:v>
      </x:c>
      <x:c r="B7" s="12" t="str">
        <x:v>A</x:v>
      </x:c>
      <x:c r="C7" s="12" t="str">
        <x:v>Industria DAGA S.A.</x:v>
      </x:c>
      <x:c r="D7" s="12" t="str">
        <x:v>San Francisco</x:v>
      </x:c>
      <x:c r="E7" s="12" t="str">
        <x:v>A verificar</x:v>
      </x:c>
      <x:c r="F7" s="12" t="str">
        <x:v>Operativo / verificar antes de visita</x:v>
      </x:c>
      <x:c r="G7" s="12" t="str">
        <x:v>producción / expedición / logística</x:v>
      </x:c>
      <x:c r="H7" s="12" t="str">
        <x:v>San Francisco, Córdoba</x:v>
      </x:c>
      <x:c r="I7" s="12" t="str">
        <x:v>Dateas / Indicadores AR</x:v>
      </x:c>
      <x:c r="J7" s="12" t="str">
        <x:v>https://www.dateas.com/es/empresa/industria-daga-sa-30716714817</x:v>
      </x:c>
    </x:row>
    <x:row r="8">
      <x:c r="A8" s="12" t="str">
        <x:v>SF-030</x:v>
      </x:c>
      <x:c r="B8" s="12" t="str">
        <x:v>A</x:v>
      </x:c>
      <x:c r="C8" s="12" t="str">
        <x:v>EDG S.R.L.</x:v>
      </x:c>
      <x:c r="D8" s="12" t="str">
        <x:v>San Francisco</x:v>
      </x:c>
      <x:c r="E8" s="12" t="str">
        <x:v>A verificar</x:v>
      </x:c>
      <x:c r="F8" s="12" t="str">
        <x:v>Operativo / verificar antes de visita</x:v>
      </x:c>
      <x:c r="G8" s="12" t="str">
        <x:v>producción / expedición</x:v>
      </x:c>
      <x:c r="H8" s="12" t="str">
        <x:v>San Francisco, Córdoba</x:v>
      </x:c>
      <x:c r="I8" s="12" t="str">
        <x:v>Indicadores AR</x:v>
      </x:c>
      <x:c r="J8" s="12" t="str">
        <x:v>https://indicadores.ar/empresas/sector/fabricacion-de-maquinaria-y-equipo-de-uso-agropecuario-y-forestal/cordoba/san-francisco</x:v>
      </x:c>
    </x:row>
    <x:row r="9">
      <x:c r="A9" s="12" t="str">
        <x:v>SF-031</x:v>
      </x:c>
      <x:c r="B9" s="12" t="str">
        <x:v>A</x:v>
      </x:c>
      <x:c r="C9" s="12" t="str">
        <x:v>Hidrar S.R.L.</x:v>
      </x:c>
      <x:c r="D9" s="12" t="str">
        <x:v>San Francisco</x:v>
      </x:c>
      <x:c r="E9" s="12" t="str">
        <x:v>A verificar</x:v>
      </x:c>
      <x:c r="F9" s="12" t="str">
        <x:v>Operativo / verificar antes de visita</x:v>
      </x:c>
      <x:c r="G9" s="12" t="str">
        <x:v>producción / service / logística</x:v>
      </x:c>
      <x:c r="H9" s="12" t="str">
        <x:v>Parque Industrial San Francisco, San Francisco, Córdoba</x:v>
      </x:c>
      <x:c r="I9" s="12" t="str">
        <x:v>Parque Industrial oficial</x:v>
      </x:c>
      <x:c r="J9" s="12" t="str">
        <x:v>https://www.parqueindustrialsanfrancisco.com/</x:v>
      </x:c>
    </x:row>
    <x:row r="10">
      <x:c r="A10" s="12" t="str">
        <x:v>SF-032</x:v>
      </x:c>
      <x:c r="B10" s="12" t="str">
        <x:v>A</x:v>
      </x:c>
      <x:c r="C10" s="12" t="str">
        <x:v>Industrias Lear de Argentina S.R.L.</x:v>
      </x:c>
      <x:c r="D10" s="12" t="str">
        <x:v>San Francisco</x:v>
      </x:c>
      <x:c r="E10" s="12" t="str">
        <x:v>A verificar</x:v>
      </x:c>
      <x:c r="F10" s="12" t="str">
        <x:v>Operativo / verificar antes de visita</x:v>
      </x:c>
      <x:c r="G10" s="12" t="str">
        <x:v>producción / logística / expedición</x:v>
      </x:c>
      <x:c r="H10" s="12" t="str">
        <x:v>Parque Industrial San Francisco, San Francisco, Córdoba</x:v>
      </x:c>
      <x:c r="I10" s="12" t="str">
        <x:v>Directorio Parque Industrial</x:v>
      </x:c>
      <x:c r="J10" s="12" t="str">
        <x:v>https://empresas.parqueindustrialsanfrancisco.com/directorio/empresas/automotor/autopartes/</x:v>
      </x:c>
    </x:row>
    <x:row r="11">
      <x:c r="A11" s="12" t="str">
        <x:v>SF-034</x:v>
      </x:c>
      <x:c r="B11" s="12" t="str">
        <x:v>A</x:v>
      </x:c>
      <x:c r="C11" s="12" t="str">
        <x:v>Talleres Inco S.A.</x:v>
      </x:c>
      <x:c r="D11" s="12" t="str">
        <x:v>San Francisco</x:v>
      </x:c>
      <x:c r="E11" s="12" t="str">
        <x:v>A verificar</x:v>
      </x:c>
      <x:c r="F11" s="12" t="str">
        <x:v>Operativo / verificar antes de visita</x:v>
      </x:c>
      <x:c r="G11" s="12" t="str">
        <x:v>producción / expedición / mantenimiento</x:v>
      </x:c>
      <x:c r="H11" s="12" t="str">
        <x:v>Parque Industrial San Francisco, San Francisco, Córdoba</x:v>
      </x:c>
      <x:c r="I11" s="12" t="str">
        <x:v>Directorio Parque Industrial</x:v>
      </x:c>
      <x:c r="J11" s="12" t="str">
        <x:v>https://www.empresas.parqueindustrialsanfrancisco.com/directorio/empresas/metalurgica-fundicion-y-trabajo-del-metal/metalurgica/</x:v>
      </x:c>
    </x:row>
    <x:row r="12">
      <x:c r="A12" s="12" t="str">
        <x:v>SF-036</x:v>
      </x:c>
      <x:c r="B12" s="12" t="str">
        <x:v>A</x:v>
      </x:c>
      <x:c r="C12" s="12" t="str">
        <x:v>Autopartes MPV S.R.L.</x:v>
      </x:c>
      <x:c r="D12" s="12" t="str">
        <x:v>San Francisco</x:v>
      </x:c>
      <x:c r="E12" s="12" t="str">
        <x:v>A verificar</x:v>
      </x:c>
      <x:c r="F12" s="12" t="str">
        <x:v>Operativo / verificar antes de visita</x:v>
      </x:c>
      <x:c r="G12" s="12" t="str">
        <x:v>producción / expedición / mantenimiento</x:v>
      </x:c>
      <x:c r="H12" s="12" t="str">
        <x:v>Parque Industrial San Francisco, San Francisco, Córdoba</x:v>
      </x:c>
      <x:c r="I12" s="12" t="str">
        <x:v>Directorio Parque Industrial</x:v>
      </x:c>
      <x:c r="J12" s="12" t="str">
        <x:v>https://www.empresas.parqueindustrialsanfrancisco.com/directorio/empresas/metalurgica-fundicion-y-trabajo-del-metal/metalurgica/</x:v>
      </x:c>
    </x:row>
    <x:row r="13">
      <x:c r="A13" s="12" t="str">
        <x:v>SF-037</x:v>
      </x:c>
      <x:c r="B13" s="12" t="str">
        <x:v>A</x:v>
      </x:c>
      <x:c r="C13" s="12" t="str">
        <x:v>Expreso Brío S.R.L.</x:v>
      </x:c>
      <x:c r="D13" s="12" t="str">
        <x:v>San Francisco</x:v>
      </x:c>
      <x:c r="E13" s="12" t="str">
        <x:v>A verificar</x:v>
      </x:c>
      <x:c r="F13" s="12" t="str">
        <x:v>Operativo / verificar antes de visita</x:v>
      </x:c>
      <x:c r="G13" s="12" t="str">
        <x:v>tráfico / operaciones</x:v>
      </x:c>
      <x:c r="H13" s="12" t="str">
        <x:v>Parque Industrial San Francisco, San Francisco, Córdoba</x:v>
      </x:c>
      <x:c r="I13" s="12" t="str">
        <x:v>Parque Industrial oficial</x:v>
      </x:c>
      <x:c r="J13" s="12" t="str">
        <x:v>https://empresas.parqueindustrialsanfrancisco.com/directorio/empresas/logistica/transporte-de-cargas-y-encomiendas/</x:v>
      </x:c>
    </x:row>
    <x:row r="14">
      <x:c r="A14" s="12" t="str">
        <x:v>SF-040</x:v>
      </x:c>
      <x:c r="B14" s="12" t="str">
        <x:v>A</x:v>
      </x:c>
      <x:c r="C14" s="12" t="str">
        <x:v>M y R Mecanizado y Forjado SAS</x:v>
      </x:c>
      <x:c r="D14" s="12" t="str">
        <x:v>San Francisco</x:v>
      </x:c>
      <x:c r="E14" s="12" t="str">
        <x:v>A verificar</x:v>
      </x:c>
      <x:c r="F14" s="12" t="str">
        <x:v>Operativo / verificar antes de visita</x:v>
      </x:c>
      <x:c r="G14" s="12" t="str">
        <x:v>producción / expedición / mantenimiento</x:v>
      </x:c>
      <x:c r="H14" s="12" t="str">
        <x:v>Parque Industrial San Francisco, San Francisco, Córdoba</x:v>
      </x:c>
      <x:c r="I14" s="12" t="str">
        <x:v>Directorio Parque Industrial</x:v>
      </x:c>
      <x:c r="J14" s="12" t="str">
        <x:v>https://www.empresas.parqueindustrialsanfrancisco.com/directorio/empresas/metalurgica-fundicion-y-trabajo-del-metal/metalurgica/</x:v>
      </x:c>
    </x:row>
    <x:row r="15">
      <x:c r="A15" s="12" t="str">
        <x:v>SF-041</x:v>
      </x:c>
      <x:c r="B15" s="12" t="str">
        <x:v>A</x:v>
      </x:c>
      <x:c r="C15" s="12" t="str">
        <x:v>METALJIMSA S.A.</x:v>
      </x:c>
      <x:c r="D15" s="12" t="str">
        <x:v>San Francisco</x:v>
      </x:c>
      <x:c r="E15" s="12" t="str">
        <x:v>A verificar</x:v>
      </x:c>
      <x:c r="F15" s="12" t="str">
        <x:v>Operativo / verificar antes de visita</x:v>
      </x:c>
      <x:c r="G15" s="12" t="str">
        <x:v>producción / expedición</x:v>
      </x:c>
      <x:c r="H15" s="12" t="str">
        <x:v>San Francisco, Córdoba</x:v>
      </x:c>
      <x:c r="I15" s="12" t="str">
        <x:v>Indicadores AR</x:v>
      </x:c>
      <x:c r="J15" s="12" t="str">
        <x:v>https://indicadores.ar/empresas/sector/fabricacion-de-maquinaria-y-equipo-de-uso-agropecuario-y-forestal/cordoba/san-francisco</x:v>
      </x:c>
    </x:row>
    <x:row r="16">
      <x:c r="A16" s="12" t="str">
        <x:v>SF-043</x:v>
      </x:c>
      <x:c r="B16" s="12" t="str">
        <x:v>A</x:v>
      </x:c>
      <x:c r="C16" s="12" t="str">
        <x:v>Trater Aranda SAS</x:v>
      </x:c>
      <x:c r="D16" s="12" t="str">
        <x:v>San Francisco</x:v>
      </x:c>
      <x:c r="E16" s="12" t="str">
        <x:v>A verificar</x:v>
      </x:c>
      <x:c r="F16" s="12" t="str">
        <x:v>Operativo / verificar antes de visita</x:v>
      </x:c>
      <x:c r="G16" s="12" t="str">
        <x:v>producción / expedición / mantenimiento</x:v>
      </x:c>
      <x:c r="H16" s="12" t="str">
        <x:v>Parque Industrial San Francisco, San Francisco, Córdoba</x:v>
      </x:c>
      <x:c r="I16" s="12" t="str">
        <x:v>Directorio Parque Industrial</x:v>
      </x:c>
      <x:c r="J16" s="12" t="str">
        <x:v>https://www.empresas.parqueindustrialsanfrancisco.com/directorio/empresas/metalurgica-fundicion-y-trabajo-del-metal/metalurgica/</x:v>
      </x:c>
    </x:row>
    <x:row r="17">
      <x:c r="A17" s="12" t="str">
        <x:v>SF-044</x:v>
      </x:c>
      <x:c r="B17" s="12" t="str">
        <x:v>A</x:v>
      </x:c>
      <x:c r="C17" s="12" t="str">
        <x:v>Cesca S.A.</x:v>
      </x:c>
      <x:c r="D17" s="12" t="str">
        <x:v>San Francisco</x:v>
      </x:c>
      <x:c r="E17" s="12" t="str">
        <x:v>A verificar</x:v>
      </x:c>
      <x:c r="F17" s="12" t="str">
        <x:v>Operativo / verificar antes de visita</x:v>
      </x:c>
      <x:c r="G17" s="12" t="str">
        <x:v>producción / expedición / mantenimiento</x:v>
      </x:c>
      <x:c r="H17" s="12" t="str">
        <x:v>Parque Industrial San Francisco, San Francisco, Córdoba</x:v>
      </x:c>
      <x:c r="I17" s="12" t="str">
        <x:v>Directorio Parque Industrial</x:v>
      </x:c>
      <x:c r="J17" s="12" t="str">
        <x:v>https://www.empresas.parqueindustrialsanfrancisco.com/directorio/empresas/metalurgica-fundicion-y-trabajo-del-metal/metalurgica/</x:v>
      </x:c>
    </x:row>
    <x:row r="18">
      <x:c r="A18" s="12" t="str">
        <x:v>SF-046</x:v>
      </x:c>
      <x:c r="B18" s="12" t="str">
        <x:v>A</x:v>
      </x:c>
      <x:c r="C18" s="12" t="str">
        <x:v>Delbre S.R.L.</x:v>
      </x:c>
      <x:c r="D18" s="12" t="str">
        <x:v>San Francisco</x:v>
      </x:c>
      <x:c r="E18" s="12" t="str">
        <x:v>A verificar</x:v>
      </x:c>
      <x:c r="F18" s="12" t="str">
        <x:v>Operativo / verificar antes de visita</x:v>
      </x:c>
      <x:c r="G18" s="12" t="str">
        <x:v>producción / expedición / mantenimiento</x:v>
      </x:c>
      <x:c r="H18" s="12" t="str">
        <x:v>Parque Industrial San Francisco, San Francisco, Córdoba</x:v>
      </x:c>
      <x:c r="I18" s="12" t="str">
        <x:v>Directorio Parque Industrial</x:v>
      </x:c>
      <x:c r="J18" s="12" t="str">
        <x:v>https://www.empresas.parqueindustrialsanfrancisco.com/directorio/empresas/metalurgica-fundicion-y-trabajo-del-metal/metalurgica/</x:v>
      </x:c>
    </x:row>
    <x:row r="19">
      <x:c r="A19" s="12" t="str">
        <x:v>SF-048</x:v>
      </x:c>
      <x:c r="B19" s="12" t="str">
        <x:v>A</x:v>
      </x:c>
      <x:c r="C19" s="12" t="str">
        <x:v>Lumetal S.R.L.</x:v>
      </x:c>
      <x:c r="D19" s="12" t="str">
        <x:v>San Francisco</x:v>
      </x:c>
      <x:c r="E19" s="12" t="str">
        <x:v>A verificar</x:v>
      </x:c>
      <x:c r="F19" s="12" t="str">
        <x:v>Operativo / verificar antes de visita</x:v>
      </x:c>
      <x:c r="G19" s="12" t="str">
        <x:v>producción / expedición / mantenimiento</x:v>
      </x:c>
      <x:c r="H19" s="12" t="str">
        <x:v>Parque Industrial San Francisco, San Francisco, Córdoba</x:v>
      </x:c>
      <x:c r="I19" s="12" t="str">
        <x:v>Directorio Parque Industrial</x:v>
      </x:c>
      <x:c r="J19" s="12" t="str">
        <x:v>https://www.empresas.parqueindustrialsanfrancisco.com/directorio/empresas/metalurgica-fundicion-y-trabajo-del-metal/metalurgica/</x:v>
      </x:c>
    </x:row>
    <x:row r="20">
      <x:c r="A20" s="12" t="str">
        <x:v>SF-051</x:v>
      </x:c>
      <x:c r="B20" s="12" t="str">
        <x:v>A</x:v>
      </x:c>
      <x:c r="C20" s="12" t="str">
        <x:v>Metalúrgica Fema S.R.L.</x:v>
      </x:c>
      <x:c r="D20" s="12" t="str">
        <x:v>San Francisco</x:v>
      </x:c>
      <x:c r="E20" s="12" t="str">
        <x:v>A verificar</x:v>
      </x:c>
      <x:c r="F20" s="12" t="str">
        <x:v>Operativo / verificar antes de visita</x:v>
      </x:c>
      <x:c r="G20" s="12" t="str">
        <x:v>producción / expedición / mantenimiento</x:v>
      </x:c>
      <x:c r="H20" s="12" t="str">
        <x:v>Parque Industrial San Francisco, San Francisco, Córdoba</x:v>
      </x:c>
      <x:c r="I20" s="12" t="str">
        <x:v>Directorio Parque Industrial</x:v>
      </x:c>
      <x:c r="J20" s="12" t="str">
        <x:v>https://www.empresas.parqueindustrialsanfrancisco.com/directorio/empresas/metalurgica-fundicion-y-trabajo-del-metal/metalurgica/</x:v>
      </x:c>
    </x:row>
    <x:row r="21">
      <x:c r="A21" s="12" t="str">
        <x:v>SF-052</x:v>
      </x:c>
      <x:c r="B21" s="12" t="str">
        <x:v>A</x:v>
      </x:c>
      <x:c r="C21" s="12" t="str">
        <x:v>Pecile Equipamientos</x:v>
      </x:c>
      <x:c r="D21" s="12" t="str">
        <x:v>San Francisco</x:v>
      </x:c>
      <x:c r="E21" s="12" t="str">
        <x:v>A verificar</x:v>
      </x:c>
      <x:c r="F21" s="12" t="str">
        <x:v>Operativo / verificar antes de visita</x:v>
      </x:c>
      <x:c r="G21" s="12" t="str">
        <x:v>producción / logística / expedición</x:v>
      </x:c>
      <x:c r="H21" s="12" t="str">
        <x:v>Parque Industrial San Francisco, San Francisco, Córdoba</x:v>
      </x:c>
      <x:c r="I21" s="12" t="str">
        <x:v>Directorio Parque Industrial</x:v>
      </x:c>
      <x:c r="J21" s="12" t="str">
        <x:v>https://empresas.parqueindustrialsanfrancisco.com/directorio/empresas/automotor/autopartes/</x:v>
      </x:c>
    </x:row>
    <x:row r="22">
      <x:c r="A22" s="12" t="str">
        <x:v>SF-056</x:v>
      </x:c>
      <x:c r="B22" s="12" t="str">
        <x:v>A</x:v>
      </x:c>
      <x:c r="C22" s="12" t="str">
        <x:v>EMEVG S.A.</x:v>
      </x:c>
      <x:c r="D22" s="12" t="str">
        <x:v>San Francisco</x:v>
      </x:c>
      <x:c r="E22" s="12" t="str">
        <x:v>A verificar</x:v>
      </x:c>
      <x:c r="F22" s="12" t="str">
        <x:v>Operativo / verificar antes de visita</x:v>
      </x:c>
      <x:c r="G22" s="12" t="str">
        <x:v>producción / logística / expedición</x:v>
      </x:c>
      <x:c r="H22" s="12" t="str">
        <x:v>Parque Industrial San Francisco, San Francisco, Córdoba</x:v>
      </x:c>
      <x:c r="I22" s="12" t="str">
        <x:v>Directorio Parque Industrial</x:v>
      </x:c>
      <x:c r="J22" s="12" t="str">
        <x:v>https://empresas.parqueindustrialsanfrancisco.com/directorio/empresas/automotor/autopartes/</x:v>
      </x:c>
    </x:row>
    <x:row r="23">
      <x:c r="A23" s="12" t="str">
        <x:v>SF-058</x:v>
      </x:c>
      <x:c r="B23" s="12" t="str">
        <x:v>A</x:v>
      </x:c>
      <x:c r="C23" s="12" t="str">
        <x:v>Mapao / Metalúrgica Perotti</x:v>
      </x:c>
      <x:c r="D23" s="12" t="str">
        <x:v>San Francisco</x:v>
      </x:c>
      <x:c r="E23" s="12" t="str">
        <x:v>A verificar</x:v>
      </x:c>
      <x:c r="F23" s="12" t="str">
        <x:v>Operativo / verificar antes de visita</x:v>
      </x:c>
      <x:c r="G23" s="12" t="str">
        <x:v>producción / expedición / mantenimiento</x:v>
      </x:c>
      <x:c r="H23" s="12" t="str">
        <x:v>Parque Industrial San Francisco, San Francisco, Córdoba</x:v>
      </x:c>
      <x:c r="I23" s="12" t="str">
        <x:v>Directorio Parque Industrial</x:v>
      </x:c>
      <x:c r="J23" s="12" t="str">
        <x:v>https://www.empresas.parqueindustrialsanfrancisco.com/directorio/empresas/metalurgica-fundicion-y-trabajo-del-metal/metalurgica/</x:v>
      </x:c>
    </x:row>
    <x:row r="24">
      <x:c r="A24" s="12" t="str">
        <x:v>SF-059</x:v>
      </x:c>
      <x:c r="B24" s="12" t="str">
        <x:v>A</x:v>
      </x:c>
      <x:c r="C24" s="12" t="str">
        <x:v>Metal Zinc S.A.S.</x:v>
      </x:c>
      <x:c r="D24" s="12" t="str">
        <x:v>San Francisco</x:v>
      </x:c>
      <x:c r="E24" s="12" t="str">
        <x:v>A verificar</x:v>
      </x:c>
      <x:c r="F24" s="12" t="str">
        <x:v>Operativo / verificar antes de visita</x:v>
      </x:c>
      <x:c r="G24" s="12" t="str">
        <x:v>producción / expedición / mantenimiento</x:v>
      </x:c>
      <x:c r="H24" s="12" t="str">
        <x:v>Parque Industrial San Francisco, San Francisco, Córdoba</x:v>
      </x:c>
      <x:c r="I24" s="12" t="str">
        <x:v>Directorio Parque Industrial</x:v>
      </x:c>
      <x:c r="J24" s="12" t="str">
        <x:v>https://www.empresas.parqueindustrialsanfrancisco.com/directorio/empresas/metalurgica-fundicion-y-trabajo-del-metal/metalurgica/</x:v>
      </x:c>
    </x:row>
    <x:row r="25">
      <x:c r="A25" s="12" t="str">
        <x:v>SF-060</x:v>
      </x:c>
      <x:c r="B25" s="12" t="str">
        <x:v>A</x:v>
      </x:c>
      <x:c r="C25" s="12" t="str">
        <x:v>Pessot S.R.L.</x:v>
      </x:c>
      <x:c r="D25" s="12" t="str">
        <x:v>San Francisco</x:v>
      </x:c>
      <x:c r="E25" s="12" t="str">
        <x:v>A verificar</x:v>
      </x:c>
      <x:c r="F25" s="12" t="str">
        <x:v>Operativo / verificar antes de visita</x:v>
      </x:c>
      <x:c r="G25" s="12" t="str">
        <x:v>producción / expedición / mantenimiento</x:v>
      </x:c>
      <x:c r="H25" s="12" t="str">
        <x:v>Parque Industrial San Francisco, San Francisco, Córdoba</x:v>
      </x:c>
      <x:c r="I25" s="12" t="str">
        <x:v>Directorio Parque Industrial</x:v>
      </x:c>
      <x:c r="J25" s="12" t="str">
        <x:v>https://www.empresas.parqueindustrialsanfrancisco.com/directorio/empresas/metalurgica-fundicion-y-trabajo-del-metal/metalurgica/</x:v>
      </x:c>
    </x:row>
    <x:row r="26">
      <x:c r="A26" s="12" t="str">
        <x:v>SF-062</x:v>
      </x:c>
      <x:c r="B26" s="12" t="str">
        <x:v>B</x:v>
      </x:c>
      <x:c r="C26" s="12" t="str">
        <x:v>Carisio Jorge Francisco S.R.L.</x:v>
      </x:c>
      <x:c r="D26" s="12" t="str">
        <x:v>San Francisco</x:v>
      </x:c>
      <x:c r="E26" s="12" t="str">
        <x:v>A verificar</x:v>
      </x:c>
      <x:c r="F26" s="12" t="str">
        <x:v>Operativo / verificar antes de visita</x:v>
      </x:c>
      <x:c r="G26" s="12" t="str">
        <x:v>producción / expedición / mantenimiento</x:v>
      </x:c>
      <x:c r="H26" s="12" t="str">
        <x:v>Parque Industrial San Francisco, San Francisco, Córdoba</x:v>
      </x:c>
      <x:c r="I26" s="12" t="str">
        <x:v>Directorio Parque Industrial</x:v>
      </x:c>
      <x:c r="J26" s="12" t="str">
        <x:v>https://www.empresas.parqueindustrialsanfrancisco.com/directorio/empresas/metalurgica-fundicion-y-trabajo-del-metal/metalurgica/</x:v>
      </x:c>
    </x:row>
    <x:row r="27">
      <x:c r="A27" s="12" t="str">
        <x:v>SF-063</x:v>
      </x:c>
      <x:c r="B27" s="12" t="str">
        <x:v>B</x:v>
      </x:c>
      <x:c r="C27" s="12" t="str">
        <x:v>Cravero Repuestos</x:v>
      </x:c>
      <x:c r="D27" s="12" t="str">
        <x:v>San Francisco</x:v>
      </x:c>
      <x:c r="E27" s="12" t="str">
        <x:v>A verificar</x:v>
      </x:c>
      <x:c r="F27" s="12" t="str">
        <x:v>Operativo / verificar antes de visita</x:v>
      </x:c>
      <x:c r="G27" s="12" t="str">
        <x:v>producción / expedición / mantenimiento</x:v>
      </x:c>
      <x:c r="H27" s="12" t="str">
        <x:v>Parque Industrial San Francisco, San Francisco, Córdoba</x:v>
      </x:c>
      <x:c r="I27" s="12" t="str">
        <x:v>Directorio Parque Industrial</x:v>
      </x:c>
      <x:c r="J27" s="12" t="str">
        <x:v>https://www.empresas.parqueindustrialsanfrancisco.com/directorio/empresas/metalurgica-fundicion-y-trabajo-del-metal/metalurgica/</x:v>
      </x:c>
    </x:row>
    <x:row r="28">
      <x:c r="A28" s="12" t="str">
        <x:v>SF-064</x:v>
      </x:c>
      <x:c r="B28" s="12" t="str">
        <x:v>B</x:v>
      </x:c>
      <x:c r="C28" s="12" t="str">
        <x:v>MR Tratamientos Térmicos De Maris</x:v>
      </x:c>
      <x:c r="D28" s="12" t="str">
        <x:v>San Francisco</x:v>
      </x:c>
      <x:c r="E28" s="12" t="str">
        <x:v>A verificar</x:v>
      </x:c>
      <x:c r="F28" s="12" t="str">
        <x:v>Operativo / verificar antes de visita</x:v>
      </x:c>
      <x:c r="G28" s="12" t="str">
        <x:v>producción / expedición / mantenimiento</x:v>
      </x:c>
      <x:c r="H28" s="12" t="str">
        <x:v>Parque Industrial San Francisco, San Francisco, Córdoba</x:v>
      </x:c>
      <x:c r="I28" s="12" t="str">
        <x:v>Directorio Parque Industrial</x:v>
      </x:c>
      <x:c r="J28" s="12" t="str">
        <x:v>https://www.empresas.parqueindustrialsanfrancisco.com/directorio/empresas/metalurgica-fundicion-y-trabajo-del-metal/metalurgica/</x:v>
      </x:c>
    </x:row>
    <x:row r="29">
      <x:c r="A29" s="12" t="str">
        <x:v>SF-065</x:v>
      </x:c>
      <x:c r="B29" s="12" t="str">
        <x:v>B</x:v>
      </x:c>
      <x:c r="C29" s="12" t="str">
        <x:v>Sottano Tratamientos</x:v>
      </x:c>
      <x:c r="D29" s="12" t="str">
        <x:v>San Francisco</x:v>
      </x:c>
      <x:c r="E29" s="12" t="str">
        <x:v>A verificar</x:v>
      </x:c>
      <x:c r="F29" s="12" t="str">
        <x:v>Operativo / verificar antes de visita</x:v>
      </x:c>
      <x:c r="G29" s="12" t="str">
        <x:v>producción / expedición / mantenimiento</x:v>
      </x:c>
      <x:c r="H29" s="12" t="str">
        <x:v>Parque Industrial San Francisco, San Francisco, Córdoba</x:v>
      </x:c>
      <x:c r="I29" s="12" t="str">
        <x:v>Directorio Parque Industrial</x:v>
      </x:c>
      <x:c r="J29" s="12" t="str">
        <x:v>https://www.empresas.parqueindustrialsanfrancisco.com/directorio/empresas/metalurgica-fundicion-y-trabajo-del-metal/metalurgica/</x:v>
      </x:c>
    </x:row>
    <x:row r="30">
      <x:c r="A30" s="12" t="str">
        <x:v>SF-066</x:v>
      </x:c>
      <x:c r="B30" s="12" t="str">
        <x:v>B</x:v>
      </x:c>
      <x:c r="C30" s="12" t="str">
        <x:v>JCM Soldadura</x:v>
      </x:c>
      <x:c r="D30" s="12" t="str">
        <x:v>San Francisco</x:v>
      </x:c>
      <x:c r="E30" s="12" t="str">
        <x:v>A verificar</x:v>
      </x:c>
      <x:c r="F30" s="12" t="str">
        <x:v>Operativo / verificar antes de visita</x:v>
      </x:c>
      <x:c r="G30" s="12" t="str">
        <x:v>producción / expedición / mantenimiento</x:v>
      </x:c>
      <x:c r="H30" s="12" t="str">
        <x:v>Parque Industrial San Francisco, San Francisco, Córdoba</x:v>
      </x:c>
      <x:c r="I30" s="12" t="str">
        <x:v>Directorio Parque Industrial</x:v>
      </x:c>
      <x:c r="J30" s="12" t="str">
        <x:v>https://www.empresas.parqueindustrialsanfrancisco.com/directorio/empresas/metalurgica-fundicion-y-trabajo-del-metal/metalurgica/</x:v>
      </x:c>
    </x:row>
    <x:row r="31">
      <x:c r="A31" s="12" t="str">
        <x:v>SF-067</x:v>
      </x:c>
      <x:c r="B31" s="12" t="str">
        <x:v>B</x:v>
      </x:c>
      <x:c r="C31" s="12" t="str">
        <x:v>P.G. S.R.L.</x:v>
      </x:c>
      <x:c r="D31" s="12" t="str">
        <x:v>San Francisco</x:v>
      </x:c>
      <x:c r="E31" s="12" t="str">
        <x:v>A verificar</x:v>
      </x:c>
      <x:c r="F31" s="12" t="str">
        <x:v>Operativo / verificar antes de visita</x:v>
      </x:c>
      <x:c r="G31" s="12" t="str">
        <x:v>producción / expedición / mantenimiento</x:v>
      </x:c>
      <x:c r="H31" s="12" t="str">
        <x:v>Parque Industrial San Francisco, San Francisco, Córdoba</x:v>
      </x:c>
      <x:c r="I31" s="12" t="str">
        <x:v>Directorio Parque Industrial</x:v>
      </x:c>
      <x:c r="J31" s="12" t="str">
        <x:v>https://www.empresas.parqueindustrialsanfrancisco.com/directorio/empresas/metalurgica-fundicion-y-trabajo-del-metal/metalurgica/</x:v>
      </x:c>
    </x:row>
    <x:row r="32">
      <x:c r="A32" s="12" t="str">
        <x:v>SF-068</x:v>
      </x:c>
      <x:c r="B32" s="12" t="str">
        <x:v>B</x:v>
      </x:c>
      <x:c r="C32" s="12" t="str">
        <x:v>Boetto Omar</x:v>
      </x:c>
      <x:c r="D32" s="12" t="str">
        <x:v>San Francisco</x:v>
      </x:c>
      <x:c r="E32" s="12" t="str">
        <x:v>A verificar</x:v>
      </x:c>
      <x:c r="F32" s="12" t="str">
        <x:v>Operativo / verificar antes de visita</x:v>
      </x:c>
      <x:c r="G32" s="12" t="str">
        <x:v>producción / expedición / mantenimiento</x:v>
      </x:c>
      <x:c r="H32" s="12" t="str">
        <x:v>Parque Industrial San Francisco, San Francisco, Córdoba</x:v>
      </x:c>
      <x:c r="I32" s="12" t="str">
        <x:v>Directorio Parque Industrial</x:v>
      </x:c>
      <x:c r="J32" s="12" t="str">
        <x:v>https://www.empresas.parqueindustrialsanfrancisco.com/directorio/empresas/metalurgica-fundicion-y-trabajo-del-metal/metalurgica/</x:v>
      </x:c>
    </x:row>
    <x:row r="33">
      <x:c r="A33" s="12" t="str">
        <x:v>SF-070</x:v>
      </x:c>
      <x:c r="B33" s="12" t="str">
        <x:v>B</x:v>
      </x:c>
      <x:c r="C33" s="12" t="str">
        <x:v>Gerardo Casalegno</x:v>
      </x:c>
      <x:c r="D33" s="12" t="str">
        <x:v>San Francisco</x:v>
      </x:c>
      <x:c r="E33" s="12" t="str">
        <x:v>A verificar</x:v>
      </x:c>
      <x:c r="F33" s="12" t="str">
        <x:v>Operativo / verificar antes de visita</x:v>
      </x:c>
      <x:c r="G33" s="12" t="str">
        <x:v>producción / expedición / mantenimiento</x:v>
      </x:c>
      <x:c r="H33" s="12" t="str">
        <x:v>Parque Industrial San Francisco, San Francisco, Córdoba</x:v>
      </x:c>
      <x:c r="I33" s="12" t="str">
        <x:v>Directorio Parque Industrial</x:v>
      </x:c>
      <x:c r="J33" s="12" t="str">
        <x:v>https://www.empresas.parqueindustrialsanfrancisco.com/directorio/empresas/metalurgica-fundicion-y-trabajo-del-metal/metalurgica/</x:v>
      </x:c>
    </x:row>
    <x:row r="34">
      <x:c r="A34" s="12" t="str">
        <x:v>SF-071</x:v>
      </x:c>
      <x:c r="B34" s="12" t="str">
        <x:v>B</x:v>
      </x:c>
      <x:c r="C34" s="12" t="str">
        <x:v>Goiran Andrés Roque</x:v>
      </x:c>
      <x:c r="D34" s="12" t="str">
        <x:v>San Francisco</x:v>
      </x:c>
      <x:c r="E34" s="12" t="str">
        <x:v>A verificar</x:v>
      </x:c>
      <x:c r="F34" s="12" t="str">
        <x:v>Operativo / verificar antes de visita</x:v>
      </x:c>
      <x:c r="G34" s="12" t="str">
        <x:v>producción / expedición / mantenimiento</x:v>
      </x:c>
      <x:c r="H34" s="12" t="str">
        <x:v>Parque Industrial San Francisco, San Francisco, Córdoba</x:v>
      </x:c>
      <x:c r="I34" s="12" t="str">
        <x:v>Directorio Parque Industrial</x:v>
      </x:c>
      <x:c r="J34" s="12" t="str">
        <x:v>https://www.empresas.parqueindustrialsanfrancisco.com/directorio/empresas/metalurgica-fundicion-y-trabajo-del-metal/metalurgica/</x:v>
      </x:c>
    </x:row>
    <x:row r="35">
      <x:c r="A35" s="12" t="str">
        <x:v>SF-073</x:v>
      </x:c>
      <x:c r="B35" s="12" t="str">
        <x:v>B</x:v>
      </x:c>
      <x:c r="C35" s="12" t="str">
        <x:v>Nicolás Fernando Felippa</x:v>
      </x:c>
      <x:c r="D35" s="12" t="str">
        <x:v>San Francisco</x:v>
      </x:c>
      <x:c r="E35" s="12" t="str">
        <x:v>A verificar</x:v>
      </x:c>
      <x:c r="F35" s="12" t="str">
        <x:v>Operativo / verificar antes de visita</x:v>
      </x:c>
      <x:c r="G35" s="12" t="str">
        <x:v>producción / expedición / mantenimiento</x:v>
      </x:c>
      <x:c r="H35" s="12" t="str">
        <x:v>Parque Industrial San Francisco, San Francisco, Córdoba</x:v>
      </x:c>
      <x:c r="I35" s="12" t="str">
        <x:v>Directorio Parque Industrial</x:v>
      </x:c>
      <x:c r="J35" s="12" t="str">
        <x:v>https://www.empresas.parqueindustrialsanfrancisco.com/directorio/empresas/metalurgica-fundicion-y-trabajo-del-metal/metalurgica/</x:v>
      </x:c>
    </x:row>
    <x:row r="36">
      <x:c r="A36" s="12" t="str">
        <x:v>SF-075</x:v>
      </x:c>
      <x:c r="B36" s="12" t="str">
        <x:v>B</x:v>
      </x:c>
      <x:c r="C36" s="12" t="str">
        <x:v>Bollati Alejandro Humberto</x:v>
      </x:c>
      <x:c r="D36" s="12" t="str">
        <x:v>San Francisco</x:v>
      </x:c>
      <x:c r="E36" s="12" t="str">
        <x:v>A verificar</x:v>
      </x:c>
      <x:c r="F36" s="12" t="str">
        <x:v>Operativo / verificar antes de visita</x:v>
      </x:c>
      <x:c r="G36" s="12" t="str">
        <x:v>producción / expedición / mantenimiento</x:v>
      </x:c>
      <x:c r="H36" s="12" t="str">
        <x:v>Parque Industrial San Francisco, San Francisco, Córdoba</x:v>
      </x:c>
      <x:c r="I36" s="12" t="str">
        <x:v>Directorio Parque Industrial</x:v>
      </x:c>
      <x:c r="J36" s="12" t="str">
        <x:v>https://www.empresas.parqueindustrialsanfrancisco.com/directorio/empresas/metalurgica-fundicion-y-trabajo-del-metal/metalurgica/</x:v>
      </x:c>
    </x:row>
    <x:row r="37">
      <x:c r="A37" s="12" t="str">
        <x:v>SF-076</x:v>
      </x:c>
      <x:c r="B37" s="12" t="str">
        <x:v>B</x:v>
      </x:c>
      <x:c r="C37" s="12" t="str">
        <x:v>Mario Aimar</x:v>
      </x:c>
      <x:c r="D37" s="12" t="str">
        <x:v>San Francisco</x:v>
      </x:c>
      <x:c r="E37" s="12" t="str">
        <x:v>A verificar</x:v>
      </x:c>
      <x:c r="F37" s="12" t="str">
        <x:v>Operativo / verificar antes de visita</x:v>
      </x:c>
      <x:c r="G37" s="12" t="str">
        <x:v>producción / expedición / mantenimiento</x:v>
      </x:c>
      <x:c r="H37" s="12" t="str">
        <x:v>Parque Industrial San Francisco, San Francisco, Córdoba</x:v>
      </x:c>
      <x:c r="I37" s="12" t="str">
        <x:v>Directorio Parque Industrial</x:v>
      </x:c>
      <x:c r="J37" s="12" t="str">
        <x:v>https://www.empresas.parqueindustrialsanfrancisco.com/directorio/empresas/metalurgica-fundicion-y-trabajo-del-metal/metalurgica/</x:v>
      </x:c>
    </x:row>
    <x:row r="38">
      <x:c r="A38" s="12" t="str">
        <x:v>SF-077</x:v>
      </x:c>
      <x:c r="B38" s="12" t="str">
        <x:v>B</x:v>
      </x:c>
      <x:c r="C38" s="12" t="str">
        <x:v>Tuninetti Miguel Ángel</x:v>
      </x:c>
      <x:c r="D38" s="12" t="str">
        <x:v>San Francisco</x:v>
      </x:c>
      <x:c r="E38" s="12" t="str">
        <x:v>A verificar</x:v>
      </x:c>
      <x:c r="F38" s="12" t="str">
        <x:v>Operativo / verificar antes de visita</x:v>
      </x:c>
      <x:c r="G38" s="12" t="str">
        <x:v>producción / expedición / mantenimiento</x:v>
      </x:c>
      <x:c r="H38" s="12" t="str">
        <x:v>Parque Industrial San Francisco, San Francisco, Córdoba</x:v>
      </x:c>
      <x:c r="I38" s="12" t="str">
        <x:v>Directorio Parque Industrial</x:v>
      </x:c>
      <x:c r="J38" s="12" t="str">
        <x:v>https://www.empresas.parqueindustrialsanfrancisco.com/directorio/empresas/metalurgica-fundicion-y-trabajo-del-metal/metalurgica/</x:v>
      </x:c>
    </x:row>
    <x:row r="39">
      <x:c r="A39" s="12" t="str">
        <x:v>SF-078</x:v>
      </x:c>
      <x:c r="B39" s="12" t="str">
        <x:v>B</x:v>
      </x:c>
      <x:c r="C39" s="12" t="str">
        <x:v>Adrian Pagliano</x:v>
      </x:c>
      <x:c r="D39" s="12" t="str">
        <x:v>San Francisco</x:v>
      </x:c>
      <x:c r="E39" s="12" t="str">
        <x:v>A verificar</x:v>
      </x:c>
      <x:c r="F39" s="12" t="str">
        <x:v>Operativo / verificar antes de visita</x:v>
      </x:c>
      <x:c r="G39" s="12" t="str">
        <x:v>producción / expedición / mantenimiento</x:v>
      </x:c>
      <x:c r="H39" s="12" t="str">
        <x:v>Parque Industrial San Francisco, San Francisco, Córdoba</x:v>
      </x:c>
      <x:c r="I39" s="12" t="str">
        <x:v>Directorio Parque Industrial</x:v>
      </x:c>
      <x:c r="J39" s="12" t="str">
        <x:v>https://www.empresas.parqueindustrialsanfrancisco.com/directorio/empresas/metalurgica-fundicion-y-trabajo-del-metal/metalurgica/</x:v>
      </x:c>
    </x:row>
    <x:row r="40">
      <x:c r="A40" s="12" t="str">
        <x:v>SF-079</x:v>
      </x:c>
      <x:c r="B40" s="12" t="str">
        <x:v>B</x:v>
      </x:c>
      <x:c r="C40" s="12" t="str">
        <x:v>Machado Gabriel Horacio</x:v>
      </x:c>
      <x:c r="D40" s="12" t="str">
        <x:v>San Francisco</x:v>
      </x:c>
      <x:c r="E40" s="12" t="str">
        <x:v>A verificar</x:v>
      </x:c>
      <x:c r="F40" s="12" t="str">
        <x:v>Operativo / verificar antes de visita</x:v>
      </x:c>
      <x:c r="G40" s="12" t="str">
        <x:v>producción / expedición / mantenimiento</x:v>
      </x:c>
      <x:c r="H40" s="12" t="str">
        <x:v>Parque Industrial San Francisco, San Francisco, Córdoba</x:v>
      </x:c>
      <x:c r="I40" s="12" t="str">
        <x:v>Directorio Parque Industrial</x:v>
      </x:c>
      <x:c r="J40" s="12" t="str">
        <x:v>https://www.empresas.parqueindustrialsanfrancisco.com/directorio/empresas/metalurgica-fundicion-y-trabajo-del-metal/metalurgica/</x:v>
      </x:c>
    </x:row>
    <x:row r="41">
      <x:c r="A41" s="12" t="str">
        <x:v>SF-080</x:v>
      </x:c>
      <x:c r="B41" s="12" t="str">
        <x:v>B</x:v>
      </x:c>
      <x:c r="C41" s="12" t="str">
        <x:v>Marcelo Luis Tortolo</x:v>
      </x:c>
      <x:c r="D41" s="12" t="str">
        <x:v>San Francisco</x:v>
      </x:c>
      <x:c r="E41" s="12" t="str">
        <x:v>A verificar</x:v>
      </x:c>
      <x:c r="F41" s="12" t="str">
        <x:v>Operativo / verificar antes de visita</x:v>
      </x:c>
      <x:c r="G41" s="12" t="str">
        <x:v>producción / logística / expedición</x:v>
      </x:c>
      <x:c r="H41" s="12" t="str">
        <x:v>Parque Industrial San Francisco, San Francisco, Córdoba</x:v>
      </x:c>
      <x:c r="I41" s="12" t="str">
        <x:v>Directorio Parque Industrial</x:v>
      </x:c>
      <x:c r="J41" s="12" t="str">
        <x:v>https://empresas.parqueindustrialsanfrancisco.com/directorio/empresas/automotor/autopartes/</x:v>
      </x:c>
    </x:row>
    <x:row r="42">
      <x:c r="A42" s="12" t="str">
        <x:v>SF-081</x:v>
      </x:c>
      <x:c r="B42" s="12" t="str">
        <x:v>B</x:v>
      </x:c>
      <x:c r="C42" s="12" t="str">
        <x:v>Mosca Eduardo Osvaldo</x:v>
      </x:c>
      <x:c r="D42" s="12" t="str">
        <x:v>San Francisco</x:v>
      </x:c>
      <x:c r="E42" s="12" t="str">
        <x:v>A verificar</x:v>
      </x:c>
      <x:c r="F42" s="12" t="str">
        <x:v>Operativo / verificar antes de visita</x:v>
      </x:c>
      <x:c r="G42" s="12" t="str">
        <x:v>producción / expedición / mantenimiento</x:v>
      </x:c>
      <x:c r="H42" s="12" t="str">
        <x:v>Parque Industrial San Francisco, San Francisco, Córdoba</x:v>
      </x:c>
      <x:c r="I42" s="12" t="str">
        <x:v>Directorio Parque Industrial</x:v>
      </x:c>
      <x:c r="J42" s="12" t="str">
        <x:v>https://www.empresas.parqueindustrialsanfrancisco.com/directorio/empresas/metalurgica-fundicion-y-trabajo-del-metal/metalurgica/</x:v>
      </x:c>
    </x:row>
    <x:row r="43">
      <x:c r="A43" s="12" t="str">
        <x:v>SF-082</x:v>
      </x:c>
      <x:c r="B43" s="12" t="str">
        <x:v>B</x:v>
      </x:c>
      <x:c r="C43" s="12" t="str">
        <x:v>Scocco Alberto Luis</x:v>
      </x:c>
      <x:c r="D43" s="12" t="str">
        <x:v>San Francisco</x:v>
      </x:c>
      <x:c r="E43" s="12" t="str">
        <x:v>A verificar</x:v>
      </x:c>
      <x:c r="F43" s="12" t="str">
        <x:v>Operativo / verificar antes de visita</x:v>
      </x:c>
      <x:c r="G43" s="12" t="str">
        <x:v>producción / expedición / mantenimiento</x:v>
      </x:c>
      <x:c r="H43" s="12" t="str">
        <x:v>Parque Industrial San Francisco, San Francisco, Córdoba</x:v>
      </x:c>
      <x:c r="I43" s="12" t="str">
        <x:v>Directorio Parque Industrial</x:v>
      </x:c>
      <x:c r="J43" s="12" t="str">
        <x:v>https://www.empresas.parqueindustrialsanfrancisco.com/directorio/empresas/metalurgica-fundicion-y-trabajo-del-metal/metalurgica/</x:v>
      </x:c>
    </x:row>
    <x:row r="44">
      <x:c r="A44" s="12" t="str">
        <x:v>SF-083</x:v>
      </x:c>
      <x:c r="B44" s="12" t="str">
        <x:v>B</x:v>
      </x:c>
      <x:c r="C44" s="12" t="str">
        <x:v>Vagliente Javier Adalberto</x:v>
      </x:c>
      <x:c r="D44" s="12" t="str">
        <x:v>San Francisco</x:v>
      </x:c>
      <x:c r="E44" s="12" t="str">
        <x:v>A verificar</x:v>
      </x:c>
      <x:c r="F44" s="12" t="str">
        <x:v>Operativo / verificar antes de visita</x:v>
      </x:c>
      <x:c r="G44" s="12" t="str">
        <x:v>producción / expedición / mantenimiento</x:v>
      </x:c>
      <x:c r="H44" s="12" t="str">
        <x:v>Parque Industrial San Francisco, San Francisco, Córdoba</x:v>
      </x:c>
      <x:c r="I44" s="12" t="str">
        <x:v>Directorio Parque Industrial</x:v>
      </x:c>
      <x:c r="J44" s="12" t="str">
        <x:v>https://www.empresas.parqueindustrialsanfrancisco.com/directorio/empresas/metalurgica-fundicion-y-trabajo-del-metal/metalurgica/</x:v>
      </x:c>
    </x:row>
    <x:row r="45">
      <x:c r="A45" s="12" t="str">
        <x:v>SF-084</x:v>
      </x:c>
      <x:c r="B45" s="12" t="str">
        <x:v>B</x:v>
      </x:c>
      <x:c r="C45" s="12" t="str">
        <x:v>MSF Tech S.A.</x:v>
      </x:c>
      <x:c r="D45" s="12" t="str">
        <x:v>San Francisco</x:v>
      </x:c>
      <x:c r="E45" s="12" t="str">
        <x:v>A verificar</x:v>
      </x:c>
      <x:c r="F45" s="12" t="str">
        <x:v>Operativo / verificar antes de visita</x:v>
      </x:c>
      <x:c r="G45" s="12" t="str">
        <x:v>operaciones / mantenimiento</x:v>
      </x:c>
      <x:c r="H45" s="12" t="str">
        <x:v>Parque Industrial San Francisco, San Francisco, Córdoba</x:v>
      </x:c>
      <x:c r="I45" s="12" t="str">
        <x:v>Parque Industrial oficial</x:v>
      </x:c>
      <x:c r="J45" s="12" t="str">
        <x:v>https://www.parqueindustrialsanfrancisco.com/</x:v>
      </x:c>
    </x:row>
    <x:row r="46">
      <x:c r="A46" s="12" t="str">
        <x:v>SF-085</x:v>
      </x:c>
      <x:c r="B46" s="12" t="str">
        <x:v>B</x:v>
      </x:c>
      <x:c r="C46" s="12" t="str">
        <x:v>H.M. Plastic S.A.</x:v>
      </x:c>
      <x:c r="D46" s="12" t="str">
        <x:v>San Francisco</x:v>
      </x:c>
      <x:c r="E46" s="12" t="str">
        <x:v>A verificar</x:v>
      </x:c>
      <x:c r="F46" s="12" t="str">
        <x:v>Operativo / verificar antes de visita</x:v>
      </x:c>
      <x:c r="G46" s="12" t="str">
        <x:v>producción / logística</x:v>
      </x:c>
      <x:c r="H46" s="12" t="str">
        <x:v>Parque Industrial San Francisco, San Francisco, Córdoba</x:v>
      </x:c>
      <x:c r="I46" s="12" t="str">
        <x:v>Parque Industrial oficial</x:v>
      </x:c>
      <x:c r="J46" s="12" t="str">
        <x:v>https://www.parqueindustrialsanfrancisco.com/</x:v>
      </x:c>
    </x:row>
    <x:row r="47">
      <x:c r="A47" s="12" t="str">
        <x:v>SF-096</x:v>
      </x:c>
      <x:c r="B47" s="12" t="str">
        <x:v>B</x:v>
      </x:c>
      <x:c r="C47" s="12" t="str">
        <x:v>Roggio - Devoto</x:v>
      </x:c>
      <x:c r="D47" s="12" t="str">
        <x:v>Devoto</x:v>
      </x:c>
      <x:c r="E47" s="12" t="str">
        <x:v>A verificar</x:v>
      </x:c>
      <x:c r="F47" s="12" t="str">
        <x:v>Operativo / verificar antes de visita</x:v>
      </x:c>
      <x:c r="G47" s="12" t="str">
        <x:v>obras / equipos / logística</x:v>
      </x:c>
      <x:c r="H47" s="12" t="str">
        <x:v>Devoto, Córdoba</x:v>
      </x:c>
      <x:c r="I47" s="12" t="str">
        <x:v>Google Business</x:v>
      </x:c>
      <x:c r="J47" s="12" t="str">
        <x:v>https://www.google.com/maps/search/?api=1&amp;query=ROGGIO%2C+Devoto%2C+C%C3%B3rdoba</x:v>
      </x:c>
    </x:row>
    <x:row r="48">
      <x:c r="A48" s="12" t="str">
        <x:v>SF-097</x:v>
      </x:c>
      <x:c r="B48" s="12" t="str">
        <x:v>B</x:v>
      </x:c>
      <x:c r="C48" s="12" t="str">
        <x:v>Transporte Junio 21 S.R.L.</x:v>
      </x:c>
      <x:c r="D48" s="12" t="str">
        <x:v>Devoto</x:v>
      </x:c>
      <x:c r="E48" s="12" t="str">
        <x:v>A verificar</x:v>
      </x:c>
      <x:c r="F48" s="12" t="str">
        <x:v>Operativo / verificar antes de visita</x:v>
      </x:c>
      <x:c r="G48" s="12" t="str">
        <x:v>tráfico / operaciones</x:v>
      </x:c>
      <x:c r="H48" s="12" t="str">
        <x:v>Bv. 9 de Julio 562, Devoto, Córdoba</x:v>
      </x:c>
      <x:c r="I48" s="12" t="str">
        <x:v>Google Business</x:v>
      </x:c>
      <x:c r="J48" s="12" t="str">
        <x:v>https://www.google.com/maps/search/?api=1&amp;query=Transporte+Junio+21+SRL%2C+Bv.+9+de+Julio+562%2C+Devoto%2C+C%C3%B3rdoba</x:v>
      </x:c>
    </x:row>
    <x:row r="49">
      <x:c r="A49" s="12" t="str">
        <x:v>SF-098</x:v>
      </x:c>
      <x:c r="B49" s="12" t="str">
        <x:v>B</x:v>
      </x:c>
      <x:c r="C49" s="12" t="str">
        <x:v>Heladeras Honeker</x:v>
      </x:c>
      <x:c r="D49" s="12" t="str">
        <x:v>Devoto</x:v>
      </x:c>
      <x:c r="E49" s="12" t="str">
        <x:v>A verificar</x:v>
      </x:c>
      <x:c r="F49" s="12" t="str">
        <x:v>Operativo / verificar antes de visita</x:v>
      </x:c>
      <x:c r="G49" s="12" t="str">
        <x:v>producción / logística</x:v>
      </x:c>
      <x:c r="H49" s="12" t="str">
        <x:v>Brasil 1130, Devoto, Córdoba</x:v>
      </x:c>
      <x:c r="I49" s="12" t="str">
        <x:v>Google Business</x:v>
      </x:c>
      <x:c r="J49" s="12" t="str">
        <x:v>https://www.google.com/maps/search/?api=1&amp;query=Heladeras+Honeker%2C+Brasil+1130%2C+Devoto%2C+C%C3%B3rdoba</x:v>
      </x:c>
    </x:row>
  </x:sheetData>
  <x:pageMargins left="0.7" right="0.7" top="0.75" bottom="0.75" header="0.3" footer="0.3"/>
  <x:tableParts count="1">
    <x:tablePart xmlns:r="http://schemas.openxmlformats.org/officeDocument/2006/relationships" r:id="Rf5d93b7f1601423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0" hidden="0" customWidth="1"/>
    <x:col min="3" max="3" width="20" hidden="0" customWidth="1"/>
    <x:col min="4" max="4" width="16" hidden="0" customWidth="1"/>
  </x:cols>
  <x:sheetData>
    <x:row r="1">
      <x:c r="A1" s="17" t="str">
        <x:v>SERVICIOS PRESOL · OPORTUNIDAD SAN FRANCISCO</x:v>
      </x:c>
      <x:c r="B1" s="17"/>
      <x:c r="C1" s="17"/>
      <x:c r="D1" s="17"/>
    </x:row>
    <x:row r="3">
      <x:c r="A3" s="6" t="str">
        <x:v>Servicio</x:v>
      </x:c>
      <x:c r="B3" s="6" t="str">
        <x:v>Uso</x:v>
      </x:c>
      <x:c r="C3" s="6" t="str">
        <x:v>Prospectos compatibles</x:v>
      </x:c>
      <x:c r="D3" s="6" t="str">
        <x:v>% universo</x:v>
      </x:c>
    </x:row>
    <x:row r="4">
      <x:c r="A4" t="str">
        <x:v>Plataforma 20 tn</x:v>
      </x:c>
      <x:c r="B4" t="str">
        <x:v>Maquinaria, cosechadoras, tractores, camiones y equipos pesados.</x:v>
      </x:c>
      <x:c r="C4" t="n">
        <x:f>COUNTIF(Prospectos!AE:AE,"*Plataforma*")</x:f>
        <x:v>0</x:v>
      </x:c>
      <x:c r="D4" s="32" t="n">
        <x:f>C4/(COUNTA(Prospectos!H:H)-1)</x:f>
        <x:v>0</x:v>
      </x:c>
    </x:row>
    <x:row r="5">
      <x:c r="A5" t="str">
        <x:v>Hidrogrúa</x:v>
      </x:c>
      <x:c r="B5" t="str">
        <x:v>Carga/descarga y posicionamiento de piezas/equipos.</x:v>
      </x:c>
      <x:c r="C5" t="n">
        <x:f>COUNTIF(Prospectos!AE:AE,"*Hidrogrúa*")</x:f>
        <x:v>0</x:v>
      </x:c>
      <x:c r="D5" s="32" t="n">
        <x:f>C5/(COUNTA(Prospectos!H:H)-1)</x:f>
        <x:v>0</x:v>
      </x:c>
    </x:row>
    <x:row r="6">
      <x:c r="A6" t="str">
        <x:v>Malacate</x:v>
      </x:c>
      <x:c r="B6" t="str">
        <x:v>Equipos sin autonomía o averiados.</x:v>
      </x:c>
      <x:c r="C6" t="n">
        <x:f>COUNTIF(Prospectos!AE:AE,"*Malacate*")</x:f>
        <x:v>0</x:v>
      </x:c>
      <x:c r="D6" s="32" t="n">
        <x:f>C6/(COUNTA(Prospectos!H:H)-1)</x:f>
        <x:v>0</x:v>
      </x:c>
    </x:row>
    <x:row r="7">
      <x:c r="A7" t="str">
        <x:v>Percha para pallets</x:v>
      </x:c>
      <x:c r="B7" t="str">
        <x:v>Pallets y cargas especiales compatibles.</x:v>
      </x:c>
      <x:c r="C7" t="n">
        <x:f>COUNTIF(Prospectos!AE:AE,"*Percha*")</x:f>
        <x:v>0</x:v>
      </x:c>
      <x:c r="D7" s="32" t="n">
        <x:f>C7/(COUNTA(Prospectos!H:H)-1)</x:f>
        <x:v>0</x:v>
      </x:c>
    </x:row>
    <x:row r="8">
      <x:c r="A8" t="str">
        <x:v>Entrega/retiro maquinaria</x:v>
      </x:c>
      <x:c r="B8" t="str">
        <x:v>Dealers, fabricantes y service.</x:v>
      </x:c>
      <x:c r="C8" t="n">
        <x:f>COUNTIF(Prospectos!AE:AE,"*Entrega/retiro*")</x:f>
        <x:v>0</x:v>
      </x:c>
      <x:c r="D8" s="32" t="n">
        <x:f>C8/(COUNTA(Prospectos!H:H)-1)</x:f>
        <x:v>0</x:v>
      </x:c>
    </x:row>
    <x:row r="9">
      <x:c r="A9" t="str">
        <x:v>Traslados interobra</x:v>
      </x:c>
      <x:c r="B9" t="str">
        <x:v>Constructoras y maquinaria vial.</x:v>
      </x:c>
      <x:c r="C9" t="n">
        <x:f>COUNTIF(Prospectos!AE:AE,"*Traslados*")</x:f>
        <x:v>0</x:v>
      </x:c>
      <x:c r="D9" s="32" t="n">
        <x:f>C9/(COUNTA(Prospectos!H:H)-1)</x:f>
        <x:v>0</x:v>
      </x:c>
    </x:row>
    <x:row r="10">
      <x:c r="A10" t="str">
        <x:v>Seguro/GPS</x:v>
      </x:c>
      <x:c r="B10" t="str">
        <x:v>Equipos de alto valor.</x:v>
      </x:c>
      <x:c r="C10" t="n">
        <x:f>COUNTIF(Prospectos!AE:AE,"*Seguro/GPS*")</x:f>
        <x:v>0</x:v>
      </x:c>
      <x:c r="D10" s="32" t="n">
        <x:f>C10/(COUNTA(Prospectos!H:H)-1)</x:f>
        <x:v>0</x:v>
      </x:c>
    </x:row>
    <x:row r="11">
      <x:c r="A11" t="str">
        <x:v>Subcontratación</x:v>
      </x:c>
      <x:c r="B11" t="str">
        <x:v>Transportistas, logística y grúas como socios/overflow.</x:v>
      </x:c>
      <x:c r="C11" t="n">
        <x:f>COUNTIF(Prospectos!AE:AE,"*Subcontratación*")</x:f>
        <x:v>0</x:v>
      </x:c>
      <x:c r="D11" s="32" t="n">
        <x:f>C11/(COUNTA(Prospectos!H:H)-1)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6" hidden="0" customWidth="1"/>
  </x:cols>
  <x:sheetData>
    <x:row r="1">
      <x:c r="A1" s="17" t="str">
        <x:v>GUÍA DE USO · SAN FRANCISCO</x:v>
      </x:c>
      <x:c r="B1" s="17"/>
      <x:c r="C1" s="17"/>
      <x:c r="D1" s="17"/>
      <x:c r="E1" s="17"/>
      <x:c r="F1" s="17"/>
    </x:row>
    <x:row r="3">
      <x:c r="A3" s="6" t="str">
        <x:v>Tema</x:v>
      </x:c>
      <x:c r="B3" s="6" t="str">
        <x:v>Criterio</x:v>
      </x:c>
    </x:row>
    <x:row r="4">
      <x:c r="A4" s="34" t="str">
        <x:v>ALCANCE</x:v>
      </x:c>
      <x:c r="B4" s="12" t="str">
        <x:v>San Francisco núcleo + zona ampliada inmediata: Frontera (Santa Fe), La Francia y Devoto.</x:v>
      </x:c>
    </x:row>
    <x:row r="5">
      <x:c r="A5" s="34" t="str">
        <x:v>OBJETIVO</x:v>
      </x:c>
      <x:c r="B5" s="12" t="str">
        <x:v>Detectar clientes/aliados para carretones/plataforma, hidrogrúa, malacate, transporte de maquinaria, cargas especiales y movimientos interobra.</x:v>
      </x:c>
    </x:row>
    <x:row r="6">
      <x:c r="A6" s="34" t="str">
        <x:v>A+</x:v>
      </x:c>
      <x:c r="B6" s="12" t="str">
        <x:v>Fabricantes/dealers de maquinaria, camiones, autoelevadores, equipos pesados y plantas con despachos de gran porte.</x:v>
      </x:c>
    </x:row>
    <x:row r="7">
      <x:c r="A7" s="34" t="str">
        <x:v>A</x:v>
      </x:c>
      <x:c r="B7" s="12" t="str">
        <x:v>Metalmecánicas, constructoras, hidráulica, logística, agroindustria y fábricas con afinidad alta.</x:v>
      </x:c>
    </x:row>
    <x:row r="8">
      <x:c r="A8" s="34" t="str">
        <x:v>B</x:v>
      </x:c>
      <x:c r="B8" s="12" t="str">
        <x:v>Industrias menores, contactos con menor frecuencia potencial o registros que requieren validación.</x:v>
      </x:c>
    </x:row>
    <x:row r="9">
      <x:c r="A9" s="34" t="str">
        <x:v>PARQUE INDUSTRIAL</x:v>
      </x:c>
      <x:c r="B9" s="12" t="str">
        <x:v>Se creó una hoja específica porque el Parque Industrial concentra metalúrgicas, logística, autopartes, alimentos y equipos.</x:v>
      </x:c>
    </x:row>
    <x:row r="10">
      <x:c r="A10" s="34" t="str">
        <x:v>FUENTES</x:v>
      </x:c>
      <x:c r="B10" s="12" t="str">
        <x:v>Webs oficiales, AFAMAC/Maquinac, Google Business, Parque Industrial San Francisco y registros empresariales actuales.</x:v>
      </x:c>
    </x:row>
    <x:row r="11">
      <x:c r="A11" s="34" t="str">
        <x:v>VALIDACIÓN</x:v>
      </x:c>
      <x:c r="B11" s="12" t="str">
        <x:v>Los registros con 'A verificar' deben llamarse antes de incluirlos en una visita física.</x:v>
      </x:c>
    </x:row>
    <x:row r="12">
      <x:c r="A12" s="34" t="str">
        <x:v>SIGUIENTE PASO</x:v>
      </x:c>
      <x:c r="B12" s="12" t="str">
        <x:v>Priorizar A+, confirmar decisor y relevar pesos, medidas, frecuencia, destinos y proveedor actual.</x:v>
      </x:c>
    </x:row>
  </x:sheetData>
  <x:mergeCells>
    <x:mergeCell ref="A1:F1"/>
  </x:mergeCells>
  <x:pageMargins left="0.7" right="0.7" top="0.75" bottom="0.75" header="0.3" footer="0.3"/>
</x:worksheet>
</file>