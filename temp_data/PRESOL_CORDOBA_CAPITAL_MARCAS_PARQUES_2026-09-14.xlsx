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145c784c8646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os Resumen" sheetId="1" r:id="Rde75b5ea3b0145eb"/>
    <x:sheet xmlns:r="http://schemas.openxmlformats.org/officeDocument/2006/relationships" name="Prospectos" sheetId="2" r:id="R7fa23b82b745432c"/>
    <x:sheet xmlns:r="http://schemas.openxmlformats.org/officeDocument/2006/relationships" name="Indicadores" sheetId="3" r:id="Rfc645a95e5494691"/>
    <x:sheet xmlns:r="http://schemas.openxmlformats.org/officeDocument/2006/relationships" name="Contactos a verificar" sheetId="4" r:id="Rb4cb38916af746c9"/>
    <x:sheet xmlns:r="http://schemas.openxmlformats.org/officeDocument/2006/relationships" name="Servicios PRESOL" sheetId="5" r:id="R96f6f182b4404350"/>
    <x:sheet xmlns:r="http://schemas.openxmlformats.org/officeDocument/2006/relationships" name="Guía de uso" sheetId="6" r:id="R82754cf5f79d45eb"/>
    <x:sheet xmlns:r="http://schemas.openxmlformats.org/officeDocument/2006/relationships" name="Rastrillaje profundo" sheetId="7" r:id="R9d76e0a8ca9e406f"/>
    <x:sheet xmlns:r="http://schemas.openxmlformats.org/officeDocument/2006/relationships" name="Marcas y parques" sheetId="8" r:id="R9279de05856149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9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17324D"/>
      <x:name val="Carlito"/>
    </x:font>
    <x:font>
      <x:b/>
      <x:sz val="15"/>
      <x:color rgb="FFC85A13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6"/>
      <x:color rgb="FFFFFFFF"/>
      <x:name val="Carlito"/>
    </x:font>
    <x:font>
      <x:b/>
      <x:sz val="15"/>
      <x:color rgb="FFFFFFFF"/>
      <x:name val="Carlito"/>
    </x:font>
    <x:font>
      <x:i/>
      <x:sz val="10"/>
      <x:color rgb="FF374151"/>
      <x:name val="Carlito"/>
    </x:font>
    <x:font>
      <x:b/>
      <x:sz val="11"/>
      <x:color rgb="FF111827"/>
      <x:name val="Carlito"/>
    </x:font>
    <x:font>
      <x:b/>
      <x:sz val="12"/>
      <x:color rgb="FFC85A13"/>
      <x:name val="Carlito"/>
    </x:font>
    <x:font>
      <x:b/>
      <x:sz val="12"/>
      <x:name val="Carlito"/>
    </x:font>
    <x:font>
      <x:b/>
      <x:sz val="9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0"/>
      <x:color rgb="FF1F293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EFF5"/>
      </x:patternFill>
    </x:fill>
    <x:fill>
      <x:patternFill patternType="solid">
        <x:fgColor rgb="FFD7E3EF"/>
      </x:patternFill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182333"/>
      </x:patternFill>
    </x:fill>
    <x:fill>
      <x:patternFill patternType="solid">
        <x:fgColor rgb="FFF7F8FA"/>
      </x:patternFill>
    </x:fill>
  </x:fills>
  <x:borders count="10">
    <x:border/>
    <x:border/>
    <x:border>
      <x:left style="thin">
        <x:color rgb="FFD9DEE5"/>
      </x:left>
      <x:top style="thin">
        <x:color rgb="FFD9DEE5"/>
      </x:top>
    </x:border>
    <x:border>
      <x:top style="thin">
        <x:color rgb="FFD9DEE5"/>
      </x:top>
    </x:border>
    <x:border>
      <x:right style="thin">
        <x:color rgb="FFD9DEE5"/>
      </x:right>
      <x:top style="thin">
        <x:color rgb="FFD9DEE5"/>
      </x:top>
    </x:border>
    <x:border>
      <x:left style="thin">
        <x:color rgb="FFD9DEE5"/>
      </x:left>
    </x:border>
    <x:border>
      <x:right style="thin">
        <x:color rgb="FFD9DEE5"/>
      </x:right>
    </x:border>
    <x:border>
      <x:left style="thin">
        <x:color rgb="FFD9DEE5"/>
      </x:left>
      <x:bottom style="thin">
        <x:color rgb="FFD9DEE5"/>
      </x:bottom>
    </x:border>
    <x:border>
      <x:bottom style="thin">
        <x:color rgb="FFD9DEE5"/>
      </x:bottom>
    </x:border>
    <x:border>
      <x:right style="thin">
        <x:color rgb="FFD9DEE5"/>
      </x:right>
      <x:bottom style="thin">
        <x:color rgb="FFD9DEE5"/>
      </x:bottom>
    </x:border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horizontal="center" wrapText="1"/>
    </x:xf>
    <x:xf numFmtId="0" fontId="12" fillId="7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horizontal="center" wrapText="1"/>
    </x:xf>
    <x:xf numFmtId="0" fontId="14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wrapText="1"/>
    </x:xf>
    <x:xf numFmtId="0" fontId="15" fillId="8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/>
    <x:xf numFmtId="0" fontId="16" fillId="5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0" xfId="0" applyNumberFormat="1" applyFont="1" applyFill="1" applyBorder="1"/>
    <x:xf numFmtId="0" fontId="17" fillId="7" borderId="0" xfId="0" applyNumberFormat="1" applyFont="1" applyFill="1" applyBorder="1"/>
    <x:xf numFmtId="0" fontId="16" fillId="5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17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/>
    <x:xf numFmtId="0" fontId="5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8" fillId="0" borderId="0" xfId="0" applyNumberFormat="1" applyFont="1" applyFill="1" applyBorder="1" applyAlignment="1">
      <x:alignment wrapText="1"/>
    </x:xf>
    <x:xf numFmtId="0" fontId="18" fillId="0" borderId="0" xfId="0" applyNumberFormat="1" applyFont="1" applyFill="1" applyBorder="1" applyAlignment="1">
      <x:alignment vertical="center" wrapText="1"/>
    </x:xf>
    <x:xf numFmtId="0" fontId="1" fillId="9" borderId="2" xfId="0" applyNumberFormat="1" applyFont="1" applyFill="1" applyBorder="1" applyAlignment="1">
      <x:alignment horizontal="center" vertical="center" wrapText="1"/>
    </x:xf>
    <x:xf numFmtId="0" fontId="1" fillId="9" borderId="3" xfId="0" applyNumberFormat="1" applyFont="1" applyFill="1" applyBorder="1" applyAlignment="1">
      <x:alignment horizontal="center" vertical="center" wrapText="1"/>
    </x:xf>
    <x:xf numFmtId="0" fontId="1" fillId="9" borderId="4" xfId="0" applyNumberFormat="1" applyFont="1" applyFill="1" applyBorder="1" applyAlignment="1">
      <x:alignment horizontal="center" vertical="center" wrapText="1"/>
    </x:xf>
    <x:xf numFmtId="0" fontId="18" fillId="0" borderId="5" xfId="0" applyNumberFormat="1" applyFont="1" applyFill="1" applyBorder="1" applyAlignment="1">
      <x:alignment vertical="center" wrapText="1"/>
    </x:xf>
    <x:xf numFmtId="0" fontId="18" fillId="0" xfId="0" applyNumberFormat="1" applyFont="1" applyFill="1" applyBorder="0" applyAlignment="1">
      <x:alignment vertical="center" wrapText="1"/>
    </x:xf>
    <x:xf numFmtId="0" fontId="18" fillId="0" borderId="6" xfId="0" applyNumberFormat="1" applyFont="1" applyFill="1" applyBorder="1" applyAlignment="1">
      <x:alignment vertical="center" wrapText="1"/>
    </x:xf>
    <x:xf numFmtId="0" fontId="18" fillId="0" borderId="7" xfId="0" applyNumberFormat="1" applyFont="1" applyFill="1" applyBorder="1" applyAlignment="1">
      <x:alignment vertical="center" wrapText="1"/>
    </x:xf>
    <x:xf numFmtId="0" fontId="18" fillId="0" borderId="8" xfId="0" applyNumberFormat="1" applyFont="1" applyFill="1" applyBorder="1" applyAlignment="1">
      <x:alignment vertical="center" wrapText="1"/>
    </x:xf>
    <x:xf numFmtId="0" fontId="18" fillId="0" borderId="9" xfId="0" applyNumberFormat="1" applyFont="1" applyFill="1" applyBorder="1" applyAlignment="1">
      <x:alignment vertical="center" wrapText="1"/>
    </x:xf>
    <x:xf numFmtId="0" fontId="18" fillId="10" borderId="5" xfId="0" applyNumberFormat="1" applyFont="1" applyFill="1" applyBorder="1" applyAlignment="1">
      <x:alignment vertical="center" wrapText="1"/>
    </x:xf>
    <x:xf numFmtId="0" fontId="18" fillId="10" xfId="0" applyNumberFormat="1" applyFont="1" applyFill="1" applyBorder="0" applyAlignment="1">
      <x:alignment vertical="center" wrapText="1"/>
    </x:xf>
    <x:xf numFmtId="0" fontId="18" fillId="10" borderId="6" xfId="0" applyNumberFormat="1" applyFont="1" applyFill="1" applyBorder="1" applyAlignment="1">
      <x:alignment vertical="center" wrapText="1"/>
    </x:xf>
    <x:xf numFmtId="0" fontId="18" fillId="10" borderId="7" xfId="0" applyNumberFormat="1" applyFont="1" applyFill="1" applyBorder="1" applyAlignment="1">
      <x:alignment vertical="center" wrapText="1"/>
    </x:xf>
    <x:xf numFmtId="0" fontId="18" fillId="10" borderId="8" xfId="0" applyNumberFormat="1" applyFont="1" applyFill="1" applyBorder="1" applyAlignment="1">
      <x:alignment vertical="center" wrapText="1"/>
    </x:xf>
    <x:xf numFmtId="0" fontId="18" fillId="10" borderId="9" xfId="0" applyNumberFormat="1" applyFont="1" applyFill="1" applyBorder="1" applyAlignment="1">
      <x:alignment vertical="center" wrapText="1"/>
    </x:xf>
    <x:xf numFmtId="0" fontId="18" fillId="10" xfId="0" applyNumberFormat="1" applyFont="1" applyFill="1" applyBorder="0" applyAlignment="1">
      <x:alignment horizontal="center" vertical="center" wrapText="1"/>
    </x:xf>
    <x:xf numFmtId="0" fontId="18" fillId="0" xfId="0" applyNumberFormat="1" applyFont="1" applyFill="1" applyBorder="0" applyAlignment="1">
      <x:alignment horizontal="center" vertical="center" wrapText="1"/>
    </x:xf>
    <x:xf numFmtId="0" fontId="18" fillId="10" borderId="8" xfId="0" applyNumberFormat="1" applyFont="1" applyFill="1" applyBorder="1" applyAlignment="1">
      <x:alignment horizontal="center" vertical="center" wrapText="1"/>
    </x:xf>
    <x:xf numFmtId="0" fontId="18" fillId="10" borderId="5" xfId="0" applyNumberFormat="1" applyFont="1" applyFill="1" applyBorder="1" applyAlignment="1">
      <x:alignment horizontal="center" vertical="center" wrapText="1"/>
    </x:xf>
    <x:xf numFmtId="0" fontId="18" fillId="0" borderId="5" xfId="0" applyNumberFormat="1" applyFont="1" applyFill="1" applyBorder="1" applyAlignment="1">
      <x:alignment horizontal="center" vertical="center" wrapText="1"/>
    </x:xf>
    <x:xf numFmtId="0" fontId="18" fillId="10" borderId="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FFA94B00"/>
      </x:font>
      <x:fill>
        <x:patternFill>
          <x:bgColor rgb="FFFCE8D5"/>
        </x:patternFill>
      </x:fill>
    </x:dxf>
    <x:dxf>
      <x:font>
        <x:b/>
        <x:color rgb="FF7A5A00"/>
      </x:font>
      <x:fill>
        <x:patternFill>
          <x:bgColor rgb="FFFFF4CC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1E3A8A"/>
      </x:font>
      <x:fill>
        <x:patternFill>
          <x:bgColor rgb="FFDBEAFE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b7ef6e8b464435" /><Relationship Type="http://schemas.openxmlformats.org/officeDocument/2006/relationships/theme" Target="/xl/theme/theme1.xml" Id="R723721e8f2474756" /><Relationship Type="http://schemas.openxmlformats.org/officeDocument/2006/relationships/sharedStrings" Target="/xl/sharedStrings.xml" Id="Re1b1eac4f2a14ffd" /><Relationship Type="http://schemas.openxmlformats.org/officeDocument/2006/relationships/worksheet" Target="/xl/worksheets/sheet1.xml" Id="Rde75b5ea3b0145eb" /><Relationship Type="http://schemas.openxmlformats.org/officeDocument/2006/relationships/worksheet" Target="/xl/worksheets/sheet2.xml" Id="R7fa23b82b745432c" /><Relationship Type="http://schemas.openxmlformats.org/officeDocument/2006/relationships/worksheet" Target="/xl/worksheets/sheet3.xml" Id="Rfc645a95e5494691" /><Relationship Type="http://schemas.openxmlformats.org/officeDocument/2006/relationships/worksheet" Target="/xl/worksheets/sheet4.xml" Id="Rb4cb38916af746c9" /><Relationship Type="http://schemas.openxmlformats.org/officeDocument/2006/relationships/worksheet" Target="/xl/worksheets/sheet5.xml" Id="R96f6f182b4404350" /><Relationship Type="http://schemas.openxmlformats.org/officeDocument/2006/relationships/worksheet" Target="/xl/worksheets/sheet6.xml" Id="R82754cf5f79d45eb" /><Relationship Type="http://schemas.openxmlformats.org/officeDocument/2006/relationships/worksheet" Target="/xl/worksheets/sheet7.xml" Id="R9d76e0a8ca9e406f" /><Relationship Type="http://schemas.openxmlformats.org/officeDocument/2006/relationships/worksheet" Target="/xl/worksheets/sheet8.xml" Id="R9279de05856149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30" hidden="0" customWidth="1"/>
    <x:col min="4" max="4" width="24" hidden="0" customWidth="1"/>
    <x:col min="5" max="5" width="18" hidden="0" customWidth="1"/>
    <x:col min="6" max="6" width="16" hidden="0" customWidth="1"/>
    <x:col min="7" max="7" width="20" hidden="0" customWidth="1"/>
    <x:col min="8" max="8" width="24" hidden="0" customWidth="1"/>
    <x:col min="9" max="9" width="48" hidden="0" customWidth="1"/>
    <x:col min="10" max="10" width="18" hidden="0" customWidth="1"/>
    <x:col min="11" max="11" width="28" hidden="0" customWidth="1"/>
  </x:cols>
  <x:sheetData>
    <x:row r="1" ht="30" customHeight="1">
      <x:c r="A1" s="56" t="str">
        <x:v>PRESOL — Prospectos Nuevos | Córdoba Capital · Marcas + parques industriales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</x:row>
    <x:row r="2" ht="22" customHeight="1">
      <x:c r="A2" s="58" t="str">
        <x:v>Solo altas nuevas respecto de la base maestra · 84 prospectos · 25 incorporados en la tercera pasada · 14/09/2026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</x:row>
    <x:row r="3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</x:row>
    <x:row r="4">
      <x:c r="A4" s="61" t="str">
        <x:v>TOTAL</x:v>
      </x:c>
      <x:c r="B4" s="61"/>
      <x:c r="C4" s="61" t="str">
        <x:v>A+</x:v>
      </x:c>
      <x:c r="D4" s="61"/>
      <x:c r="E4" s="61" t="str">
        <x:v>A</x:v>
      </x:c>
      <x:c r="F4" s="61"/>
      <x:c r="G4" s="61" t="str">
        <x:v>B</x:v>
      </x:c>
      <x:c r="H4" s="61"/>
      <x:c r="I4" s="61" t="str">
        <x:v>TELÉFONOS OK</x:v>
      </x:c>
      <x:c r="J4" s="61"/>
      <x:c r="K4" s="61" t="str">
        <x:v>ALTAS 3ª PASADA</x:v>
      </x:c>
    </x:row>
    <x:row r="5">
      <x:c r="A5" s="63" t="n">
        <x:f>COUNTA(Prospectos!A2:A200)</x:f>
        <x:v>84</x:v>
      </x:c>
      <x:c r="B5" s="63"/>
      <x:c r="C5" s="63" t="n">
        <x:f>COUNTIF(Prospectos!F2:F200,"A+")</x:f>
        <x:v>35</x:v>
      </x:c>
      <x:c r="D5" s="63"/>
      <x:c r="E5" s="63" t="n">
        <x:f>COUNTIF(Prospectos!F2:F200,"A")</x:f>
        <x:v>36</x:v>
      </x:c>
      <x:c r="F5" s="63"/>
      <x:c r="G5" s="63" t="n">
        <x:f>COUNTIF(Prospectos!F2:F200,"B")</x:f>
        <x:v>13</x:v>
      </x:c>
      <x:c r="H5" s="63"/>
      <x:c r="I5" s="63" t="n">
        <x:f>COUNTIF(Prospectos!L2:L200,"OK")</x:f>
        <x:v>82</x:v>
      </x:c>
      <x:c r="J5" s="63"/>
      <x:c r="K5" s="65" t="n">
        <x:f>COUNTIF(Prospectos!AF2:AF200,"Tercera pasada marcas + parques Córdoba Capital 2026-09-14")</x:f>
        <x:v>25</x:v>
      </x:c>
    </x:row>
    <x:row r="6">
      <x:c r="A6" s="46"/>
      <x:c r="B6" s="46"/>
      <x:c r="C6" s="46"/>
      <x:c r="D6" s="46"/>
      <x:c r="E6" s="46"/>
      <x:c r="F6" s="46"/>
      <x:c r="G6" s="46"/>
      <x:c r="H6" s="46"/>
      <x:c r="I6" s="46"/>
      <x:c r="J6" s="46"/>
      <x:c r="K6" s="46"/>
    </x:row>
    <x:row r="7">
      <x:c r="A7" s="46"/>
      <x:c r="B7" s="46"/>
      <x:c r="C7" s="46"/>
      <x:c r="D7" s="46"/>
      <x:c r="E7" s="46"/>
      <x:c r="F7" s="46"/>
      <x:c r="G7" s="46"/>
      <x:c r="H7" s="46"/>
      <x:c r="I7" s="46"/>
      <x:c r="J7" s="46"/>
      <x:c r="K7" s="46"/>
    </x:row>
    <x:row r="8">
      <x:c r="A8" s="67" t="str">
        <x:v>ID</x:v>
      </x:c>
      <x:c r="B8" s="67" t="str">
        <x:v>Clase</x:v>
      </x:c>
      <x:c r="C8" s="67" t="str">
        <x:v>Empresa</x:v>
      </x:c>
      <x:c r="D8" s="67" t="str">
        <x:v>Categoría comercial</x:v>
      </x:c>
      <x:c r="E8" s="67" t="str">
        <x:v>Corredor</x:v>
      </x:c>
      <x:c r="F8" s="67" t="str">
        <x:v>Ciudad</x:v>
      </x:c>
      <x:c r="G8" s="67" t="str">
        <x:v>Teléfonos</x:v>
      </x:c>
      <x:c r="H8" s="67" t="str">
        <x:v>Preguntar por</x:v>
      </x:c>
      <x:c r="I8" s="67" t="str">
        <x:v>Necesidad probable</x:v>
      </x:c>
      <x:c r="J8" s="67" t="str">
        <x:v>Prioridad de visita</x:v>
      </x:c>
      <x:c r="K8" s="67" t="str">
        <x:v>Nota Dirección</x:v>
      </x:c>
    </x:row>
    <x:row r="9" ht="40" customHeight="1">
      <x:c r="A9" s="14" t="str">
        <x:v>CBA-027</x:v>
      </x:c>
      <x:c r="B9" s="14" t="str">
        <x:v>A+</x:v>
      </x:c>
      <x:c r="C9" s="14" t="str">
        <x:v>Finning Cat - Sucursal Córdoba y Cat Rental Store</x:v>
      </x:c>
      <x:c r="D9" s="14" t="str">
        <x:v>Alquiler / dealer maquinaria pesada</x:v>
      </x:c>
      <x:c r="E9" s="14" t="str">
        <x:v>Córdoba Capital</x:v>
      </x:c>
      <x:c r="F9" s="14" t="str">
        <x:v>Córdoba Capital</x:v>
      </x:c>
      <x:c r="G9" s="14" t="str">
        <x:v>+54 351 4101150</x:v>
      </x:c>
      <x:c r="H9" s="14" t="str">
        <x:v>Cat Rental Store / logística / usados / servicio</x:v>
      </x:c>
      <x:c r="I9" s="14" t="str">
        <x:v>Entrega y retiro de excavadoras, cargadores, retroexcavadoras, motoniveladoras, minicargadores y equipos Cat de alquiler/venta.</x:v>
      </x:c>
      <x:c r="J9" s="14" t="str">
        <x:v>A+ — visita/llamada inmediata</x:v>
      </x:c>
      <x:c r="K9" s="14" t="str">
        <x:v>Av. de Circunvalación Agustín Tosco 1950, Córdoba</x:v>
      </x:c>
    </x:row>
    <x:row r="10" ht="40" customHeight="1">
      <x:c r="A10" s="14" t="str">
        <x:v>CBA-066</x:v>
      </x:c>
      <x:c r="B10" s="14" t="str">
        <x:v>A+</x:v>
      </x:c>
      <x:c r="C10" s="14" t="str">
        <x:v>GRUMAQ - Sucursal Córdoba</x:v>
      </x:c>
      <x:c r="D10" s="14" t="str">
        <x:v>Alquiler / dealer maquinaria pesada</x:v>
      </x:c>
      <x:c r="E10" s="14" t="str">
        <x:v>Córdoba Capital</x:v>
      </x:c>
      <x:c r="F10" s="14" t="str">
        <x:v>Córdoba Capital</x:v>
      </x:c>
      <x:c r="G10" s="14" t="str">
        <x:v>0810-555-4767</x:v>
      </x:c>
      <x:c r="H10" s="14" t="str">
        <x:v>Rental / sucursal Córdoba / logística / service</x:v>
      </x:c>
      <x:c r="I10" s="14" t="str">
        <x:v>Entrega y retiro de excavadoras, cargadoras, retroexcavadoras, motoniveladoras y minicargadoras CASE, además de usados y equipos de service.</x:v>
      </x:c>
      <x:c r="J10" s="14" t="str">
        <x:v>A+ — visita/llamada inmediata</x:v>
      </x:c>
      <x:c r="K10" s="14" t="str">
        <x:v>Av. Circunvalación Colectora Norte s/n, entre Rancagua y Capdevila, Córdoba</x:v>
      </x:c>
    </x:row>
    <x:row r="11" ht="40" customHeight="1">
      <x:c r="A11" s="14" t="str">
        <x:v>CBA-060</x:v>
      </x:c>
      <x:c r="B11" s="14" t="str">
        <x:v>A+</x:v>
      </x:c>
      <x:c r="C11" s="14" t="str">
        <x:v>Igarreta Máquinas S.A. - Sucursal Centro (Komatsu)</x:v>
      </x:c>
      <x:c r="D11" s="14" t="str">
        <x:v>Alquiler / dealer maquinaria pesada</x:v>
      </x:c>
      <x:c r="E11" s="14" t="str">
        <x:v>Córdoba Capital</x:v>
      </x:c>
      <x:c r="F11" s="14" t="str">
        <x:v>Córdoba Capital</x:v>
      </x:c>
      <x:c r="G11" s="14" t="str">
        <x:v>0351 236-3110</x:v>
      </x:c>
      <x:c r="H11" s="14" t="str">
        <x:v>rental / logística / posventa / usados</x:v>
      </x:c>
      <x:c r="I11" s="14" t="str">
        <x:v>Entrega y retiro de excavadoras, cargadoras, topadoras, motoniveladoras y compactadores Komatsu entre sucursal, clientes y obras.</x:v>
      </x:c>
      <x:c r="J11" s="14" t="str">
        <x:v>A+ — visita/llamada inmediata</x:v>
      </x:c>
      <x:c r="K11" s="14" t="str">
        <x:v>Av. Juan B. Justo 6400, Córdoba</x:v>
      </x:c>
    </x:row>
    <x:row r="12" ht="40" customHeight="1">
      <x:c r="A12" s="14" t="str">
        <x:v>CBA-040</x:v>
      </x:c>
      <x:c r="B12" s="14" t="str">
        <x:v>A+</x:v>
      </x:c>
      <x:c r="C12" s="14" t="str">
        <x:v>Industrias MG - JMV</x:v>
      </x:c>
      <x:c r="D12" s="14" t="str">
        <x:v>Alquiler / dealer maquinaria pesada</x:v>
      </x:c>
      <x:c r="E12" s="14" t="str">
        <x:v>Córdoba Capital</x:v>
      </x:c>
      <x:c r="F12" s="14" t="str">
        <x:v>Córdoba Capital</x:v>
      </x:c>
      <x:c r="G12" s="14" t="str">
        <x:v>+54 351 4704400 / +54 351 4704404</x:v>
      </x:c>
      <x:c r="H12" s="14" t="str">
        <x:v>alquileres / logística / usados / servicio</x:v>
      </x:c>
      <x:c r="I12" s="14" t="str">
        <x:v>Movimiento de palas, retroexcavadoras, excavadoras, minicargadoras, autoelevadores y plataformas entre sucursales/clientes.</x:v>
      </x:c>
      <x:c r="J12" s="14" t="str">
        <x:v>A+ — visita/llamada inmediata</x:v>
      </x:c>
      <x:c r="K12" s="14" t="str">
        <x:v>Av. Juan B. Justo 4730, Córdoba; Polo 52, Autopista Córdoba-Rosario</x:v>
      </x:c>
    </x:row>
    <x:row r="13" ht="40" customHeight="1">
      <x:c r="A13" s="14" t="str">
        <x:v>CBA-001</x:v>
      </x:c>
      <x:c r="B13" s="14" t="str">
        <x:v>A+</x:v>
      </x:c>
      <x:c r="C13" s="14" t="str">
        <x:v>Industrias Moreno</x:v>
      </x:c>
      <x:c r="D13" s="14" t="str">
        <x:v>Metalúrgica y fabricación</x:v>
      </x:c>
      <x:c r="E13" s="14" t="str">
        <x:v>Córdoba Capital</x:v>
      </x:c>
      <x:c r="F13" s="14" t="str">
        <x:v>Córdoba Capital</x:v>
      </x:c>
      <x:c r="G13" s="14" t="str">
        <x:v>+54 9 351 819 7432</x:v>
      </x:c>
      <x:c r="H13" s="14" t="str">
        <x:v>producción / logística / expedición</x:v>
      </x:c>
      <x:c r="I13" s="14" t="str">
        <x:v>Despacho de estructuras, conjuntos metálicos, piezas mecanizadas y fabricaciones especiales hacia plantas y obras.</x:v>
      </x:c>
      <x:c r="J13" s="14" t="str">
        <x:v>A+ — visita/llamada inmediata</x:v>
      </x:c>
      <x:c r="K13" s="14" t="str">
        <x:v>Av. Sabattini 5337, Córdoba Capital</x:v>
      </x:c>
    </x:row>
    <x:row r="14" ht="40" customHeight="1">
      <x:c r="A14" s="14" t="str">
        <x:v>CBA-026</x:v>
      </x:c>
      <x:c r="B14" s="14" t="str">
        <x:v>A+</x:v>
      </x:c>
      <x:c r="C14" s="14" t="str">
        <x:v>Sullair Argentina</x:v>
      </x:c>
      <x:c r="D14" s="14" t="str">
        <x:v>Alquiler / dealer maquinaria pesada</x:v>
      </x:c>
      <x:c r="E14" s="14" t="str">
        <x:v>Córdoba Capital</x:v>
      </x:c>
      <x:c r="F14" s="14" t="str">
        <x:v>Córdoba Capital</x:v>
      </x:c>
      <x:c r="G14" s="14" t="str">
        <x:v>0810 777 0707 / 0351 2474826</x:v>
      </x:c>
      <x:c r="H14" s="14" t="str">
        <x:v>jefe de alquileres / logística / operaciones</x:v>
      </x:c>
      <x:c r="I14" s="14" t="str">
        <x:v>Movilización frecuente de excavadoras, cargadoras, motoniveladoras, plataformas, manipuladores, compresores y grupos electrógenos entre sucursal y obras.</x:v>
      </x:c>
      <x:c r="J14" s="14" t="str">
        <x:v>A+ — visita/llamada inmediata</x:v>
      </x:c>
      <x:c r="K14" s="14" t="str">
        <x:v>Av. Circunvalación s/N° Colectora Sur entre Camino San Carlos y Camino San Antonio, Córdoba</x:v>
      </x:c>
    </x:row>
    <x:row r="15" ht="40" customHeight="1">
      <x:c r="A15" s="14" t="str">
        <x:v>CBA-062</x:v>
      </x:c>
      <x:c r="B15" s="14" t="str">
        <x:v>A+</x:v>
      </x:c>
      <x:c r="C15" s="14" t="str">
        <x:v>Autoelevadores Centro Motor Toyota</x:v>
      </x:c>
      <x:c r="D15" s="14" t="str">
        <x:v>Autoelevadores y elevación</x:v>
      </x:c>
      <x:c r="E15" s="14" t="str">
        <x:v>Córdoba Capital</x:v>
      </x:c>
      <x:c r="F15" s="14" t="str">
        <x:v>Córdoba Capital</x:v>
      </x:c>
      <x:c r="G15" s="14" t="str">
        <x:v>0351 484-9400 / 0351 485-8484</x:v>
      </x:c>
      <x:c r="H15" s="14" t="str">
        <x:v>alquileres / logística / posventa</x:v>
      </x:c>
      <x:c r="I15" s="14" t="str">
        <x:v>Entrega, retiro y traslado de autoelevadores entre sucursal, clientes y servicio técnico.</x:v>
      </x:c>
      <x:c r="J15" s="14" t="str">
        <x:v>A+ — visita/llamada inmediata</x:v>
      </x:c>
      <x:c r="K15" s="14" t="str">
        <x:v>Av. Colón 5077, Córdoba</x:v>
      </x:c>
    </x:row>
    <x:row r="16" ht="40" customHeight="1">
      <x:c r="A16" s="14" t="str">
        <x:v>CBA-061</x:v>
      </x:c>
      <x:c r="B16" s="14" t="str">
        <x:v>A+</x:v>
      </x:c>
      <x:c r="C16" s="14" t="str">
        <x:v>Frasinelli Máquinas y Repuestos S.A.</x:v>
      </x:c>
      <x:c r="D16" s="14" t="str">
        <x:v>Alquiler / dealer maquinaria pesada</x:v>
      </x:c>
      <x:c r="E16" s="14" t="str">
        <x:v>Córdoba Capital</x:v>
      </x:c>
      <x:c r="F16" s="14" t="str">
        <x:v>Córdoba Capital</x:v>
      </x:c>
      <x:c r="G16" s="14" t="str">
        <x:v>+54 9 351 403-3567 / 0351 470-2260</x:v>
      </x:c>
      <x:c r="H16" s="14" t="str">
        <x:v>ventas / posventa / logística / taller</x:v>
      </x:c>
      <x:c r="I16" s="14" t="str">
        <x:v>Movimiento de maquinaria vial y de construcción para entregas, retiros, service y equipos usados.</x:v>
      </x:c>
      <x:c r="J16" s="14" t="str">
        <x:v>A+ — visita/llamada inmediata</x:v>
      </x:c>
      <x:c r="K16" s="14" t="str">
        <x:v>Av. Juan B. Justo 5008, Córdoba</x:v>
      </x:c>
    </x:row>
    <x:row r="17" ht="40" customHeight="1">
      <x:c r="A17" s="14" t="str">
        <x:v>CBA-028</x:v>
      </x:c>
      <x:c r="B17" s="14" t="str">
        <x:v>A+</x:v>
      </x:c>
      <x:c r="C17" s="14" t="str">
        <x:v>Grupo Pomiglio / Hangcha</x:v>
      </x:c>
      <x:c r="D17" s="14" t="str">
        <x:v>Autoelevadores y elevación</x:v>
      </x:c>
      <x:c r="E17" s="14" t="str">
        <x:v>Córdoba Capital</x:v>
      </x:c>
      <x:c r="F17" s="14" t="str">
        <x:v>Córdoba Capital</x:v>
      </x:c>
      <x:c r="G17" s="14" t="str">
        <x:v>+54 9 351 58551317</x:v>
      </x:c>
      <x:c r="H17" s="14" t="str">
        <x:v>alquileres / logística / servicio técnico</x:v>
      </x:c>
      <x:c r="I17" s="14" t="str">
        <x:v>Movimiento de autoelevadores, apiladores, plataformas, palas cargadoras y manipuladores entre showroom, taller y clientes.</x:v>
      </x:c>
      <x:c r="J17" s="14" t="str">
        <x:v>A+ — visita/llamada inmediata</x:v>
      </x:c>
      <x:c r="K17" s="14" t="str">
        <x:v>Gral. Manuel Savio 4960, Córdoba</x:v>
      </x:c>
    </x:row>
    <x:row r="18" ht="40" customHeight="1">
      <x:c r="A18" s="14" t="str">
        <x:v>CBA-063</x:v>
      </x:c>
      <x:c r="B18" s="14" t="str">
        <x:v>A+</x:v>
      </x:c>
      <x:c r="C18" s="14" t="str">
        <x:v>Horizon High Reach Limited - Haulotte Group</x:v>
      </x:c>
      <x:c r="D18" s="14" t="str">
        <x:v>Autoelevadores y elevación</x:v>
      </x:c>
      <x:c r="E18" s="14" t="str">
        <x:v>Córdoba Capital</x:v>
      </x:c>
      <x:c r="F18" s="14" t="str">
        <x:v>Córdoba Capital</x:v>
      </x:c>
      <x:c r="G18" s="14" t="str">
        <x:v>0351 700-0302</x:v>
      </x:c>
      <x:c r="H18" s="14" t="str">
        <x:v>alquileres / operaciones / logística</x:v>
      </x:c>
      <x:c r="I18" s="14" t="str">
        <x:v>Entrega y retiro de plataformas elevadoras, brazos y equipos de altura entre base y obras.</x:v>
      </x:c>
      <x:c r="J18" s="14" t="str">
        <x:v>A+ — visita/llamada inmediata</x:v>
      </x:c>
      <x:c r="K18" s="14" t="str">
        <x:v>Av. Japón 1010, Guiñazú, Córdoba</x:v>
      </x:c>
    </x:row>
    <x:row r="19" ht="40" customHeight="1">
      <x:c r="A19" s="14" t="str">
        <x:v>CBA-035</x:v>
      </x:c>
      <x:c r="B19" s="14" t="str">
        <x:v>A+</x:v>
      </x:c>
      <x:c r="C19" s="14" t="str">
        <x:v>Maquinarias Córdoba S.A. / Demoliciones Córdoba</x:v>
      </x:c>
      <x:c r="D19" s="14" t="str">
        <x:v>Construcción vial / movimiento de suelo</x:v>
      </x:c>
      <x:c r="E19" s="14" t="str">
        <x:v>Córdoba Capital</x:v>
      </x:c>
      <x:c r="F19" s="14" t="str">
        <x:v>Córdoba Capital</x:v>
      </x:c>
      <x:c r="G19" s="14" t="str">
        <x:v>+54 351 5517574</x:v>
      </x:c>
      <x:c r="H19" s="14" t="str">
        <x:v>operaciones / alquileres / logística</x:v>
      </x:c>
      <x:c r="I19" s="14" t="str">
        <x:v>Traslado de maquinaria pesada propia a obras, demoliciones y servicios de movimiento de suelo.</x:v>
      </x:c>
      <x:c r="J19" s="14" t="str">
        <x:v>A+ — visita/llamada inmediata</x:v>
      </x:c>
      <x:c r="K19" s="14" t="str">
        <x:v>José Font 4450, Córdoba</x:v>
      </x:c>
    </x:row>
    <x:row r="20" ht="40" customHeight="1">
      <x:c r="A20" s="14" t="str">
        <x:v>CBA-041</x:v>
      </x:c>
      <x:c r="B20" s="14" t="str">
        <x:v>A+</x:v>
      </x:c>
      <x:c r="C20" s="14" t="str">
        <x:v>LiuGong Córdoba</x:v>
      </x:c>
      <x:c r="D20" s="14" t="str">
        <x:v>Alquiler / dealer maquinaria pesada</x:v>
      </x:c>
      <x:c r="E20" s="14" t="str">
        <x:v>Córdoba Capital</x:v>
      </x:c>
      <x:c r="F20" s="14" t="str">
        <x:v>Córdoba Capital</x:v>
      </x:c>
      <x:c r="G20" s="14" t="str">
        <x:v>+54 351 8863031</x:v>
      </x:c>
      <x:c r="H20" s="14" t="str">
        <x:v>gerencia Córdoba / ventas / posventa / logística</x:v>
      </x:c>
      <x:c r="I20" s="14" t="str">
        <x:v>Entrega/retiro de cargadoras, excavadoras, autoelevadores y otros equipos pesados.</x:v>
      </x:c>
      <x:c r="J20" s="14" t="str">
        <x:v>A+ — visita/llamada inmediata</x:v>
      </x:c>
      <x:c r="K20" s="14" t="str">
        <x:v>Av. Japón 950, Córdoba</x:v>
      </x:c>
    </x:row>
    <x:row r="21" ht="40" customHeight="1">
      <x:c r="A21" s="14" t="str">
        <x:v>CBA-034</x:v>
      </x:c>
      <x:c r="B21" s="14" t="str">
        <x:v>A+</x:v>
      </x:c>
      <x:c r="C21" s="14" t="str">
        <x:v>Mancor</x:v>
      </x:c>
      <x:c r="D21" s="14" t="str">
        <x:v>Construcción vial / movimiento de suelo</x:v>
      </x:c>
      <x:c r="E21" s="14" t="str">
        <x:v>Córdoba Capital</x:v>
      </x:c>
      <x:c r="F21" s="14" t="str">
        <x:v>Córdoba Capital</x:v>
      </x:c>
      <x:c r="G21" s="14" t="str">
        <x:v>+54 351 4896191 / +54 9 351 3837592</x:v>
      </x:c>
      <x:c r="H21" s="14" t="str">
        <x:v>alquiler maquinaria / operaciones / jefe de obra</x:v>
      </x:c>
      <x:c r="I21" s="14" t="str">
        <x:v>Movilización de retroexcavadoras, motoniveladoras, rodillos y otros equipos entre obras y clientes de alquiler.</x:v>
      </x:c>
      <x:c r="J21" s="14" t="str">
        <x:v>A+ — visita/llamada inmediata</x:v>
      </x:c>
      <x:c r="K21" s="14" t="str">
        <x:v>Dr. Pedro Chutro 1335, Córdoba</x:v>
      </x:c>
    </x:row>
    <x:row r="22" ht="40" customHeight="1">
      <x:c r="A22" s="14" t="str">
        <x:v>CBA-029</x:v>
      </x:c>
      <x:c r="B22" s="14" t="str">
        <x:v>A+</x:v>
      </x:c>
      <x:c r="C22" s="14" t="str">
        <x:v>Maquinarias Centro</x:v>
      </x:c>
      <x:c r="D22" s="14" t="str">
        <x:v>Autoelevadores y elevación</x:v>
      </x:c>
      <x:c r="E22" s="14" t="str">
        <x:v>Córdoba Capital</x:v>
      </x:c>
      <x:c r="F22" s="14" t="str">
        <x:v>Córdoba Capital</x:v>
      </x:c>
      <x:c r="G22" s="14" t="str">
        <x:v>+54 9 351 2289661</x:v>
      </x:c>
      <x:c r="H22" s="14" t="str">
        <x:v>alquileres / logística / servicio técnico</x:v>
      </x:c>
      <x:c r="I22" s="14" t="str">
        <x:v>Traslado de autoelevadores de 2,5 a 5 t y plataformas de elevación entre depósito, clientes y taller.</x:v>
      </x:c>
      <x:c r="J22" s="14" t="str">
        <x:v>A+ — visita/llamada inmediata</x:v>
      </x:c>
      <x:c r="K22" s="14" t="str">
        <x:v>Gabino Coria Peñaloza 3015, Córdoba</x:v>
      </x:c>
    </x:row>
    <x:row r="23" ht="40" customHeight="1">
      <x:c r="A23" s="14" t="str">
        <x:v>CBA-033</x:v>
      </x:c>
      <x:c r="B23" s="14" t="str">
        <x:v>A+</x:v>
      </x:c>
      <x:c r="C23" s="14" t="str">
        <x:v>Pro Fast SRL</x:v>
      </x:c>
      <x:c r="D23" s="14" t="str">
        <x:v>Autoelevadores y elevación</x:v>
      </x:c>
      <x:c r="E23" s="14" t="str">
        <x:v>Córdoba Capital</x:v>
      </x:c>
      <x:c r="F23" s="14" t="str">
        <x:v>Córdoba Capital</x:v>
      </x:c>
      <x:c r="G23" s="14" t="str">
        <x:v>+54 9 351 7444888 / +54 351 3190664</x:v>
      </x:c>
      <x:c r="H23" s="14" t="str">
        <x:v>alquileres / logística / operaciones</x:v>
      </x:c>
      <x:c r="I23" s="14" t="str">
        <x:v>Entrega y retiro de plataformas tijera y brazos articulados de hasta 20,6 m de altura de trabajo.</x:v>
      </x:c>
      <x:c r="J23" s="14" t="str">
        <x:v>A+ — visita/llamada inmediata</x:v>
      </x:c>
      <x:c r="K23" s="14" t="str">
        <x:v>Las Toscas 1224, Villa Esquiú, Córdoba</x:v>
      </x:c>
    </x:row>
    <x:row r="24" ht="40" customHeight="1">
      <x:c r="A24" s="14" t="str">
        <x:v>CBA-071</x:v>
      </x:c>
      <x:c r="B24" s="14" t="str">
        <x:v>A+</x:v>
      </x:c>
      <x:c r="C24" s="14" t="str">
        <x:v>TZR Bombas y Equipos para Hormigón</x:v>
      </x:c>
      <x:c r="D24" s="14" t="str">
        <x:v>Maquinaria / equipos de construcción</x:v>
      </x:c>
      <x:c r="E24" s="14" t="str">
        <x:v>Córdoba Capital</x:v>
      </x:c>
      <x:c r="F24" s="14" t="str">
        <x:v>Córdoba Capital</x:v>
      </x:c>
      <x:c r="G24" s="14" t="str">
        <x:v>0351 496-7060 / 62 / +54 351 343-9081</x:v>
      </x:c>
      <x:c r="H24" s="14" t="str">
        <x:v>ventas / expedición / service / Federico Lingua</x:v>
      </x:c>
      <x:c r="I24" s="14" t="str">
        <x:v>Despacho y traslado de bombas sobre camión, bombas de arrastre, mixers, silos, plantas dosificadoras y equipos en reparación.</x:v>
      </x:c>
      <x:c r="J24" s="14" t="str">
        <x:v>A+ — visita/llamada inmediata</x:v>
      </x:c>
      <x:c r="K24" s="14" t="str">
        <x:v>Dr. Ricardo Balbín 7451, Ruta 19 km 329, Córdoba</x:v>
      </x:c>
    </x:row>
    <x:row r="25" ht="40" customHeight="1">
      <x:c r="A25" s="14" t="str">
        <x:v>CBA-037</x:v>
      </x:c>
      <x:c r="B25" s="14" t="str">
        <x:v>A+</x:v>
      </x:c>
      <x:c r="C25" s="14" t="str">
        <x:v>Vial RG S.A.</x:v>
      </x:c>
      <x:c r="D25" s="14" t="str">
        <x:v>Construcción vial / movimiento de suelo</x:v>
      </x:c>
      <x:c r="E25" s="14" t="str">
        <x:v>Córdoba Capital</x:v>
      </x:c>
      <x:c r="F25" s="14" t="str">
        <x:v>Córdoba Capital</x:v>
      </x:c>
      <x:c r="G25" s="14" t="str">
        <x:v>+54 9 351 7375164</x:v>
      </x:c>
      <x:c r="H25" s="14" t="str">
        <x:v>taller central / equipos / logística / jefe de obra</x:v>
      </x:c>
      <x:c r="I25" s="14" t="str">
        <x:v>Traslado de maquinaria pesada entre taller central y obras viales en Córdoba/provincia.</x:v>
      </x:c>
      <x:c r="J25" s="14" t="str">
        <x:v>A+ — visita/llamada inmediata</x:v>
      </x:c>
      <x:c r="K25" s="14" t="str">
        <x:v>Montevideo 616, Córdoba Capital; Taller: Julio Arboleda 5550, Córdoba</x:v>
      </x:c>
    </x:row>
    <x:row r="26" ht="40" customHeight="1">
      <x:c r="A26" s="14" t="str">
        <x:v>CBA-030</x:v>
      </x:c>
      <x:c r="B26" s="14" t="str">
        <x:v>A+</x:v>
      </x:c>
      <x:c r="C26" s="14" t="str">
        <x:v>Zamping SRL</x:v>
      </x:c>
      <x:c r="D26" s="14" t="str">
        <x:v>Autoelevadores y elevación</x:v>
      </x:c>
      <x:c r="E26" s="14" t="str">
        <x:v>Córdoba Capital</x:v>
      </x:c>
      <x:c r="F26" s="14" t="str">
        <x:v>Córdoba Capital</x:v>
      </x:c>
      <x:c r="G26" s="14" t="str">
        <x:v>+54 9 351 6001761</x:v>
      </x:c>
      <x:c r="H26" s="14" t="str">
        <x:v>alquileres / logística / taller</x:v>
      </x:c>
      <x:c r="I26" s="14" t="str">
        <x:v>Entregas y retiros de autoelevadores, plataformas y equipos de elevación por hora, día, semana o mes.</x:v>
      </x:c>
      <x:c r="J26" s="14" t="str">
        <x:v>A+ — visita/llamada inmediata</x:v>
      </x:c>
      <x:c r="K26" s="14" t="str">
        <x:v>Córdoba Capital, Córdoba</x:v>
      </x:c>
    </x:row>
    <x:row r="27" ht="40" customHeight="1">
      <x:c r="A27" s="14" t="str">
        <x:v>CBA-003</x:v>
      </x:c>
      <x:c r="B27" s="14" t="str">
        <x:v>A+</x:v>
      </x:c>
      <x:c r="C27" s="14" t="str">
        <x:v>Armoy Construcciones Metálicas</x:v>
      </x:c>
      <x:c r="D27" s="14" t="str">
        <x:v>Metalúrgica y fabricación</x:v>
      </x:c>
      <x:c r="E27" s="14" t="str">
        <x:v>Córdoba Capital</x:v>
      </x:c>
      <x:c r="F27" s="14" t="str">
        <x:v>Córdoba Capital</x:v>
      </x:c>
      <x:c r="G27" s="14" t="str">
        <x:v>351 3859321 / 351 5060369</x:v>
      </x:c>
      <x:c r="H27" s="14" t="str">
        <x:v>logística / producción / montaje</x:v>
      </x:c>
      <x:c r="I27" s="14" t="str">
        <x:v>Traslado de estructuras, perfiles, silos, calderería y componentes hacia obras y plantas.</x:v>
      </x:c>
      <x:c r="J27" s="14" t="str">
        <x:v>A+ — visita/llamada inmediata</x:v>
      </x:c>
      <x:c r="K27" s="14" t="str">
        <x:v>Bv. Los Alemanes 3284, Córdoba Capital</x:v>
      </x:c>
    </x:row>
    <x:row r="28" ht="40" customHeight="1">
      <x:c r="A28" s="14" t="str">
        <x:v>CBA-038</x:v>
      </x:c>
      <x:c r="B28" s="14" t="str">
        <x:v>A+</x:v>
      </x:c>
      <x:c r="C28" s="14" t="str">
        <x:v>Benito Roggio e Hijos S.A.</x:v>
      </x:c>
      <x:c r="D28" s="14" t="str">
        <x:v>Construcción vial / movimiento de suelo</x:v>
      </x:c>
      <x:c r="E28" s="14" t="str">
        <x:v>Córdoba Capital</x:v>
      </x:c>
      <x:c r="F28" s="14" t="str">
        <x:v>Córdoba Capital</x:v>
      </x:c>
      <x:c r="G28" s="14" t="str">
        <x:v>+54 351 6380045 / +54 351 4759345</x:v>
      </x:c>
      <x:c r="H28" s="14" t="str">
        <x:v>equipos / logística / compras / jefe de obra</x:v>
      </x:c>
      <x:c r="I28" s="14" t="str">
        <x:v>Movilización de maquinaria, obradores, equipos y componentes entre grandes obras.</x:v>
      </x:c>
      <x:c r="J28" s="14" t="str">
        <x:v>A+ — visita/llamada inmediata</x:v>
      </x:c>
      <x:c r="K28" s="14" t="str">
        <x:v>Vito Remo Roggio 3531, Córdoba</x:v>
      </x:c>
    </x:row>
    <x:row r="29" ht="40" customHeight="1">
      <x:c r="A29" s="14" t="str">
        <x:v>CBA-042</x:v>
      </x:c>
      <x:c r="B29" s="14" t="str">
        <x:v>A+</x:v>
      </x:c>
      <x:c r="C29" s="14" t="str">
        <x:v>Centro Vial / ROMECO Córdoba</x:v>
      </x:c>
      <x:c r="D29" s="14" t="str">
        <x:v>Alquiler / dealer maquinaria pesada</x:v>
      </x:c>
      <x:c r="E29" s="14" t="str">
        <x:v>Córdoba Capital</x:v>
      </x:c>
      <x:c r="F29" s="14" t="str">
        <x:v>Córdoba Capital</x:v>
      </x:c>
      <x:c r="G29" s="14" t="str">
        <x:v>+54 9 351 3090000</x:v>
      </x:c>
      <x:c r="H29" s="14" t="str">
        <x:v>ventas / taller / logística / usados</x:v>
      </x:c>
      <x:c r="I29" s="14" t="str">
        <x:v>Movimiento de equipos de construcción entre taller, clientes y obras.</x:v>
      </x:c>
      <x:c r="J29" s="14" t="str">
        <x:v>A+ — visita/llamada inmediata</x:v>
      </x:c>
      <x:c r="K29" s="14" t="str">
        <x:v>Av. Circunvalación 1180, Colectora Sur, X5014 Córdoba</x:v>
      </x:c>
    </x:row>
    <x:row r="30" ht="40" customHeight="1">
      <x:c r="A30" s="14" t="str">
        <x:v>CBA-043</x:v>
      </x:c>
      <x:c r="B30" s="14" t="str">
        <x:v>A+</x:v>
      </x:c>
      <x:c r="C30" s="14" t="str">
        <x:v>DI LUCA | Constructora</x:v>
      </x:c>
      <x:c r="D30" s="14" t="str">
        <x:v>Construcción vial / movimiento de suelo</x:v>
      </x:c>
      <x:c r="E30" s="14" t="str">
        <x:v>Córdoba Capital</x:v>
      </x:c>
      <x:c r="F30" s="14" t="str">
        <x:v>Córdoba Capital</x:v>
      </x:c>
      <x:c r="G30" s="14" t="str">
        <x:v>+54 9 351 9037342 / +54 351 2339136</x:v>
      </x:c>
      <x:c r="H30" s="14" t="str">
        <x:v>operaciones / equipos / jefe de obra</x:v>
      </x:c>
      <x:c r="I30" s="14" t="str">
        <x:v>Traslado de excavadoras, equipos de compactación y maquinaria entre frentes de obra.</x:v>
      </x:c>
      <x:c r="J30" s="14" t="str">
        <x:v>A+ — visita/llamada inmediata</x:v>
      </x:c>
      <x:c r="K30" s="14" t="str">
        <x:v>Rufino Cuervo 1085, Córdoba</x:v>
      </x:c>
    </x:row>
    <x:row r="31" ht="40" customHeight="1">
      <x:c r="A31" s="14" t="str">
        <x:v>CBA-049</x:v>
      </x:c>
      <x:c r="B31" s="14" t="str">
        <x:v>A+</x:v>
      </x:c>
      <x:c r="C31" s="14" t="str">
        <x:v>Demoliciones Brasca</x:v>
      </x:c>
      <x:c r="D31" s="14" t="str">
        <x:v>Construcción vial / movimiento de suelo</x:v>
      </x:c>
      <x:c r="E31" s="14" t="str">
        <x:v>Córdoba Capital</x:v>
      </x:c>
      <x:c r="F31" s="14" t="str">
        <x:v>Córdoba Capital</x:v>
      </x:c>
      <x:c r="G31" s="14" t="str">
        <x:v>+54 351 4510341</x:v>
      </x:c>
      <x:c r="H31" s="14" t="str">
        <x:v>operaciones / equipos / logística</x:v>
      </x:c>
      <x:c r="I31" s="14" t="str">
        <x:v>Movilización de equipos de demolición y maquinaria entre trabajos.</x:v>
      </x:c>
      <x:c r="J31" s="14" t="str">
        <x:v>A+ — visita/llamada inmediata</x:v>
      </x:c>
      <x:c r="K31" s="14" t="str">
        <x:v>Méjico 155, X5004 Córdoba</x:v>
      </x:c>
    </x:row>
    <x:row r="32" ht="40" customHeight="1">
      <x:c r="A32" s="14" t="str">
        <x:v>CBA-047</x:v>
      </x:c>
      <x:c r="B32" s="14" t="str">
        <x:v>A+</x:v>
      </x:c>
      <x:c r="C32" s="14" t="str">
        <x:v>Demoliciones y Excavaciones Signorini S.A.</x:v>
      </x:c>
      <x:c r="D32" s="14" t="str">
        <x:v>Construcción vial / movimiento de suelo</x:v>
      </x:c>
      <x:c r="E32" s="14" t="str">
        <x:v>Córdoba Capital</x:v>
      </x:c>
      <x:c r="F32" s="14" t="str">
        <x:v>Córdoba Capital</x:v>
      </x:c>
      <x:c r="G32" s="14" t="str">
        <x:v>+54 351 6134084</x:v>
      </x:c>
      <x:c r="H32" s="14" t="str">
        <x:v>operaciones / equipos</x:v>
      </x:c>
      <x:c r="I32" s="14" t="str">
        <x:v>Movimientos de grandes equipos de demolición/excavación entre obras.</x:v>
      </x:c>
      <x:c r="J32" s="14" t="str">
        <x:v>A+ — visita/llamada inmediata</x:v>
      </x:c>
      <x:c r="K32" s="14" t="str">
        <x:v>Tte. Gral. Donato Alvarez 7812, Córdoba</x:v>
      </x:c>
    </x:row>
    <x:row r="33" ht="40" customHeight="1">
      <x:c r="A33" s="14" t="str">
        <x:v>CBA-065</x:v>
      </x:c>
      <x:c r="B33" s="14" t="str">
        <x:v>A+</x:v>
      </x:c>
      <x:c r="C33" s="14" t="str">
        <x:v>Grúas San Blas - Córdoba</x:v>
      </x:c>
      <x:c r="D33" s="14" t="str">
        <x:v>Alquiler / dealer maquinaria pesada</x:v>
      </x:c>
      <x:c r="E33" s="14" t="str">
        <x:v>Córdoba Capital</x:v>
      </x:c>
      <x:c r="F33" s="14" t="str">
        <x:v>Córdoba Capital</x:v>
      </x:c>
      <x:c r="G33" s="14" t="str">
        <x:v>0351 475-9001</x:v>
      </x:c>
      <x:c r="H33" s="14" t="str">
        <x:v>rental / logística / sucursal Córdoba</x:v>
      </x:c>
      <x:c r="I33" s="14" t="str">
        <x:v>Traslado de equipos de construcción, manipuladores, minicargadores y maquinaria de alquiler/venta.</x:v>
      </x:c>
      <x:c r="J33" s="14" t="str">
        <x:v>A+ — visita/llamada inmediata</x:v>
      </x:c>
      <x:c r="K33" s="14" t="str">
        <x:v>Bv. de los Alemanes 2815, Córdoba</x:v>
      </x:c>
    </x:row>
    <x:row r="34" ht="40" customHeight="1">
      <x:c r="A34" s="14" t="str">
        <x:v>CBA-004</x:v>
      </x:c>
      <x:c r="B34" s="14" t="str">
        <x:v>A+</x:v>
      </x:c>
      <x:c r="C34" s="14" t="str">
        <x:v>H30 Estructuras</x:v>
      </x:c>
      <x:c r="D34" s="14" t="str">
        <x:v>Construcción y obra vial</x:v>
      </x:c>
      <x:c r="E34" s="14" t="str">
        <x:v>Córdoba Capital</x:v>
      </x:c>
      <x:c r="F34" s="14" t="str">
        <x:v>Córdoba Capital</x:v>
      </x:c>
      <x:c r="G34" s="14" t="str">
        <x:v>+54 9 351 7566817</x:v>
      </x:c>
      <x:c r="H34" s="14" t="str">
        <x:v>obras / logística / montaje</x:v>
      </x:c>
      <x:c r="I34" s="14" t="str">
        <x:v>Traslado de perfiles, estructuras, componentes de puentes grúa y equipos hacia obras.</x:v>
      </x:c>
      <x:c r="J34" s="14" t="str">
        <x:v>A+ — visita/llamada inmediata</x:v>
      </x:c>
      <x:c r="K34" s="14" t="str">
        <x:v>RN 19 km 327, Córdoba Capital</x:v>
      </x:c>
    </x:row>
    <x:row r="35" ht="40" customHeight="1">
      <x:c r="A35" s="14" t="str">
        <x:v>CBA-032</x:v>
      </x:c>
      <x:c r="B35" s="14" t="str">
        <x:v>A+</x:v>
      </x:c>
      <x:c r="C35" s="14" t="str">
        <x:v>Maquinaria Lista / Alquiler Plataformas Elevadoras</x:v>
      </x:c>
      <x:c r="D35" s="14" t="str">
        <x:v>Autoelevadores y elevación</x:v>
      </x:c>
      <x:c r="E35" s="14" t="str">
        <x:v>Córdoba Capital</x:v>
      </x:c>
      <x:c r="F35" s="14" t="str">
        <x:v>Córdoba Capital</x:v>
      </x:c>
      <x:c r="G35" s="14" t="str">
        <x:v>+54 351 8123145</x:v>
      </x:c>
      <x:c r="H35" s="14" t="str">
        <x:v>alquileres / logística</x:v>
      </x:c>
      <x:c r="I35" s="14" t="str">
        <x:v>Movimientos periódicos de plataformas y equipos industriales a obra/planta.</x:v>
      </x:c>
      <x:c r="J35" s="14" t="str">
        <x:v>A+ — visita/llamada inmediata</x:v>
      </x:c>
      <x:c r="K35" s="14" t="str">
        <x:v>Bartolomé Hidalgo 590, X5019 Córdoba</x:v>
      </x:c>
    </x:row>
    <x:row r="36" ht="40" customHeight="1">
      <x:c r="A36" s="14" t="str">
        <x:v>CBA-046</x:v>
      </x:c>
      <x:c r="B36" s="14" t="str">
        <x:v>A+</x:v>
      </x:c>
      <x:c r="C36" s="14" t="str">
        <x:v>Mendiolaza Demoliciones S.R.L.</x:v>
      </x:c>
      <x:c r="D36" s="14" t="str">
        <x:v>Construcción vial / movimiento de suelo</x:v>
      </x:c>
      <x:c r="E36" s="14" t="str">
        <x:v>Córdoba Capital</x:v>
      </x:c>
      <x:c r="F36" s="14" t="str">
        <x:v>Córdoba Capital</x:v>
      </x:c>
      <x:c r="G36" s="14" t="str">
        <x:v>+54 351 3781565 / +54 9 351 4038917</x:v>
      </x:c>
      <x:c r="H36" s="14" t="str">
        <x:v>operaciones / logística / jefe de obra</x:v>
      </x:c>
      <x:c r="I36" s="14" t="str">
        <x:v>Movilización de excavadoras/equipos de demolición y apoyo entre obras.</x:v>
      </x:c>
      <x:c r="J36" s="14" t="str">
        <x:v>A+ — visita/llamada inmediata</x:v>
      </x:c>
      <x:c r="K36" s="14" t="str">
        <x:v>Juan de Santiso y Moscoso 2560, X5012 Córdoba</x:v>
      </x:c>
    </x:row>
    <x:row r="37" ht="40" customHeight="1">
      <x:c r="A37" s="14" t="str">
        <x:v>CBA-005</x:v>
      </x:c>
      <x:c r="B37" s="14" t="str">
        <x:v>A+</x:v>
      </x:c>
      <x:c r="C37" s="14" t="str">
        <x:v>Metalica Construcciones y Montajes S.A.</x:v>
      </x:c>
      <x:c r="D37" s="14" t="str">
        <x:v>Construcción y obra vial</x:v>
      </x:c>
      <x:c r="E37" s="14" t="str">
        <x:v>Córdoba Capital</x:v>
      </x:c>
      <x:c r="F37" s="14" t="str">
        <x:v>Córdoba Capital</x:v>
      </x:c>
      <x:c r="G37" s="14" t="str">
        <x:v>0351 3063757</x:v>
      </x:c>
      <x:c r="H37" s="14" t="str">
        <x:v>operaciones / jefe de obra / logística</x:v>
      </x:c>
      <x:c r="I37" s="14" t="str">
        <x:v>Movimiento de estructuras, equipos y materiales entre taller, depósitos y frentes de obra.</x:v>
      </x:c>
      <x:c r="J37" s="14" t="str">
        <x:v>A+ — visita/llamada inmediata</x:v>
      </x:c>
      <x:c r="K37" s="14" t="str">
        <x:v>Cochabamba 2328, Córdoba Capital</x:v>
      </x:c>
    </x:row>
    <x:row r="38" ht="40" customHeight="1">
      <x:c r="A38" s="14" t="str">
        <x:v>CBA-002</x:v>
      </x:c>
      <x:c r="B38" s="14" t="str">
        <x:v>A+</x:v>
      </x:c>
      <x:c r="C38" s="14" t="str">
        <x:v>Metalúrgica AS</x:v>
      </x:c>
      <x:c r="D38" s="14" t="str">
        <x:v>Metalúrgica y fabricación</x:v>
      </x:c>
      <x:c r="E38" s="14" t="str">
        <x:v>Córdoba Capital</x:v>
      </x:c>
      <x:c r="F38" s="14" t="str">
        <x:v>Córdoba Capital</x:v>
      </x:c>
      <x:c r="G38" s="14" t="str">
        <x:v>0351 6002097</x:v>
      </x:c>
      <x:c r="H38" s="14" t="str">
        <x:v>producción / expedición / compras</x:v>
      </x:c>
      <x:c r="I38" s="14" t="str">
        <x:v>Movimiento de piezas mecanizadas, subconjuntos, agropartes y materiales entre clientes/proveedores.</x:v>
      </x:c>
      <x:c r="J38" s="14" t="str">
        <x:v>A+ — visita/llamada inmediata</x:v>
      </x:c>
      <x:c r="K38" s="14" t="str">
        <x:v>Carlos Gervasoni 2545, Córdoba Capital</x:v>
      </x:c>
    </x:row>
    <x:row r="39" ht="40" customHeight="1">
      <x:c r="A39" s="14" t="str">
        <x:v>CBA-031</x:v>
      </x:c>
      <x:c r="B39" s="14" t="str">
        <x:v>A+</x:v>
      </x:c>
      <x:c r="C39" s="14" t="str">
        <x:v>Norte - Alquiler de Autoelevadores y Plataformas Elevadoras</x:v>
      </x:c>
      <x:c r="D39" s="14" t="str">
        <x:v>Autoelevadores y elevación</x:v>
      </x:c>
      <x:c r="E39" s="14" t="str">
        <x:v>Córdoba Capital</x:v>
      </x:c>
      <x:c r="F39" s="14" t="str">
        <x:v>Córdoba Capital</x:v>
      </x:c>
      <x:c r="G39" s="14" t="str">
        <x:v>+54 351 7404333</x:v>
      </x:c>
      <x:c r="H39" s="14" t="str">
        <x:v>alquileres / operaciones</x:v>
      </x:c>
      <x:c r="I39" s="14" t="str">
        <x:v>Entrega y retiro de autoelevadores y plataformas entre base y clientes industriales.</x:v>
      </x:c>
      <x:c r="J39" s="14" t="str">
        <x:v>A+ — visita/llamada inmediata</x:v>
      </x:c>
      <x:c r="K39" s="14" t="str">
        <x:v>X5101 Córdoba, Argentina</x:v>
      </x:c>
    </x:row>
    <x:row r="40" ht="40" customHeight="1">
      <x:c r="A40" s="14" t="str">
        <x:v>CBA-048</x:v>
      </x:c>
      <x:c r="B40" s="14" t="str">
        <x:v>A+</x:v>
      </x:c>
      <x:c r="C40" s="14" t="str">
        <x:v>Olmos Demoliciones - Olmos Vial</x:v>
      </x:c>
      <x:c r="D40" s="14" t="str">
        <x:v>Construcción vial / movimiento de suelo</x:v>
      </x:c>
      <x:c r="E40" s="14" t="str">
        <x:v>Córdoba Capital</x:v>
      </x:c>
      <x:c r="F40" s="14" t="str">
        <x:v>Córdoba Capital</x:v>
      </x:c>
      <x:c r="G40" s="14" t="str">
        <x:v>+54 9 351 3615566</x:v>
      </x:c>
      <x:c r="H40" s="14" t="str">
        <x:v>operaciones / equipos / logística</x:v>
      </x:c>
      <x:c r="I40" s="14" t="str">
        <x:v>Traslado de maquinaria de demolición y vial entre obras.</x:v>
      </x:c>
      <x:c r="J40" s="14" t="str">
        <x:v>A+ — visita/llamada inmediata</x:v>
      </x:c>
      <x:c r="K40" s="14" t="str">
        <x:v>Palpa 5446, X5003 Córdoba</x:v>
      </x:c>
    </x:row>
    <x:row r="41" ht="40" customHeight="1">
      <x:c r="A41" s="14" t="str">
        <x:v>CBA-064</x:v>
      </x:c>
      <x:c r="B41" s="14" t="str">
        <x:v>A+</x:v>
      </x:c>
      <x:c r="C41" s="14" t="str">
        <x:v>X MAQ - Venta y Alquiler de Maquinaria Vial</x:v>
      </x:c>
      <x:c r="D41" s="14" t="str">
        <x:v>Alquiler / dealer maquinaria pesada</x:v>
      </x:c>
      <x:c r="E41" s="14" t="str">
        <x:v>Córdoba Capital</x:v>
      </x:c>
      <x:c r="F41" s="14" t="str">
        <x:v>Córdoba Capital</x:v>
      </x:c>
      <x:c r="G41" s="14" t="str">
        <x:v>+54 351 393-0075</x:v>
      </x:c>
      <x:c r="H41" s="14" t="str">
        <x:v>alquileres / operaciones / logística</x:v>
      </x:c>
      <x:c r="I41" s="14" t="str">
        <x:v>Movilización de maquinaria vial alquilada o vendida hacia obras y clientes.</x:v>
      </x:c>
      <x:c r="J41" s="14" t="str">
        <x:v>A+ — visita/llamada inmediata</x:v>
      </x:c>
      <x:c r="K41" s="14" t="str">
        <x:v>Av. Rafael Núñez 3578, Of. 8, Córdoba</x:v>
      </x:c>
    </x:row>
    <x:row r="42" ht="40" customHeight="1">
      <x:c r="A42" s="14" t="str">
        <x:v>CBA-070</x:v>
      </x:c>
      <x:c r="B42" s="14" t="str">
        <x:v>A+</x:v>
      </x:c>
      <x:c r="C42" s="14" t="str">
        <x:v>Maquinarias Eleva</x:v>
      </x:c>
      <x:c r="D42" s="14" t="str">
        <x:v>Autoelevadores y elevación</x:v>
      </x:c>
      <x:c r="E42" s="14" t="str">
        <x:v>Córdoba Capital</x:v>
      </x:c>
      <x:c r="F42" s="14" t="str">
        <x:v>Córdoba Capital</x:v>
      </x:c>
      <x:c r="G42" s="14" t="str">
        <x:v>+54 351 753-7683 / +54 351 850-2000</x:v>
      </x:c>
      <x:c r="H42" s="14" t="str">
        <x:v>alquileres / logística / operaciones</x:v>
      </x:c>
      <x:c r="I42" s="14" t="str">
        <x:v>Traslado de plataformas, autoelevadores de hasta 10 t y manipuladores telescópicos entre base y obras/clientes.</x:v>
      </x:c>
      <x:c r="J42" s="14" t="str">
        <x:v>A+ — visita/llamada inmediata</x:v>
      </x:c>
      <x:c r="K42" s="14" t="str">
        <x:v>Av. Juan B. Justo 4555, Córdoba</x:v>
      </x:c>
    </x:row>
    <x:row r="43" ht="40" customHeight="1">
      <x:c r="A43" s="14" t="str">
        <x:v>CBA-069</x:v>
      </x:c>
      <x:c r="B43" s="14" t="str">
        <x:v>A+</x:v>
      </x:c>
      <x:c r="C43" s="14" t="str">
        <x:v>Maquinarias Los Tanos</x:v>
      </x:c>
      <x:c r="D43" s="14" t="str">
        <x:v>Autoelevadores y elevación</x:v>
      </x:c>
      <x:c r="E43" s="14" t="str">
        <x:v>Córdoba Capital</x:v>
      </x:c>
      <x:c r="F43" s="14" t="str">
        <x:v>Córdoba Capital</x:v>
      </x:c>
      <x:c r="G43" s="14" t="str">
        <x:v>+54 351 403-9222 / 0351 486-7879</x:v>
      </x:c>
      <x:c r="H43" s="14" t="str">
        <x:v>alquileres / logística / Enio Macerata</x:v>
      </x:c>
      <x:c r="I43" s="14" t="str">
        <x:v>Entrega y retiro de autoelevadores, plataformas y equipos de manipulación/carga para contratos de alquiler y ventas.</x:v>
      </x:c>
      <x:c r="J43" s="14" t="str">
        <x:v>A+ — visita/llamada inmediata</x:v>
      </x:c>
      <x:c r="K43" s="14" t="str">
        <x:v>Av. Colón 5211, Córdoba</x:v>
      </x:c>
    </x:row>
    <x:row r="44" ht="40" customHeight="1">
      <x:c r="A44" s="14" t="str">
        <x:v>CBA-036</x:v>
      </x:c>
      <x:c r="B44" s="14" t="str">
        <x:v>A</x:v>
      </x:c>
      <x:c r="C44" s="14" t="str">
        <x:v>Dromos S.A. | Movimiento de Suelos</x:v>
      </x:c>
      <x:c r="D44" s="14" t="str">
        <x:v>Construcción vial / movimiento de suelo</x:v>
      </x:c>
      <x:c r="E44" s="14" t="str">
        <x:v>Córdoba Capital</x:v>
      </x:c>
      <x:c r="F44" s="14" t="str">
        <x:v>Córdoba Capital</x:v>
      </x:c>
      <x:c r="G44" s="14" t="str">
        <x:v>+54 351 3783771</x:v>
      </x:c>
      <x:c r="H44" s="14" t="str">
        <x:v>operaciones / jefe de obra / logística</x:v>
      </x:c>
      <x:c r="I44" s="14" t="str">
        <x:v>Movimiento de equipos entre frentes de obra y obras de suelo.</x:v>
      </x:c>
      <x:c r="J44" s="14" t="str">
        <x:v>A — prioridad alta</x:v>
      </x:c>
      <x:c r="K44" s="14" t="str">
        <x:v>José Barros Pazos 3300, X5009 Córdoba</x:v>
      </x:c>
    </x:row>
    <x:row r="45" ht="40" customHeight="1">
      <x:c r="A45" s="14" t="str">
        <x:v>CBA-072</x:v>
      </x:c>
      <x:c r="B45" s="14" t="str">
        <x:v>A</x:v>
      </x:c>
      <x:c r="C45" s="14" t="str">
        <x:v>Metalúrgica San Vicente S.R.L.</x:v>
      </x:c>
      <x:c r="D45" s="14" t="str">
        <x:v>Metalúrgica y fabricación</x:v>
      </x:c>
      <x:c r="E45" s="14" t="str">
        <x:v>Córdoba Capital</x:v>
      </x:c>
      <x:c r="F45" s="14" t="str">
        <x:v>Córdoba Capital</x:v>
      </x:c>
      <x:c r="G45" s="14" t="str">
        <x:v>0351 450-2500</x:v>
      </x:c>
      <x:c r="H45" s="14" t="str">
        <x:v>producción / expedición / montajes</x:v>
      </x:c>
      <x:c r="I45" s="14" t="str">
        <x:v>Transporte de puentes grúa, vigas, pórticos y componentes de gran longitud/peso hacia plantas y montajes.</x:v>
      </x:c>
      <x:c r="J45" s="14" t="str">
        <x:v>A — prioridad alta</x:v>
      </x:c>
      <x:c r="K45" s="14" t="str">
        <x:v>Ruta 9 Sur km 689, Ferreyra, Córdoba</x:v>
      </x:c>
    </x:row>
    <x:row r="46" ht="40" customHeight="1">
      <x:c r="A46" s="14" t="str">
        <x:v>CBA-012</x:v>
      </x:c>
      <x:c r="B46" s="14" t="str">
        <x:v>A</x:v>
      </x:c>
      <x:c r="C46" s="14" t="str">
        <x:v>American Vial Córdoba</x:v>
      </x:c>
      <x:c r="D46" s="14" t="str">
        <x:v>Maquinaria agrícola</x:v>
      </x:c>
      <x:c r="E46" s="14" t="str">
        <x:v>Córdoba Capital</x:v>
      </x:c>
      <x:c r="F46" s="14" t="str">
        <x:v>Córdoba Capital</x:v>
      </x:c>
      <x:c r="G46" s="14" t="str">
        <x:v>0351 3919600</x:v>
      </x:c>
      <x:c r="H46" s="14" t="str">
        <x:v>ventas / logística / service</x:v>
      </x:c>
      <x:c r="I46" s="14" t="str">
        <x:v>Entrega y retiro de equipos viales y de construcción por ventas, service y alquiler.</x:v>
      </x:c>
      <x:c r="J46" s="14" t="str">
        <x:v>A — prioridad alta</x:v>
      </x:c>
      <x:c r="K46" s="14" t="str">
        <x:v>Av. Circunvalación 6551, Córdoba Capital</x:v>
      </x:c>
    </x:row>
    <x:row r="47" ht="40" customHeight="1">
      <x:c r="A47" s="14" t="str">
        <x:v>CBA-057</x:v>
      </x:c>
      <x:c r="B47" s="14" t="str">
        <x:v>A</x:v>
      </x:c>
      <x:c r="C47" s="14" t="str">
        <x:v>Autoelevadores El Yorch</x:v>
      </x:c>
      <x:c r="D47" s="14" t="str">
        <x:v>Autoelevadores y elevación</x:v>
      </x:c>
      <x:c r="E47" s="14" t="str">
        <x:v>Córdoba Capital</x:v>
      </x:c>
      <x:c r="F47" s="14" t="str">
        <x:v>Córdoba Capital</x:v>
      </x:c>
      <x:c r="G47" s="14" t="str">
        <x:v>+54 351 3853075</x:v>
      </x:c>
      <x:c r="H47" s="14" t="str">
        <x:v>alquileres / operaciones</x:v>
      </x:c>
      <x:c r="I47" s="14" t="str">
        <x:v>Entrega y retiro de autoelevadores entre clientes y base.</x:v>
      </x:c>
      <x:c r="J47" s="14" t="str">
        <x:v>A — prioridad alta</x:v>
      </x:c>
      <x:c r="K47" s="14" t="str">
        <x:v>Pasaje General Antranik 1224, X5004 Córdoba</x:v>
      </x:c>
    </x:row>
    <x:row r="48" ht="40" customHeight="1">
      <x:c r="A48" s="14" t="str">
        <x:v>CBA-051</x:v>
      </x:c>
      <x:c r="B48" s="14" t="str">
        <x:v>A</x:v>
      </x:c>
      <x:c r="C48" s="14" t="str">
        <x:v>Calderas Industriales Cal Marq Córdoba</x:v>
      </x:c>
      <x:c r="D48" s="14" t="str">
        <x:v>Equipos industriales / energía</x:v>
      </x:c>
      <x:c r="E48" s="14" t="str">
        <x:v>Córdoba Capital</x:v>
      </x:c>
      <x:c r="F48" s="14" t="str">
        <x:v>Córdoba Capital</x:v>
      </x:c>
      <x:c r="G48" s="14" t="str">
        <x:v>+54 351 3324444</x:v>
      </x:c>
      <x:c r="H48" s="14" t="str">
        <x:v>producción / expedición / montaje</x:v>
      </x:c>
      <x:c r="I48" s="14" t="str">
        <x:v>Despacho de calderas y equipos térmicos de gran peso/volumen a plantas.</x:v>
      </x:c>
      <x:c r="J48" s="14" t="str">
        <x:v>A — prioridad alta</x:v>
      </x:c>
      <x:c r="K48" s="14" t="str">
        <x:v>Salvador Díaz Miron 65, X5000 Córdoba</x:v>
      </x:c>
    </x:row>
    <x:row r="49" ht="40" customHeight="1">
      <x:c r="A49" s="14" t="str">
        <x:v>CBA-039</x:v>
      </x:c>
      <x:c r="B49" s="14" t="str">
        <x:v>A</x:v>
      </x:c>
      <x:c r="C49" s="14" t="str">
        <x:v>Chediack - Operación Córdoba RN36</x:v>
      </x:c>
      <x:c r="D49" s="14" t="str">
        <x:v>Construcción vial / movimiento de suelo</x:v>
      </x:c>
      <x:c r="E49" s="14" t="str">
        <x:v>Córdoba Capital</x:v>
      </x:c>
      <x:c r="F49" s="14" t="str">
        <x:v>Córdoba Capital</x:v>
      </x:c>
      <x:c r="G49" s="14" t="str">
        <x:v>+54 351 2430578</x:v>
      </x:c>
      <x:c r="H49" s="14" t="str">
        <x:v>jefe de obra / equipos / logística</x:v>
      </x:c>
      <x:c r="I49" s="14" t="str">
        <x:v>Movilización de maquinaria y equipos vinculados a frentes de obra vial en Córdoba.</x:v>
      </x:c>
      <x:c r="J49" s="14" t="str">
        <x:v>A — prioridad alta</x:v>
      </x:c>
      <x:c r="K49" s="14" t="str">
        <x:v>Mirizi, X5016 Córdoba</x:v>
      </x:c>
    </x:row>
    <x:row r="50" ht="40" customHeight="1">
      <x:c r="A50" s="14" t="str">
        <x:v>CBA-007</x:v>
      </x:c>
      <x:c r="B50" s="14" t="str">
        <x:v>A</x:v>
      </x:c>
      <x:c r="C50" s="14" t="str">
        <x:v>Estructuras Mosconi SRL</x:v>
      </x:c>
      <x:c r="D50" s="14" t="str">
        <x:v>Metalúrgica y fabricación</x:v>
      </x:c>
      <x:c r="E50" s="14" t="str">
        <x:v>Córdoba Capital</x:v>
      </x:c>
      <x:c r="F50" s="14" t="str">
        <x:v>Córdoba Capital</x:v>
      </x:c>
      <x:c r="G50" s="14" t="str">
        <x:v>0351 7715226</x:v>
      </x:c>
      <x:c r="H50" s="14" t="str">
        <x:v>producción / montaje / logística</x:v>
      </x:c>
      <x:c r="I50" s="14" t="str">
        <x:v>Traslado de estructuras y perfiles a obra.</x:v>
      </x:c>
      <x:c r="J50" s="14" t="str">
        <x:v>A — prioridad alta</x:v>
      </x:c>
      <x:c r="K50" s="14" t="str">
        <x:v>Francisco del Prado 3385, Córdoba Capital</x:v>
      </x:c>
    </x:row>
    <x:row r="51" ht="40" customHeight="1">
      <x:c r="A51" s="14" t="str">
        <x:v>CBA-013</x:v>
      </x:c>
      <x:c r="B51" s="14" t="str">
        <x:v>A</x:v>
      </x:c>
      <x:c r="C51" s="14" t="str">
        <x:v>FUNES AGROCENTRO</x:v>
      </x:c>
      <x:c r="D51" s="14" t="str">
        <x:v>Maquinaria agrícola</x:v>
      </x:c>
      <x:c r="E51" s="14" t="str">
        <x:v>Córdoba Capital</x:v>
      </x:c>
      <x:c r="F51" s="14" t="str">
        <x:v>Córdoba Capital</x:v>
      </x:c>
      <x:c r="G51" s="14" t="str">
        <x:v>0351 6640837</x:v>
      </x:c>
      <x:c r="H51" s="14" t="str">
        <x:v>ventas / entregas / postventa</x:v>
      </x:c>
      <x:c r="I51" s="14" t="str">
        <x:v>Entrega/retiro de equipos agrícolas e implementos; traslados de service y usados.</x:v>
      </x:c>
      <x:c r="J51" s="14" t="str">
        <x:v>A — prioridad alta</x:v>
      </x:c>
      <x:c r="K51" s="14" t="str">
        <x:v>Av. Juan B. Justo 10200, Córdoba Capital</x:v>
      </x:c>
    </x:row>
    <x:row r="52" ht="40" customHeight="1">
      <x:c r="A52" s="14" t="str">
        <x:v>CBA-008</x:v>
      </x:c>
      <x:c r="B52" s="14" t="str">
        <x:v>A</x:v>
      </x:c>
      <x:c r="C52" s="14" t="str">
        <x:v>Gallará - Fábrica de premoldeados de hormigón</x:v>
      </x:c>
      <x:c r="D52" s="14" t="str">
        <x:v>Hormigón, áridos y materiales</x:v>
      </x:c>
      <x:c r="E52" s="14" t="str">
        <x:v>Córdoba Capital</x:v>
      </x:c>
      <x:c r="F52" s="14" t="str">
        <x:v>Córdoba Capital</x:v>
      </x:c>
      <x:c r="G52" s="14" t="str">
        <x:v>+54 9 351 2417000</x:v>
      </x:c>
      <x:c r="H52" s="14" t="str">
        <x:v>despacho / logística / ventas</x:v>
      </x:c>
      <x:c r="I52" s="14" t="str">
        <x:v>Distribución de premoldeados pesados hacia obras y corralones.</x:v>
      </x:c>
      <x:c r="J52" s="14" t="str">
        <x:v>A — prioridad alta</x:v>
      </x:c>
      <x:c r="K52" s="14" t="str">
        <x:v>Blvd. Rivadavia 4379, Córdoba Capital</x:v>
      </x:c>
    </x:row>
    <x:row r="53" ht="40" customHeight="1">
      <x:c r="A53" s="14" t="str">
        <x:v>CBA-050</x:v>
      </x:c>
      <x:c r="B53" s="14" t="str">
        <x:v>A</x:v>
      </x:c>
      <x:c r="C53" s="14" t="str">
        <x:v>Grupo Kilowatt</x:v>
      </x:c>
      <x:c r="D53" s="14" t="str">
        <x:v>Equipos industriales / energía</x:v>
      </x:c>
      <x:c r="E53" s="14" t="str">
        <x:v>Córdoba Capital</x:v>
      </x:c>
      <x:c r="F53" s="14" t="str">
        <x:v>Córdoba Capital</x:v>
      </x:c>
      <x:c r="G53" s="14" t="str">
        <x:v>+54 351 5693902</x:v>
      </x:c>
      <x:c r="H53" s="14" t="str">
        <x:v>ventas / logística / expedición</x:v>
      </x:c>
      <x:c r="I53" s="14" t="str">
        <x:v>Entrega de grupos electrógenos y equipos de generación a obras, industrias y eventos.</x:v>
      </x:c>
      <x:c r="J53" s="14" t="str">
        <x:v>A — prioridad alta</x:v>
      </x:c>
      <x:c r="K53" s="14" t="str">
        <x:v>Parque Industrial Polo 52, Manzana 48 Lote 19, Córdoba</x:v>
      </x:c>
    </x:row>
    <x:row r="54" ht="40" customHeight="1">
      <x:c r="A54" s="14" t="str">
        <x:v>CBA-074</x:v>
      </x:c>
      <x:c r="B54" s="14" t="str">
        <x:v>A</x:v>
      </x:c>
      <x:c r="C54" s="14" t="str">
        <x:v>Julio Donadio S.A.</x:v>
      </x:c>
      <x:c r="D54" s="14" t="str">
        <x:v>Metalúrgica y fabricación</x:v>
      </x:c>
      <x:c r="E54" s="14" t="str">
        <x:v>Córdoba Capital</x:v>
      </x:c>
      <x:c r="F54" s="14" t="str">
        <x:v>Córdoba Capital</x:v>
      </x:c>
      <x:c r="G54" s="14" t="str">
        <x:v>0810-555-3662 / +54 351 891-0000</x:v>
      </x:c>
      <x:c r="H54" s="14" t="str">
        <x:v>logística / expedición / distribución</x:v>
      </x:c>
      <x:c r="I54" s="14" t="str">
        <x:v>Distribución de acero, piezas cortadas/plegadas, pilotes y cargas largas o pesadas hacia obras e industrias.</x:v>
      </x:c>
      <x:c r="J54" s="14" t="str">
        <x:v>A — prioridad alta</x:v>
      </x:c>
      <x:c r="K54" s="14" t="str">
        <x:v>Av. Circunvalación esq. Camino Interfábricas, Córdoba</x:v>
      </x:c>
    </x:row>
    <x:row r="55" ht="40" customHeight="1">
      <x:c r="A55" s="14" t="str">
        <x:v>CBA-054</x:v>
      </x:c>
      <x:c r="B55" s="14" t="str">
        <x:v>A</x:v>
      </x:c>
      <x:c r="C55" s="14" t="str">
        <x:v>L.A Generadores</x:v>
      </x:c>
      <x:c r="D55" s="14" t="str">
        <x:v>Equipos industriales / energía</x:v>
      </x:c>
      <x:c r="E55" s="14" t="str">
        <x:v>Córdoba Capital</x:v>
      </x:c>
      <x:c r="F55" s="14" t="str">
        <x:v>Córdoba Capital</x:v>
      </x:c>
      <x:c r="G55" s="14" t="str">
        <x:v>+54 351 2375780</x:v>
      </x:c>
      <x:c r="H55" s="14" t="str">
        <x:v>alquileres / operaciones</x:v>
      </x:c>
      <x:c r="I55" s="14" t="str">
        <x:v>Entrega y retiro de grupos electrógenos en obras/eventos/industrias.</x:v>
      </x:c>
      <x:c r="J55" s="14" t="str">
        <x:v>A — prioridad alta</x:v>
      </x:c>
      <x:c r="K55" s="14" t="str">
        <x:v>Córdoba Capital, Córdoba</x:v>
      </x:c>
    </x:row>
    <x:row r="56" ht="40" customHeight="1">
      <x:c r="A56" s="14" t="str">
        <x:v>CBA-006</x:v>
      </x:c>
      <x:c r="B56" s="14" t="str">
        <x:v>A</x:v>
      </x:c>
      <x:c r="C56" s="14" t="str">
        <x:v>MMETAL</x:v>
      </x:c>
      <x:c r="D56" s="14" t="str">
        <x:v>Metalúrgica y fabricación</x:v>
      </x:c>
      <x:c r="E56" s="14" t="str">
        <x:v>Córdoba Capital</x:v>
      </x:c>
      <x:c r="F56" s="14" t="str">
        <x:v>Córdoba Capital</x:v>
      </x:c>
      <x:c r="G56" s="14" t="str">
        <x:v>+54 9 351 2644081</x:v>
      </x:c>
      <x:c r="H56" s="14" t="str">
        <x:v>producción / logística</x:v>
      </x:c>
      <x:c r="I56" s="14" t="str">
        <x:v>Despacho de fabricaciones metálicas, estructuras y componentes industriales.</x:v>
      </x:c>
      <x:c r="J56" s="14" t="str">
        <x:v>A — prioridad alta</x:v>
      </x:c>
      <x:c r="K56" s="14" t="str">
        <x:v>De los Latinos 7339, Córdoba Capital</x:v>
      </x:c>
    </x:row>
    <x:row r="57" ht="40" customHeight="1">
      <x:c r="A57" s="14" t="str">
        <x:v>CBA-052</x:v>
      </x:c>
      <x:c r="B57" s="14" t="str">
        <x:v>A</x:v>
      </x:c>
      <x:c r="C57" s="14" t="str">
        <x:v>Montajes Industriales SRL</x:v>
      </x:c>
      <x:c r="D57" s="14" t="str">
        <x:v>Metalúrgica y fabricación</x:v>
      </x:c>
      <x:c r="E57" s="14" t="str">
        <x:v>Córdoba Capital</x:v>
      </x:c>
      <x:c r="F57" s="14" t="str">
        <x:v>Córdoba Capital</x:v>
      </x:c>
      <x:c r="G57" s="14" t="str">
        <x:v>+54 351 6697355</x:v>
      </x:c>
      <x:c r="H57" s="14" t="str">
        <x:v>producción / montaje / logística</x:v>
      </x:c>
      <x:c r="I57" s="14" t="str">
        <x:v>Traslado de estructuras, conjuntos metálicos y equipos hacia obra/planta.</x:v>
      </x:c>
      <x:c r="J57" s="14" t="str">
        <x:v>A — prioridad alta</x:v>
      </x:c>
      <x:c r="K57" s="14" t="str">
        <x:v>San Fernando 1477, X5000 Córdoba</x:v>
      </x:c>
    </x:row>
    <x:row r="58" ht="40" customHeight="1">
      <x:c r="A58" s="14" t="str">
        <x:v>CBA-044</x:v>
      </x:c>
      <x:c r="B58" s="14" t="str">
        <x:v>A</x:v>
      </x:c>
      <x:c r="C58" s="14" t="str">
        <x:v>Pellicer Movimientos de Suelo</x:v>
      </x:c>
      <x:c r="D58" s="14" t="str">
        <x:v>Construcción vial / movimiento de suelo</x:v>
      </x:c>
      <x:c r="E58" s="14" t="str">
        <x:v>Córdoba Capital</x:v>
      </x:c>
      <x:c r="F58" s="14" t="str">
        <x:v>Córdoba Capital</x:v>
      </x:c>
      <x:c r="G58" s="14" t="str">
        <x:v>+54 9 351 4033476</x:v>
      </x:c>
      <x:c r="H58" s="14" t="str">
        <x:v>operaciones / equipos</x:v>
      </x:c>
      <x:c r="I58" s="14" t="str">
        <x:v>Movilización de maquinaria de movimiento de suelos entre obras.</x:v>
      </x:c>
      <x:c r="J58" s="14" t="str">
        <x:v>A — prioridad alta</x:v>
      </x:c>
      <x:c r="K58" s="14" t="str">
        <x:v>Cruz Alta 8348, Córdoba</x:v>
      </x:c>
    </x:row>
    <x:row r="59" ht="40" customHeight="1">
      <x:c r="A59" s="14" t="str">
        <x:v>CBA-009</x:v>
      </x:c>
      <x:c r="B59" s="14" t="str">
        <x:v>A</x:v>
      </x:c>
      <x:c r="C59" s="14" t="str">
        <x:v>Premoldeados Rivadavia SRL</x:v>
      </x:c>
      <x:c r="D59" s="14" t="str">
        <x:v>Hormigón, áridos y materiales</x:v>
      </x:c>
      <x:c r="E59" s="14" t="str">
        <x:v>Córdoba Capital</x:v>
      </x:c>
      <x:c r="F59" s="14" t="str">
        <x:v>Córdoba Capital</x:v>
      </x:c>
      <x:c r="G59" s="14" t="str">
        <x:v>+54 9 351 3750459</x:v>
      </x:c>
      <x:c r="H59" s="14" t="str">
        <x:v>despacho / logística / administración</x:v>
      </x:c>
      <x:c r="I59" s="14" t="str">
        <x:v>Entrega mayorista de premoldeados y materiales pesados a obras/distribuidores.</x:v>
      </x:c>
      <x:c r="J59" s="14" t="str">
        <x:v>A — prioridad alta</x:v>
      </x:c>
      <x:c r="K59" s="14" t="str">
        <x:v>Bv. Rivadavia 3624, Córdoba Capital</x:v>
      </x:c>
    </x:row>
    <x:row r="60" ht="40" customHeight="1">
      <x:c r="A60" s="14" t="str">
        <x:v>CBA-045</x:v>
      </x:c>
      <x:c r="B60" s="14" t="str">
        <x:v>A</x:v>
      </x:c>
      <x:c r="C60" s="14" t="str">
        <x:v>Redcons S.R.L.</x:v>
      </x:c>
      <x:c r="D60" s="14" t="str">
        <x:v>Construcción vial / movimiento de suelo</x:v>
      </x:c>
      <x:c r="E60" s="14" t="str">
        <x:v>Córdoba Capital</x:v>
      </x:c>
      <x:c r="F60" s="14" t="str">
        <x:v>Córdoba Capital</x:v>
      </x:c>
      <x:c r="G60" s="14" t="str">
        <x:v>+54 351 5158731</x:v>
      </x:c>
      <x:c r="H60" s="14" t="str">
        <x:v>operaciones / equipos / jefe de obra</x:v>
      </x:c>
      <x:c r="I60" s="14" t="str">
        <x:v>Traslado de excavadoras y maquinaria a distintos frentes.</x:v>
      </x:c>
      <x:c r="J60" s="14" t="str">
        <x:v>A — prioridad alta</x:v>
      </x:c>
      <x:c r="K60" s="14" t="str">
        <x:v>Antonio Nores 5423, X5021 Córdoba</x:v>
      </x:c>
    </x:row>
    <x:row r="61" ht="40" customHeight="1">
      <x:c r="A61" s="14" t="str">
        <x:v>CBA-010</x:v>
      </x:c>
      <x:c r="B61" s="14" t="str">
        <x:v>A</x:v>
      </x:c>
      <x:c r="C61" s="14" t="str">
        <x:v>Stumpf Premoldeados</x:v>
      </x:c>
      <x:c r="D61" s="14" t="str">
        <x:v>Hormigón, áridos y materiales</x:v>
      </x:c>
      <x:c r="E61" s="14" t="str">
        <x:v>Córdoba Capital</x:v>
      </x:c>
      <x:c r="F61" s="14" t="str">
        <x:v>Córdoba Capital</x:v>
      </x:c>
      <x:c r="G61" s="14" t="str">
        <x:v>0351 7273027</x:v>
      </x:c>
      <x:c r="H61" s="14" t="str">
        <x:v>despacho / logística</x:v>
      </x:c>
      <x:c r="I61" s="14" t="str">
        <x:v>Movimiento de premoldeados y piezas de hormigón a obra.</x:v>
      </x:c>
      <x:c r="J61" s="14" t="str">
        <x:v>A — prioridad alta</x:v>
      </x:c>
      <x:c r="K61" s="14" t="str">
        <x:v>De los Sicilianos 6368, Córdoba Capital</x:v>
      </x:c>
    </x:row>
    <x:row r="62" ht="40" customHeight="1">
      <x:c r="A62" s="14" t="str">
        <x:v>CBA-011</x:v>
      </x:c>
      <x:c r="B62" s="14" t="str">
        <x:v>A</x:v>
      </x:c>
      <x:c r="C62" s="14" t="str">
        <x:v>Tecmaq SRL</x:v>
      </x:c>
      <x:c r="D62" s="14" t="str">
        <x:v>Maquinaria agrícola</x:v>
      </x:c>
      <x:c r="E62" s="14" t="str">
        <x:v>Córdoba Capital</x:v>
      </x:c>
      <x:c r="F62" s="14" t="str">
        <x:v>Córdoba Capital</x:v>
      </x:c>
      <x:c r="G62" s="14" t="str">
        <x:v>0351 4998277</x:v>
      </x:c>
      <x:c r="H62" s="14" t="str">
        <x:v>ventas / expedición / postventa</x:v>
      </x:c>
      <x:c r="I62" s="14" t="str">
        <x:v>Entrega/retiro de maquinaria y equipos terminados; movimientos por servicio o demostración.</x:v>
      </x:c>
      <x:c r="J62" s="14" t="str">
        <x:v>A — prioridad alta</x:v>
      </x:c>
      <x:c r="K62" s="14" t="str">
        <x:v>Av. Juan B. Justo 8645, Córdoba Capital</x:v>
      </x:c>
    </x:row>
    <x:row r="63" ht="40" customHeight="1">
      <x:c r="A63" s="14" t="str">
        <x:v>CBA-075</x:v>
      </x:c>
      <x:c r="B63" s="14" t="str">
        <x:v>A</x:v>
      </x:c>
      <x:c r="C63" s="14" t="str">
        <x:v>Pilmhor S.A.</x:v>
      </x:c>
      <x:c r="D63" s="14" t="str">
        <x:v>Metalúrgica y fabricación</x:v>
      </x:c>
      <x:c r="E63" s="14" t="str">
        <x:v>Córdoba Capital</x:v>
      </x:c>
      <x:c r="F63" s="14" t="str">
        <x:v>Córdoba Capital</x:v>
      </x:c>
      <x:c r="G63" s="14" t="str">
        <x:v>0351 465-0012 / +54 9 351 345-5614</x:v>
      </x:c>
      <x:c r="H63" s="14" t="str">
        <x:v>producción / expedición / ingeniería</x:v>
      </x:c>
      <x:c r="I63" s="14" t="str">
        <x:v>Entrega de componentes hidráulicos, conjuntos y equipos; movimientos vinculados a hidrogrúas y maquinaria pesada.</x:v>
      </x:c>
      <x:c r="J63" s="14" t="str">
        <x:v>A — prioridad alta</x:v>
      </x:c>
      <x:c r="K63" s="14" t="str">
        <x:v>Francisco de Arteaga 2225, Córdoba</x:v>
      </x:c>
    </x:row>
    <x:row r="64" ht="40" customHeight="1">
      <x:c r="A64" s="14" t="str">
        <x:v>CBA-076</x:v>
      </x:c>
      <x:c r="B64" s="14" t="str">
        <x:v>A</x:v>
      </x:c>
      <x:c r="C64" s="14" t="str">
        <x:v>Acerbon S.R.L.</x:v>
      </x:c>
      <x:c r="D64" s="14" t="str">
        <x:v>Metalúrgica y fabricación</x:v>
      </x:c>
      <x:c r="E64" s="14" t="str">
        <x:v>Córdoba Capital</x:v>
      </x:c>
      <x:c r="F64" s="14" t="str">
        <x:v>Córdoba Capital</x:v>
      </x:c>
      <x:c r="G64" s="14" t="str">
        <x:v>+54 351 626-5963 / 0351 466-1672</x:v>
      </x:c>
      <x:c r="H64" s="14" t="str">
        <x:v>expedición / logística / producción</x:v>
      </x:c>
      <x:c r="I64" s="14" t="str">
        <x:v>Despacho de chapas, piezas cortadas, estructuras y conjuntos soldados de gran dimensión/peso.</x:v>
      </x:c>
      <x:c r="J64" s="14" t="str">
        <x:v>A — prioridad alta</x:v>
      </x:c>
      <x:c r="K64" s="14" t="str">
        <x:v>Francisco de Arteaga 2281, Córdoba</x:v>
      </x:c>
    </x:row>
    <x:row r="65" ht="40" customHeight="1">
      <x:c r="A65" s="14" t="str">
        <x:v>CBA-078</x:v>
      </x:c>
      <x:c r="B65" s="14" t="str">
        <x:v>A</x:v>
      </x:c>
      <x:c r="C65" s="14" t="str">
        <x:v>Pellacani S.R.L.</x:v>
      </x:c>
      <x:c r="D65" s="14" t="str">
        <x:v>Metalúrgica y fabricación</x:v>
      </x:c>
      <x:c r="E65" s="14" t="str">
        <x:v>Córdoba Capital</x:v>
      </x:c>
      <x:c r="F65" s="14" t="str">
        <x:v>Córdoba Capital</x:v>
      </x:c>
      <x:c r="G65" s="14" t="str">
        <x:v>+54 9 351 417-3075</x:v>
      </x:c>
      <x:c r="H65" s="14" t="str">
        <x:v>logística / planta / expedición</x:v>
      </x:c>
      <x:c r="I65" s="14" t="str">
        <x:v>Traslado de conjuntos mecanizados, dispositivos, herramentales y componentes para vehículos/equipos pesados.</x:v>
      </x:c>
      <x:c r="J65" s="14" t="str">
        <x:v>A — prioridad alta</x:v>
      </x:c>
      <x:c r="K65" s="14" t="str">
        <x:v>Gral. Manuel Savio 5110, Ferreyra, Córdoba</x:v>
      </x:c>
    </x:row>
    <x:row r="66" ht="40" customHeight="1">
      <x:c r="A66" s="14" t="str">
        <x:v>CBA-080</x:v>
      </x:c>
      <x:c r="B66" s="14" t="str">
        <x:v>A</x:v>
      </x:c>
      <x:c r="C66" s="14" t="str">
        <x:v>Pertrak S.A.</x:v>
      </x:c>
      <x:c r="D66" s="14" t="str">
        <x:v>Metalúrgica y fabricación</x:v>
      </x:c>
      <x:c r="E66" s="14" t="str">
        <x:v>Córdoba Capital</x:v>
      </x:c>
      <x:c r="F66" s="14" t="str">
        <x:v>Córdoba Capital</x:v>
      </x:c>
      <x:c r="G66" s="14" t="str">
        <x:v>0351 420-5385</x:v>
      </x:c>
      <x:c r="H66" s="14" t="str">
        <x:v>logística / expedición / planta</x:v>
      </x:c>
      <x:c r="I66" s="14" t="str">
        <x:v>Movimientos de herramentales, piezas mecanizadas, conjuntos y cargas industriales entre planta y OEMs.</x:v>
      </x:c>
      <x:c r="J66" s="14" t="str">
        <x:v>A — prioridad alta</x:v>
      </x:c>
      <x:c r="K66" s="14" t="str">
        <x:v>Av. Amadeo Sabattini 5301, Córdoba</x:v>
      </x:c>
    </x:row>
    <x:row r="67" ht="40" customHeight="1">
      <x:c r="A67" s="14" t="str">
        <x:v>CBA-077</x:v>
      </x:c>
      <x:c r="B67" s="14" t="str">
        <x:v>A</x:v>
      </x:c>
      <x:c r="C67" s="14" t="str">
        <x:v>Rubol S.A.I.C.F.</x:v>
      </x:c>
      <x:c r="D67" s="14" t="str">
        <x:v>Metalúrgica y fabricación</x:v>
      </x:c>
      <x:c r="E67" s="14" t="str">
        <x:v>Córdoba Capital</x:v>
      </x:c>
      <x:c r="F67" s="14" t="str">
        <x:v>Córdoba Capital</x:v>
      </x:c>
      <x:c r="G67" s="14" t="str">
        <x:v>0351 570-3114</x:v>
      </x:c>
      <x:c r="H67" s="14" t="str">
        <x:v>logística / expedición / compras</x:v>
      </x:c>
      <x:c r="I67" s="14" t="str">
        <x:v>Movimiento de matrices, forjados y componentes metálicos pesados entre planta, clientes y proveedores.</x:v>
      </x:c>
      <x:c r="J67" s="14" t="str">
        <x:v>A — prioridad alta</x:v>
      </x:c>
      <x:c r="K67" s="14" t="str">
        <x:v>Av. Amadeo Sabattini 5369, Córdoba</x:v>
      </x:c>
    </x:row>
    <x:row r="68">
      <x:c r="A68" t="str">
        <x:v>CBA-081</x:v>
      </x:c>
      <x:c r="B68" t="str">
        <x:v>A</x:v>
      </x:c>
      <x:c r="C68" t="str">
        <x:v>SOHIPREN S.A. / Livenza</x:v>
      </x:c>
      <x:c r="D68" t="str">
        <x:v>Metalúrgica y fabricación</x:v>
      </x:c>
      <x:c r="E68" t="str">
        <x:v>Córdoba Capital</x:v>
      </x:c>
      <x:c r="F68" t="str">
        <x:v>Córdoba Capital</x:v>
      </x:c>
      <x:c r="G68" t="str">
        <x:v>0351 493-7200</x:v>
      </x:c>
      <x:c r="H68" t="str">
        <x:v>logística / expedición / ventas</x:v>
      </x:c>
      <x:c r="I68" t="str">
        <x:v>Despacho de componentes hidráulicos, equipos y conjuntos destinados a maquinaria agrícola, vial e industrial.</x:v>
      </x:c>
      <x:c r="J68" t="str">
        <x:v>A — prioridad alta</x:v>
      </x:c>
      <x:c r="K68" t="str">
        <x:v>Av. Circunvalación Sudeste 126, Córdoba</x:v>
      </x:c>
    </x:row>
    <x:row r="69">
      <x:c r="A69" t="str">
        <x:v>CBA-055</x:v>
      </x:c>
      <x:c r="B69" t="str">
        <x:v>A</x:v>
      </x:c>
      <x:c r="C69" t="str">
        <x:v>SOLIND - Comercialización de Máquinas Industriales</x:v>
      </x:c>
      <x:c r="D69" t="str">
        <x:v>Equipos industriales / energía</x:v>
      </x:c>
      <x:c r="E69" t="str">
        <x:v>Córdoba Capital</x:v>
      </x:c>
      <x:c r="F69" t="str">
        <x:v>Córdoba Capital</x:v>
      </x:c>
      <x:c r="G69" t="str">
        <x:v>+54 9 351 6304033</x:v>
      </x:c>
      <x:c r="H69" t="str">
        <x:v>ventas / taller / logística</x:v>
      </x:c>
      <x:c r="I69" t="str">
        <x:v>Entrega y retiro de maquinaria industrial nueva/usada y equipos de taller.</x:v>
      </x:c>
      <x:c r="J69" t="str">
        <x:v>A — prioridad alta</x:v>
      </x:c>
      <x:c r="K69" t="str">
        <x:v>Japón 400, X5000 Córdoba</x:v>
      </x:c>
    </x:row>
    <x:row r="70">
      <x:c r="A70" t="str">
        <x:v>CBA-014</x:v>
      </x:c>
      <x:c r="B70" t="str">
        <x:v>A</x:v>
      </x:c>
      <x:c r="C70" t="str">
        <x:v>Agroservice Córdoba</x:v>
      </x:c>
      <x:c r="D70" t="str">
        <x:v>Maquinaria agrícola</x:v>
      </x:c>
      <x:c r="E70" t="str">
        <x:v>Córdoba Capital</x:v>
      </x:c>
      <x:c r="F70" t="str">
        <x:v>Córdoba Capital</x:v>
      </x:c>
      <x:c r="G70" t="str">
        <x:v>0351 7286689</x:v>
      </x:c>
      <x:c r="H70" t="str">
        <x:v>service / taller / logística</x:v>
      </x:c>
      <x:c r="I70" t="str">
        <x:v>Retiro y entrega de maquinaria o componentes para reparación.</x:v>
      </x:c>
      <x:c r="J70" t="str">
        <x:v>A — prioridad alta</x:v>
      </x:c>
      <x:c r="K70" t="str">
        <x:v>Av. Leandro N. Alem 1838, Córdoba Capital</x:v>
      </x:c>
    </x:row>
    <x:row r="71">
      <x:c r="A71" t="str">
        <x:v>CBA-015</x:v>
      </x:c>
      <x:c r="B71" t="str">
        <x:v>A</x:v>
      </x:c>
      <x:c r="C71" t="str">
        <x:v>BOMBACOR - Hormigón Elaborado</x:v>
      </x:c>
      <x:c r="D71" t="str">
        <x:v>Hormigón, áridos y materiales</x:v>
      </x:c>
      <x:c r="E71" t="str">
        <x:v>Córdoba Capital</x:v>
      </x:c>
      <x:c r="F71" t="str">
        <x:v>Córdoba Capital</x:v>
      </x:c>
      <x:c r="G71" t="str">
        <x:v>0351 3398668</x:v>
      </x:c>
      <x:c r="H71" t="str">
        <x:v>planta / logística / compras</x:v>
      </x:c>
      <x:c r="I71" t="str">
        <x:v>Movimiento de insumos, equipos auxiliares, repuestos y cargas especiales de planta.</x:v>
      </x:c>
      <x:c r="J71" t="str">
        <x:v>A — prioridad alta</x:v>
      </x:c>
      <x:c r="K71" t="str">
        <x:v>Av. Monseñor Pablo Cabrera 5040, Córdoba Capital</x:v>
      </x:c>
    </x:row>
    <x:row r="72">
      <x:c r="A72" t="str">
        <x:v>CBA-017</x:v>
      </x:c>
      <x:c r="B72" t="str">
        <x:v>A</x:v>
      </x:c>
      <x:c r="C72" t="str">
        <x:v>Empresa Constructora Córdoba</x:v>
      </x:c>
      <x:c r="D72" t="str">
        <x:v>Construcción y obra vial</x:v>
      </x:c>
      <x:c r="E72" t="str">
        <x:v>Córdoba Capital</x:v>
      </x:c>
      <x:c r="F72" t="str">
        <x:v>Córdoba Capital</x:v>
      </x:c>
      <x:c r="G72" t="str">
        <x:v>+54 9 351 7594473</x:v>
      </x:c>
      <x:c r="H72" t="str">
        <x:v>jefe de obra / operaciones</x:v>
      </x:c>
      <x:c r="I72" t="str">
        <x:v>Movimiento de estructuras, materiales, equipos y módulos entre depósitos y obras.</x:v>
      </x:c>
      <x:c r="J72" t="str">
        <x:v>A — prioridad alta</x:v>
      </x:c>
      <x:c r="K72" t="str">
        <x:v>Wenceslao Paunero 2555, Córdoba Capital</x:v>
      </x:c>
    </x:row>
    <x:row r="73">
      <x:c r="A73" t="str">
        <x:v>CBA-053</x:v>
      </x:c>
      <x:c r="B73" t="str">
        <x:v>A</x:v>
      </x:c>
      <x:c r="C73" t="str">
        <x:v>Hormigones Alberdi SRL</x:v>
      </x:c>
      <x:c r="D73" t="str">
        <x:v>Hormigón, áridos y materiales</x:v>
      </x:c>
      <x:c r="E73" t="str">
        <x:v>Córdoba Capital</x:v>
      </x:c>
      <x:c r="F73" t="str">
        <x:v>Córdoba Capital</x:v>
      </x:c>
      <x:c r="G73" t="str">
        <x:v>+54 351 6564188</x:v>
      </x:c>
      <x:c r="H73" t="str">
        <x:v>planta / mantenimiento / logística</x:v>
      </x:c>
      <x:c r="I73" t="str">
        <x:v>Traslado eventual de equipos de planta, moldes, bombas y maquinaria auxiliar; apoyo a obras especiales.</x:v>
      </x:c>
      <x:c r="J73" t="str">
        <x:v>A — prioridad alta</x:v>
      </x:c>
      <x:c r="K73" t="str">
        <x:v>Av. Japón, Córdoba</x:v>
      </x:c>
    </x:row>
    <x:row r="74">
      <x:c r="A74" t="str">
        <x:v>CBA-018</x:v>
      </x:c>
      <x:c r="B74" t="str">
        <x:v>A</x:v>
      </x:c>
      <x:c r="C74" t="str">
        <x:v>ITEM Construcciones S.A.</x:v>
      </x:c>
      <x:c r="D74" t="str">
        <x:v>Construcción y obra vial</x:v>
      </x:c>
      <x:c r="E74" t="str">
        <x:v>Córdoba Capital</x:v>
      </x:c>
      <x:c r="F74" t="str">
        <x:v>Córdoba Capital</x:v>
      </x:c>
      <x:c r="G74" t="str">
        <x:v>0351 4804844</x:v>
      </x:c>
      <x:c r="H74" t="str">
        <x:v>operaciones / jefe de obra / compras</x:v>
      </x:c>
      <x:c r="I74" t="str">
        <x:v>Traslado de materiales, equipos y cargas especiales hacia obras.</x:v>
      </x:c>
      <x:c r="J74" t="str">
        <x:v>A — prioridad alta</x:v>
      </x:c>
      <x:c r="K74" t="str">
        <x:v>Dr. Pedro Chutro 952, Córdoba Capital</x:v>
      </x:c>
    </x:row>
    <x:row r="75">
      <x:c r="A75" t="str">
        <x:v>CBA-073</x:v>
      </x:c>
      <x:c r="B75" t="str">
        <x:v>A</x:v>
      </x:c>
      <x:c r="C75" t="str">
        <x:v>Sturam S.A.</x:v>
      </x:c>
      <x:c r="D75" t="str">
        <x:v>Metalúrgica y fabricación</x:v>
      </x:c>
      <x:c r="E75" t="str">
        <x:v>Córdoba Capital</x:v>
      </x:c>
      <x:c r="F75" t="str">
        <x:v>Córdoba Capital</x:v>
      </x:c>
      <x:c r="G75" t="str">
        <x:v>0351 461-3434</x:v>
      </x:c>
      <x:c r="H75" t="str">
        <x:v>logística / planta / expedición / compras</x:v>
      </x:c>
      <x:c r="I75" t="str">
        <x:v>Movimientos de matrices, piezas fundidas, conjuntos mecanizados y equipos entre plantas/clientes.</x:v>
      </x:c>
      <x:c r="J75" t="str">
        <x:v>A — prioridad alta</x:v>
      </x:c>
      <x:c r="K75" t="str">
        <x:v>Av. Manuel Gral. Savio 4880, Parque Industrial Ferreyra, Córdoba</x:v>
      </x:c>
    </x:row>
    <x:row r="76">
      <x:c r="A76" t="str">
        <x:v>CBA-016</x:v>
      </x:c>
      <x:c r="B76" t="str">
        <x:v>A</x:v>
      </x:c>
      <x:c r="C76" t="str">
        <x:v>Tecmigon S.A.</x:v>
      </x:c>
      <x:c r="D76" t="str">
        <x:v>Hormigón, áridos y materiales</x:v>
      </x:c>
      <x:c r="E76" t="str">
        <x:v>Córdoba Capital</x:v>
      </x:c>
      <x:c r="F76" t="str">
        <x:v>Córdoba Capital</x:v>
      </x:c>
      <x:c r="G76" t="str">
        <x:v>+54 9 351 8650528</x:v>
      </x:c>
      <x:c r="H76" t="str">
        <x:v>planta / mantenimiento / logística</x:v>
      </x:c>
      <x:c r="I76" t="str">
        <x:v>Traslado de insumos, repuestos, equipos auxiliares y cargas especiales.</x:v>
      </x:c>
      <x:c r="J76" t="str">
        <x:v>A — prioridad alta</x:v>
      </x:c>
      <x:c r="K76" t="str">
        <x:v>Av. Monseñor Pablo Cabrera 5024, Córdoba Capital</x:v>
      </x:c>
    </x:row>
    <x:row r="77">
      <x:c r="A77" t="str">
        <x:v>CBA-067</x:v>
      </x:c>
      <x:c r="B77" t="str">
        <x:v>A</x:v>
      </x:c>
      <x:c r="C77" t="str">
        <x:v>Kaeser Compresores de Argentina - Sucursal Córdoba</x:v>
      </x:c>
      <x:c r="D77" t="str">
        <x:v>Equipos industriales / energía</x:v>
      </x:c>
      <x:c r="E77" t="str">
        <x:v>Córdoba Capital</x:v>
      </x:c>
      <x:c r="F77" t="str">
        <x:v>Córdoba Capital</x:v>
      </x:c>
      <x:c r="G77" t="str">
        <x:v>+54 9 351 324-9876</x:v>
      </x:c>
      <x:c r="H77" t="str">
        <x:v>service / logística / sucursal Córdoba</x:v>
      </x:c>
      <x:c r="I77" t="str">
        <x:v>Entrega y retiro de compresores móviles e industriales para clientes, obras, minería y servicio técnico.</x:v>
      </x:c>
      <x:c r="J77" t="str">
        <x:v>A — prioridad alta</x:v>
      </x:c>
      <x:c r="K77" t="str">
        <x:v>Bv. de los Alemanes 3200, Local 2, Córdoba</x:v>
      </x:c>
    </x:row>
    <x:row r="78">
      <x:c r="A78" t="str">
        <x:v>CBA-079</x:v>
      </x:c>
      <x:c r="B78" t="str">
        <x:v>A</x:v>
      </x:c>
      <x:c r="C78" t="str">
        <x:v>RVM Servicios Metalúrgicos</x:v>
      </x:c>
      <x:c r="D78" t="str">
        <x:v>Metalúrgica y fabricación</x:v>
      </x:c>
      <x:c r="E78" t="str">
        <x:v>Córdoba Capital</x:v>
      </x:c>
      <x:c r="F78" t="str">
        <x:v>Córdoba Capital</x:v>
      </x:c>
      <x:c r="G78" t="str">
        <x:v>+54 351 876-0000</x:v>
      </x:c>
      <x:c r="H78" t="str">
        <x:v>logística / expedición / producción</x:v>
      </x:c>
      <x:c r="I78" t="str">
        <x:v>Despacho de estructuras, tubos, chapas y conjuntos soldados de dimensiones variables hacia clientes industriales.</x:v>
      </x:c>
      <x:c r="J78" t="str">
        <x:v>A — prioridad alta</x:v>
      </x:c>
      <x:c r="K78" t="str">
        <x:v>Ana Riglos de Irigoyen 353, Córdoba</x:v>
      </x:c>
    </x:row>
    <x:row r="79">
      <x:c r="A79" t="str">
        <x:v>CBA-068</x:v>
      </x:c>
      <x:c r="B79" t="str">
        <x:v>A</x:v>
      </x:c>
      <x:c r="C79" t="str">
        <x:v>Rodolfi e Hijos S.A.</x:v>
      </x:c>
      <x:c r="D79" t="str">
        <x:v>Equipos industriales / energía</x:v>
      </x:c>
      <x:c r="E79" t="str">
        <x:v>Córdoba Capital</x:v>
      </x:c>
      <x:c r="F79" t="str">
        <x:v>Córdoba Capital</x:v>
      </x:c>
      <x:c r="G79" t="str">
        <x:v>0351 473-8591 / 0351 471-4162</x:v>
      </x:c>
      <x:c r="H79" t="str">
        <x:v>service / instalaciones / logística</x:v>
      </x:c>
      <x:c r="I79" t="str">
        <x:v>Retiro, entrega e instalación de compresores y equipos industriales en plantas de clientes.</x:v>
      </x:c>
      <x:c r="J79" t="str">
        <x:v>A — prioridad alta</x:v>
      </x:c>
      <x:c r="K79" t="str">
        <x:v>Av. Juan B. Justo 2609, Córdoba</x:v>
      </x:c>
    </x:row>
    <x:row r="80">
      <x:c r="A80" t="str">
        <x:v>CBA-021</x:v>
      </x:c>
      <x:c r="B80" t="str">
        <x:v>B</x:v>
      </x:c>
      <x:c r="C80" t="str">
        <x:v>Adoquinar</x:v>
      </x:c>
      <x:c r="D80" t="str">
        <x:v>Hormigón, áridos y materiales</x:v>
      </x:c>
      <x:c r="E80" t="str">
        <x:v>Córdoba Capital</x:v>
      </x:c>
      <x:c r="F80" t="str">
        <x:v>Córdoba Capital</x:v>
      </x:c>
      <x:c r="G80" t="str">
        <x:v>351 2253836</x:v>
      </x:c>
      <x:c r="H80" t="str">
        <x:v>ventas / despacho</x:v>
      </x:c>
      <x:c r="I80" t="str">
        <x:v>Entrega de adoquines, cordones y losetas en pallets a obras.</x:v>
      </x:c>
      <x:c r="J80" t="str">
        <x:v>B — segunda pasada</x:v>
      </x:c>
      <x:c r="K80" t="str">
        <x:v>Córdoba Capital</x:v>
      </x:c>
    </x:row>
    <x:row r="81">
      <x:c r="A81" t="str">
        <x:v>CBA-020</x:v>
      </x:c>
      <x:c r="B81" t="str">
        <x:v>B</x:v>
      </x:c>
      <x:c r="C81" t="str">
        <x:v>Cerramientos y Estructuras S.A.</x:v>
      </x:c>
      <x:c r="D81" t="str">
        <x:v>Metalúrgica y fabricación</x:v>
      </x:c>
      <x:c r="E81" t="str">
        <x:v>Córdoba Capital</x:v>
      </x:c>
      <x:c r="F81" t="str">
        <x:v>Córdoba Capital</x:v>
      </x:c>
      <x:c r="G81" t="str">
        <x:v>0351 4679292</x:v>
      </x:c>
      <x:c r="H81" t="str">
        <x:v>producción / obras / expedición</x:v>
      </x:c>
      <x:c r="I81" t="str">
        <x:v>Entrega de cerramientos, perfiles, estructuras y componentes hacia obras.</x:v>
      </x:c>
      <x:c r="J81" t="str">
        <x:v>B — segunda pasada</x:v>
      </x:c>
      <x:c r="K81" t="str">
        <x:v>Av. O'Higgins 2710, Córdoba Capital</x:v>
      </x:c>
    </x:row>
    <x:row r="82">
      <x:c r="A82" t="str">
        <x:v>CBA-084</x:v>
      </x:c>
      <x:c r="B82" t="str">
        <x:v>B</x:v>
      </x:c>
      <x:c r="C82" t="str">
        <x:v>Cor Love S.R.L.</x:v>
      </x:c>
      <x:c r="D82" t="str">
        <x:v>Metalúrgica y fabricación</x:v>
      </x:c>
      <x:c r="E82" t="str">
        <x:v>Córdoba Capital</x:v>
      </x:c>
      <x:c r="F82" t="str">
        <x:v>Córdoba Capital</x:v>
      </x:c>
      <x:c r="G82" t="str">
        <x:v>0351 465-3894 / +54 351 615-0090</x:v>
      </x:c>
      <x:c r="H82" t="str">
        <x:v>logística / expedición / producción</x:v>
      </x:c>
      <x:c r="I82" t="str">
        <x:v>Traslado ocasional de herramentales, dispositivos, piezas y conjuntos entre planta y clientes industriales.</x:v>
      </x:c>
      <x:c r="J82" t="str">
        <x:v>B — segunda pasada</x:v>
      </x:c>
      <x:c r="K82" t="str">
        <x:v>Leopoldo Casavega 2935, Villa Aspacia, Córdoba</x:v>
      </x:c>
    </x:row>
    <x:row r="83">
      <x:c r="A83" t="str">
        <x:v>CBA-019</x:v>
      </x:c>
      <x:c r="B83" t="str">
        <x:v>B</x:v>
      </x:c>
      <x:c r="C83" t="str">
        <x:v>Empresa Constructora Base SRL</x:v>
      </x:c>
      <x:c r="D83" t="str">
        <x:v>Construcción y obra vial</x:v>
      </x:c>
      <x:c r="E83" t="str">
        <x:v>Córdoba Capital</x:v>
      </x:c>
      <x:c r="F83" t="str">
        <x:v>Córdoba Capital</x:v>
      </x:c>
      <x:c r="G83" t="str">
        <x:v>0351 4644462</x:v>
      </x:c>
      <x:c r="H83" t="str">
        <x:v>operaciones / obras / compras</x:v>
      </x:c>
      <x:c r="I83" t="str">
        <x:v>Movimientos de materiales, equipos y cargas especiales.</x:v>
      </x:c>
      <x:c r="J83" t="str">
        <x:v>B — segunda pasada</x:v>
      </x:c>
      <x:c r="K83" t="str">
        <x:v>De la Industria 797, Córdoba Capital</x:v>
      </x:c>
    </x:row>
    <x:row r="84">
      <x:c r="A84" t="str">
        <x:v>CBA-022</x:v>
      </x:c>
      <x:c r="B84" t="str">
        <x:v>B</x:v>
      </x:c>
      <x:c r="C84" t="str">
        <x:v>LT Materiales Corralón Mayorista</x:v>
      </x:c>
      <x:c r="D84" t="str">
        <x:v>Hormigón, áridos y materiales</x:v>
      </x:c>
      <x:c r="E84" t="str">
        <x:v>Córdoba Capital</x:v>
      </x:c>
      <x:c r="F84" t="str">
        <x:v>Córdoba Capital</x:v>
      </x:c>
      <x:c r="G84" t="str">
        <x:v>0351 7517028</x:v>
      </x:c>
      <x:c r="H84" t="str">
        <x:v>logística / despacho / compras</x:v>
      </x:c>
      <x:c r="I84" t="str">
        <x:v>Distribución de materiales pesados y palletizados.</x:v>
      </x:c>
      <x:c r="J84" t="str">
        <x:v>B — segunda pasada</x:v>
      </x:c>
      <x:c r="K84" t="str">
        <x:v>Dr. Ricardo Balbín 3800, Córdoba Capital</x:v>
      </x:c>
    </x:row>
    <x:row r="85">
      <x:c r="A85" t="str">
        <x:v>CBA-023</x:v>
      </x:c>
      <x:c r="B85" t="str">
        <x:v>B</x:v>
      </x:c>
      <x:c r="C85" t="str">
        <x:v>Metalúrgica Roma S.A.</x:v>
      </x:c>
      <x:c r="D85" t="str">
        <x:v>Metalúrgica y fabricación</x:v>
      </x:c>
      <x:c r="E85" t="str">
        <x:v>Córdoba Capital</x:v>
      </x:c>
      <x:c r="F85" t="str">
        <x:v>Córdoba Capital</x:v>
      </x:c>
      <x:c r="G85" t="str">
        <x:v>0351 4563539</x:v>
      </x:c>
      <x:c r="H85" t="str">
        <x:v>producción / expedición</x:v>
      </x:c>
      <x:c r="I85" t="str">
        <x:v>Traslado de fabricaciones y piezas terminadas.</x:v>
      </x:c>
      <x:c r="J85" t="str">
        <x:v>B — segunda pasada</x:v>
      </x:c>
      <x:c r="K85" t="str">
        <x:v>Simbolar 2254, Córdoba Capital</x:v>
      </x:c>
    </x:row>
    <x:row r="86">
      <x:c r="A86" t="str">
        <x:v>CBA-056</x:v>
      </x:c>
      <x:c r="B86" t="str">
        <x:v>B</x:v>
      </x:c>
      <x:c r="C86" t="str">
        <x:v>Ocampo Compresores</x:v>
      </x:c>
      <x:c r="D86" t="str">
        <x:v>Equipos industriales / energía</x:v>
      </x:c>
      <x:c r="E86" t="str">
        <x:v>Córdoba Capital</x:v>
      </x:c>
      <x:c r="F86" t="str">
        <x:v>Córdoba Capital</x:v>
      </x:c>
      <x:c r="G86" t="str">
        <x:v>+54 351 7321333</x:v>
      </x:c>
      <x:c r="H86" t="str">
        <x:v>servicio técnico / logística</x:v>
      </x:c>
      <x:c r="I86" t="str">
        <x:v>Retiro y entrega de compresores industriales para reparación y mantenimiento.</x:v>
      </x:c>
      <x:c r="J86" t="str">
        <x:v>B — segunda pasada</x:v>
      </x:c>
      <x:c r="K86" t="str">
        <x:v>Dr. Mariano Castex 270, X5003 Córdoba</x:v>
      </x:c>
    </x:row>
    <x:row r="87">
      <x:c r="A87" t="str">
        <x:v>CBA-082</x:v>
      </x:c>
      <x:c r="B87" t="str">
        <x:v>B</x:v>
      </x:c>
      <x:c r="C87" t="str">
        <x:v>Perlisa S.R.L.</x:v>
      </x:c>
      <x:c r="D87" t="str">
        <x:v>Metalúrgica y fabricación</x:v>
      </x:c>
      <x:c r="E87" t="str">
        <x:v>Córdoba Capital</x:v>
      </x:c>
      <x:c r="F87" t="str">
        <x:v>Córdoba Capital</x:v>
      </x:c>
      <x:c r="G87" t="str">
        <x:v>0351 470-3338</x:v>
      </x:c>
      <x:c r="H87" t="str">
        <x:v>expedición / producción / logística</x:v>
      </x:c>
      <x:c r="I87" t="str">
        <x:v>Entrega de chapas procesadas, piezas y conjuntos metálicos; ocasional necesidad de cargas largas o voluminosas.</x:v>
      </x:c>
      <x:c r="J87" t="str">
        <x:v>B — segunda pasada</x:v>
      </x:c>
      <x:c r="K87" t="str">
        <x:v>Rodríguez Peña 3247, Alta Córdoba, Córdoba</x:v>
      </x:c>
    </x:row>
    <x:row r="88">
      <x:c r="A88" t="str">
        <x:v>CBA-058</x:v>
      </x:c>
      <x:c r="B88" t="str">
        <x:v>B</x:v>
      </x:c>
      <x:c r="C88" t="str">
        <x:v>Alquilo Todo Córdoba</x:v>
      </x:c>
      <x:c r="D88" t="str">
        <x:v>Equipos industriales / energía</x:v>
      </x:c>
      <x:c r="E88" t="str">
        <x:v>Córdoba Capital</x:v>
      </x:c>
      <x:c r="F88" t="str">
        <x:v>Córdoba Capital</x:v>
      </x:c>
      <x:c r="G88" t="str">
        <x:v>+54 351 7292451</x:v>
      </x:c>
      <x:c r="H88" t="str">
        <x:v>alquileres / logística</x:v>
      </x:c>
      <x:c r="I88" t="str">
        <x:v>Algunos equipos de alquiler requieren entrega/retiro; potencial para cargas que excedan utilitarios.</x:v>
      </x:c>
      <x:c r="J88" t="str">
        <x:v>B — segunda pasada</x:v>
      </x:c>
      <x:c r="K88" t="str">
        <x:v>Av. Colón 5212, X5003 Córdoba</x:v>
      </x:c>
    </x:row>
    <x:row r="89">
      <x:c r="A89" t="str">
        <x:v>CBA-083</x:v>
      </x:c>
      <x:c r="B89" t="str">
        <x:v>B</x:v>
      </x:c>
      <x:c r="C89" t="str">
        <x:v>CAPEMI / A. Giacomelli S.A.</x:v>
      </x:c>
      <x:c r="D89" t="str">
        <x:v>Metalúrgica y fabricación</x:v>
      </x:c>
      <x:c r="E89" t="str">
        <x:v>Córdoba Capital</x:v>
      </x:c>
      <x:c r="F89" t="str">
        <x:v>Córdoba Capital</x:v>
      </x:c>
      <x:c r="G89" t="str">
        <x:v>0351 763-8712</x:v>
      </x:c>
      <x:c r="H89" t="str">
        <x:v>logística / expedición / compras</x:v>
      </x:c>
      <x:c r="I89" t="str">
        <x:v>Movimientos de componentes, matrices y cargas industriales entre planta y terminales/proveedores.</x:v>
      </x:c>
      <x:c r="J89" t="str">
        <x:v>B — segunda pasada</x:v>
      </x:c>
      <x:c r="K89" t="str">
        <x:v>Ruta 9 km 690, Ferreyra, Córdoba</x:v>
      </x:c>
    </x:row>
    <x:row r="90">
      <x:c r="A90" t="str">
        <x:v>CBA-059</x:v>
      </x:c>
      <x:c r="B90" t="str">
        <x:v>B</x:v>
      </x:c>
      <x:c r="C90" t="str">
        <x:v>Grúas Martin S.A.</x:v>
      </x:c>
      <x:c r="D90" t="str">
        <x:v>Transporte / izajes / alianza</x:v>
      </x:c>
      <x:c r="E90" t="str">
        <x:v>Córdoba Capital</x:v>
      </x:c>
      <x:c r="F90" t="str">
        <x:v>Córdoba Capital</x:v>
      </x:c>
      <x:c r="G90" t="str">
        <x:v>+54 9 351 3910572</x:v>
      </x:c>
      <x:c r="H90" t="str">
        <x:v>operaciones / tráfico / comercial</x:v>
      </x:c>
      <x:c r="I90" t="str">
        <x:v>Puede requerir subcontratación de plataforma/carretones en picos o servicios combinados de izaje + transporte.</x:v>
      </x:c>
      <x:c r="J90" t="str">
        <x:v>B — segunda pasada</x:v>
      </x:c>
      <x:c r="K90" t="str">
        <x:v>De las Artesanías 4250, X5012 Córdoba</x:v>
      </x:c>
    </x:row>
    <x:row r="91">
      <x:c r="A91" t="str">
        <x:v>CBA-025</x:v>
      </x:c>
      <x:c r="B91" t="str">
        <x:v>B</x:v>
      </x:c>
      <x:c r="C91" t="str">
        <x:v>Córdoba Machines</x:v>
      </x:c>
      <x:c r="D91" t="str">
        <x:v>Maquinaria agrícola</x:v>
      </x:c>
      <x:c r="E91" t="str">
        <x:v>Córdoba Capital</x:v>
      </x:c>
      <x:c r="F91" t="str">
        <x:v>Córdoba Capital</x:v>
      </x:c>
      <x:c r="G91" t="str">
        <x:v>+54 9 351 5906666</x:v>
      </x:c>
      <x:c r="H91" t="str">
        <x:v>ventas / producción / logística</x:v>
      </x:c>
      <x:c r="I91" t="str">
        <x:v>Entrega y retiro de maquinaria/equipos terminados.</x:v>
      </x:c>
      <x:c r="J91" t="str">
        <x:v>B — segunda pasada</x:v>
      </x:c>
      <x:c r="K91" t="str">
        <x:v>Díaz Colodrero 3210, Córdoba Capital</x:v>
      </x:c>
    </x:row>
    <x:row r="92">
      <x:c r="A92" t="str">
        <x:v>CBA-024</x:v>
      </x:c>
      <x:c r="B92" t="str">
        <x:v>B</x:v>
      </x:c>
      <x:c r="C92" t="str">
        <x:v>Metalúrgica Degiorgis S.A.</x:v>
      </x:c>
      <x:c r="D92" t="str">
        <x:v>Metalúrgica y fabricación</x:v>
      </x:c>
      <x:c r="E92" t="str">
        <x:v>Córdoba Capital</x:v>
      </x:c>
      <x:c r="F92" t="str">
        <x:v>Córdoba Capital</x:v>
      </x:c>
      <x:c r="G92" t="str">
        <x:v>0351 4800331</x:v>
      </x:c>
      <x:c r="H92" t="str">
        <x:v>producción / expedición</x:v>
      </x:c>
      <x:c r="I92" t="str">
        <x:v>Movimientos de piezas y fabricaciones metálicas.</x:v>
      </x:c>
      <x:c r="J92" t="str">
        <x:v>B — segunda pasada</x:v>
      </x:c>
      <x:c r="K92" t="str">
        <x:v>Av. Duarte Quirós 3717, Córdoba Capital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8" hidden="0" customWidth="1"/>
    <x:col min="5" max="5" width="16" hidden="0" customWidth="1"/>
    <x:col min="6" max="6" width="8" hidden="0" customWidth="1"/>
    <x:col min="7" max="7" width="12" hidden="0" customWidth="1"/>
    <x:col min="8" max="8" width="30" hidden="0" customWidth="1"/>
    <x:col min="9" max="9" width="34" hidden="0" customWidth="1"/>
    <x:col min="10" max="10" width="24" hidden="0" customWidth="1"/>
    <x:col min="11" max="11" width="20" hidden="0" customWidth="1"/>
    <x:col min="12" max="12" width="14" hidden="0" customWidth="1"/>
    <x:col min="13" max="13" width="24" hidden="0" customWidth="1"/>
    <x:col min="14" max="14" width="42" hidden="0" customWidth="1"/>
    <x:col min="15" max="15" width="38" hidden="0" customWidth="1"/>
    <x:col min="16" max="16" width="42" hidden="0" customWidth="1"/>
    <x:col min="17" max="17" width="38" hidden="0" customWidth="1"/>
    <x:col min="18" max="18" width="16" hidden="0" customWidth="1"/>
    <x:col min="19" max="19" width="32" hidden="0" customWidth="1"/>
    <x:col min="20" max="20" width="20" hidden="0" customWidth="1"/>
    <x:col min="21" max="21" width="13" hidden="0" customWidth="1"/>
    <x:col min="22" max="22" width="30" hidden="0" customWidth="1"/>
    <x:col min="23" max="23" width="32" hidden="0" customWidth="1"/>
    <x:col min="24" max="24" width="24" hidden="0" customWidth="1"/>
    <x:col min="25" max="25" width="25" hidden="0" customWidth="1"/>
    <x:col min="26" max="26" width="36" hidden="0" customWidth="1"/>
    <x:col min="27" max="27" width="40" hidden="0" customWidth="1"/>
    <x:col min="28" max="28" width="20" hidden="0" customWidth="1"/>
    <x:col min="29" max="29" width="42" hidden="0" customWidth="1"/>
    <x:col min="30" max="30" width="46" hidden="0" customWidth="1"/>
    <x:col min="31" max="31" width="14" hidden="0" customWidth="1"/>
    <x:col min="32" max="32" width="28" hidden="0" customWidth="1"/>
    <x:col min="33" max="33" width="38" hidden="0" customWidth="1"/>
    <x:col min="34" max="34" width="28" hidden="0" customWidth="1"/>
    <x:col min="35" max="35" width="18" hidden="0" customWidth="1"/>
    <x:col min="36" max="36" width="18" hidden="0" customWidth="1"/>
    <x:col min="37" max="37" width="36" hidden="0" customWidth="1"/>
    <x:col min="38" max="38" width="26" hidden="0" customWidth="1"/>
    <x:col min="39" max="39" width="44" hidden="0" customWidth="1"/>
  </x:cols>
  <x:sheetData>
    <x:row r="1" ht="32" customHeight="1">
      <x:c r="A1" s="6" t="str">
        <x:v>ID</x:v>
      </x:c>
      <x:c r="B1" s="6" t="str">
        <x:v>Estado de contacto</x:v>
      </x:c>
      <x:c r="C1" s="6" t="str">
        <x:v>Corredor</x:v>
      </x:c>
      <x:c r="D1" s="6" t="str">
        <x:v>Microzona</x:v>
      </x:c>
      <x:c r="E1" s="6" t="str">
        <x:v>Ciudad</x:v>
      </x:c>
      <x:c r="F1" s="6" t="str">
        <x:v>Clase</x:v>
      </x:c>
      <x:c r="G1" s="6" t="str">
        <x:v>Puntaje operativo</x:v>
      </x:c>
      <x:c r="H1" s="6" t="str">
        <x:v>Empresa</x:v>
      </x:c>
      <x:c r="I1" s="6" t="str">
        <x:v>Sector</x:v>
      </x:c>
      <x:c r="J1" s="6" t="str">
        <x:v>Categoría comercial</x:v>
      </x:c>
      <x:c r="K1" s="6" t="str">
        <x:v>Teléfonos</x:v>
      </x:c>
      <x:c r="L1" s="6" t="str">
        <x:v>Calidad del teléfono</x:v>
      </x:c>
      <x:c r="M1" s="6" t="str">
        <x:v>Preguntar por</x:v>
      </x:c>
      <x:c r="N1" s="6" t="str">
        <x:v>Necesidad probable</x:v>
      </x:c>
      <x:c r="O1" s="6" t="str">
        <x:v>Oferta PRESOL</x:v>
      </x:c>
      <x:c r="P1" s="6" t="str">
        <x:v>Gancho comercial</x:v>
      </x:c>
      <x:c r="Q1" s="6" t="str">
        <x:v>Acción sugerida</x:v>
      </x:c>
      <x:c r="R1" s="6" t="str">
        <x:v>Responsable</x:v>
      </x:c>
      <x:c r="S1" s="6" t="str">
        <x:v>Nota Dirección</x:v>
      </x:c>
      <x:c r="T1" s="6" t="str">
        <x:v>Resultado</x:v>
      </x:c>
      <x:c r="U1" s="6" t="str">
        <x:v>Fecha de visita</x:v>
      </x:c>
      <x:c r="V1" s="6" t="str">
        <x:v>Próximo paso</x:v>
      </x:c>
      <x:c r="W1" s="6" t="str">
        <x:v>Notas de campo</x:v>
      </x:c>
      <x:c r="X1" s="6" t="str">
        <x:v>Teléfono principal (tel:)</x:v>
      </x:c>
      <x:c r="Y1" s="6" t="str">
        <x:v>Links telefónicos</x:v>
      </x:c>
      <x:c r="Z1" s="6" t="str">
        <x:v>Dato pendiente</x:v>
      </x:c>
      <x:c r="AA1" s="6" t="str">
        <x:v>Google Maps</x:v>
      </x:c>
      <x:c r="AB1" s="6" t="str">
        <x:v>Fuente</x:v>
      </x:c>
      <x:c r="AC1" s="6" t="str">
        <x:v>URL fuente</x:v>
      </x:c>
      <x:c r="AD1" s="6" t="str">
        <x:v>Evidencia</x:v>
      </x:c>
      <x:c r="AE1" s="6" t="str">
        <x:v>Calidad del dato</x:v>
      </x:c>
      <x:c r="AF1" s="6" t="str">
        <x:v>Origen del registro</x:v>
      </x:c>
      <x:c r="AG1" s="6" t="str">
        <x:v>Servicios PRESOL a ofrecer</x:v>
      </x:c>
      <x:c r="AH1" s="6" t="str">
        <x:v>Rubro foco enriquecimiento</x:v>
      </x:c>
      <x:c r="AI1" s="6" t="str">
        <x:v>Ciudad foco solicitada</x:v>
      </x:c>
      <x:c r="AJ1" s="6" t="str">
        <x:v>Prioridad visita sugerida</x:v>
      </x:c>
      <x:c r="AK1" s="6" t="str">
        <x:v>Observación servicio nuevo</x:v>
      </x:c>
      <x:c r="AL1" s="6" t="str">
        <x:v>Fuente unificación</x:v>
      </x:c>
      <x:c r="AM1" s="6" t="str">
        <x:v>Notas de unificación</x:v>
      </x:c>
    </x:row>
    <x:row r="2" ht="44" customHeight="1">
      <x:c r="A2" s="14" t="str">
        <x:v>CBA-001</x:v>
      </x:c>
      <x:c r="B2" s="14" t="str">
        <x:v>Pendiente</x:v>
      </x:c>
      <x:c r="C2" s="14" t="str">
        <x:v>Córdoba Capital</x:v>
      </x:c>
      <x:c r="D2" s="14" t="str">
        <x:v>Av. Sabattini 5337, Córdoba Capital</x:v>
      </x:c>
      <x:c r="E2" s="14" t="str">
        <x:v>Córdoba Capital</x:v>
      </x:c>
      <x:c r="F2" s="14" t="str">
        <x:v>A+</x:v>
      </x:c>
      <x:c r="G2" s="14" t="n">
        <x:v>100</x:v>
      </x:c>
      <x:c r="H2" s="14" t="str">
        <x:v>Industrias Moreno</x:v>
      </x:c>
      <x:c r="I2" s="14" t="str">
        <x:v>Fabricación metalúrgica; corte láser, plegado, mecanizado CNC y estructuras</x:v>
      </x:c>
      <x:c r="J2" s="14" t="str">
        <x:v>Metalúrgica y fabricación</x:v>
      </x:c>
      <x:c r="K2" s="14" t="str">
        <x:v>+54 9 351 819 7432</x:v>
      </x:c>
      <x:c r="L2" s="14" t="str">
        <x:v>OK</x:v>
      </x:c>
      <x:c r="M2" s="14" t="str">
        <x:v>producción / logística / expedición</x:v>
      </x:c>
      <x:c r="N2" s="14" t="str">
        <x:v>Despacho de estructuras, conjuntos metálicos, piezas mecanizadas y fabricaciones especiales hacia plantas y obras.</x:v>
      </x:c>
      <x:c r="O2" s="14" t="str">
        <x:v>Plataforma 20 tn + hidrogrúa/malacate según geometría + seguro de carga + trazabilidad GPS.</x:v>
      </x:c>
      <x:c r="P2" s="14" t="str">
        <x:v>Tercerizar despachos de piezas y estructuras terminadas sin inmovilizar recursos propios.</x:v>
      </x:c>
      <x:c r="Q2" s="14" t="str">
        <x:v>Llamada prioritaria; consultar próximos despachos de estructuras o piezas de gran porte.</x:v>
      </x:c>
      <x:c r="R2" s="14"/>
      <x:c r="S2" s="14" t="str">
        <x:v>Av. Sabattini 5337, Córdoba Capital</x:v>
      </x:c>
      <x:c r="T2" s="14"/>
      <x:c r="U2" s="14"/>
      <x:c r="V2" s="14"/>
      <x:c r="W2" s="14"/>
      <x:c r="X2" s="14"/>
      <x:c r="Y2" s="14" t="str">
        <x:v>tel:+5493518197432</x:v>
      </x:c>
      <x:c r="Z2" s="14" t="str">
        <x:v>Confirmar decisor y frecuencia de movimientos antes de cotizar.</x:v>
      </x:c>
      <x:c r="AA2" s="14" t="str">
        <x:v>https://www.google.com/maps/search/?api=1&amp;query=Industrias+Moreno+Av+Sabattini+5337+Cordoba</x:v>
      </x:c>
      <x:c r="AB2" s="14" t="str">
        <x:v>Web propia</x:v>
      </x:c>
      <x:c r="AC2" s="14" t="str">
        <x:v>https://indumor.com/</x:v>
      </x:c>
      <x:c r="AD2" s="14" t="str">
        <x:v>Planta propia en Córdoba Capital; fabrica piezas, conjuntos y estructuras metálicas.</x:v>
      </x:c>
      <x:c r="AE2" s="14" t="str">
        <x:v>Alta</x:v>
      </x:c>
      <x:c r="AF2" s="14" t="str">
        <x:v>Rastrillaje Córdoba Capital 2026-09-14</x:v>
      </x:c>
      <x:c r="AG2" s="14" t="str">
        <x:v>plataforma 20 tn | hidrogrúa | malacate | seguro de carga | GPS</x:v>
      </x:c>
      <x:c r="AH2" s="14" t="str">
        <x:v>metalúrgica / estructuras</x:v>
      </x:c>
      <x:c r="AI2" s="14" t="str">
        <x:v>Sí</x:v>
      </x:c>
      <x:c r="AJ2" s="14" t="str">
        <x:v>A+ — visita/llamada inmediata</x:v>
      </x:c>
      <x:c r="AK2" s="14" t="str">
        <x:v>Potencial recurrente por despachos industriales y piezas especiales.</x:v>
      </x:c>
      <x:c r="AL2" s="14" t="str">
        <x:v>Web + Google Business Profile</x:v>
      </x:c>
      <x:c r="AM2" s="14" t="str">
        <x:v>Alta nueva; cruzada contra base maestra aportada para evitar duplicados.</x:v>
      </x:c>
    </x:row>
    <x:row r="3" ht="44" customHeight="1">
      <x:c r="A3" s="14" t="str">
        <x:v>CBA-002</x:v>
      </x:c>
      <x:c r="B3" s="14" t="str">
        <x:v>Pendiente</x:v>
      </x:c>
      <x:c r="C3" s="14" t="str">
        <x:v>Córdoba Capital</x:v>
      </x:c>
      <x:c r="D3" s="14" t="str">
        <x:v>Carlos Gervasoni 2545, Córdoba Capital</x:v>
      </x:c>
      <x:c r="E3" s="14" t="str">
        <x:v>Córdoba Capital</x:v>
      </x:c>
      <x:c r="F3" s="14" t="str">
        <x:v>A+</x:v>
      </x:c>
      <x:c r="G3" s="14" t="n">
        <x:v>95</x:v>
      </x:c>
      <x:c r="H3" s="14" t="str">
        <x:v>Metalúrgica AS</x:v>
      </x:c>
      <x:c r="I3" s="14" t="str">
        <x:v>Mecanizado; autopartes, agropartes y construcción</x:v>
      </x:c>
      <x:c r="J3" s="14" t="str">
        <x:v>Metalúrgica y fabricación</x:v>
      </x:c>
      <x:c r="K3" s="14" t="str">
        <x:v>0351 6002097</x:v>
      </x:c>
      <x:c r="L3" s="14" t="str">
        <x:v>OK</x:v>
      </x:c>
      <x:c r="M3" s="14" t="str">
        <x:v>producción / expedición / compras</x:v>
      </x:c>
      <x:c r="N3" s="14" t="str">
        <x:v>Movimiento de piezas mecanizadas, subconjuntos, agropartes y materiales entre clientes/proveedores.</x:v>
      </x:c>
      <x:c r="O3" s="14" t="str">
        <x:v>Plataforma + percha pallets + hidrogrúa según maniobra.</x:v>
      </x:c>
      <x:c r="P3" s="14" t="str">
        <x:v>Resolver picos de despacho y movimientos interplanta de piezas pesadas o palletizadas.</x:v>
      </x:c>
      <x:c r="Q3" s="14" t="str">
        <x:v>Contactar producción/expedición y preguntar frecuencia de despachos fuera de Córdoba.</x:v>
      </x:c>
      <x:c r="R3" s="14"/>
      <x:c r="S3" s="14" t="str">
        <x:v>Carlos Gervasoni 2545, Córdoba Capital</x:v>
      </x:c>
      <x:c r="T3" s="14"/>
      <x:c r="U3" s="14"/>
      <x:c r="V3" s="14"/>
      <x:c r="W3" s="14"/>
      <x:c r="X3" s="14"/>
      <x:c r="Y3" s="14" t="str">
        <x:v>tel:+543516002097</x:v>
      </x:c>
      <x:c r="Z3" s="14" t="str">
        <x:v>Confirmar decisor y frecuencia de movimientos antes de cotizar.</x:v>
      </x:c>
      <x:c r="AA3" s="14" t="str">
        <x:v>https://www.google.com/maps/search/?api=1&amp;query=Metalurgica+AS+Carlos+Gervasoni+2545+Cordoba</x:v>
      </x:c>
      <x:c r="AB3" s="14" t="str">
        <x:v>Web propia</x:v>
      </x:c>
      <x:c r="AC3" s="14" t="str">
        <x:v>https://metalurgicaas.com.ar/</x:v>
      </x:c>
      <x:c r="AD3" s="14" t="str">
        <x:v>Metalúrgica de Córdoba Capital con mecanizado para autopartes, agropartes y construcción.</x:v>
      </x:c>
      <x:c r="AE3" s="14" t="str">
        <x:v>Alta</x:v>
      </x:c>
      <x:c r="AF3" s="14" t="str">
        <x:v>Rastrillaje Córdoba Capital 2026-09-14</x:v>
      </x:c>
      <x:c r="AG3" s="14" t="str">
        <x:v>plataforma | percha pallets | hidrogrúa</x:v>
      </x:c>
      <x:c r="AH3" s="14" t="str">
        <x:v>metalúrgica / agropartes</x:v>
      </x:c>
      <x:c r="AI3" s="14" t="str">
        <x:v>Sí</x:v>
      </x:c>
      <x:c r="AJ3" s="14" t="str">
        <x:v>A+ — visita/llamada inmediata</x:v>
      </x:c>
      <x:c r="AK3" s="14" t="str">
        <x:v>Buen encaje para carga industrial compacta y palletizada.</x:v>
      </x:c>
      <x:c r="AL3" s="14" t="str">
        <x:v>Web + Google Business Profile</x:v>
      </x:c>
      <x:c r="AM3" s="14" t="str">
        <x:v>Alta nueva; cruzada contra base maestra aportada para evitar duplicados.</x:v>
      </x:c>
    </x:row>
    <x:row r="4" ht="44" customHeight="1">
      <x:c r="A4" s="14" t="str">
        <x:v>CBA-003</x:v>
      </x:c>
      <x:c r="B4" s="14" t="str">
        <x:v>Pendiente</x:v>
      </x:c>
      <x:c r="C4" s="14" t="str">
        <x:v>Córdoba Capital</x:v>
      </x:c>
      <x:c r="D4" s="14" t="str">
        <x:v>Bv. Los Alemanes 3284, Córdoba Capital</x:v>
      </x:c>
      <x:c r="E4" s="14" t="str">
        <x:v>Córdoba Capital</x:v>
      </x:c>
      <x:c r="F4" s="14" t="str">
        <x:v>A+</x:v>
      </x:c>
      <x:c r="G4" s="14" t="n">
        <x:v>95</x:v>
      </x:c>
      <x:c r="H4" s="14" t="str">
        <x:v>Armoy Construcciones Metálicas</x:v>
      </x:c>
      <x:c r="I4" s="14" t="str">
        <x:v>Fabricación y montaje de estructuras metálicas; calderería y silos</x:v>
      </x:c>
      <x:c r="J4" s="14" t="str">
        <x:v>Metalúrgica y fabricación</x:v>
      </x:c>
      <x:c r="K4" s="14" t="str">
        <x:v>351 3859321 / 351 5060369</x:v>
      </x:c>
      <x:c r="L4" s="14" t="str">
        <x:v>OK</x:v>
      </x:c>
      <x:c r="M4" s="14" t="str">
        <x:v>logística / producción / montaje</x:v>
      </x:c>
      <x:c r="N4" s="14" t="str">
        <x:v>Traslado de estructuras, perfiles, silos, calderería y componentes hacia obras y plantas.</x:v>
      </x:c>
      <x:c r="O4" s="14" t="str">
        <x:v>Plataforma 20 tn + hidrogrúa + apoyo de maniobra + seguro/GPS.</x:v>
      </x:c>
      <x:c r="P4" s="14" t="str">
        <x:v>Ofrecer capacidad de refuerzo para montajes y despachos cuando su flota propia esté ocupada.</x:v>
      </x:c>
      <x:c r="Q4" s="14" t="str">
        <x:v>Llamada prioritaria; pedir por logística/montaje y detectar obras activas.</x:v>
      </x:c>
      <x:c r="R4" s="14"/>
      <x:c r="S4" s="14" t="str">
        <x:v>Bv. Los Alemanes 3284, Córdoba Capital</x:v>
      </x:c>
      <x:c r="T4" s="14"/>
      <x:c r="U4" s="14"/>
      <x:c r="V4" s="14"/>
      <x:c r="W4" s="14"/>
      <x:c r="X4" s="14"/>
      <x:c r="Y4" s="14" t="str">
        <x:v>tel:+5435138593213515060369</x:v>
      </x:c>
      <x:c r="Z4" s="14" t="str">
        <x:v>Confirmar decisor y frecuencia de movimientos antes de cotizar.</x:v>
      </x:c>
      <x:c r="AA4" s="14" t="str">
        <x:v>https://www.google.com/maps/search/?api=1&amp;query=Armoy+Blvd+Los+Alemanes+3284+Cordoba</x:v>
      </x:c>
      <x:c r="AB4" s="14" t="str">
        <x:v>Web propia</x:v>
      </x:c>
      <x:c r="AC4" s="14" t="str">
        <x:v>https://armoy.com.ar/</x:v>
      </x:c>
      <x:c r="AD4" s="14" t="str">
        <x:v>Fabrica y monta estructuras metálicas, silos y calderería; informa flota propia y grúas.</x:v>
      </x:c>
      <x:c r="AE4" s="14" t="str">
        <x:v>Alta</x:v>
      </x:c>
      <x:c r="AF4" s="14" t="str">
        <x:v>Rastrillaje Córdoba Capital 2026-09-14</x:v>
      </x:c>
      <x:c r="AG4" s="14" t="str">
        <x:v>plataforma 20 tn | hidrogrúa | malacate | seguro/GPS</x:v>
      </x:c>
      <x:c r="AH4" s="14" t="str">
        <x:v>estructuras / montaje industrial</x:v>
      </x:c>
      <x:c r="AI4" s="14" t="str">
        <x:v>Sí</x:v>
      </x:c>
      <x:c r="AJ4" s="14" t="str">
        <x:v>A+ — visita/llamada inmediata</x:v>
      </x:c>
      <x:c r="AK4" s="14" t="str">
        <x:v>Aunque tiene flota propia, puede requerir capacidad tercerizada en picos.</x:v>
      </x:c>
      <x:c r="AL4" s="14" t="str">
        <x:v>Web + Google Business Profile</x:v>
      </x:c>
      <x:c r="AM4" s="14" t="str">
        <x:v>Alta nueva; cruzada contra base maestra aportada para evitar duplicados.</x:v>
      </x:c>
    </x:row>
    <x:row r="5" ht="44" customHeight="1">
      <x:c r="A5" s="14" t="str">
        <x:v>CBA-004</x:v>
      </x:c>
      <x:c r="B5" s="14" t="str">
        <x:v>Pendiente</x:v>
      </x:c>
      <x:c r="C5" s="14" t="str">
        <x:v>Córdoba Capital</x:v>
      </x:c>
      <x:c r="D5" s="14" t="str">
        <x:v>RN 19 km 327, Córdoba Capital</x:v>
      </x:c>
      <x:c r="E5" s="14" t="str">
        <x:v>Córdoba Capital</x:v>
      </x:c>
      <x:c r="F5" s="14" t="str">
        <x:v>A+</x:v>
      </x:c>
      <x:c r="G5" s="14" t="n">
        <x:v>95</x:v>
      </x:c>
      <x:c r="H5" s="14" t="str">
        <x:v>H30 Estructuras</x:v>
      </x:c>
      <x:c r="I5" s="14" t="str">
        <x:v>Naves industriales, puentes grúa, pisos industriales y montaje</x:v>
      </x:c>
      <x:c r="J5" s="14" t="str">
        <x:v>Construcción y obra vial</x:v>
      </x:c>
      <x:c r="K5" s="14" t="str">
        <x:v>+54 9 351 7566817</x:v>
      </x:c>
      <x:c r="L5" s="14" t="str">
        <x:v>OK</x:v>
      </x:c>
      <x:c r="M5" s="14" t="str">
        <x:v>obras / logística / montaje</x:v>
      </x:c>
      <x:c r="N5" s="14" t="str">
        <x:v>Traslado de perfiles, estructuras, componentes de puentes grúa y equipos hacia obras.</x:v>
      </x:c>
      <x:c r="O5" s="14" t="str">
        <x:v>Plataforma + hidrogrúa + maniobras de carga/descarga.</x:v>
      </x:c>
      <x:c r="P5" s="14" t="str">
        <x:v>Complementar montaje con transporte coordinado de estructuras y equipos.</x:v>
      </x:c>
      <x:c r="Q5" s="14" t="str">
        <x:v>Contactar por obras activas y próximos movimientos.</x:v>
      </x:c>
      <x:c r="R5" s="14"/>
      <x:c r="S5" s="14" t="str">
        <x:v>RN 19 km 327, Córdoba Capital</x:v>
      </x:c>
      <x:c r="T5" s="14"/>
      <x:c r="U5" s="14"/>
      <x:c r="V5" s="14"/>
      <x:c r="W5" s="14"/>
      <x:c r="X5" s="14"/>
      <x:c r="Y5" s="14" t="str">
        <x:v>tel:+5493517566817</x:v>
      </x:c>
      <x:c r="Z5" s="14" t="str">
        <x:v>Confirmar decisor y frecuencia de movimientos antes de cotizar.</x:v>
      </x:c>
      <x:c r="AA5" s="14" t="str">
        <x:v>https://www.google.com/maps/search/?api=1&amp;query=H30+Estructuras+Ruta+19+km+327+Cordoba</x:v>
      </x:c>
      <x:c r="AB5" s="14" t="str">
        <x:v>Web propia</x:v>
      </x:c>
      <x:c r="AC5" s="14" t="str">
        <x:v>https://h30estructuras.com.ar/servicios/</x:v>
      </x:c>
      <x:c r="AD5" s="14" t="str">
        <x:v>Planta industrial en Córdoba Capital; fabrica/monta naves y puentes de grúa.</x:v>
      </x:c>
      <x:c r="AE5" s="14" t="str">
        <x:v>Alta</x:v>
      </x:c>
      <x:c r="AF5" s="14" t="str">
        <x:v>Rastrillaje Córdoba Capital 2026-09-14</x:v>
      </x:c>
      <x:c r="AG5" s="14" t="str">
        <x:v>plataforma 20 tn | hidrogrúa | malacate</x:v>
      </x:c>
      <x:c r="AH5" s="14" t="str">
        <x:v>estructuras / naves industriales</x:v>
      </x:c>
      <x:c r="AI5" s="14" t="str">
        <x:v>Sí</x:v>
      </x:c>
      <x:c r="AJ5" s="14" t="str">
        <x:v>A+ — visita/llamada inmediata</x:v>
      </x:c>
      <x:c r="AK5" s="14" t="str">
        <x:v>Carga sobredimensionada y de obra: encaje directo.</x:v>
      </x:c>
      <x:c r="AL5" s="14" t="str">
        <x:v>Web + Google Business Profile</x:v>
      </x:c>
      <x:c r="AM5" s="14" t="str">
        <x:v>Alta nueva; cruzada contra base maestra aportada para evitar duplicados.</x:v>
      </x:c>
    </x:row>
    <x:row r="6" ht="44" customHeight="1">
      <x:c r="A6" s="14" t="str">
        <x:v>CBA-005</x:v>
      </x:c>
      <x:c r="B6" s="14" t="str">
        <x:v>Pendiente</x:v>
      </x:c>
      <x:c r="C6" s="14" t="str">
        <x:v>Córdoba Capital</x:v>
      </x:c>
      <x:c r="D6" s="14" t="str">
        <x:v>Cochabamba 2328, Córdoba Capital</x:v>
      </x:c>
      <x:c r="E6" s="14" t="str">
        <x:v>Córdoba Capital</x:v>
      </x:c>
      <x:c r="F6" s="14" t="str">
        <x:v>A+</x:v>
      </x:c>
      <x:c r="G6" s="14" t="n">
        <x:v>95</x:v>
      </x:c>
      <x:c r="H6" s="14" t="str">
        <x:v>Metalica Construcciones y Montajes S.A.</x:v>
      </x:c>
      <x:c r="I6" s="14" t="str">
        <x:v>Construcciones y montajes industriales</x:v>
      </x:c>
      <x:c r="J6" s="14" t="str">
        <x:v>Construcción y obra vial</x:v>
      </x:c>
      <x:c r="K6" s="14" t="str">
        <x:v>0351 3063757</x:v>
      </x:c>
      <x:c r="L6" s="14" t="str">
        <x:v>OK</x:v>
      </x:c>
      <x:c r="M6" s="14" t="str">
        <x:v>operaciones / jefe de obra / logística</x:v>
      </x:c>
      <x:c r="N6" s="14" t="str">
        <x:v>Movimiento de estructuras, equipos y materiales entre taller, depósitos y frentes de obra.</x:v>
      </x:c>
      <x:c r="O6" s="14" t="str">
        <x:v>Plataforma + hidrogrúa + percha pallets según carga.</x:v>
      </x:c>
      <x:c r="P6" s="14" t="str">
        <x:v>Proveedor logístico de apoyo para obras con ventanas de carga y descarga.</x:v>
      </x:c>
      <x:c r="Q6" s="14" t="str">
        <x:v>Llamar y pedir por operaciones/obras.</x:v>
      </x:c>
      <x:c r="R6" s="14"/>
      <x:c r="S6" s="14" t="str">
        <x:v>Cochabamba 2328, Córdoba Capital</x:v>
      </x:c>
      <x:c r="T6" s="14"/>
      <x:c r="U6" s="14"/>
      <x:c r="V6" s="14"/>
      <x:c r="W6" s="14"/>
      <x:c r="X6" s="14"/>
      <x:c r="Y6" s="14" t="str">
        <x:v>tel:+543513063757</x:v>
      </x:c>
      <x:c r="Z6" s="14" t="str">
        <x:v>Confirmar decisor y frecuencia de movimientos antes de cotizar.</x:v>
      </x:c>
      <x:c r="AA6" s="14" t="str">
        <x:v>https://www.google.com/maps/search/?api=1&amp;query=Metalica+Construcciones+y+Montajes+Cochabamba+2328+Cordoba</x:v>
      </x:c>
      <x:c r="AB6" s="14" t="str">
        <x:v>Google Business Profile</x:v>
      </x:c>
      <x:c r="AC6" s="14" t="str">
        <x:v>https://www.google.com/maps/search/?api=1&amp;query=Metalica+Construcciones+y+Montajes+Cochabamba+2328+Cordoba</x:v>
      </x:c>
      <x:c r="AD6" s="14" t="str">
        <x:v>Empresa de construcción y montaje ubicada en Córdoba Capital.</x:v>
      </x:c>
      <x:c r="AE6" s="14" t="str">
        <x:v>Media-Alta</x:v>
      </x:c>
      <x:c r="AF6" s="14" t="str">
        <x:v>Rastrillaje Córdoba Capital 2026-09-14</x:v>
      </x:c>
      <x:c r="AG6" s="14" t="str">
        <x:v>plataforma | hidrogrúa | percha pallets</x:v>
      </x:c>
      <x:c r="AH6" s="14" t="str">
        <x:v>montaje industrial</x:v>
      </x:c>
      <x:c r="AI6" s="14" t="str">
        <x:v>Sí</x:v>
      </x:c>
      <x:c r="AJ6" s="14" t="str">
        <x:v>A+ — visita/llamada inmediata</x:v>
      </x:c>
      <x:c r="AK6" s="14" t="str">
        <x:v>Validar tipo de obras activas y peso habitual de cargas.</x:v>
      </x:c>
      <x:c r="AL6" s="14" t="str">
        <x:v>Web + Google Business Profile</x:v>
      </x:c>
      <x:c r="AM6" s="14" t="str">
        <x:v>Alta nueva; cruzada contra base maestra aportada para evitar duplicados.</x:v>
      </x:c>
    </x:row>
    <x:row r="7" ht="44" customHeight="1">
      <x:c r="A7" s="14" t="str">
        <x:v>CBA-006</x:v>
      </x:c>
      <x:c r="B7" s="14" t="str">
        <x:v>Pendiente</x:v>
      </x:c>
      <x:c r="C7" s="14" t="str">
        <x:v>Córdoba Capital</x:v>
      </x:c>
      <x:c r="D7" s="14" t="str">
        <x:v>De los Latinos 7339, Córdoba Capital</x:v>
      </x:c>
      <x:c r="E7" s="14" t="str">
        <x:v>Córdoba Capital</x:v>
      </x:c>
      <x:c r="F7" s="14" t="str">
        <x:v>A</x:v>
      </x:c>
      <x:c r="G7" s="14" t="n">
        <x:v>90</x:v>
      </x:c>
      <x:c r="H7" s="14" t="str">
        <x:v>MMETAL</x:v>
      </x:c>
      <x:c r="I7" s="14" t="str">
        <x:v>Soluciones metalúrgicas industriales</x:v>
      </x:c>
      <x:c r="J7" s="14" t="str">
        <x:v>Metalúrgica y fabricación</x:v>
      </x:c>
      <x:c r="K7" s="14" t="str">
        <x:v>+54 9 351 2644081</x:v>
      </x:c>
      <x:c r="L7" s="14" t="str">
        <x:v>OK</x:v>
      </x:c>
      <x:c r="M7" s="14" t="str">
        <x:v>producción / logística</x:v>
      </x:c>
      <x:c r="N7" s="14" t="str">
        <x:v>Despacho de fabricaciones metálicas, estructuras y componentes industriales.</x:v>
      </x:c>
      <x:c r="O7" s="14" t="str">
        <x:v>Plataforma + hidrogrúa + seguro/GPS.</x:v>
      </x:c>
      <x:c r="P7" s="14" t="str">
        <x:v>Ofrecer transporte regional para piezas terminadas y cargas especiales.</x:v>
      </x:c>
      <x:c r="Q7" s="14" t="str">
        <x:v>Contacto directo con producción/logística.</x:v>
      </x:c>
      <x:c r="R7" s="14"/>
      <x:c r="S7" s="14" t="str">
        <x:v>De los Latinos 7339, Córdoba Capital</x:v>
      </x:c>
      <x:c r="T7" s="14"/>
      <x:c r="U7" s="14"/>
      <x:c r="V7" s="14"/>
      <x:c r="W7" s="14"/>
      <x:c r="X7" s="14"/>
      <x:c r="Y7" s="14" t="str">
        <x:v>tel:+5493512644081</x:v>
      </x:c>
      <x:c r="Z7" s="14" t="str">
        <x:v>Confirmar decisor y frecuencia de movimientos antes de cotizar.</x:v>
      </x:c>
      <x:c r="AA7" s="14" t="str">
        <x:v>https://www.google.com/maps/search/?api=1&amp;query=MMETAL+De+los+Latinos+7339+Cordoba</x:v>
      </x:c>
      <x:c r="AB7" s="14" t="str">
        <x:v>Google Business Profile</x:v>
      </x:c>
      <x:c r="AC7" s="14" t="str">
        <x:v>https://www.google.com/maps/search/?api=1&amp;query=MMETAL+De+los+Latinos+7339+Cordoba</x:v>
      </x:c>
      <x:c r="AD7" s="14" t="str">
        <x:v>Fábrica metalúrgica en Córdoba Capital.</x:v>
      </x:c>
      <x:c r="AE7" s="14" t="str">
        <x:v>Media-Alta</x:v>
      </x:c>
      <x:c r="AF7" s="14" t="str">
        <x:v>Rastrillaje Córdoba Capital 2026-09-14</x:v>
      </x:c>
      <x:c r="AG7" s="14" t="str">
        <x:v>plataforma | hidrogrúa | malacate</x:v>
      </x:c>
      <x:c r="AH7" s="14" t="str">
        <x:v>metalúrgica</x:v>
      </x:c>
      <x:c r="AI7" s="14" t="str">
        <x:v>Sí</x:v>
      </x:c>
      <x:c r="AJ7" s="14" t="str">
        <x:v>A — prioridad alta</x:v>
      </x:c>
      <x:c r="AK7" s="14" t="str">
        <x:v>Relevar tamaños/pesos de fabricación típica.</x:v>
      </x:c>
      <x:c r="AL7" s="14" t="str">
        <x:v>Web + Google Business Profile</x:v>
      </x:c>
      <x:c r="AM7" s="14" t="str">
        <x:v>Alta nueva; cruzada contra base maestra aportada para evitar duplicados.</x:v>
      </x:c>
    </x:row>
    <x:row r="8" ht="44" customHeight="1">
      <x:c r="A8" s="14" t="str">
        <x:v>CBA-007</x:v>
      </x:c>
      <x:c r="B8" s="14" t="str">
        <x:v>Pendiente</x:v>
      </x:c>
      <x:c r="C8" s="14" t="str">
        <x:v>Córdoba Capital</x:v>
      </x:c>
      <x:c r="D8" s="14" t="str">
        <x:v>Francisco del Prado 3385, Córdoba Capital</x:v>
      </x:c>
      <x:c r="E8" s="14" t="str">
        <x:v>Córdoba Capital</x:v>
      </x:c>
      <x:c r="F8" s="14" t="str">
        <x:v>A</x:v>
      </x:c>
      <x:c r="G8" s="14" t="n">
        <x:v>90</x:v>
      </x:c>
      <x:c r="H8" s="14" t="str">
        <x:v>Estructuras Mosconi SRL</x:v>
      </x:c>
      <x:c r="I8" s="14" t="str">
        <x:v>Estructuras metálicas</x:v>
      </x:c>
      <x:c r="J8" s="14" t="str">
        <x:v>Metalúrgica y fabricación</x:v>
      </x:c>
      <x:c r="K8" s="14" t="str">
        <x:v>0351 7715226</x:v>
      </x:c>
      <x:c r="L8" s="14" t="str">
        <x:v>OK</x:v>
      </x:c>
      <x:c r="M8" s="14" t="str">
        <x:v>producción / montaje / logística</x:v>
      </x:c>
      <x:c r="N8" s="14" t="str">
        <x:v>Traslado de estructuras y perfiles a obra.</x:v>
      </x:c>
      <x:c r="O8" s="14" t="str">
        <x:v>Plataforma + hidrogrúa + maniobra.</x:v>
      </x:c>
      <x:c r="P8" s="14" t="str">
        <x:v>Coordinar entrega directa en obra con descarga asistida.</x:v>
      </x:c>
      <x:c r="Q8" s="14" t="str">
        <x:v>Llamar por próxima obra/despacho.</x:v>
      </x:c>
      <x:c r="R8" s="14"/>
      <x:c r="S8" s="14" t="str">
        <x:v>Francisco del Prado 3385, Córdoba Capital</x:v>
      </x:c>
      <x:c r="T8" s="14"/>
      <x:c r="U8" s="14"/>
      <x:c r="V8" s="14"/>
      <x:c r="W8" s="14"/>
      <x:c r="X8" s="14"/>
      <x:c r="Y8" s="14" t="str">
        <x:v>tel:+543517715226</x:v>
      </x:c>
      <x:c r="Z8" s="14" t="str">
        <x:v>Confirmar decisor y frecuencia de movimientos antes de cotizar.</x:v>
      </x:c>
      <x:c r="AA8" s="14" t="str">
        <x:v>https://www.google.com/maps/search/?api=1&amp;query=Estructuras+Mosconi+Francisco+del+Prado+3385+Cordoba</x:v>
      </x:c>
      <x:c r="AB8" s="14" t="str">
        <x:v>Google Business Profile</x:v>
      </x:c>
      <x:c r="AC8" s="14" t="str">
        <x:v>https://www.google.com/maps/search/?api=1&amp;query=Estructuras+Mosconi+Francisco+del+Prado+3385+Cordoba</x:v>
      </x:c>
      <x:c r="AD8" s="14" t="str">
        <x:v>Empresa de estructuras ubicada en Córdoba Capital.</x:v>
      </x:c>
      <x:c r="AE8" s="14" t="str">
        <x:v>Media-Alta</x:v>
      </x:c>
      <x:c r="AF8" s="14" t="str">
        <x:v>Rastrillaje Córdoba Capital 2026-09-14</x:v>
      </x:c>
      <x:c r="AG8" s="14" t="str">
        <x:v>plataforma | hidrogrúa</x:v>
      </x:c>
      <x:c r="AH8" s="14" t="str">
        <x:v>estructuras metálicas</x:v>
      </x:c>
      <x:c r="AI8" s="14" t="str">
        <x:v>Sí</x:v>
      </x:c>
      <x:c r="AJ8" s="14" t="str">
        <x:v>A — prioridad alta</x:v>
      </x:c>
      <x:c r="AK8" s="14" t="str">
        <x:v>Prospecto para entregas a obra.</x:v>
      </x:c>
      <x:c r="AL8" s="14" t="str">
        <x:v>Web + Google Business Profile</x:v>
      </x:c>
      <x:c r="AM8" s="14" t="str">
        <x:v>Alta nueva; cruzada contra base maestra aportada para evitar duplicados.</x:v>
      </x:c>
    </x:row>
    <x:row r="9" ht="44" customHeight="1">
      <x:c r="A9" s="14" t="str">
        <x:v>CBA-008</x:v>
      </x:c>
      <x:c r="B9" s="14" t="str">
        <x:v>Pendiente</x:v>
      </x:c>
      <x:c r="C9" s="14" t="str">
        <x:v>Córdoba Capital</x:v>
      </x:c>
      <x:c r="D9" s="14" t="str">
        <x:v>Blvd. Rivadavia 4379, Córdoba Capital</x:v>
      </x:c>
      <x:c r="E9" s="14" t="str">
        <x:v>Córdoba Capital</x:v>
      </x:c>
      <x:c r="F9" s="14" t="str">
        <x:v>A</x:v>
      </x:c>
      <x:c r="G9" s="14" t="n">
        <x:v>90</x:v>
      </x:c>
      <x:c r="H9" s="14" t="str">
        <x:v>Gallará - Fábrica de premoldeados de hormigón</x:v>
      </x:c>
      <x:c r="I9" s="14" t="str">
        <x:v>Fabricación de premoldeados de hormigón</x:v>
      </x:c>
      <x:c r="J9" s="14" t="str">
        <x:v>Hormigón, áridos y materiales</x:v>
      </x:c>
      <x:c r="K9" s="14" t="str">
        <x:v>+54 9 351 2417000</x:v>
      </x:c>
      <x:c r="L9" s="14" t="str">
        <x:v>OK</x:v>
      </x:c>
      <x:c r="M9" s="14" t="str">
        <x:v>despacho / logística / ventas</x:v>
      </x:c>
      <x:c r="N9" s="14" t="str">
        <x:v>Distribución de premoldeados pesados hacia obras y corralones.</x:v>
      </x:c>
      <x:c r="O9" s="14" t="str">
        <x:v>Plataforma + hidrogrúa para carga/descarga + seguro.</x:v>
      </x:c>
      <x:c r="P9" s="14" t="str">
        <x:v>Resolver entregas de piezas de hormigón que requieren descarga controlada.</x:v>
      </x:c>
      <x:c r="Q9" s="14" t="str">
        <x:v>Preguntar por despacho y radio de distribución.</x:v>
      </x:c>
      <x:c r="R9" s="14"/>
      <x:c r="S9" s="14" t="str">
        <x:v>Blvd. Rivadavia 4379, Córdoba Capital</x:v>
      </x:c>
      <x:c r="T9" s="14"/>
      <x:c r="U9" s="14"/>
      <x:c r="V9" s="14"/>
      <x:c r="W9" s="14"/>
      <x:c r="X9" s="14"/>
      <x:c r="Y9" s="14" t="str">
        <x:v>tel:+5493512417000</x:v>
      </x:c>
      <x:c r="Z9" s="14" t="str">
        <x:v>Confirmar decisor y frecuencia de movimientos antes de cotizar.</x:v>
      </x:c>
      <x:c r="AA9" s="14" t="str">
        <x:v>https://www.google.com/maps/search/?api=1&amp;query=Gallara+Premoldeados+Blvd+Rivadavia+4379+Cordoba</x:v>
      </x:c>
      <x:c r="AB9" s="14" t="str">
        <x:v>Google Business Profile</x:v>
      </x:c>
      <x:c r="AC9" s="14" t="str">
        <x:v>https://www.google.com/maps/search/?api=1&amp;query=Gallara+Premoldeados+Blvd+Rivadavia+4379+Cordoba</x:v>
      </x:c>
      <x:c r="AD9" s="14" t="str">
        <x:v>Fábrica de premoldeados de hormigón en Córdoba Capital.</x:v>
      </x:c>
      <x:c r="AE9" s="14" t="str">
        <x:v>Alta</x:v>
      </x:c>
      <x:c r="AF9" s="14" t="str">
        <x:v>Rastrillaje Córdoba Capital 2026-09-14</x:v>
      </x:c>
      <x:c r="AG9" s="14" t="str">
        <x:v>plataforma | hidrogrúa | seguro de carga</x:v>
      </x:c>
      <x:c r="AH9" s="14" t="str">
        <x:v>premoldeados</x:v>
      </x:c>
      <x:c r="AI9" s="14" t="str">
        <x:v>Sí</x:v>
      </x:c>
      <x:c r="AJ9" s="14" t="str">
        <x:v>A — prioridad alta</x:v>
      </x:c>
      <x:c r="AK9" s="14" t="str">
        <x:v>Muy buen encaje por peso y necesidad de descarga.</x:v>
      </x:c>
      <x:c r="AL9" s="14" t="str">
        <x:v>Web + Google Business Profile</x:v>
      </x:c>
      <x:c r="AM9" s="14" t="str">
        <x:v>Alta nueva; cruzada contra base maestra aportada para evitar duplicados.</x:v>
      </x:c>
    </x:row>
    <x:row r="10" ht="44" customHeight="1">
      <x:c r="A10" s="14" t="str">
        <x:v>CBA-009</x:v>
      </x:c>
      <x:c r="B10" s="14" t="str">
        <x:v>Pendiente</x:v>
      </x:c>
      <x:c r="C10" s="14" t="str">
        <x:v>Córdoba Capital</x:v>
      </x:c>
      <x:c r="D10" s="14" t="str">
        <x:v>Bv. Rivadavia 3624, Córdoba Capital</x:v>
      </x:c>
      <x:c r="E10" s="14" t="str">
        <x:v>Córdoba Capital</x:v>
      </x:c>
      <x:c r="F10" s="14" t="str">
        <x:v>A</x:v>
      </x:c>
      <x:c r="G10" s="14" t="n">
        <x:v>90</x:v>
      </x:c>
      <x:c r="H10" s="14" t="str">
        <x:v>Premoldeados Rivadavia SRL</x:v>
      </x:c>
      <x:c r="I10" s="14" t="str">
        <x:v>Fabricación mayorista de premoldeados de hormigón vibroprensado</x:v>
      </x:c>
      <x:c r="J10" s="14" t="str">
        <x:v>Hormigón, áridos y materiales</x:v>
      </x:c>
      <x:c r="K10" s="14" t="str">
        <x:v>+54 9 351 3750459</x:v>
      </x:c>
      <x:c r="L10" s="14" t="str">
        <x:v>OK</x:v>
      </x:c>
      <x:c r="M10" s="14" t="str">
        <x:v>despacho / logística / administración</x:v>
      </x:c>
      <x:c r="N10" s="14" t="str">
        <x:v>Entrega mayorista de premoldeados y materiales pesados a obras/distribuidores.</x:v>
      </x:c>
      <x:c r="O10" s="14" t="str">
        <x:v>Plataforma + hidrogrúa + percha según producto.</x:v>
      </x:c>
      <x:c r="P10" s="14" t="str">
        <x:v>Ofrecer capacidad de entrega mayorista tercerizada en Córdoba e interior.</x:v>
      </x:c>
      <x:c r="Q10" s="14" t="str">
        <x:v>Llamada prioritaria a despacho.</x:v>
      </x:c>
      <x:c r="R10" s="14"/>
      <x:c r="S10" s="14" t="str">
        <x:v>Bv. Rivadavia 3624, Córdoba Capital</x:v>
      </x:c>
      <x:c r="T10" s="14"/>
      <x:c r="U10" s="14"/>
      <x:c r="V10" s="14"/>
      <x:c r="W10" s="14"/>
      <x:c r="X10" s="14"/>
      <x:c r="Y10" s="14" t="str">
        <x:v>tel:+5493513750459</x:v>
      </x:c>
      <x:c r="Z10" s="14" t="str">
        <x:v>Confirmar decisor y frecuencia de movimientos antes de cotizar.</x:v>
      </x:c>
      <x:c r="AA10" s="14" t="str">
        <x:v>https://www.google.com/maps/search/?api=1&amp;query=Premoldeados+Rivadavia+Bv+Rivadavia+3624+Cordoba</x:v>
      </x:c>
      <x:c r="AB10" s="14" t="str">
        <x:v>Web propia</x:v>
      </x:c>
      <x:c r="AC10" s="14" t="str">
        <x:v>https://premoldeadosrivadaviasrl.com.ar/</x:v>
      </x:c>
      <x:c r="AD10" s="14" t="str">
        <x:v>Fábrica mayorista de premoldeados; sitio publica planta y administración en Córdoba Capital.</x:v>
      </x:c>
      <x:c r="AE10" s="14" t="str">
        <x:v>Alta</x:v>
      </x:c>
      <x:c r="AF10" s="14" t="str">
        <x:v>Rastrillaje Córdoba Capital 2026-09-14</x:v>
      </x:c>
      <x:c r="AG10" s="14" t="str">
        <x:v>plataforma | hidrogrúa | percha pallets</x:v>
      </x:c>
      <x:c r="AH10" s="14" t="str">
        <x:v>premoldeados</x:v>
      </x:c>
      <x:c r="AI10" s="14" t="str">
        <x:v>Sí</x:v>
      </x:c>
      <x:c r="AJ10" s="14" t="str">
        <x:v>A — prioridad alta</x:v>
      </x:c>
      <x:c r="AK10" s="14" t="str">
        <x:v>Modalidad mayorista implica frecuencia logística potencial.</x:v>
      </x:c>
      <x:c r="AL10" s="14" t="str">
        <x:v>Web + Google Business Profile</x:v>
      </x:c>
      <x:c r="AM10" s="14" t="str">
        <x:v>Alta nueva; cruzada contra base maestra aportada para evitar duplicados.</x:v>
      </x:c>
    </x:row>
    <x:row r="11" ht="44" customHeight="1">
      <x:c r="A11" s="14" t="str">
        <x:v>CBA-010</x:v>
      </x:c>
      <x:c r="B11" s="14" t="str">
        <x:v>Pendiente</x:v>
      </x:c>
      <x:c r="C11" s="14" t="str">
        <x:v>Córdoba Capital</x:v>
      </x:c>
      <x:c r="D11" s="14" t="str">
        <x:v>De los Sicilianos 6368, Córdoba Capital</x:v>
      </x:c>
      <x:c r="E11" s="14" t="str">
        <x:v>Córdoba Capital</x:v>
      </x:c>
      <x:c r="F11" s="14" t="str">
        <x:v>A</x:v>
      </x:c>
      <x:c r="G11" s="14" t="n">
        <x:v>90</x:v>
      </x:c>
      <x:c r="H11" s="14" t="str">
        <x:v>Stumpf Premoldeados</x:v>
      </x:c>
      <x:c r="I11" s="14" t="str">
        <x:v>Fabricación de hormigón y premoldeados</x:v>
      </x:c>
      <x:c r="J11" s="14" t="str">
        <x:v>Hormigón, áridos y materiales</x:v>
      </x:c>
      <x:c r="K11" s="14" t="str">
        <x:v>0351 7273027</x:v>
      </x:c>
      <x:c r="L11" s="14" t="str">
        <x:v>OK</x:v>
      </x:c>
      <x:c r="M11" s="14" t="str">
        <x:v>despacho / logística</x:v>
      </x:c>
      <x:c r="N11" s="14" t="str">
        <x:v>Movimiento de premoldeados y piezas de hormigón a obra.</x:v>
      </x:c>
      <x:c r="O11" s="14" t="str">
        <x:v>Plataforma + hidrogrúa.</x:v>
      </x:c>
      <x:c r="P11" s="14" t="str">
        <x:v>Entrega con descarga asistida para evitar que el cliente contrate equipos por separado.</x:v>
      </x:c>
      <x:c r="Q11" s="14" t="str">
        <x:v>Contactar despacho y pedir próximo envío.</x:v>
      </x:c>
      <x:c r="R11" s="14"/>
      <x:c r="S11" s="14" t="str">
        <x:v>De los Sicilianos 6368, Córdoba Capital</x:v>
      </x:c>
      <x:c r="T11" s="14"/>
      <x:c r="U11" s="14"/>
      <x:c r="V11" s="14"/>
      <x:c r="W11" s="14"/>
      <x:c r="X11" s="14"/>
      <x:c r="Y11" s="14" t="str">
        <x:v>tel:+543517273027</x:v>
      </x:c>
      <x:c r="Z11" s="14" t="str">
        <x:v>Confirmar decisor y frecuencia de movimientos antes de cotizar.</x:v>
      </x:c>
      <x:c r="AA11" s="14" t="str">
        <x:v>https://www.google.com/maps/search/?api=1&amp;query=Stumpf+Premoldeados+De+los+Sicilianos+6368+Cordoba</x:v>
      </x:c>
      <x:c r="AB11" s="14" t="str">
        <x:v>Google Business Profile</x:v>
      </x:c>
      <x:c r="AC11" s="14" t="str">
        <x:v>https://www.google.com/maps/search/?api=1&amp;query=Stumpf+Premoldeados+De+los+Sicilianos+6368+Cordoba</x:v>
      </x:c>
      <x:c r="AD11" s="14" t="str">
        <x:v>Fábrica de hormigón en Córdoba Capital.</x:v>
      </x:c>
      <x:c r="AE11" s="14" t="str">
        <x:v>Alta</x:v>
      </x:c>
      <x:c r="AF11" s="14" t="str">
        <x:v>Rastrillaje Córdoba Capital 2026-09-14</x:v>
      </x:c>
      <x:c r="AG11" s="14" t="str">
        <x:v>plataforma | hidrogrúa</x:v>
      </x:c>
      <x:c r="AH11" s="14" t="str">
        <x:v>premoldeados</x:v>
      </x:c>
      <x:c r="AI11" s="14" t="str">
        <x:v>Sí</x:v>
      </x:c>
      <x:c r="AJ11" s="14" t="str">
        <x:v>A — prioridad alta</x:v>
      </x:c>
      <x:c r="AK11" s="14" t="str">
        <x:v>Carga pesada y repetitiva.</x:v>
      </x:c>
      <x:c r="AL11" s="14" t="str">
        <x:v>Web + Google Business Profile</x:v>
      </x:c>
      <x:c r="AM11" s="14" t="str">
        <x:v>Alta nueva; cruzada contra base maestra aportada para evitar duplicados.</x:v>
      </x:c>
    </x:row>
    <x:row r="12" ht="44" customHeight="1">
      <x:c r="A12" s="14" t="str">
        <x:v>CBA-011</x:v>
      </x:c>
      <x:c r="B12" s="14" t="str">
        <x:v>Pendiente</x:v>
      </x:c>
      <x:c r="C12" s="14" t="str">
        <x:v>Córdoba Capital</x:v>
      </x:c>
      <x:c r="D12" s="14" t="str">
        <x:v>Av. Juan B. Justo 8645, Córdoba Capital</x:v>
      </x:c>
      <x:c r="E12" s="14" t="str">
        <x:v>Córdoba Capital</x:v>
      </x:c>
      <x:c r="F12" s="14" t="str">
        <x:v>A</x:v>
      </x:c>
      <x:c r="G12" s="14" t="n">
        <x:v>90</x:v>
      </x:c>
      <x:c r="H12" s="14" t="str">
        <x:v>Tecmaq SRL</x:v>
      </x:c>
      <x:c r="I12" s="14" t="str">
        <x:v>Fabricación de maquinarias y equipos</x:v>
      </x:c>
      <x:c r="J12" s="14" t="str">
        <x:v>Maquinaria agrícola</x:v>
      </x:c>
      <x:c r="K12" s="14" t="str">
        <x:v>0351 4998277</x:v>
      </x:c>
      <x:c r="L12" s="14" t="str">
        <x:v>OK</x:v>
      </x:c>
      <x:c r="M12" s="14" t="str">
        <x:v>ventas / expedición / postventa</x:v>
      </x:c>
      <x:c r="N12" s="14" t="str">
        <x:v>Entrega/retiro de maquinaria y equipos terminados; movimientos por servicio o demostración.</x:v>
      </x:c>
      <x:c r="O12" s="14" t="str">
        <x:v>Plataforma 20 tn + malacate/hidrogrúa + seguro/GPS.</x:v>
      </x:c>
      <x:c r="P12" s="14" t="str">
        <x:v>Tercerizar entregas de equipos para evitar inmovilizar recursos propios.</x:v>
      </x:c>
      <x:c r="Q12" s="14" t="str">
        <x:v>Llamada prioritaria a ventas/logística.</x:v>
      </x:c>
      <x:c r="R12" s="14"/>
      <x:c r="S12" s="14" t="str">
        <x:v>Av. Juan B. Justo 8645, Córdoba Capital</x:v>
      </x:c>
      <x:c r="T12" s="14"/>
      <x:c r="U12" s="14"/>
      <x:c r="V12" s="14"/>
      <x:c r="W12" s="14"/>
      <x:c r="X12" s="14"/>
      <x:c r="Y12" s="14" t="str">
        <x:v>tel:+543514998277</x:v>
      </x:c>
      <x:c r="Z12" s="14" t="str">
        <x:v>Confirmar decisor y frecuencia de movimientos antes de cotizar.</x:v>
      </x:c>
      <x:c r="AA12" s="14" t="str">
        <x:v>https://www.google.com/maps/search/?api=1&amp;query=Tecmaq+Av+Juan+B+Justo+8645+Cordoba</x:v>
      </x:c>
      <x:c r="AB12" s="14" t="str">
        <x:v>Google Business Profile</x:v>
      </x:c>
      <x:c r="AC12" s="14" t="str">
        <x:v>https://www.google.com/maps/search/?api=1&amp;query=Tecmaq+Av+Juan+B+Justo+8645+Cordoba</x:v>
      </x:c>
      <x:c r="AD12" s="14" t="str">
        <x:v>Fábrica de maquinaria ubicada en Córdoba Capital.</x:v>
      </x:c>
      <x:c r="AE12" s="14" t="str">
        <x:v>Media-Alta</x:v>
      </x:c>
      <x:c r="AF12" s="14" t="str">
        <x:v>Rastrillaje Córdoba Capital 2026-09-14</x:v>
      </x:c>
      <x:c r="AG12" s="14" t="str">
        <x:v>plataforma 20 tn | malacate | hidrogrúa | seguro/GPS</x:v>
      </x:c>
      <x:c r="AH12" s="14" t="str">
        <x:v>maquinaria / equipos</x:v>
      </x:c>
      <x:c r="AI12" s="14" t="str">
        <x:v>Sí</x:v>
      </x:c>
      <x:c r="AJ12" s="14" t="str">
        <x:v>A — prioridad alta</x:v>
      </x:c>
      <x:c r="AK12" s="14" t="str">
        <x:v>Validar dimensiones y peso de equipos fabricados.</x:v>
      </x:c>
      <x:c r="AL12" s="14" t="str">
        <x:v>Web + Google Business Profile</x:v>
      </x:c>
      <x:c r="AM12" s="14" t="str">
        <x:v>Alta nueva; cruzada contra base maestra aportada para evitar duplicados.</x:v>
      </x:c>
    </x:row>
    <x:row r="13" ht="44" customHeight="1">
      <x:c r="A13" s="14" t="str">
        <x:v>CBA-012</x:v>
      </x:c>
      <x:c r="B13" s="14" t="str">
        <x:v>Pendiente</x:v>
      </x:c>
      <x:c r="C13" s="14" t="str">
        <x:v>Córdoba Capital</x:v>
      </x:c>
      <x:c r="D13" s="14" t="str">
        <x:v>Av. Circunvalación 6551, Córdoba Capital</x:v>
      </x:c>
      <x:c r="E13" s="14" t="str">
        <x:v>Córdoba Capital</x:v>
      </x:c>
      <x:c r="F13" s="14" t="str">
        <x:v>A</x:v>
      </x:c>
      <x:c r="G13" s="14" t="n">
        <x:v>90</x:v>
      </x:c>
      <x:c r="H13" s="14" t="str">
        <x:v>American Vial Córdoba</x:v>
      </x:c>
      <x:c r="I13" s="14" t="str">
        <x:v>Proveedor de maquinaria de construcción y vial</x:v>
      </x:c>
      <x:c r="J13" s="14" t="str">
        <x:v>Maquinaria agrícola</x:v>
      </x:c>
      <x:c r="K13" s="14" t="str">
        <x:v>0351 3919600</x:v>
      </x:c>
      <x:c r="L13" s="14" t="str">
        <x:v>OK</x:v>
      </x:c>
      <x:c r="M13" s="14" t="str">
        <x:v>ventas / logística / service</x:v>
      </x:c>
      <x:c r="N13" s="14" t="str">
        <x:v>Entrega y retiro de equipos viales y de construcción por ventas, service y alquiler.</x:v>
      </x:c>
      <x:c r="O13" s="14" t="str">
        <x:v>Plataforma 20 tn + malacate + seguro/GPS.</x:v>
      </x:c>
      <x:c r="P13" s="14" t="str">
        <x:v>Proveedor de apoyo para traslados urgentes o fuera de zona.</x:v>
      </x:c>
      <x:c r="Q13" s="14" t="str">
        <x:v>Pedir por logística/service; consultar próximo equipo a mover.</x:v>
      </x:c>
      <x:c r="R13" s="14"/>
      <x:c r="S13" s="14" t="str">
        <x:v>Av. Circunvalación 6551, Córdoba Capital</x:v>
      </x:c>
      <x:c r="T13" s="14"/>
      <x:c r="U13" s="14"/>
      <x:c r="V13" s="14"/>
      <x:c r="W13" s="14"/>
      <x:c r="X13" s="14"/>
      <x:c r="Y13" s="14" t="str">
        <x:v>tel:+543513919600</x:v>
      </x:c>
      <x:c r="Z13" s="14" t="str">
        <x:v>Confirmar decisor y frecuencia de movimientos antes de cotizar.</x:v>
      </x:c>
      <x:c r="AA13" s="14" t="str">
        <x:v>https://www.google.com/maps/search/?api=1&amp;query=American+Vial+Cordoba+Circunvalacion+6551</x:v>
      </x:c>
      <x:c r="AB13" s="14" t="str">
        <x:v>Google Business Profile</x:v>
      </x:c>
      <x:c r="AC13" s="14" t="str">
        <x:v>https://www.google.com/maps/search/?api=1&amp;query=American+Vial+Cordoba+Circunvalacion+6551</x:v>
      </x:c>
      <x:c r="AD13" s="14" t="str">
        <x:v>Proveedor de maquinaria de construcción en Córdoba Capital.</x:v>
      </x:c>
      <x:c r="AE13" s="14" t="str">
        <x:v>Alta</x:v>
      </x:c>
      <x:c r="AF13" s="14" t="str">
        <x:v>Rastrillaje Córdoba Capital 2026-09-14</x:v>
      </x:c>
      <x:c r="AG13" s="14" t="str">
        <x:v>plataforma 20 tn | malacate | seguro/GPS</x:v>
      </x:c>
      <x:c r="AH13" s="14" t="str">
        <x:v>maquinaria vial</x:v>
      </x:c>
      <x:c r="AI13" s="14" t="str">
        <x:v>Sí</x:v>
      </x:c>
      <x:c r="AJ13" s="14" t="str">
        <x:v>A — prioridad alta</x:v>
      </x:c>
      <x:c r="AK13" s="14" t="str">
        <x:v>Especialmente atractivo por movimientos de service y entregas.</x:v>
      </x:c>
      <x:c r="AL13" s="14" t="str">
        <x:v>Web + Google Business Profile</x:v>
      </x:c>
      <x:c r="AM13" s="14" t="str">
        <x:v>Alta nueva; cruzada contra base maestra aportada para evitar duplicados.</x:v>
      </x:c>
    </x:row>
    <x:row r="14" ht="44" customHeight="1">
      <x:c r="A14" s="14" t="str">
        <x:v>CBA-013</x:v>
      </x:c>
      <x:c r="B14" s="14" t="str">
        <x:v>Pendiente</x:v>
      </x:c>
      <x:c r="C14" s="14" t="str">
        <x:v>Córdoba Capital</x:v>
      </x:c>
      <x:c r="D14" s="14" t="str">
        <x:v>Av. Juan B. Justo 10200, Córdoba Capital</x:v>
      </x:c>
      <x:c r="E14" s="14" t="str">
        <x:v>Córdoba Capital</x:v>
      </x:c>
      <x:c r="F14" s="14" t="str">
        <x:v>A</x:v>
      </x:c>
      <x:c r="G14" s="14" t="n">
        <x:v>90</x:v>
      </x:c>
      <x:c r="H14" s="14" t="str">
        <x:v>FUNES AGROCENTRO</x:v>
      </x:c>
      <x:c r="I14" s="14" t="str">
        <x:v>Proveedor de equipos agrícolas</x:v>
      </x:c>
      <x:c r="J14" s="14" t="str">
        <x:v>Maquinaria agrícola</x:v>
      </x:c>
      <x:c r="K14" s="14" t="str">
        <x:v>0351 6640837</x:v>
      </x:c>
      <x:c r="L14" s="14" t="str">
        <x:v>OK</x:v>
      </x:c>
      <x:c r="M14" s="14" t="str">
        <x:v>ventas / entregas / postventa</x:v>
      </x:c>
      <x:c r="N14" s="14" t="str">
        <x:v>Entrega/retiro de equipos agrícolas e implementos; traslados de service y usados.</x:v>
      </x:c>
      <x:c r="O14" s="14" t="str">
        <x:v>Plataforma 20 tn + malacate/hidrogrúa + GPS.</x:v>
      </x:c>
      <x:c r="P14" s="14" t="str">
        <x:v>Absorber picos de entregas y retiros sin sumar flota.</x:v>
      </x:c>
      <x:c r="Q14" s="14" t="str">
        <x:v>Llamar a ventas/postventa y preguntar cómo resuelven entregas.</x:v>
      </x:c>
      <x:c r="R14" s="14"/>
      <x:c r="S14" s="14" t="str">
        <x:v>Av. Juan B. Justo 10200, Córdoba Capital</x:v>
      </x:c>
      <x:c r="T14" s="14"/>
      <x:c r="U14" s="14"/>
      <x:c r="V14" s="14"/>
      <x:c r="W14" s="14"/>
      <x:c r="X14" s="14"/>
      <x:c r="Y14" s="14" t="str">
        <x:v>tel:+543516640837</x:v>
      </x:c>
      <x:c r="Z14" s="14" t="str">
        <x:v>Confirmar decisor y frecuencia de movimientos antes de cotizar.</x:v>
      </x:c>
      <x:c r="AA14" s="14" t="str">
        <x:v>https://www.google.com/maps/search/?api=1&amp;query=Funes+Agrocentro+Juan+B+Justo+10200+Cordoba</x:v>
      </x:c>
      <x:c r="AB14" s="14" t="str">
        <x:v>Google Business Profile</x:v>
      </x:c>
      <x:c r="AC14" s="14" t="str">
        <x:v>https://www.google.com/maps/search/?api=1&amp;query=Funes+Agrocentro+Juan+B+Justo+10200+Cordoba</x:v>
      </x:c>
      <x:c r="AD14" s="14" t="str">
        <x:v>Proveedor de equipos agrícolas en Córdoba Capital.</x:v>
      </x:c>
      <x:c r="AE14" s="14" t="str">
        <x:v>Alta</x:v>
      </x:c>
      <x:c r="AF14" s="14" t="str">
        <x:v>Rastrillaje Córdoba Capital 2026-09-14</x:v>
      </x:c>
      <x:c r="AG14" s="14" t="str">
        <x:v>plataforma 20 tn | malacate | hidrogrúa | GPS</x:v>
      </x:c>
      <x:c r="AH14" s="14" t="str">
        <x:v>concesionario agro</x:v>
      </x:c>
      <x:c r="AI14" s="14" t="str">
        <x:v>Sí</x:v>
      </x:c>
      <x:c r="AJ14" s="14" t="str">
        <x:v>A — prioridad alta</x:v>
      </x:c>
      <x:c r="AK14" s="14" t="str">
        <x:v>Buen objetivo para entregas, usados y postventa.</x:v>
      </x:c>
      <x:c r="AL14" s="14" t="str">
        <x:v>Web + Google Business Profile</x:v>
      </x:c>
      <x:c r="AM14" s="14" t="str">
        <x:v>Alta nueva; cruzada contra base maestra aportada para evitar duplicados.</x:v>
      </x:c>
    </x:row>
    <x:row r="15" ht="44" customHeight="1">
      <x:c r="A15" s="14" t="str">
        <x:v>CBA-014</x:v>
      </x:c>
      <x:c r="B15" s="14" t="str">
        <x:v>Pendiente</x:v>
      </x:c>
      <x:c r="C15" s="14" t="str">
        <x:v>Córdoba Capital</x:v>
      </x:c>
      <x:c r="D15" s="14" t="str">
        <x:v>Av. Leandro N. Alem 1838, Córdoba Capital</x:v>
      </x:c>
      <x:c r="E15" s="14" t="str">
        <x:v>Córdoba Capital</x:v>
      </x:c>
      <x:c r="F15" s="14" t="str">
        <x:v>A</x:v>
      </x:c>
      <x:c r="G15" s="14" t="n">
        <x:v>85</x:v>
      </x:c>
      <x:c r="H15" s="14" t="str">
        <x:v>Agroservice Córdoba</x:v>
      </x:c>
      <x:c r="I15" s="14" t="str">
        <x:v>Reparación y servicio de maquinaria agrícola</x:v>
      </x:c>
      <x:c r="J15" s="14" t="str">
        <x:v>Maquinaria agrícola</x:v>
      </x:c>
      <x:c r="K15" s="14" t="str">
        <x:v>0351 7286689</x:v>
      </x:c>
      <x:c r="L15" s="14" t="str">
        <x:v>OK</x:v>
      </x:c>
      <x:c r="M15" s="14" t="str">
        <x:v>service / taller / logística</x:v>
      </x:c>
      <x:c r="N15" s="14" t="str">
        <x:v>Retiro y entrega de maquinaria o componentes para reparación.</x:v>
      </x:c>
      <x:c r="O15" s="14" t="str">
        <x:v>Plataforma + malacate; percha para repuestos/pallets.</x:v>
      </x:c>
      <x:c r="P15" s="14" t="str">
        <x:v>Resolver retiros urgentes de equipos inmovilizados y devoluciones post-service.</x:v>
      </x:c>
      <x:c r="Q15" s="14" t="str">
        <x:v>Contactar taller/service y relevar equipos que atienden.</x:v>
      </x:c>
      <x:c r="R15" s="14"/>
      <x:c r="S15" s="14" t="str">
        <x:v>Av. Leandro N. Alem 1838, Córdoba Capital</x:v>
      </x:c>
      <x:c r="T15" s="14"/>
      <x:c r="U15" s="14"/>
      <x:c r="V15" s="14"/>
      <x:c r="W15" s="14"/>
      <x:c r="X15" s="14"/>
      <x:c r="Y15" s="14" t="str">
        <x:v>tel:+543517286689</x:v>
      </x:c>
      <x:c r="Z15" s="14" t="str">
        <x:v>Confirmar decisor y frecuencia de movimientos antes de cotizar.</x:v>
      </x:c>
      <x:c r="AA15" s="14" t="str">
        <x:v>https://www.google.com/maps/search/?api=1&amp;query=Agroservice+Cordoba+Leandro+N+Alem+1838</x:v>
      </x:c>
      <x:c r="AB15" s="14" t="str">
        <x:v>Google Business Profile</x:v>
      </x:c>
      <x:c r="AC15" s="14" t="str">
        <x:v>https://www.google.com/maps/search/?api=1&amp;query=Agroservice+Cordoba+Leandro+N+Alem+1838</x:v>
      </x:c>
      <x:c r="AD15" s="14" t="str">
        <x:v>Servicio de reparación de maquinaria agrícola en Córdoba Capital.</x:v>
      </x:c>
      <x:c r="AE15" s="14" t="str">
        <x:v>Alta</x:v>
      </x:c>
      <x:c r="AF15" s="14" t="str">
        <x:v>Rastrillaje Córdoba Capital 2026-09-14</x:v>
      </x:c>
      <x:c r="AG15" s="14" t="str">
        <x:v>plataforma | malacate | percha pallets</x:v>
      </x:c>
      <x:c r="AH15" s="14" t="str">
        <x:v>service maquinaria</x:v>
      </x:c>
      <x:c r="AI15" s="14" t="str">
        <x:v>Sí</x:v>
      </x:c>
      <x:c r="AJ15" s="14" t="str">
        <x:v>A — prioridad alta</x:v>
      </x:c>
      <x:c r="AK15" s="14" t="str">
        <x:v>Menor volumen que concesionario, pero potencial urgente.</x:v>
      </x:c>
      <x:c r="AL15" s="14" t="str">
        <x:v>Web + Google Business Profile</x:v>
      </x:c>
      <x:c r="AM15" s="14" t="str">
        <x:v>Alta nueva; cruzada contra base maestra aportada para evitar duplicados.</x:v>
      </x:c>
    </x:row>
    <x:row r="16" ht="44" customHeight="1">
      <x:c r="A16" s="14" t="str">
        <x:v>CBA-015</x:v>
      </x:c>
      <x:c r="B16" s="14" t="str">
        <x:v>Pendiente</x:v>
      </x:c>
      <x:c r="C16" s="14" t="str">
        <x:v>Córdoba Capital</x:v>
      </x:c>
      <x:c r="D16" s="14" t="str">
        <x:v>Av. Monseñor Pablo Cabrera 5040, Córdoba Capital</x:v>
      </x:c>
      <x:c r="E16" s="14" t="str">
        <x:v>Córdoba Capital</x:v>
      </x:c>
      <x:c r="F16" s="14" t="str">
        <x:v>A</x:v>
      </x:c>
      <x:c r="G16" s="14" t="n">
        <x:v>85</x:v>
      </x:c>
      <x:c r="H16" s="14" t="str">
        <x:v>BOMBACOR - Hormigón Elaborado</x:v>
      </x:c>
      <x:c r="I16" s="14" t="str">
        <x:v>Hormigón elaborado</x:v>
      </x:c>
      <x:c r="J16" s="14" t="str">
        <x:v>Hormigón, áridos y materiales</x:v>
      </x:c>
      <x:c r="K16" s="14" t="str">
        <x:v>0351 3398668</x:v>
      </x:c>
      <x:c r="L16" s="14" t="str">
        <x:v>OK</x:v>
      </x:c>
      <x:c r="M16" s="14" t="str">
        <x:v>planta / logística / compras</x:v>
      </x:c>
      <x:c r="N16" s="14" t="str">
        <x:v>Movimiento de insumos, equipos auxiliares, repuestos y cargas especiales de planta.</x:v>
      </x:c>
      <x:c r="O16" s="14" t="str">
        <x:v>Transporte de materiales + hidrogrúa/percha para equipos y pallets.</x:v>
      </x:c>
      <x:c r="P16" s="14" t="str">
        <x:v>Ofrecer soporte para cargas no cubiertas por mixers: equipos, moldes, repuestos, pallets.</x:v>
      </x:c>
      <x:c r="Q16" s="14" t="str">
        <x:v>Contactar planta/compras y relevar movimientos no convencionales.</x:v>
      </x:c>
      <x:c r="R16" s="14"/>
      <x:c r="S16" s="14" t="str">
        <x:v>Av. Monseñor Pablo Cabrera 5040, Córdoba Capital</x:v>
      </x:c>
      <x:c r="T16" s="14"/>
      <x:c r="U16" s="14"/>
      <x:c r="V16" s="14"/>
      <x:c r="W16" s="14"/>
      <x:c r="X16" s="14"/>
      <x:c r="Y16" s="14" t="str">
        <x:v>tel:+543513398668</x:v>
      </x:c>
      <x:c r="Z16" s="14" t="str">
        <x:v>Confirmar decisor y frecuencia de movimientos antes de cotizar.</x:v>
      </x:c>
      <x:c r="AA16" s="14" t="str">
        <x:v>https://www.google.com/maps/search/?api=1&amp;query=Bombacor+Hormigon+Pablo+Cabrera+5040+Cordoba</x:v>
      </x:c>
      <x:c r="AB16" s="14" t="str">
        <x:v>Google Business Profile</x:v>
      </x:c>
      <x:c r="AC16" s="14" t="str">
        <x:v>https://www.google.com/maps/search/?api=1&amp;query=Bombacor+Hormigon+Pablo+Cabrera+5040+Cordoba</x:v>
      </x:c>
      <x:c r="AD16" s="14" t="str">
        <x:v>Proveedor de hormigón preparado en Córdoba Capital.</x:v>
      </x:c>
      <x:c r="AE16" s="14" t="str">
        <x:v>Media-Alta</x:v>
      </x:c>
      <x:c r="AF16" s="14" t="str">
        <x:v>Rastrillaje Córdoba Capital 2026-09-14</x:v>
      </x:c>
      <x:c r="AG16" s="14" t="str">
        <x:v>transporte materiales | hidrogrúa | percha pallets</x:v>
      </x:c>
      <x:c r="AH16" s="14" t="str">
        <x:v>hormigón elaborado</x:v>
      </x:c>
      <x:c r="AI16" s="14" t="str">
        <x:v>Sí</x:v>
      </x:c>
      <x:c r="AJ16" s="14" t="str">
        <x:v>A — prioridad alta</x:v>
      </x:c>
      <x:c r="AK16" s="14" t="str">
        <x:v>No competir con mixer: enfocarse en cargas auxiliares/especiales.</x:v>
      </x:c>
      <x:c r="AL16" s="14" t="str">
        <x:v>Web + Google Business Profile</x:v>
      </x:c>
      <x:c r="AM16" s="14" t="str">
        <x:v>Alta nueva; cruzada contra base maestra aportada para evitar duplicados.</x:v>
      </x:c>
    </x:row>
    <x:row r="17" ht="44" customHeight="1">
      <x:c r="A17" s="14" t="str">
        <x:v>CBA-016</x:v>
      </x:c>
      <x:c r="B17" s="14" t="str">
        <x:v>Pendiente</x:v>
      </x:c>
      <x:c r="C17" s="14" t="str">
        <x:v>Córdoba Capital</x:v>
      </x:c>
      <x:c r="D17" s="14" t="str">
        <x:v>Av. Monseñor Pablo Cabrera 5024, Córdoba Capital</x:v>
      </x:c>
      <x:c r="E17" s="14" t="str">
        <x:v>Córdoba Capital</x:v>
      </x:c>
      <x:c r="F17" s="14" t="str">
        <x:v>A</x:v>
      </x:c>
      <x:c r="G17" s="14" t="n">
        <x:v>85</x:v>
      </x:c>
      <x:c r="H17" s="14" t="str">
        <x:v>Tecmigon S.A.</x:v>
      </x:c>
      <x:c r="I17" s="14" t="str">
        <x:v>Hormigón elaborado</x:v>
      </x:c>
      <x:c r="J17" s="14" t="str">
        <x:v>Hormigón, áridos y materiales</x:v>
      </x:c>
      <x:c r="K17" s="14" t="str">
        <x:v>+54 9 351 8650528</x:v>
      </x:c>
      <x:c r="L17" s="14" t="str">
        <x:v>OK</x:v>
      </x:c>
      <x:c r="M17" s="14" t="str">
        <x:v>planta / mantenimiento / logística</x:v>
      </x:c>
      <x:c r="N17" s="14" t="str">
        <x:v>Traslado de insumos, repuestos, equipos auxiliares y cargas especiales.</x:v>
      </x:c>
      <x:c r="O17" s="14" t="str">
        <x:v>Hidrogrúa + percha pallets + plataforma según equipo.</x:v>
      </x:c>
      <x:c r="P17" s="14" t="str">
        <x:v>Complementar logística de planta para cargas fuera del circuito de hormigón.</x:v>
      </x:c>
      <x:c r="Q17" s="14" t="str">
        <x:v>Llamar a mantenimiento/logística.</x:v>
      </x:c>
      <x:c r="R17" s="14"/>
      <x:c r="S17" s="14" t="str">
        <x:v>Av. Monseñor Pablo Cabrera 5024, Córdoba Capital</x:v>
      </x:c>
      <x:c r="T17" s="14"/>
      <x:c r="U17" s="14"/>
      <x:c r="V17" s="14"/>
      <x:c r="W17" s="14"/>
      <x:c r="X17" s="14"/>
      <x:c r="Y17" s="14" t="str">
        <x:v>tel:+5493518650528</x:v>
      </x:c>
      <x:c r="Z17" s="14" t="str">
        <x:v>Confirmar decisor y frecuencia de movimientos antes de cotizar.</x:v>
      </x:c>
      <x:c r="AA17" s="14" t="str">
        <x:v>https://www.google.com/maps/search/?api=1&amp;query=Tecmigon+Pablo+Cabrera+5024+Cordoba</x:v>
      </x:c>
      <x:c r="AB17" s="14" t="str">
        <x:v>Google Business Profile</x:v>
      </x:c>
      <x:c r="AC17" s="14" t="str">
        <x:v>https://www.google.com/maps/search/?api=1&amp;query=Tecmigon+Pablo+Cabrera+5024+Cordoba</x:v>
      </x:c>
      <x:c r="AD17" s="14" t="str">
        <x:v>Proveedor de hormigón elaborado en Córdoba Capital.</x:v>
      </x:c>
      <x:c r="AE17" s="14" t="str">
        <x:v>Media-Alta</x:v>
      </x:c>
      <x:c r="AF17" s="14" t="str">
        <x:v>Rastrillaje Córdoba Capital 2026-09-14</x:v>
      </x:c>
      <x:c r="AG17" s="14" t="str">
        <x:v>hidrogrúa | percha pallets | plataforma</x:v>
      </x:c>
      <x:c r="AH17" s="14" t="str">
        <x:v>hormigón elaborado</x:v>
      </x:c>
      <x:c r="AI17" s="14" t="str">
        <x:v>Sí</x:v>
      </x:c>
      <x:c r="AJ17" s="14" t="str">
        <x:v>A — prioridad alta</x:v>
      </x:c>
      <x:c r="AK17" s="14" t="str">
        <x:v>Foco en equipos/insumos y no en hormigón a granel.</x:v>
      </x:c>
      <x:c r="AL17" s="14" t="str">
        <x:v>Web + Google Business Profile</x:v>
      </x:c>
      <x:c r="AM17" s="14" t="str">
        <x:v>Alta nueva; cruzada contra base maestra aportada para evitar duplicados.</x:v>
      </x:c>
    </x:row>
    <x:row r="18" ht="44" customHeight="1">
      <x:c r="A18" s="14" t="str">
        <x:v>CBA-017</x:v>
      </x:c>
      <x:c r="B18" s="14" t="str">
        <x:v>Pendiente</x:v>
      </x:c>
      <x:c r="C18" s="14" t="str">
        <x:v>Córdoba Capital</x:v>
      </x:c>
      <x:c r="D18" s="14" t="str">
        <x:v>Wenceslao Paunero 2555, Córdoba Capital</x:v>
      </x:c>
      <x:c r="E18" s="14" t="str">
        <x:v>Córdoba Capital</x:v>
      </x:c>
      <x:c r="F18" s="14" t="str">
        <x:v>A</x:v>
      </x:c>
      <x:c r="G18" s="14" t="n">
        <x:v>85</x:v>
      </x:c>
      <x:c r="H18" s="14" t="str">
        <x:v>Empresa Constructora Córdoba</x:v>
      </x:c>
      <x:c r="I18" s="14" t="str">
        <x:v>Galpones, estructuras metálicas y obra industrial</x:v>
      </x:c>
      <x:c r="J18" s="14" t="str">
        <x:v>Construcción y obra vial</x:v>
      </x:c>
      <x:c r="K18" s="14" t="str">
        <x:v>+54 9 351 7594473</x:v>
      </x:c>
      <x:c r="L18" s="14" t="str">
        <x:v>OK</x:v>
      </x:c>
      <x:c r="M18" s="14" t="str">
        <x:v>jefe de obra / operaciones</x:v>
      </x:c>
      <x:c r="N18" s="14" t="str">
        <x:v>Movimiento de estructuras, materiales, equipos y módulos entre depósitos y obras.</x:v>
      </x:c>
      <x:c r="O18" s="14" t="str">
        <x:v>Plataforma + hidrogrúa + percha pallets.</x:v>
      </x:c>
      <x:c r="P18" s="14" t="str">
        <x:v>Coordinar flete + descarga para reducir proveedores en obra.</x:v>
      </x:c>
      <x:c r="Q18" s="14" t="str">
        <x:v>Contactar por obras industriales activas.</x:v>
      </x:c>
      <x:c r="R18" s="14"/>
      <x:c r="S18" s="14" t="str">
        <x:v>Wenceslao Paunero 2555, Córdoba Capital</x:v>
      </x:c>
      <x:c r="T18" s="14"/>
      <x:c r="U18" s="14"/>
      <x:c r="V18" s="14"/>
      <x:c r="W18" s="14"/>
      <x:c r="X18" s="14"/>
      <x:c r="Y18" s="14" t="str">
        <x:v>tel:+5493517594473</x:v>
      </x:c>
      <x:c r="Z18" s="14" t="str">
        <x:v>Confirmar decisor y frecuencia de movimientos antes de cotizar.</x:v>
      </x:c>
      <x:c r="AA18" s="14" t="str">
        <x:v>https://www.google.com/maps/search/?api=1&amp;query=Empresa+Constructora+Cordoba+Wenceslao+Paunero+2555</x:v>
      </x:c>
      <x:c r="AB18" s="14" t="str">
        <x:v>Web propia</x:v>
      </x:c>
      <x:c r="AC18" s="14" t="str">
        <x:v>https://empresaconstructoracordoba.com/</x:v>
      </x:c>
      <x:c r="AD18" s="14" t="str">
        <x:v>Empresa de Córdoba Capital orientada a galpones industriales, estructuras y obra comercial.</x:v>
      </x:c>
      <x:c r="AE18" s="14" t="str">
        <x:v>Alta</x:v>
      </x:c>
      <x:c r="AF18" s="14" t="str">
        <x:v>Rastrillaje Córdoba Capital 2026-09-14</x:v>
      </x:c>
      <x:c r="AG18" s="14" t="str">
        <x:v>plataforma | hidrogrúa | percha pallets</x:v>
      </x:c>
      <x:c r="AH18" s="14" t="str">
        <x:v>construcción industrial</x:v>
      </x:c>
      <x:c r="AI18" s="14" t="str">
        <x:v>Sí</x:v>
      </x:c>
      <x:c r="AJ18" s="14" t="str">
        <x:v>A — prioridad alta</x:v>
      </x:c>
      <x:c r="AK18" s="14" t="str">
        <x:v>Interesante si tercerizan transporte de estructura y materiales.</x:v>
      </x:c>
      <x:c r="AL18" s="14" t="str">
        <x:v>Web + Google Business Profile</x:v>
      </x:c>
      <x:c r="AM18" s="14" t="str">
        <x:v>Alta nueva; cruzada contra base maestra aportada para evitar duplicados.</x:v>
      </x:c>
    </x:row>
    <x:row r="19" ht="44" customHeight="1">
      <x:c r="A19" s="14" t="str">
        <x:v>CBA-018</x:v>
      </x:c>
      <x:c r="B19" s="14" t="str">
        <x:v>Pendiente</x:v>
      </x:c>
      <x:c r="C19" s="14" t="str">
        <x:v>Córdoba Capital</x:v>
      </x:c>
      <x:c r="D19" s="14" t="str">
        <x:v>Dr. Pedro Chutro 952, Córdoba Capital</x:v>
      </x:c>
      <x:c r="E19" s="14" t="str">
        <x:v>Córdoba Capital</x:v>
      </x:c>
      <x:c r="F19" s="14" t="str">
        <x:v>A</x:v>
      </x:c>
      <x:c r="G19" s="14" t="n">
        <x:v>85</x:v>
      </x:c>
      <x:c r="H19" s="14" t="str">
        <x:v>ITEM Construcciones S.A.</x:v>
      </x:c>
      <x:c r="I19" s="14" t="str">
        <x:v>Empresa constructora</x:v>
      </x:c>
      <x:c r="J19" s="14" t="str">
        <x:v>Construcción y obra vial</x:v>
      </x:c>
      <x:c r="K19" s="14" t="str">
        <x:v>0351 4804844</x:v>
      </x:c>
      <x:c r="L19" s="14" t="str">
        <x:v>OK</x:v>
      </x:c>
      <x:c r="M19" s="14" t="str">
        <x:v>operaciones / jefe de obra / compras</x:v>
      </x:c>
      <x:c r="N19" s="14" t="str">
        <x:v>Traslado de materiales, equipos y cargas especiales hacia obras.</x:v>
      </x:c>
      <x:c r="O19" s="14" t="str">
        <x:v>Plataforma + hidrogrúa + percha pallets.</x:v>
      </x:c>
      <x:c r="P19" s="14" t="str">
        <x:v>Servicio flexible para movimientos entre obras y depósitos.</x:v>
      </x:c>
      <x:c r="Q19" s="14" t="str">
        <x:v>Contactar operaciones/compras y pedir casos concretos.</x:v>
      </x:c>
      <x:c r="R19" s="14"/>
      <x:c r="S19" s="14" t="str">
        <x:v>Dr. Pedro Chutro 952, Córdoba Capital</x:v>
      </x:c>
      <x:c r="T19" s="14"/>
      <x:c r="U19" s="14"/>
      <x:c r="V19" s="14"/>
      <x:c r="W19" s="14"/>
      <x:c r="X19" s="14"/>
      <x:c r="Y19" s="14" t="str">
        <x:v>tel:+543514804844</x:v>
      </x:c>
      <x:c r="Z19" s="14" t="str">
        <x:v>Confirmar decisor y frecuencia de movimientos antes de cotizar.</x:v>
      </x:c>
      <x:c r="AA19" s="14" t="str">
        <x:v>https://www.google.com/maps/search/?api=1&amp;query=ITEM+Construcciones+Pedro+Chutro+952+Cordoba</x:v>
      </x:c>
      <x:c r="AB19" s="14" t="str">
        <x:v>Google Business Profile</x:v>
      </x:c>
      <x:c r="AC19" s="14" t="str">
        <x:v>https://www.google.com/maps/search/?api=1&amp;query=ITEM+Construcciones+Pedro+Chutro+952+Cordoba</x:v>
      </x:c>
      <x:c r="AD19" s="14" t="str">
        <x:v>Empresa constructora con domicilio en Córdoba Capital.</x:v>
      </x:c>
      <x:c r="AE19" s="14" t="str">
        <x:v>Media-Alta</x:v>
      </x:c>
      <x:c r="AF19" s="14" t="str">
        <x:v>Rastrillaje Córdoba Capital 2026-09-14</x:v>
      </x:c>
      <x:c r="AG19" s="14" t="str">
        <x:v>plataforma | hidrogrúa | percha pallets</x:v>
      </x:c>
      <x:c r="AH19" s="14" t="str">
        <x:v>construcción</x:v>
      </x:c>
      <x:c r="AI19" s="14" t="str">
        <x:v>Sí</x:v>
      </x:c>
      <x:c r="AJ19" s="14" t="str">
        <x:v>A — prioridad alta</x:v>
      </x:c>
      <x:c r="AK19" s="14" t="str">
        <x:v>Necesidad probable depende del tipo de obra en curso.</x:v>
      </x:c>
      <x:c r="AL19" s="14" t="str">
        <x:v>Web + Google Business Profile</x:v>
      </x:c>
      <x:c r="AM19" s="14" t="str">
        <x:v>Alta nueva; cruzada contra base maestra aportada para evitar duplicados.</x:v>
      </x:c>
    </x:row>
    <x:row r="20" ht="44" customHeight="1">
      <x:c r="A20" s="14" t="str">
        <x:v>CBA-019</x:v>
      </x:c>
      <x:c r="B20" s="14" t="str">
        <x:v>Pendiente</x:v>
      </x:c>
      <x:c r="C20" s="14" t="str">
        <x:v>Córdoba Capital</x:v>
      </x:c>
      <x:c r="D20" s="14" t="str">
        <x:v>De la Industria 797, Córdoba Capital</x:v>
      </x:c>
      <x:c r="E20" s="14" t="str">
        <x:v>Córdoba Capital</x:v>
      </x:c>
      <x:c r="F20" s="14" t="str">
        <x:v>B</x:v>
      </x:c>
      <x:c r="G20" s="14" t="n">
        <x:v>80</x:v>
      </x:c>
      <x:c r="H20" s="14" t="str">
        <x:v>Empresa Constructora Base SRL</x:v>
      </x:c>
      <x:c r="I20" s="14" t="str">
        <x:v>Empresa constructora</x:v>
      </x:c>
      <x:c r="J20" s="14" t="str">
        <x:v>Construcción y obra vial</x:v>
      </x:c>
      <x:c r="K20" s="14" t="str">
        <x:v>0351 4644462</x:v>
      </x:c>
      <x:c r="L20" s="14" t="str">
        <x:v>OK</x:v>
      </x:c>
      <x:c r="M20" s="14" t="str">
        <x:v>operaciones / obras / compras</x:v>
      </x:c>
      <x:c r="N20" s="14" t="str">
        <x:v>Movimientos de materiales, equipos y cargas especiales.</x:v>
      </x:c>
      <x:c r="O20" s="14" t="str">
        <x:v>Plataforma + hidrogrúa + percha.</x:v>
      </x:c>
      <x:c r="P20" s="14" t="str">
        <x:v>Proveedor regional para movimientos puntuales sin flota dedicada.</x:v>
      </x:c>
      <x:c r="Q20" s="14" t="str">
        <x:v>Llamar y relevar tipología de obra.</x:v>
      </x:c>
      <x:c r="R20" s="14"/>
      <x:c r="S20" s="14" t="str">
        <x:v>De la Industria 797, Córdoba Capital</x:v>
      </x:c>
      <x:c r="T20" s="14"/>
      <x:c r="U20" s="14"/>
      <x:c r="V20" s="14"/>
      <x:c r="W20" s="14"/>
      <x:c r="X20" s="14"/>
      <x:c r="Y20" s="14" t="str">
        <x:v>tel:+543514644462</x:v>
      </x:c>
      <x:c r="Z20" s="14" t="str">
        <x:v>Confirmar decisor y frecuencia de movimientos antes de cotizar.</x:v>
      </x:c>
      <x:c r="AA20" s="14" t="str">
        <x:v>https://www.google.com/maps/search/?api=1&amp;query=Empresa+Constructora+Base+De+la+Industria+797+Cordoba</x:v>
      </x:c>
      <x:c r="AB20" s="14" t="str">
        <x:v>Google Business Profile</x:v>
      </x:c>
      <x:c r="AC20" s="14" t="str">
        <x:v>https://www.google.com/maps/search/?api=1&amp;query=Empresa+Constructora+Base+De+la+Industria+797+Cordoba</x:v>
      </x:c>
      <x:c r="AD20" s="14" t="str">
        <x:v>Empresa constructora en Córdoba Capital.</x:v>
      </x:c>
      <x:c r="AE20" s="14" t="str">
        <x:v>Media-Alta</x:v>
      </x:c>
      <x:c r="AF20" s="14" t="str">
        <x:v>Rastrillaje Córdoba Capital 2026-09-14</x:v>
      </x:c>
      <x:c r="AG20" s="14" t="str">
        <x:v>plataforma | hidrogrúa | percha pallets</x:v>
      </x:c>
      <x:c r="AH20" s="14" t="str">
        <x:v>construcción</x:v>
      </x:c>
      <x:c r="AI20" s="14" t="str">
        <x:v>Sí</x:v>
      </x:c>
      <x:c r="AJ20" s="14" t="str">
        <x:v>B — segunda pasada</x:v>
      </x:c>
      <x:c r="AK20" s="14" t="str">
        <x:v>Validar volumen y si ejecuta obra industrial.</x:v>
      </x:c>
      <x:c r="AL20" s="14" t="str">
        <x:v>Web + Google Business Profile</x:v>
      </x:c>
      <x:c r="AM20" s="14" t="str">
        <x:v>Alta nueva; cruzada contra base maestra aportada para evitar duplicados.</x:v>
      </x:c>
    </x:row>
    <x:row r="21" ht="44" customHeight="1">
      <x:c r="A21" s="14" t="str">
        <x:v>CBA-020</x:v>
      </x:c>
      <x:c r="B21" s="14" t="str">
        <x:v>Pendiente</x:v>
      </x:c>
      <x:c r="C21" s="14" t="str">
        <x:v>Córdoba Capital</x:v>
      </x:c>
      <x:c r="D21" s="14" t="str">
        <x:v>Av. O'Higgins 2710, Córdoba Capital</x:v>
      </x:c>
      <x:c r="E21" s="14" t="str">
        <x:v>Córdoba Capital</x:v>
      </x:c>
      <x:c r="F21" s="14" t="str">
        <x:v>B</x:v>
      </x:c>
      <x:c r="G21" s="14" t="n">
        <x:v>80</x:v>
      </x:c>
      <x:c r="H21" s="14" t="str">
        <x:v>Cerramientos y Estructuras S.A.</x:v>
      </x:c>
      <x:c r="I21" s="14" t="str">
        <x:v>Carpintería de obra y estructuras metálicas</x:v>
      </x:c>
      <x:c r="J21" s="14" t="str">
        <x:v>Metalúrgica y fabricación</x:v>
      </x:c>
      <x:c r="K21" s="14" t="str">
        <x:v>0351 4679292</x:v>
      </x:c>
      <x:c r="L21" s="14" t="str">
        <x:v>OK</x:v>
      </x:c>
      <x:c r="M21" s="14" t="str">
        <x:v>producción / obras / expedición</x:v>
      </x:c>
      <x:c r="N21" s="14" t="str">
        <x:v>Entrega de cerramientos, perfiles, estructuras y componentes hacia obras.</x:v>
      </x:c>
      <x:c r="O21" s="14" t="str">
        <x:v>Plataforma + percha pallets + hidrogrúa según pieza.</x:v>
      </x:c>
      <x:c r="P21" s="14" t="str">
        <x:v>Coordinar despachos a obra con descarga en destino.</x:v>
      </x:c>
      <x:c r="Q21" s="14" t="str">
        <x:v>Contactar expedición/obras.</x:v>
      </x:c>
      <x:c r="R21" s="14"/>
      <x:c r="S21" s="14" t="str">
        <x:v>Av. O'Higgins 2710, Córdoba Capital</x:v>
      </x:c>
      <x:c r="T21" s="14"/>
      <x:c r="U21" s="14"/>
      <x:c r="V21" s="14"/>
      <x:c r="W21" s="14"/>
      <x:c r="X21" s="14"/>
      <x:c r="Y21" s="14" t="str">
        <x:v>tel:+543514679292</x:v>
      </x:c>
      <x:c r="Z21" s="14" t="str">
        <x:v>Confirmar decisor y frecuencia de movimientos antes de cotizar.</x:v>
      </x:c>
      <x:c r="AA21" s="14" t="str">
        <x:v>https://www.google.com/maps/search/?api=1&amp;query=Cerramientos+y+Estructuras+O%27Higgins+2710+Cordoba</x:v>
      </x:c>
      <x:c r="AB21" s="14" t="str">
        <x:v>Web propia</x:v>
      </x:c>
      <x:c r="AC21" s="14" t="str">
        <x:v>https://www.cerramientossa.com.ar/</x:v>
      </x:c>
      <x:c r="AD21" s="14" t="str">
        <x:v>Empresa de Córdoba Capital con estructuras metálicas y carpintería de obra.</x:v>
      </x:c>
      <x:c r="AE21" s="14" t="str">
        <x:v>Alta</x:v>
      </x:c>
      <x:c r="AF21" s="14" t="str">
        <x:v>Rastrillaje Córdoba Capital 2026-09-14</x:v>
      </x:c>
      <x:c r="AG21" s="14" t="str">
        <x:v>plataforma | percha pallets | hidrogrúa</x:v>
      </x:c>
      <x:c r="AH21" s="14" t="str">
        <x:v>estructuras / cerramientos</x:v>
      </x:c>
      <x:c r="AI21" s="14" t="str">
        <x:v>Sí</x:v>
      </x:c>
      <x:c r="AJ21" s="14" t="str">
        <x:v>B — segunda pasada</x:v>
      </x:c>
      <x:c r="AK21" s="14" t="str">
        <x:v>Encaje por entregas de obra y perfiles/estructuras.</x:v>
      </x:c>
      <x:c r="AL21" s="14" t="str">
        <x:v>Web + Google Business Profile</x:v>
      </x:c>
      <x:c r="AM21" s="14" t="str">
        <x:v>Alta nueva; cruzada contra base maestra aportada para evitar duplicados.</x:v>
      </x:c>
    </x:row>
    <x:row r="22" ht="44" customHeight="1">
      <x:c r="A22" s="14" t="str">
        <x:v>CBA-021</x:v>
      </x:c>
      <x:c r="B22" s="14" t="str">
        <x:v>Pendiente</x:v>
      </x:c>
      <x:c r="C22" s="14" t="str">
        <x:v>Córdoba Capital</x:v>
      </x:c>
      <x:c r="D22" s="14" t="str">
        <x:v>Córdoba Capital</x:v>
      </x:c>
      <x:c r="E22" s="14" t="str">
        <x:v>Córdoba Capital</x:v>
      </x:c>
      <x:c r="F22" s="14" t="str">
        <x:v>B</x:v>
      </x:c>
      <x:c r="G22" s="14" t="n">
        <x:v>80</x:v>
      </x:c>
      <x:c r="H22" s="14" t="str">
        <x:v>Adoquinar</x:v>
      </x:c>
      <x:c r="I22" s="14" t="str">
        <x:v>Adoquines y premoldeados de hormigón</x:v>
      </x:c>
      <x:c r="J22" s="14" t="str">
        <x:v>Hormigón, áridos y materiales</x:v>
      </x:c>
      <x:c r="K22" s="14" t="str">
        <x:v>351 2253836</x:v>
      </x:c>
      <x:c r="L22" s="14" t="str">
        <x:v>OK</x:v>
      </x:c>
      <x:c r="M22" s="14" t="str">
        <x:v>ventas / despacho</x:v>
      </x:c>
      <x:c r="N22" s="14" t="str">
        <x:v>Entrega de adoquines, cordones y losetas en pallets a obras.</x:v>
      </x:c>
      <x:c r="O22" s="14" t="str">
        <x:v>Percha pallets + transporte de materiales + hidrogrúa según descarga.</x:v>
      </x:c>
      <x:c r="P22" s="14" t="str">
        <x:v>Ofrecer entrega palletizada con descarga en obra.</x:v>
      </x:c>
      <x:c r="Q22" s="14" t="str">
        <x:v>Contactar ventas/despacho; preguntar volumen medio por viaje.</x:v>
      </x:c>
      <x:c r="R22" s="14"/>
      <x:c r="S22" s="14" t="str">
        <x:v>Córdoba Capital</x:v>
      </x:c>
      <x:c r="T22" s="14"/>
      <x:c r="U22" s="14"/>
      <x:c r="V22" s="14"/>
      <x:c r="W22" s="14"/>
      <x:c r="X22" s="14"/>
      <x:c r="Y22" s="14" t="str">
        <x:v>tel:+543512253836</x:v>
      </x:c>
      <x:c r="Z22" s="14" t="str">
        <x:v>Confirmar decisor y frecuencia de movimientos antes de cotizar.</x:v>
      </x:c>
      <x:c r="AA22" s="14" t="str">
        <x:v>https://www.google.com/maps/search/?api=1&amp;query=Adoquinar+Premoldeados+Cordoba+Capital</x:v>
      </x:c>
      <x:c r="AB22" s="14" t="str">
        <x:v>Web propia</x:v>
      </x:c>
      <x:c r="AC22" s="14" t="str">
        <x:v>https://adoquinar.ar/</x:v>
      </x:c>
      <x:c r="AD22" s="14" t="str">
        <x:v>Proveedor de adoquines/premoldeados en Córdoba Capital.</x:v>
      </x:c>
      <x:c r="AE22" s="14" t="str">
        <x:v>Alta</x:v>
      </x:c>
      <x:c r="AF22" s="14" t="str">
        <x:v>Rastrillaje Córdoba Capital 2026-09-14</x:v>
      </x:c>
      <x:c r="AG22" s="14" t="str">
        <x:v>percha pallets | transporte materiales | hidrogrúa</x:v>
      </x:c>
      <x:c r="AH22" s="14" t="str">
        <x:v>premoldeados / adoquines</x:v>
      </x:c>
      <x:c r="AI22" s="14" t="str">
        <x:v>Sí</x:v>
      </x:c>
      <x:c r="AJ22" s="14" t="str">
        <x:v>B — segunda pasada</x:v>
      </x:c>
      <x:c r="AK22" s="14" t="str">
        <x:v>Muy apropiado para percha y palletizado.</x:v>
      </x:c>
      <x:c r="AL22" s="14" t="str">
        <x:v>Web + Google Business Profile</x:v>
      </x:c>
      <x:c r="AM22" s="14" t="str">
        <x:v>Alta nueva; cruzada contra base maestra aportada para evitar duplicados.</x:v>
      </x:c>
    </x:row>
    <x:row r="23" ht="44" customHeight="1">
      <x:c r="A23" s="14" t="str">
        <x:v>CBA-022</x:v>
      </x:c>
      <x:c r="B23" s="14" t="str">
        <x:v>Pendiente</x:v>
      </x:c>
      <x:c r="C23" s="14" t="str">
        <x:v>Córdoba Capital</x:v>
      </x:c>
      <x:c r="D23" s="14" t="str">
        <x:v>Dr. Ricardo Balbín 3800, Córdoba Capital</x:v>
      </x:c>
      <x:c r="E23" s="14" t="str">
        <x:v>Córdoba Capital</x:v>
      </x:c>
      <x:c r="F23" s="14" t="str">
        <x:v>B</x:v>
      </x:c>
      <x:c r="G23" s="14" t="n">
        <x:v>80</x:v>
      </x:c>
      <x:c r="H23" s="14" t="str">
        <x:v>LT Materiales Corralón Mayorista</x:v>
      </x:c>
      <x:c r="I23" s="14" t="str">
        <x:v>Materiales para la construcción</x:v>
      </x:c>
      <x:c r="J23" s="14" t="str">
        <x:v>Hormigón, áridos y materiales</x:v>
      </x:c>
      <x:c r="K23" s="14" t="str">
        <x:v>0351 7517028</x:v>
      </x:c>
      <x:c r="L23" s="14" t="str">
        <x:v>OK</x:v>
      </x:c>
      <x:c r="M23" s="14" t="str">
        <x:v>logística / despacho / compras</x:v>
      </x:c>
      <x:c r="N23" s="14" t="str">
        <x:v>Distribución de materiales pesados y palletizados.</x:v>
      </x:c>
      <x:c r="O23" s="14" t="str">
        <x:v>Percha pallets + transporte materiales + hidrogrúa.</x:v>
      </x:c>
      <x:c r="P23" s="14" t="str">
        <x:v>Absorber entregas mayoristas o especiales con descarga.</x:v>
      </x:c>
      <x:c r="Q23" s="14" t="str">
        <x:v>Contactar despacho y consultar si tercerizan viajes.</x:v>
      </x:c>
      <x:c r="R23" s="14"/>
      <x:c r="S23" s="14" t="str">
        <x:v>Dr. Ricardo Balbín 3800, Córdoba Capital</x:v>
      </x:c>
      <x:c r="T23" s="14"/>
      <x:c r="U23" s="14"/>
      <x:c r="V23" s="14"/>
      <x:c r="W23" s="14"/>
      <x:c r="X23" s="14"/>
      <x:c r="Y23" s="14" t="str">
        <x:v>tel:+543517517028</x:v>
      </x:c>
      <x:c r="Z23" s="14" t="str">
        <x:v>Confirmar decisor y frecuencia de movimientos antes de cotizar.</x:v>
      </x:c>
      <x:c r="AA23" s="14" t="str">
        <x:v>https://www.google.com/maps/search/?api=1&amp;query=LT+Materiales+Ricardo+Balbin+3800+Cordoba</x:v>
      </x:c>
      <x:c r="AB23" s="14" t="str">
        <x:v>Google Business Profile</x:v>
      </x:c>
      <x:c r="AC23" s="14" t="str">
        <x:v>https://www.google.com/maps/search/?api=1&amp;query=LT+Materiales+Ricardo+Balbin+3800+Cordoba</x:v>
      </x:c>
      <x:c r="AD23" s="14" t="str">
        <x:v>Corralón mayorista en Córdoba Capital.</x:v>
      </x:c>
      <x:c r="AE23" s="14" t="str">
        <x:v>Media-Alta</x:v>
      </x:c>
      <x:c r="AF23" s="14" t="str">
        <x:v>Rastrillaje Córdoba Capital 2026-09-14</x:v>
      </x:c>
      <x:c r="AG23" s="14" t="str">
        <x:v>percha pallets | transporte materiales | hidrogrúa</x:v>
      </x:c>
      <x:c r="AH23" s="14" t="str">
        <x:v>corralón mayorista</x:v>
      </x:c>
      <x:c r="AI23" s="14" t="str">
        <x:v>Sí</x:v>
      </x:c>
      <x:c r="AJ23" s="14" t="str">
        <x:v>B — segunda pasada</x:v>
      </x:c>
      <x:c r="AK23" s="14" t="str">
        <x:v>Atractivo por palletizado; validar flota propia.</x:v>
      </x:c>
      <x:c r="AL23" s="14" t="str">
        <x:v>Web + Google Business Profile</x:v>
      </x:c>
      <x:c r="AM23" s="14" t="str">
        <x:v>Alta nueva; cruzada contra base maestra aportada para evitar duplicados.</x:v>
      </x:c>
    </x:row>
    <x:row r="24" ht="44" customHeight="1">
      <x:c r="A24" s="14" t="str">
        <x:v>CBA-023</x:v>
      </x:c>
      <x:c r="B24" s="14" t="str">
        <x:v>Pendiente</x:v>
      </x:c>
      <x:c r="C24" s="14" t="str">
        <x:v>Córdoba Capital</x:v>
      </x:c>
      <x:c r="D24" s="14" t="str">
        <x:v>Simbolar 2254, Córdoba Capital</x:v>
      </x:c>
      <x:c r="E24" s="14" t="str">
        <x:v>Córdoba Capital</x:v>
      </x:c>
      <x:c r="F24" s="14" t="str">
        <x:v>B</x:v>
      </x:c>
      <x:c r="G24" s="14" t="n">
        <x:v>80</x:v>
      </x:c>
      <x:c r="H24" s="14" t="str">
        <x:v>Metalúrgica Roma S.A.</x:v>
      </x:c>
      <x:c r="I24" s="14" t="str">
        <x:v>Fabricación metalúrgica</x:v>
      </x:c>
      <x:c r="J24" s="14" t="str">
        <x:v>Metalúrgica y fabricación</x:v>
      </x:c>
      <x:c r="K24" s="14" t="str">
        <x:v>0351 4563539</x:v>
      </x:c>
      <x:c r="L24" s="14" t="str">
        <x:v>OK</x:v>
      </x:c>
      <x:c r="M24" s="14" t="str">
        <x:v>producción / expedición</x:v>
      </x:c>
      <x:c r="N24" s="14" t="str">
        <x:v>Traslado de fabricaciones y piezas terminadas.</x:v>
      </x:c>
      <x:c r="O24" s="14" t="str">
        <x:v>Plataforma + hidrogrúa/percha según carga.</x:v>
      </x:c>
      <x:c r="P24" s="14" t="str">
        <x:v>Apoyo a despachos de piezas pesadas o fuera de medida.</x:v>
      </x:c>
      <x:c r="Q24" s="14" t="str">
        <x:v>Llamar a producción/expedición.</x:v>
      </x:c>
      <x:c r="R24" s="14"/>
      <x:c r="S24" s="14" t="str">
        <x:v>Simbolar 2254, Córdoba Capital</x:v>
      </x:c>
      <x:c r="T24" s="14"/>
      <x:c r="U24" s="14"/>
      <x:c r="V24" s="14"/>
      <x:c r="W24" s="14"/>
      <x:c r="X24" s="14"/>
      <x:c r="Y24" s="14" t="str">
        <x:v>tel:+543514563539</x:v>
      </x:c>
      <x:c r="Z24" s="14" t="str">
        <x:v>Confirmar decisor y frecuencia de movimientos antes de cotizar.</x:v>
      </x:c>
      <x:c r="AA24" s="14" t="str">
        <x:v>https://www.google.com/maps/search/?api=1&amp;query=Metalurgica+Roma+Simbolar+2254+Cordoba</x:v>
      </x:c>
      <x:c r="AB24" s="14" t="str">
        <x:v>Google Business Profile</x:v>
      </x:c>
      <x:c r="AC24" s="14" t="str">
        <x:v>https://www.google.com/maps/search/?api=1&amp;query=Metalurgica+Roma+Simbolar+2254+Cordoba</x:v>
      </x:c>
      <x:c r="AD24" s="14" t="str">
        <x:v>Fábrica metalúrgica en Córdoba Capital.</x:v>
      </x:c>
      <x:c r="AE24" s="14" t="str">
        <x:v>Media</x:v>
      </x:c>
      <x:c r="AF24" s="14" t="str">
        <x:v>Rastrillaje Córdoba Capital 2026-09-14</x:v>
      </x:c>
      <x:c r="AG24" s="14" t="str">
        <x:v>plataforma | hidrogrúa | percha pallets</x:v>
      </x:c>
      <x:c r="AH24" s="14" t="str">
        <x:v>metalúrgica</x:v>
      </x:c>
      <x:c r="AI24" s="14" t="str">
        <x:v>Sí</x:v>
      </x:c>
      <x:c r="AJ24" s="14" t="str">
        <x:v>B — segunda pasada</x:v>
      </x:c>
      <x:c r="AK24" s="14" t="str">
        <x:v>Relevar rubro específico y tamaños de producto.</x:v>
      </x:c>
      <x:c r="AL24" s="14" t="str">
        <x:v>Web + Google Business Profile</x:v>
      </x:c>
      <x:c r="AM24" s="14" t="str">
        <x:v>Alta nueva; cruzada contra base maestra aportada para evitar duplicados.</x:v>
      </x:c>
    </x:row>
    <x:row r="25" ht="44" customHeight="1">
      <x:c r="A25" s="14" t="str">
        <x:v>CBA-024</x:v>
      </x:c>
      <x:c r="B25" s="14" t="str">
        <x:v>Pendiente</x:v>
      </x:c>
      <x:c r="C25" s="14" t="str">
        <x:v>Córdoba Capital</x:v>
      </x:c>
      <x:c r="D25" s="14" t="str">
        <x:v>Av. Duarte Quirós 3717, Córdoba Capital</x:v>
      </x:c>
      <x:c r="E25" s="14" t="str">
        <x:v>Córdoba Capital</x:v>
      </x:c>
      <x:c r="F25" s="14" t="str">
        <x:v>B</x:v>
      </x:c>
      <x:c r="G25" s="14" t="n">
        <x:v>75</x:v>
      </x:c>
      <x:c r="H25" s="14" t="str">
        <x:v>Metalúrgica Degiorgis S.A.</x:v>
      </x:c>
      <x:c r="I25" s="14" t="str">
        <x:v>Fabricación metalúrgica</x:v>
      </x:c>
      <x:c r="J25" s="14" t="str">
        <x:v>Metalúrgica y fabricación</x:v>
      </x:c>
      <x:c r="K25" s="14" t="str">
        <x:v>0351 4800331</x:v>
      </x:c>
      <x:c r="L25" s="14" t="str">
        <x:v>OK</x:v>
      </x:c>
      <x:c r="M25" s="14" t="str">
        <x:v>producción / expedición</x:v>
      </x:c>
      <x:c r="N25" s="14" t="str">
        <x:v>Movimientos de piezas y fabricaciones metálicas.</x:v>
      </x:c>
      <x:c r="O25" s="14" t="str">
        <x:v>Plataforma + hidrogrúa/percha.</x:v>
      </x:c>
      <x:c r="P25" s="14" t="str">
        <x:v>Resolver despachos especiales con descarga.</x:v>
      </x:c>
      <x:c r="Q25" s="14" t="str">
        <x:v>Contactar producción.</x:v>
      </x:c>
      <x:c r="R25" s="14"/>
      <x:c r="S25" s="14" t="str">
        <x:v>Av. Duarte Quirós 3717, Córdoba Capital</x:v>
      </x:c>
      <x:c r="T25" s="14"/>
      <x:c r="U25" s="14"/>
      <x:c r="V25" s="14"/>
      <x:c r="W25" s="14"/>
      <x:c r="X25" s="14"/>
      <x:c r="Y25" s="14" t="str">
        <x:v>tel:+543514800331</x:v>
      </x:c>
      <x:c r="Z25" s="14" t="str">
        <x:v>Confirmar decisor y frecuencia de movimientos antes de cotizar.</x:v>
      </x:c>
      <x:c r="AA25" s="14" t="str">
        <x:v>https://www.google.com/maps/search/?api=1&amp;query=Metalurgica+Degiorgis+Duarte+Quiros+3717+Cordoba</x:v>
      </x:c>
      <x:c r="AB25" s="14" t="str">
        <x:v>Google Business Profile</x:v>
      </x:c>
      <x:c r="AC25" s="14" t="str">
        <x:v>https://www.google.com/maps/search/?api=1&amp;query=Metalurgica+Degiorgis+Duarte+Quiros+3717+Cordoba</x:v>
      </x:c>
      <x:c r="AD25" s="14" t="str">
        <x:v>Fábrica metalúrgica en Córdoba Capital.</x:v>
      </x:c>
      <x:c r="AE25" s="14" t="str">
        <x:v>Media</x:v>
      </x:c>
      <x:c r="AF25" s="14" t="str">
        <x:v>Rastrillaje Córdoba Capital 2026-09-14</x:v>
      </x:c>
      <x:c r="AG25" s="14" t="str">
        <x:v>plataforma | hidrogrúa | percha pallets</x:v>
      </x:c>
      <x:c r="AH25" s="14" t="str">
        <x:v>metalúrgica</x:v>
      </x:c>
      <x:c r="AI25" s="14" t="str">
        <x:v>Sí</x:v>
      </x:c>
      <x:c r="AJ25" s="14" t="str">
        <x:v>B — segunda pasada</x:v>
      </x:c>
      <x:c r="AK25" s="14" t="str">
        <x:v>Validar actividad actual y producto.</x:v>
      </x:c>
      <x:c r="AL25" s="14" t="str">
        <x:v>Web + Google Business Profile</x:v>
      </x:c>
      <x:c r="AM25" s="14" t="str">
        <x:v>Alta nueva; cruzada contra base maestra aportada para evitar duplicados.</x:v>
      </x:c>
    </x:row>
    <x:row r="26" ht="44" customHeight="1">
      <x:c r="A26" s="14" t="str">
        <x:v>CBA-025</x:v>
      </x:c>
      <x:c r="B26" s="14" t="str">
        <x:v>Pendiente</x:v>
      </x:c>
      <x:c r="C26" s="14" t="str">
        <x:v>Córdoba Capital</x:v>
      </x:c>
      <x:c r="D26" s="14" t="str">
        <x:v>Díaz Colodrero 3210, Córdoba Capital</x:v>
      </x:c>
      <x:c r="E26" s="14" t="str">
        <x:v>Córdoba Capital</x:v>
      </x:c>
      <x:c r="F26" s="14" t="str">
        <x:v>B</x:v>
      </x:c>
      <x:c r="G26" s="14" t="n">
        <x:v>75</x:v>
      </x:c>
      <x:c r="H26" s="14" t="str">
        <x:v>Córdoba Machines</x:v>
      </x:c>
      <x:c r="I26" s="14" t="str">
        <x:v>Fabricación de maquinaria</x:v>
      </x:c>
      <x:c r="J26" s="14" t="str">
        <x:v>Maquinaria agrícola</x:v>
      </x:c>
      <x:c r="K26" s="14" t="str">
        <x:v>+54 9 351 5906666</x:v>
      </x:c>
      <x:c r="L26" s="14" t="str">
        <x:v>OK</x:v>
      </x:c>
      <x:c r="M26" s="14" t="str">
        <x:v>ventas / producción / logística</x:v>
      </x:c>
      <x:c r="N26" s="14" t="str">
        <x:v>Entrega y retiro de maquinaria/equipos terminados.</x:v>
      </x:c>
      <x:c r="O26" s="14" t="str">
        <x:v>Plataforma 20 tn + malacate + seguro.</x:v>
      </x:c>
      <x:c r="P26" s="14" t="str">
        <x:v>Tercerizar traslados de equipos para clientes y service.</x:v>
      </x:c>
      <x:c r="Q26" s="14" t="str">
        <x:v>Contactar ventas y producción.</x:v>
      </x:c>
      <x:c r="R26" s="14"/>
      <x:c r="S26" s="14" t="str">
        <x:v>Díaz Colodrero 3210, Córdoba Capital</x:v>
      </x:c>
      <x:c r="T26" s="14"/>
      <x:c r="U26" s="14"/>
      <x:c r="V26" s="14"/>
      <x:c r="W26" s="14"/>
      <x:c r="X26" s="14"/>
      <x:c r="Y26" s="14" t="str">
        <x:v>tel:+5493515906666</x:v>
      </x:c>
      <x:c r="Z26" s="14" t="str">
        <x:v>Confirmar decisor y frecuencia de movimientos antes de cotizar.</x:v>
      </x:c>
      <x:c r="AA26" s="14" t="str">
        <x:v>https://www.google.com/maps/search/?api=1&amp;query=Cordoba+Machines+Diaz+Colodrero+3210</x:v>
      </x:c>
      <x:c r="AB26" s="14" t="str">
        <x:v>Google Business Profile</x:v>
      </x:c>
      <x:c r="AC26" s="14" t="str">
        <x:v>https://www.google.com/maps/search/?api=1&amp;query=Cordoba+Machines+Diaz+Colodrero+3210</x:v>
      </x:c>
      <x:c r="AD26" s="14" t="str">
        <x:v>Fábrica de maquinaria en Córdoba Capital.</x:v>
      </x:c>
      <x:c r="AE26" s="14" t="str">
        <x:v>Media</x:v>
      </x:c>
      <x:c r="AF26" s="14" t="str">
        <x:v>Rastrillaje Córdoba Capital 2026-09-14</x:v>
      </x:c>
      <x:c r="AG26" s="14" t="str">
        <x:v>plataforma 20 tn | malacate | seguro/GPS</x:v>
      </x:c>
      <x:c r="AH26" s="14" t="str">
        <x:v>maquinaria / equipos</x:v>
      </x:c>
      <x:c r="AI26" s="14" t="str">
        <x:v>Sí</x:v>
      </x:c>
      <x:c r="AJ26" s="14" t="str">
        <x:v>B — segunda pasada</x:v>
      </x:c>
      <x:c r="AK26" s="14" t="str">
        <x:v>Validar peso/dimensión y nivel de actividad.</x:v>
      </x:c>
      <x:c r="AL26" s="14" t="str">
        <x:v>Web + Google Business Profile</x:v>
      </x:c>
      <x:c r="AM26" s="14" t="str">
        <x:v>Alta nueva; cruzada contra base maestra aportada para evitar duplicados.</x:v>
      </x:c>
    </x:row>
    <x:row r="27" ht="44" customHeight="1">
      <x:c r="A27" s="14" t="str">
        <x:v>CBA-026</x:v>
      </x:c>
      <x:c r="B27" s="14" t="str">
        <x:v>Pendiente</x:v>
      </x:c>
      <x:c r="C27" s="14" t="str">
        <x:v>Córdoba Capital</x:v>
      </x:c>
      <x:c r="D27" s="14" t="str">
        <x:v>Av. Circunvalación s/N° Colectora Sur entre Camino San Carlos y Camino San Antonio, Córdoba</x:v>
      </x:c>
      <x:c r="E27" s="14" t="str">
        <x:v>Córdoba Capital</x:v>
      </x:c>
      <x:c r="F27" s="14" t="str">
        <x:v>A+</x:v>
      </x:c>
      <x:c r="G27" s="14" t="n">
        <x:v>100</x:v>
      </x:c>
      <x:c r="H27" s="14" t="str">
        <x:v>Sullair Argentina</x:v>
      </x:c>
      <x:c r="I27" s="14" t="str">
        <x:v>Alquiler de maquinaria pesada, movimiento de tierra, plataformas, manipuladores, compresores y generación</x:v>
      </x:c>
      <x:c r="J27" s="14" t="str">
        <x:v>Alquiler / dealer maquinaria pesada</x:v>
      </x:c>
      <x:c r="K27" s="14" t="str">
        <x:v>0810 777 0707 / 0351 2474826</x:v>
      </x:c>
      <x:c r="L27" s="14" t="str">
        <x:v>OK</x:v>
      </x:c>
      <x:c r="M27" s="14" t="str">
        <x:v>jefe de alquileres / logística / operaciones</x:v>
      </x:c>
      <x:c r="N27" s="14" t="str">
        <x:v>Movilización frecuente de excavadoras, cargadoras, motoniveladoras, plataformas, manipuladores, compresores y grupos electrógenos entre sucursal y obras.</x:v>
      </x:c>
      <x:c r="O27" s="14" t="str">
        <x:v>Plataforma 20 tn + malacate + coordinación de retiro/entrega + seguro/GPS.</x:v>
      </x:c>
      <x:c r="P27" s="14" t="str">
        <x:v>Cubrir picos de alquiler y entregas/retiros sin inmovilizar flota propia; apoyo regional de última milla pesada.</x:v>
      </x:c>
      <x:c r="Q27" s="14" t="str">
        <x:v>Llamada prioritaria; pedir por alquileres/logística y consultar cómo tercerizan hoy entregas y retiros de equipos.</x:v>
      </x:c>
      <x:c r="R27" s="14"/>
      <x:c r="S27" s="14" t="str">
        <x:v>Av. Circunvalación s/N° Colectora Sur entre Camino San Carlos y Camino San Antonio, Córdoba</x:v>
      </x:c>
      <x:c r="T27" s="14"/>
      <x:c r="U27" s="14"/>
      <x:c r="V27" s="14"/>
      <x:c r="W27" s="14"/>
      <x:c r="X27" s="14" t="str">
        <x:v>tel:08107770707</x:v>
      </x:c>
      <x:c r="Y27" s="14" t="str">
        <x:v>tel:08107770707</x:v>
      </x:c>
      <x:c r="Z27" s="14" t="str">
        <x:v>Confirmar decisor, frecuencia de movimientos, peso/dimensiones habituales y cómo resuelven hoy los traslados.</x:v>
      </x:c>
      <x:c r="AA27" s="14" t="str">
        <x:v>https://www.google.com/maps/search/?api=1&amp;query=Sullair+Argentina+Av.+Circunvalaci%C3%B3n+s%2FN%C2%B0+Colectora+Sur+entre+Camino+San+Carlos+y+Camino+San+Antonio%2C+C%C3%B3rdoba</x:v>
      </x:c>
      <x:c r="AB27" s="14" t="str">
        <x:v>Web oficial Sullair + Google Maps</x:v>
      </x:c>
      <x:c r="AC27" s="14" t="str">
        <x:v>https://www.sullairargentina.com/contacto/</x:v>
      </x:c>
      <x:c r="AD27" s="14" t="str">
        <x:v>Sucursal Córdoba de alquileres y ventas; flota de equipos pesados, movimiento de tierra, plataformas, manipuladores, grupos electrógenos y torres.</x:v>
      </x:c>
      <x:c r="AE27" s="14" t="str">
        <x:v>Alta</x:v>
      </x:c>
      <x:c r="AF27" s="14" t="str">
        <x:v>Rastrillaje profundo Córdoba Capital 2026-09-14</x:v>
      </x:c>
      <x:c r="AG27" s="14" t="str">
        <x:v>Plataforma 20 tn + malacate + coordinación de retiro/entrega + seguro/GPS.</x:v>
      </x:c>
      <x:c r="AH27" s="14" t="str">
        <x:v>alquiler maquinaria pesada / movimiento de suelo</x:v>
      </x:c>
      <x:c r="AI27" s="14" t="str">
        <x:v>Sí</x:v>
      </x:c>
      <x:c r="AJ27" s="14" t="str">
        <x:v>A+ — visita/llamada inmediata</x:v>
      </x:c>
      <x:c r="AK27" s="14" t="str">
        <x:v>Prospecto A+ paradigmático: el transporte es parte estructural de su negocio.</x:v>
      </x:c>
      <x:c r="AL27" s="14" t="str">
        <x:v>Web oficial Sullair + Google Maps</x:v>
      </x:c>
      <x:c r="AM27" s="14" t="str">
        <x:v>Alta nueva del barrido profundo; cruzada contra la base maestra y el primer barrido para evitar duplicados.</x:v>
      </x:c>
    </x:row>
    <x:row r="28" ht="44" customHeight="1">
      <x:c r="A28" s="14" t="str">
        <x:v>CBA-027</x:v>
      </x:c>
      <x:c r="B28" s="14" t="str">
        <x:v>Pendiente</x:v>
      </x:c>
      <x:c r="C28" s="14" t="str">
        <x:v>Córdoba Capital</x:v>
      </x:c>
      <x:c r="D28" s="14" t="str">
        <x:v>Av. de Circunvalación Agustín Tosco 1950, Córdoba</x:v>
      </x:c>
      <x:c r="E28" s="14" t="str">
        <x:v>Córdoba Capital</x:v>
      </x:c>
      <x:c r="F28" s="14" t="str">
        <x:v>A+</x:v>
      </x:c>
      <x:c r="G28" s="14" t="n">
        <x:v>100</x:v>
      </x:c>
      <x:c r="H28" s="14" t="str">
        <x:v>Finning Cat - Sucursal Córdoba y Cat Rental Store</x:v>
      </x:c>
      <x:c r="I28" s="14" t="str">
        <x:v>Venta, alquiler, repuestos y servicio de maquinaria Caterpillar para construcción y minería</x:v>
      </x:c>
      <x:c r="J28" s="14" t="str">
        <x:v>Alquiler / dealer maquinaria pesada</x:v>
      </x:c>
      <x:c r="K28" s="14" t="str">
        <x:v>+54 351 4101150</x:v>
      </x:c>
      <x:c r="L28" s="14" t="str">
        <x:v>OK</x:v>
      </x:c>
      <x:c r="M28" s="14" t="str">
        <x:v>Cat Rental Store / logística / usados / servicio</x:v>
      </x:c>
      <x:c r="N28" s="14" t="str">
        <x:v>Entrega y retiro de excavadoras, cargadores, retroexcavadoras, motoniveladoras, minicargadores y equipos Cat de alquiler/venta.</x:v>
      </x:c>
      <x:c r="O28" s="14" t="str">
        <x:v>Plataforma 20 tn + malacate + coordinación de traslado + seguro/GPS.</x:v>
      </x:c>
      <x:c r="P28" s="14" t="str">
        <x:v>Refuerzo de Cat Rental Store para movimientos urgentes, usados, equipos de servicio y traslados fuera de zona.</x:v>
      </x:c>
      <x:c r="Q28" s="14" t="str">
        <x:v>Contactar Cat Rental Store Córdoba y preguntar por transportistas tercerizados y picos de demanda.</x:v>
      </x:c>
      <x:c r="R28" s="14"/>
      <x:c r="S28" s="14" t="str">
        <x:v>Av. de Circunvalación Agustín Tosco 1950, Córdoba</x:v>
      </x:c>
      <x:c r="T28" s="14"/>
      <x:c r="U28" s="14"/>
      <x:c r="V28" s="14"/>
      <x:c r="W28" s="14"/>
      <x:c r="X28" s="14" t="str">
        <x:v>tel:+543514101150</x:v>
      </x:c>
      <x:c r="Y28" s="14" t="str">
        <x:v>tel:+543514101150</x:v>
      </x:c>
      <x:c r="Z28" s="14" t="str">
        <x:v>Confirmar decisor, frecuencia de movimientos, peso/dimensiones habituales y cómo resuelven hoy los traslados.</x:v>
      </x:c>
      <x:c r="AA28" s="14" t="str">
        <x:v>https://www.google.com/maps/search/?api=1&amp;query=Finning+Cat+-+Sucursal+C%C3%B3rdoba+y+Cat+Rental+Store+Av.+de+Circunvalaci%C3%B3n+Agust%C3%ADn+Tosco+1950%2C+C%C3%B3rdoba</x:v>
      </x:c>
      <x:c r="AB28" s="14" t="str">
        <x:v>Web oficial Finning + Google Maps</x:v>
      </x:c>
      <x:c r="AC28" s="14" t="str">
        <x:v>https://www.finning.com/es_AR/contact/all-branches.html/1000</x:v>
      </x:c>
      <x:c r="AD28" s="14" t="str">
        <x:v>Finning publica Sucursal Córdoba y Cat Rental Store; comercializa y alquila equipos Cat para construcción, minería e industria.</x:v>
      </x:c>
      <x:c r="AE28" s="14" t="str">
        <x:v>Alta</x:v>
      </x:c>
      <x:c r="AF28" s="14" t="str">
        <x:v>Rastrillaje profundo Córdoba Capital 2026-09-14</x:v>
      </x:c>
      <x:c r="AG28" s="14" t="str">
        <x:v>Plataforma 20 tn + malacate + coordinación de traslado + seguro/GPS.</x:v>
      </x:c>
      <x:c r="AH28" s="14" t="str">
        <x:v>Cat Rental / maquinaria pesada</x:v>
      </x:c>
      <x:c r="AI28" s="14" t="str">
        <x:v>Sí</x:v>
      </x:c>
      <x:c r="AJ28" s="14" t="str">
        <x:v>A+ — visita/llamada inmediata</x:v>
      </x:c>
      <x:c r="AK28" s="14" t="str">
        <x:v>A+ por volumen de equipos, rental y posventa.</x:v>
      </x:c>
      <x:c r="AL28" s="14" t="str">
        <x:v>Web oficial Finning + Google Maps</x:v>
      </x:c>
      <x:c r="AM28" s="14" t="str">
        <x:v>Alta nueva del barrido profundo; cruzada contra la base maestra y el primer barrido para evitar duplicados.</x:v>
      </x:c>
    </x:row>
    <x:row r="29" ht="44" customHeight="1">
      <x:c r="A29" s="14" t="str">
        <x:v>CBA-028</x:v>
      </x:c>
      <x:c r="B29" s="14" t="str">
        <x:v>Pendiente</x:v>
      </x:c>
      <x:c r="C29" s="14" t="str">
        <x:v>Córdoba Capital</x:v>
      </x:c>
      <x:c r="D29" s="14" t="str">
        <x:v>Gral. Manuel Savio 4960, Córdoba</x:v>
      </x:c>
      <x:c r="E29" s="14" t="str">
        <x:v>Córdoba Capital</x:v>
      </x:c>
      <x:c r="F29" s="14" t="str">
        <x:v>A+</x:v>
      </x:c>
      <x:c r="G29" s="14" t="n">
        <x:v>98</x:v>
      </x:c>
      <x:c r="H29" s="14" t="str">
        <x:v>Grupo Pomiglio / Hangcha</x:v>
      </x:c>
      <x:c r="I29" s="14" t="str">
        <x:v>Representante oficial Hangcha; venta, alquiler y servicio de autoelevadores, plataformas y manipuladores</x:v>
      </x:c>
      <x:c r="J29" s="14" t="str">
        <x:v>Autoelevadores y elevación</x:v>
      </x:c>
      <x:c r="K29" s="14" t="str">
        <x:v>+54 9 351 58551317</x:v>
      </x:c>
      <x:c r="L29" s="14" t="str">
        <x:v>OK</x:v>
      </x:c>
      <x:c r="M29" s="14" t="str">
        <x:v>alquileres / logística / servicio técnico</x:v>
      </x:c>
      <x:c r="N29" s="14" t="str">
        <x:v>Movimiento de autoelevadores, apiladores, plataformas, palas cargadoras y manipuladores entre showroom, taller y clientes.</x:v>
      </x:c>
      <x:c r="O29" s="14" t="str">
        <x:v>Plataforma + malacate + coordinación de entrega/retiro + seguro/GPS.</x:v>
      </x:c>
      <x:c r="P29" s="14" t="str">
        <x:v>Externalizar entregas y retiros de alquiler/venta, especialmente fuera de Córdoba o en picos de operación.</x:v>
      </x:c>
      <x:c r="Q29" s="14" t="str">
        <x:v>Pedir por alquileres y consultar frecuencia de altas/bajas de contratos y entregas mensuales.</x:v>
      </x:c>
      <x:c r="R29" s="14"/>
      <x:c r="S29" s="14" t="str">
        <x:v>Gral. Manuel Savio 4960, Córdoba</x:v>
      </x:c>
      <x:c r="T29" s="14"/>
      <x:c r="U29" s="14"/>
      <x:c r="V29" s="14"/>
      <x:c r="W29" s="14"/>
      <x:c r="X29" s="14" t="str">
        <x:v>tel:+54935158551317</x:v>
      </x:c>
      <x:c r="Y29" s="14" t="str">
        <x:v>tel:+54935158551317</x:v>
      </x:c>
      <x:c r="Z29" s="14" t="str">
        <x:v>Confirmar decisor, frecuencia de movimientos, peso/dimensiones habituales y cómo resuelven hoy los traslados.</x:v>
      </x:c>
      <x:c r="AA29" s="14" t="str">
        <x:v>https://www.google.com/maps/search/?api=1&amp;query=Grupo+Pomiglio+%2F+Hangcha+Gral.+Manuel+Savio+4960%2C+C%C3%B3rdoba</x:v>
      </x:c>
      <x:c r="AB29" s="14" t="str">
        <x:v>Web oficial Grupo Pomiglio</x:v>
      </x:c>
      <x:c r="AC29" s="14" t="str">
        <x:v>https://www.grupopomiglio.com/es/alquileres</x:v>
      </x:c>
      <x:c r="AD29" s="14" t="str">
        <x:v>Casa central en Córdoba; representante Hangcha con venta/alquiler de autoelevadores y equipos de manipulación.</x:v>
      </x:c>
      <x:c r="AE29" s="14" t="str">
        <x:v>Alta</x:v>
      </x:c>
      <x:c r="AF29" s="14" t="str">
        <x:v>Rastrillaje profundo Córdoba Capital 2026-09-14</x:v>
      </x:c>
      <x:c r="AG29" s="14" t="str">
        <x:v>Plataforma + malacate + coordinación de entrega/retiro + seguro/GPS.</x:v>
      </x:c>
      <x:c r="AH29" s="14" t="str">
        <x:v>autoelevadores / manipulación / alquiler</x:v>
      </x:c>
      <x:c r="AI29" s="14" t="str">
        <x:v>Sí</x:v>
      </x:c>
      <x:c r="AJ29" s="14" t="str">
        <x:v>A+ — visita/llamada inmediata</x:v>
      </x:c>
      <x:c r="AK29" s="14" t="str">
        <x:v>Muy buen encaje por alquiler y cobertura nacional.</x:v>
      </x:c>
      <x:c r="AL29" s="14" t="str">
        <x:v>Web oficial Grupo Pomiglio</x:v>
      </x:c>
      <x:c r="AM29" s="14" t="str">
        <x:v>Alta nueva del barrido profundo; cruzada contra la base maestra y el primer barrido para evitar duplicados.</x:v>
      </x:c>
    </x:row>
    <x:row r="30" ht="44" customHeight="1">
      <x:c r="A30" s="14" t="str">
        <x:v>CBA-029</x:v>
      </x:c>
      <x:c r="B30" s="14" t="str">
        <x:v>Pendiente</x:v>
      </x:c>
      <x:c r="C30" s="14" t="str">
        <x:v>Córdoba Capital</x:v>
      </x:c>
      <x:c r="D30" s="14" t="str">
        <x:v>Gabino Coria Peñaloza 3015, Córdoba</x:v>
      </x:c>
      <x:c r="E30" s="14" t="str">
        <x:v>Córdoba Capital</x:v>
      </x:c>
      <x:c r="F30" s="14" t="str">
        <x:v>A+</x:v>
      </x:c>
      <x:c r="G30" s="14" t="n">
        <x:v>96</x:v>
      </x:c>
      <x:c r="H30" s="14" t="str">
        <x:v>Maquinarias Centro</x:v>
      </x:c>
      <x:c r="I30" s="14" t="str">
        <x:v>Alquiler de autoelevadores y plataformas; servicio técnico y repuestos</x:v>
      </x:c>
      <x:c r="J30" s="14" t="str">
        <x:v>Autoelevadores y elevación</x:v>
      </x:c>
      <x:c r="K30" s="14" t="str">
        <x:v>+54 9 351 2289661</x:v>
      </x:c>
      <x:c r="L30" s="14" t="str">
        <x:v>OK</x:v>
      </x:c>
      <x:c r="M30" s="14" t="str">
        <x:v>alquileres / logística / servicio técnico</x:v>
      </x:c>
      <x:c r="N30" s="14" t="str">
        <x:v>Traslado de autoelevadores de 2,5 a 5 t y plataformas de elevación entre depósito, clientes y taller.</x:v>
      </x:c>
      <x:c r="O30" s="14" t="str">
        <x:v>Plataforma + malacate + entregas/retiros programados + seguro.</x:v>
      </x:c>
      <x:c r="P30" s="14" t="str">
        <x:v>Absorber entregas/retiros cuando su traslado propio esté ocupado o para viajes al interior.</x:v>
      </x:c>
      <x:c r="Q30" s="14" t="str">
        <x:v>Llamar a alquileres y relevar cantidad de movimientos mensuales y radio actual.</x:v>
      </x:c>
      <x:c r="R30" s="14"/>
      <x:c r="S30" s="14" t="str">
        <x:v>Gabino Coria Peñaloza 3015, Córdoba</x:v>
      </x:c>
      <x:c r="T30" s="14"/>
      <x:c r="U30" s="14"/>
      <x:c r="V30" s="14"/>
      <x:c r="W30" s="14"/>
      <x:c r="X30" s="14" t="str">
        <x:v>tel:+5493512289661</x:v>
      </x:c>
      <x:c r="Y30" s="14" t="str">
        <x:v>tel:+5493512289661</x:v>
      </x:c>
      <x:c r="Z30" s="14" t="str">
        <x:v>Confirmar decisor, frecuencia de movimientos, peso/dimensiones habituales y cómo resuelven hoy los traslados.</x:v>
      </x:c>
      <x:c r="AA30" s="14" t="str">
        <x:v>https://www.google.com/maps/search/?api=1&amp;query=Maquinarias+Centro+Gabino+Coria+Pe%C3%B1aloza+3015%2C+C%C3%B3rdoba</x:v>
      </x:c>
      <x:c r="AB30" s="14" t="str">
        <x:v>Web oficial Maquinarias Centro</x:v>
      </x:c>
      <x:c r="AC30" s="14" t="str">
        <x:v>https://maquinariascentro.com.ar/</x:v>
      </x:c>
      <x:c r="AD30" s="14" t="str">
        <x:v>Sitio declara alquiler de autoelevadores/plataformas en Córdoba Capital y traslado propio.</x:v>
      </x:c>
      <x:c r="AE30" s="14" t="str">
        <x:v>Alta</x:v>
      </x:c>
      <x:c r="AF30" s="14" t="str">
        <x:v>Rastrillaje profundo Córdoba Capital 2026-09-14</x:v>
      </x:c>
      <x:c r="AG30" s="14" t="str">
        <x:v>Plataforma + malacate + entregas/retiros programados + seguro.</x:v>
      </x:c>
      <x:c r="AH30" s="14" t="str">
        <x:v>autoelevadores / plataformas</x:v>
      </x:c>
      <x:c r="AI30" s="14" t="str">
        <x:v>Sí</x:v>
      </x:c>
      <x:c r="AJ30" s="14" t="str">
        <x:v>A+ — visita/llamada inmediata</x:v>
      </x:c>
      <x:c r="AK30" s="14" t="str">
        <x:v>Aunque declara traslado propio, es candidato a capacidad overflow/subcontratada.</x:v>
      </x:c>
      <x:c r="AL30" s="14" t="str">
        <x:v>Web oficial Maquinarias Centro</x:v>
      </x:c>
      <x:c r="AM30" s="14" t="str">
        <x:v>Alta nueva del barrido profundo; cruzada contra la base maestra y el primer barrido para evitar duplicados.</x:v>
      </x:c>
    </x:row>
    <x:row r="31" ht="44" customHeight="1">
      <x:c r="A31" s="14" t="str">
        <x:v>CBA-030</x:v>
      </x:c>
      <x:c r="B31" s="14" t="str">
        <x:v>Pendiente</x:v>
      </x:c>
      <x:c r="C31" s="14" t="str">
        <x:v>Córdoba Capital</x:v>
      </x:c>
      <x:c r="D31" s="14" t="str">
        <x:v>Córdoba Capital, Córdoba</x:v>
      </x:c>
      <x:c r="E31" s="14" t="str">
        <x:v>Córdoba Capital</x:v>
      </x:c>
      <x:c r="F31" s="14" t="str">
        <x:v>A+</x:v>
      </x:c>
      <x:c r="G31" s="14" t="n">
        <x:v>96</x:v>
      </x:c>
      <x:c r="H31" s="14" t="str">
        <x:v>Zamping SRL</x:v>
      </x:c>
      <x:c r="I31" s="14" t="str">
        <x:v>Venta y alquiler de autoelevadores, plataformas de tijera y camiones hidroelevadores</x:v>
      </x:c>
      <x:c r="J31" s="14" t="str">
        <x:v>Autoelevadores y elevación</x:v>
      </x:c>
      <x:c r="K31" s="14" t="str">
        <x:v>+54 9 351 6001761</x:v>
      </x:c>
      <x:c r="L31" s="14" t="str">
        <x:v>OK</x:v>
      </x:c>
      <x:c r="M31" s="14" t="str">
        <x:v>alquileres / logística / taller</x:v>
      </x:c>
      <x:c r="N31" s="14" t="str">
        <x:v>Entregas y retiros de autoelevadores, plataformas y equipos de elevación por hora, día, semana o mes.</x:v>
      </x:c>
      <x:c r="O31" s="14" t="str">
        <x:v>Plataforma + malacate + servicio de entrega/retiro + seguro/GPS.</x:v>
      </x:c>
      <x:c r="P31" s="14" t="str">
        <x:v>Complementar su traslado propio ante simultaneidad de entregas y alquileres fuera de zona.</x:v>
      </x:c>
      <x:c r="Q31" s="14" t="str">
        <x:v>Contactar alquileres; preguntar cuántos equipos rotan por semana y si tercerizan picos.</x:v>
      </x:c>
      <x:c r="R31" s="14"/>
      <x:c r="S31" s="14" t="str">
        <x:v>Córdoba Capital, Córdoba</x:v>
      </x:c>
      <x:c r="T31" s="14"/>
      <x:c r="U31" s="14"/>
      <x:c r="V31" s="14"/>
      <x:c r="W31" s="14"/>
      <x:c r="X31" s="14" t="str">
        <x:v>tel:+5493516001761</x:v>
      </x:c>
      <x:c r="Y31" s="14" t="str">
        <x:v>tel:+5493516001761</x:v>
      </x:c>
      <x:c r="Z31" s="14" t="str">
        <x:v>Confirmar decisor, frecuencia de movimientos, peso/dimensiones habituales y cómo resuelven hoy los traslados.</x:v>
      </x:c>
      <x:c r="AA31" s="14" t="str">
        <x:v>https://www.google.com/maps/search/?api=1&amp;query=Zamping+SRL+C%C3%B3rdoba+Capital%2C+C%C3%B3rdoba</x:v>
      </x:c>
      <x:c r="AB31" s="14" t="str">
        <x:v>Web oficial Zamping</x:v>
      </x:c>
      <x:c r="AC31" s="14" t="str">
        <x:v>https://www.zampingsrl.com/</x:v>
      </x:c>
      <x:c r="AD31" s="14" t="str">
        <x:v>Empresa cordobesa de alquiler/venta de autoelevadores y plataformas; declara traslado propio y alquileres de corta y larga duración.</x:v>
      </x:c>
      <x:c r="AE31" s="14" t="str">
        <x:v>Alta</x:v>
      </x:c>
      <x:c r="AF31" s="14" t="str">
        <x:v>Rastrillaje profundo Córdoba Capital 2026-09-14</x:v>
      </x:c>
      <x:c r="AG31" s="14" t="str">
        <x:v>Plataforma + malacate + servicio de entrega/retiro + seguro/GPS.</x:v>
      </x:c>
      <x:c r="AH31" s="14" t="str">
        <x:v>autoelevadores / plataformas</x:v>
      </x:c>
      <x:c r="AI31" s="14" t="str">
        <x:v>Sí</x:v>
      </x:c>
      <x:c r="AJ31" s="14" t="str">
        <x:v>A+ — visita/llamada inmediata</x:v>
      </x:c>
      <x:c r="AK31" s="14" t="str">
        <x:v>Necesidad recurrente por rotación de alquileres.</x:v>
      </x:c>
      <x:c r="AL31" s="14" t="str">
        <x:v>Web oficial Zamping</x:v>
      </x:c>
      <x:c r="AM31" s="14" t="str">
        <x:v>Alta nueva del barrido profundo; cruzada contra la base maestra y el primer barrido para evitar duplicados.</x:v>
      </x:c>
    </x:row>
    <x:row r="32" ht="44" customHeight="1">
      <x:c r="A32" s="14" t="str">
        <x:v>CBA-031</x:v>
      </x:c>
      <x:c r="B32" s="14" t="str">
        <x:v>Pendiente</x:v>
      </x:c>
      <x:c r="C32" s="14" t="str">
        <x:v>Córdoba Capital</x:v>
      </x:c>
      <x:c r="D32" s="14" t="str">
        <x:v>X5101 Córdoba, Argentina</x:v>
      </x:c>
      <x:c r="E32" s="14" t="str">
        <x:v>Córdoba Capital</x:v>
      </x:c>
      <x:c r="F32" s="14" t="str">
        <x:v>A+</x:v>
      </x:c>
      <x:c r="G32" s="14" t="n">
        <x:v>95</x:v>
      </x:c>
      <x:c r="H32" s="14" t="str">
        <x:v>Norte - Alquiler de Autoelevadores y Plataformas Elevadoras</x:v>
      </x:c>
      <x:c r="I32" s="14" t="str">
        <x:v>Alquiler de autoelevadores y plataformas elevadoras</x:v>
      </x:c>
      <x:c r="J32" s="14" t="str">
        <x:v>Autoelevadores y elevación</x:v>
      </x:c>
      <x:c r="K32" s="14" t="str">
        <x:v>+54 351 7404333</x:v>
      </x:c>
      <x:c r="L32" s="14" t="str">
        <x:v>OK</x:v>
      </x:c>
      <x:c r="M32" s="14" t="str">
        <x:v>alquileres / operaciones</x:v>
      </x:c>
      <x:c r="N32" s="14" t="str">
        <x:v>Entrega y retiro de autoelevadores y plataformas entre base y clientes industriales.</x:v>
      </x:c>
      <x:c r="O32" s="14" t="str">
        <x:v>Plataforma + malacate + entregas/retiros.</x:v>
      </x:c>
      <x:c r="P32" s="14" t="str">
        <x:v>Ofrecer disponibilidad inmediata para movimientos simultáneos o fuera del radio habitual.</x:v>
      </x:c>
      <x:c r="Q32" s="14" t="str">
        <x:v>Validar decisor y flota; consultar frecuencia de entregas/retiros.</x:v>
      </x:c>
      <x:c r="R32" s="14"/>
      <x:c r="S32" s="14" t="str">
        <x:v>X5101 Córdoba, Argentina</x:v>
      </x:c>
      <x:c r="T32" s="14"/>
      <x:c r="U32" s="14"/>
      <x:c r="V32" s="14"/>
      <x:c r="W32" s="14"/>
      <x:c r="X32" s="14" t="str">
        <x:v>tel:+543517404333</x:v>
      </x:c>
      <x:c r="Y32" s="14" t="str">
        <x:v>tel:+543517404333</x:v>
      </x:c>
      <x:c r="Z32" s="14" t="str">
        <x:v>Confirmar decisor, frecuencia de movimientos, peso/dimensiones habituales y cómo resuelven hoy los traslados.</x:v>
      </x:c>
      <x:c r="AA32" s="14" t="str">
        <x:v>https://www.google.com/maps/search/?api=1&amp;query=Norte+-+Alquiler+de+Autoelevadores+y+Plataformas+Elevadoras+X5101+C%C3%B3rdoba%2C+Argentina</x:v>
      </x:c>
      <x:c r="AB32" s="14" t="str">
        <x:v>Google Maps / ficha comercial</x:v>
      </x:c>
      <x:c r="AC32" s="14" t="str">
        <x:v>https://www.google.com/maps/search/?api=1&amp;query=Norte+Alquiler+de+Autoelevadores+y+Plataformas+Elevadoras+C%C3%B3rdoba</x:v>
      </x:c>
      <x:c r="AD32" s="14" t="str">
        <x:v>Ficha comercial identifica servicio de alquiler de montacargas en Córdoba y operación 24 h.</x:v>
      </x:c>
      <x:c r="AE32" s="14" t="str">
        <x:v>Media-Alta</x:v>
      </x:c>
      <x:c r="AF32" s="14" t="str">
        <x:v>Rastrillaje profundo Córdoba Capital 2026-09-14</x:v>
      </x:c>
      <x:c r="AG32" s="14" t="str">
        <x:v>Plataforma + malacate + entregas/retiros.</x:v>
      </x:c>
      <x:c r="AH32" s="14" t="str">
        <x:v>autoelevadores / plataformas</x:v>
      </x:c>
      <x:c r="AI32" s="14" t="str">
        <x:v>Sí</x:v>
      </x:c>
      <x:c r="AJ32" s="14" t="str">
        <x:v>A+ — visita/llamada inmediata</x:v>
      </x:c>
      <x:c r="AK32" s="14" t="str">
        <x:v>Alta necesidad logística inherente al alquiler.</x:v>
      </x:c>
      <x:c r="AL32" s="14" t="str">
        <x:v>Google Maps / ficha comercial</x:v>
      </x:c>
      <x:c r="AM32" s="14" t="str">
        <x:v>Alta nueva del barrido profundo; cruzada contra la base maestra y el primer barrido para evitar duplicados.</x:v>
      </x:c>
    </x:row>
    <x:row r="33" ht="44" customHeight="1">
      <x:c r="A33" s="14" t="str">
        <x:v>CBA-032</x:v>
      </x:c>
      <x:c r="B33" s="14" t="str">
        <x:v>Pendiente</x:v>
      </x:c>
      <x:c r="C33" s="14" t="str">
        <x:v>Córdoba Capital</x:v>
      </x:c>
      <x:c r="D33" s="14" t="str">
        <x:v>Bartolomé Hidalgo 590, X5019 Córdoba</x:v>
      </x:c>
      <x:c r="E33" s="14" t="str">
        <x:v>Córdoba Capital</x:v>
      </x:c>
      <x:c r="F33" s="14" t="str">
        <x:v>A+</x:v>
      </x:c>
      <x:c r="G33" s="14" t="n">
        <x:v>95</x:v>
      </x:c>
      <x:c r="H33" s="14" t="str">
        <x:v>Maquinaria Lista / Alquiler Plataformas Elevadoras</x:v>
      </x:c>
      <x:c r="I33" s="14" t="str">
        <x:v>Alquiler de maquinaria y equipos industriales / plataformas elevadoras</x:v>
      </x:c>
      <x:c r="J33" s="14" t="str">
        <x:v>Autoelevadores y elevación</x:v>
      </x:c>
      <x:c r="K33" s="14" t="str">
        <x:v>+54 351 8123145</x:v>
      </x:c>
      <x:c r="L33" s="14" t="str">
        <x:v>OK</x:v>
      </x:c>
      <x:c r="M33" s="14" t="str">
        <x:v>alquileres / logística</x:v>
      </x:c>
      <x:c r="N33" s="14" t="str">
        <x:v>Movimientos periódicos de plataformas y equipos industriales a obra/planta.</x:v>
      </x:c>
      <x:c r="O33" s="14" t="str">
        <x:v>Plataforma + malacate + entrega/retiro programado.</x:v>
      </x:c>
      <x:c r="P33" s="14" t="str">
        <x:v>Asegurar ventanas de entrega rápidas y cobertura de picos.</x:v>
      </x:c>
      <x:c r="Q33" s="14" t="str">
        <x:v>Llamar y relevar modelos/pesos de equipos y radio de servicio.</x:v>
      </x:c>
      <x:c r="R33" s="14"/>
      <x:c r="S33" s="14" t="str">
        <x:v>Bartolomé Hidalgo 590, X5019 Córdoba</x:v>
      </x:c>
      <x:c r="T33" s="14"/>
      <x:c r="U33" s="14"/>
      <x:c r="V33" s="14"/>
      <x:c r="W33" s="14"/>
      <x:c r="X33" s="14" t="str">
        <x:v>tel:+543518123145</x:v>
      </x:c>
      <x:c r="Y33" s="14" t="str">
        <x:v>tel:+543518123145</x:v>
      </x:c>
      <x:c r="Z33" s="14" t="str">
        <x:v>Confirmar decisor, frecuencia de movimientos, peso/dimensiones habituales y cómo resuelven hoy los traslados.</x:v>
      </x:c>
      <x:c r="AA33" s="14" t="str">
        <x:v>https://www.google.com/maps/search/?api=1&amp;query=Maquinaria+Lista+%2F+Alquiler+Plataformas+Elevadoras+Bartolom%C3%A9+Hidalgo+590%2C+X5019+C%C3%B3rdoba</x:v>
      </x:c>
      <x:c r="AB33" s="14" t="str">
        <x:v>Google Maps / ficha comercial</x:v>
      </x:c>
      <x:c r="AC33" s="14" t="str">
        <x:v>https://www.google.com/maps/search/?api=1&amp;query=Maquinaria+Lista+Alquiler+Plataformas+Elevadoras+Bartolom%C3%A9+Hidalgo+590+C%C3%B3rdoba</x:v>
      </x:c>
      <x:c r="AD33" s="14" t="str">
        <x:v>Ficha comercial: alquiler de maquinaria y equipos industriales en Córdoba Capital.</x:v>
      </x:c>
      <x:c r="AE33" s="14" t="str">
        <x:v>Media-Alta</x:v>
      </x:c>
      <x:c r="AF33" s="14" t="str">
        <x:v>Rastrillaje profundo Córdoba Capital 2026-09-14</x:v>
      </x:c>
      <x:c r="AG33" s="14" t="str">
        <x:v>Plataforma + malacate + entrega/retiro programado.</x:v>
      </x:c>
      <x:c r="AH33" s="14" t="str">
        <x:v>plataformas / equipos industriales</x:v>
      </x:c>
      <x:c r="AI33" s="14" t="str">
        <x:v>Sí</x:v>
      </x:c>
      <x:c r="AJ33" s="14" t="str">
        <x:v>A+ — visita/llamada inmediata</x:v>
      </x:c>
      <x:c r="AK33" s="14" t="str">
        <x:v>Prospecto directamente alineado con traslado de equipos.</x:v>
      </x:c>
      <x:c r="AL33" s="14" t="str">
        <x:v>Google Maps / ficha comercial</x:v>
      </x:c>
      <x:c r="AM33" s="14" t="str">
        <x:v>Alta nueva del barrido profundo; cruzada contra la base maestra y el primer barrido para evitar duplicados.</x:v>
      </x:c>
    </x:row>
    <x:row r="34" ht="44" customHeight="1">
      <x:c r="A34" s="14" t="str">
        <x:v>CBA-033</x:v>
      </x:c>
      <x:c r="B34" s="14" t="str">
        <x:v>Pendiente</x:v>
      </x:c>
      <x:c r="C34" s="14" t="str">
        <x:v>Córdoba Capital</x:v>
      </x:c>
      <x:c r="D34" s="14" t="str">
        <x:v>Las Toscas 1224, Villa Esquiú, Córdoba</x:v>
      </x:c>
      <x:c r="E34" s="14" t="str">
        <x:v>Córdoba Capital</x:v>
      </x:c>
      <x:c r="F34" s="14" t="str">
        <x:v>A+</x:v>
      </x:c>
      <x:c r="G34" s="14" t="n">
        <x:v>96</x:v>
      </x:c>
      <x:c r="H34" s="14" t="str">
        <x:v>Pro Fast SRL</x:v>
      </x:c>
      <x:c r="I34" s="14" t="str">
        <x:v>Alquiler y venta de plataformas elevadoras Haulotte y JLG</x:v>
      </x:c>
      <x:c r="J34" s="14" t="str">
        <x:v>Autoelevadores y elevación</x:v>
      </x:c>
      <x:c r="K34" s="14" t="str">
        <x:v>+54 9 351 7444888 / +54 351 3190664</x:v>
      </x:c>
      <x:c r="L34" s="14" t="str">
        <x:v>OK</x:v>
      </x:c>
      <x:c r="M34" s="14" t="str">
        <x:v>alquileres / logística / operaciones</x:v>
      </x:c>
      <x:c r="N34" s="14" t="str">
        <x:v>Entrega y retiro de plataformas tijera y brazos articulados de hasta 20,6 m de altura de trabajo.</x:v>
      </x:c>
      <x:c r="O34" s="14" t="str">
        <x:v>Plataforma + malacate + seguro/GPS + entrega/retiro en obra.</x:v>
      </x:c>
      <x:c r="P34" s="14" t="str">
        <x:v>Acompañar crecimiento y picos de alquiler con capacidad adicional de transporte.</x:v>
      </x:c>
      <x:c r="Q34" s="14" t="str">
        <x:v>Contactar alquileres; consultar quién moviliza hoy la flota y qué equipos exigen transporte especial.</x:v>
      </x:c>
      <x:c r="R34" s="14"/>
      <x:c r="S34" s="14" t="str">
        <x:v>Las Toscas 1224, Villa Esquiú, Córdoba</x:v>
      </x:c>
      <x:c r="T34" s="14"/>
      <x:c r="U34" s="14"/>
      <x:c r="V34" s="14"/>
      <x:c r="W34" s="14"/>
      <x:c r="X34" s="14" t="str">
        <x:v>tel:+5493517444888</x:v>
      </x:c>
      <x:c r="Y34" s="14" t="str">
        <x:v>tel:+5493517444888</x:v>
      </x:c>
      <x:c r="Z34" s="14" t="str">
        <x:v>Confirmar decisor, frecuencia de movimientos, peso/dimensiones habituales y cómo resuelven hoy los traslados.</x:v>
      </x:c>
      <x:c r="AA34" s="14" t="str">
        <x:v>https://www.google.com/maps/search/?api=1&amp;query=Pro+Fast+SRL+Las+Toscas+1224%2C+Villa+Esqui%C3%BA%2C+C%C3%B3rdoba</x:v>
      </x:c>
      <x:c r="AB34" s="14" t="str">
        <x:v>Web oficial Pro Fast</x:v>
      </x:c>
      <x:c r="AC34" s="14" t="str">
        <x:v>https://profastsrl.com.ar/</x:v>
      </x:c>
      <x:c r="AD34" s="14" t="str">
        <x:v>Alquila y vende plataformas en Córdoba Capital e interior; flota de equipos Haulotte y JLG.</x:v>
      </x:c>
      <x:c r="AE34" s="14" t="str">
        <x:v>Alta</x:v>
      </x:c>
      <x:c r="AF34" s="14" t="str">
        <x:v>Rastrillaje profundo Córdoba Capital 2026-09-14</x:v>
      </x:c>
      <x:c r="AG34" s="14" t="str">
        <x:v>Plataforma + malacate + seguro/GPS + entrega/retiro en obra.</x:v>
      </x:c>
      <x:c r="AH34" s="14" t="str">
        <x:v>plataformas elevadoras</x:v>
      </x:c>
      <x:c r="AI34" s="14" t="str">
        <x:v>Sí</x:v>
      </x:c>
      <x:c r="AJ34" s="14" t="str">
        <x:v>A+ — visita/llamada inmediata</x:v>
      </x:c>
      <x:c r="AK34" s="14" t="str">
        <x:v>A+ por rotación de alquiler y equipos de porte.</x:v>
      </x:c>
      <x:c r="AL34" s="14" t="str">
        <x:v>Web oficial Pro Fast</x:v>
      </x:c>
      <x:c r="AM34" s="14" t="str">
        <x:v>Alta nueva del barrido profundo; cruzada contra la base maestra y el primer barrido para evitar duplicados.</x:v>
      </x:c>
    </x:row>
    <x:row r="35" ht="44" customHeight="1">
      <x:c r="A35" s="14" t="str">
        <x:v>CBA-034</x:v>
      </x:c>
      <x:c r="B35" s="14" t="str">
        <x:v>Pendiente</x:v>
      </x:c>
      <x:c r="C35" s="14" t="str">
        <x:v>Córdoba Capital</x:v>
      </x:c>
      <x:c r="D35" s="14" t="str">
        <x:v>Dr. Pedro Chutro 1335, Córdoba</x:v>
      </x:c>
      <x:c r="E35" s="14" t="str">
        <x:v>Córdoba Capital</x:v>
      </x:c>
      <x:c r="F35" s="14" t="str">
        <x:v>A+</x:v>
      </x:c>
      <x:c r="G35" s="14" t="n">
        <x:v>96</x:v>
      </x:c>
      <x:c r="H35" s="14" t="str">
        <x:v>Mancor</x:v>
      </x:c>
      <x:c r="I35" s="14" t="str">
        <x:v>Construcción, obras y alquiler de maquinaria vial con flota propia</x:v>
      </x:c>
      <x:c r="J35" s="14" t="str">
        <x:v>Construcción vial / movimiento de suelo</x:v>
      </x:c>
      <x:c r="K35" s="14" t="str">
        <x:v>+54 351 4896191 / +54 9 351 3837592</x:v>
      </x:c>
      <x:c r="L35" s="14" t="str">
        <x:v>OK</x:v>
      </x:c>
      <x:c r="M35" s="14" t="str">
        <x:v>alquiler maquinaria / operaciones / jefe de obra</x:v>
      </x:c>
      <x:c r="N35" s="14" t="str">
        <x:v>Movilización de retroexcavadoras, motoniveladoras, rodillos y otros equipos entre obras y clientes de alquiler.</x:v>
      </x:c>
      <x:c r="O35" s="14" t="str">
        <x:v>Plataforma 20 tn + malacate + traslados interobra + seguro/GPS.</x:v>
      </x:c>
      <x:c r="P35" s="14" t="str">
        <x:v>Reducir tiempos muertos de flota propia cuando hay varias obras o alquileres simultáneos.</x:v>
      </x:c>
      <x:c r="Q35" s="14" t="str">
        <x:v>Pedir por alquiler de maquinaria vial y detectar próximo traslado concreto.</x:v>
      </x:c>
      <x:c r="R35" s="14"/>
      <x:c r="S35" s="14" t="str">
        <x:v>Dr. Pedro Chutro 1335, Córdoba</x:v>
      </x:c>
      <x:c r="T35" s="14"/>
      <x:c r="U35" s="14"/>
      <x:c r="V35" s="14"/>
      <x:c r="W35" s="14"/>
      <x:c r="X35" s="14" t="str">
        <x:v>tel:+543514896191</x:v>
      </x:c>
      <x:c r="Y35" s="14" t="str">
        <x:v>tel:+543514896191</x:v>
      </x:c>
      <x:c r="Z35" s="14" t="str">
        <x:v>Confirmar decisor, frecuencia de movimientos, peso/dimensiones habituales y cómo resuelven hoy los traslados.</x:v>
      </x:c>
      <x:c r="AA35" s="14" t="str">
        <x:v>https://www.google.com/maps/search/?api=1&amp;query=Mancor+Dr.+Pedro+Chutro+1335%2C+C%C3%B3rdoba</x:v>
      </x:c>
      <x:c r="AB35" s="14" t="str">
        <x:v>Web oficial Mancor</x:v>
      </x:c>
      <x:c r="AC35" s="14" t="str">
        <x:v>https://www.mancor.com.ar/contacto/</x:v>
      </x:c>
      <x:c r="AD35" s="14" t="str">
        <x:v>Empresa de Córdoba dedicada a obras, movimiento de suelos y alquiler de maquinaria vial.</x:v>
      </x:c>
      <x:c r="AE35" s="14" t="str">
        <x:v>Alta</x:v>
      </x:c>
      <x:c r="AF35" s="14" t="str">
        <x:v>Rastrillaje profundo Córdoba Capital 2026-09-14</x:v>
      </x:c>
      <x:c r="AG35" s="14" t="str">
        <x:v>Plataforma 20 tn + malacate + traslados interobra + seguro/GPS.</x:v>
      </x:c>
      <x:c r="AH35" s="14" t="str">
        <x:v>maquinaria vial / movimiento de suelo</x:v>
      </x:c>
      <x:c r="AI35" s="14" t="str">
        <x:v>Sí</x:v>
      </x:c>
      <x:c r="AJ35" s="14" t="str">
        <x:v>A+ — visita/llamada inmediata</x:v>
      </x:c>
      <x:c r="AK35" s="14" t="str">
        <x:v>A+ por alquiler a terceros y múltiples frentes de obra.</x:v>
      </x:c>
      <x:c r="AL35" s="14" t="str">
        <x:v>Web oficial Mancor</x:v>
      </x:c>
      <x:c r="AM35" s="14" t="str">
        <x:v>Alta nueva del barrido profundo; cruzada contra la base maestra y el primer barrido para evitar duplicados.</x:v>
      </x:c>
    </x:row>
    <x:row r="36" ht="44" customHeight="1">
      <x:c r="A36" s="14" t="str">
        <x:v>CBA-035</x:v>
      </x:c>
      <x:c r="B36" s="14" t="str">
        <x:v>Pendiente</x:v>
      </x:c>
      <x:c r="C36" s="14" t="str">
        <x:v>Córdoba Capital</x:v>
      </x:c>
      <x:c r="D36" s="14" t="str">
        <x:v>José Font 4450, Córdoba</x:v>
      </x:c>
      <x:c r="E36" s="14" t="str">
        <x:v>Córdoba Capital</x:v>
      </x:c>
      <x:c r="F36" s="14" t="str">
        <x:v>A+</x:v>
      </x:c>
      <x:c r="G36" s="14" t="n">
        <x:v>98</x:v>
      </x:c>
      <x:c r="H36" s="14" t="str">
        <x:v>Maquinarias Córdoba S.A. / Demoliciones Córdoba</x:v>
      </x:c>
      <x:c r="I36" s="14" t="str">
        <x:v>Alquiler de maquinaria pesada, demoliciones, movimiento de suelos y retiro de materiales</x:v>
      </x:c>
      <x:c r="J36" s="14" t="str">
        <x:v>Construcción vial / movimiento de suelo</x:v>
      </x:c>
      <x:c r="K36" s="14" t="str">
        <x:v>+54 351 5517574</x:v>
      </x:c>
      <x:c r="L36" s="14" t="str">
        <x:v>OK</x:v>
      </x:c>
      <x:c r="M36" s="14" t="str">
        <x:v>operaciones / alquileres / logística</x:v>
      </x:c>
      <x:c r="N36" s="14" t="str">
        <x:v>Traslado de maquinaria pesada propia a obras, demoliciones y servicios de movimiento de suelo.</x:v>
      </x:c>
      <x:c r="O36" s="14" t="str">
        <x:v>Plataforma 20 tn + malacate + traslados de obra + seguro/GPS.</x:v>
      </x:c>
      <x:c r="P36" s="14" t="str">
        <x:v>Ofrecer capacidad adicional cuando coinciden obras/demoliciones y su flota propia queda comprometida.</x:v>
      </x:c>
      <x:c r="Q36" s="14" t="str">
        <x:v>Contactar gerencia operativa y preguntar por tercerización de movilizaciones.</x:v>
      </x:c>
      <x:c r="R36" s="14"/>
      <x:c r="S36" s="14" t="str">
        <x:v>José Font 4450, Córdoba</x:v>
      </x:c>
      <x:c r="T36" s="14"/>
      <x:c r="U36" s="14"/>
      <x:c r="V36" s="14"/>
      <x:c r="W36" s="14"/>
      <x:c r="X36" s="14" t="str">
        <x:v>tel:+543515517574</x:v>
      </x:c>
      <x:c r="Y36" s="14" t="str">
        <x:v>tel:+543515517574</x:v>
      </x:c>
      <x:c r="Z36" s="14" t="str">
        <x:v>Confirmar decisor, frecuencia de movimientos, peso/dimensiones habituales y cómo resuelven hoy los traslados.</x:v>
      </x:c>
      <x:c r="AA36" s="14" t="str">
        <x:v>https://www.google.com/maps/search/?api=1&amp;query=Maquinarias+C%C3%B3rdoba+S.A.+%2F+Demoliciones+C%C3%B3rdoba+Jos%C3%A9+Font+4450%2C+C%C3%B3rdoba</x:v>
      </x:c>
      <x:c r="AB36" s="14" t="str">
        <x:v>Web oficial Demoliciones Córdoba / Maquinarias Córdoba</x:v>
      </x:c>
      <x:c r="AC36" s="14" t="str">
        <x:v>https://www.demolicionescordoba.com.ar/</x:v>
      </x:c>
      <x:c r="AD36" s="14" t="str">
        <x:v>Unidad especializada de Maquinarias Córdoba; declara alquiler de maquinaria pesada y maquinaria/camiones propios.</x:v>
      </x:c>
      <x:c r="AE36" s="14" t="str">
        <x:v>Alta</x:v>
      </x:c>
      <x:c r="AF36" s="14" t="str">
        <x:v>Rastrillaje profundo Córdoba Capital 2026-09-14</x:v>
      </x:c>
      <x:c r="AG36" s="14" t="str">
        <x:v>Plataforma 20 tn + malacate + traslados de obra + seguro/GPS.</x:v>
      </x:c>
      <x:c r="AH36" s="14" t="str">
        <x:v>demoliciones / alquiler maquinaria pesada</x:v>
      </x:c>
      <x:c r="AI36" s="14" t="str">
        <x:v>Sí</x:v>
      </x:c>
      <x:c r="AJ36" s="14" t="str">
        <x:v>A+ — visita/llamada inmediata</x:v>
      </x:c>
      <x:c r="AK36" s="14" t="str">
        <x:v>Necesidad estructural de movilizar equipos pesados.</x:v>
      </x:c>
      <x:c r="AL36" s="14" t="str">
        <x:v>Web oficial Demoliciones Córdoba / Maquinarias Córdoba</x:v>
      </x:c>
      <x:c r="AM36" s="14" t="str">
        <x:v>Alta nueva del barrido profundo; cruzada contra la base maestra y el primer barrido para evitar duplicados.</x:v>
      </x:c>
    </x:row>
    <x:row r="37" ht="44" customHeight="1">
      <x:c r="A37" s="14" t="str">
        <x:v>CBA-036</x:v>
      </x:c>
      <x:c r="B37" s="14" t="str">
        <x:v>Pendiente</x:v>
      </x:c>
      <x:c r="C37" s="14" t="str">
        <x:v>Córdoba Capital</x:v>
      </x:c>
      <x:c r="D37" s="14" t="str">
        <x:v>José Barros Pazos 3300, X5009 Córdoba</x:v>
      </x:c>
      <x:c r="E37" s="14" t="str">
        <x:v>Córdoba Capital</x:v>
      </x:c>
      <x:c r="F37" s="14" t="str">
        <x:v>A</x:v>
      </x:c>
      <x:c r="G37" s="14" t="n">
        <x:v>94</x:v>
      </x:c>
      <x:c r="H37" s="14" t="str">
        <x:v>Dromos S.A. | Movimiento de Suelos</x:v>
      </x:c>
      <x:c r="I37" s="14" t="str">
        <x:v>Movimiento de suelos y construcción</x:v>
      </x:c>
      <x:c r="J37" s="14" t="str">
        <x:v>Construcción vial / movimiento de suelo</x:v>
      </x:c>
      <x:c r="K37" s="14" t="str">
        <x:v>+54 351 3783771</x:v>
      </x:c>
      <x:c r="L37" s="14" t="str">
        <x:v>OK</x:v>
      </x:c>
      <x:c r="M37" s="14" t="str">
        <x:v>operaciones / jefe de obra / logística</x:v>
      </x:c>
      <x:c r="N37" s="14" t="str">
        <x:v>Movimiento de equipos entre frentes de obra y obras de suelo.</x:v>
      </x:c>
      <x:c r="O37" s="14" t="str">
        <x:v>Plataforma 20 tn + malacate + coordinación interobra.</x:v>
      </x:c>
      <x:c r="P37" s="14" t="str">
        <x:v>Evitar improductivos por espera de carretones propios/terceros.</x:v>
      </x:c>
      <x:c r="Q37" s="14" t="str">
        <x:v>Llamar y pedir próximo movimiento de equipo o frente activo.</x:v>
      </x:c>
      <x:c r="R37" s="14"/>
      <x:c r="S37" s="14" t="str">
        <x:v>José Barros Pazos 3300, X5009 Córdoba</x:v>
      </x:c>
      <x:c r="T37" s="14"/>
      <x:c r="U37" s="14"/>
      <x:c r="V37" s="14"/>
      <x:c r="W37" s="14"/>
      <x:c r="X37" s="14" t="str">
        <x:v>tel:+543513783771</x:v>
      </x:c>
      <x:c r="Y37" s="14" t="str">
        <x:v>tel:+543513783771</x:v>
      </x:c>
      <x:c r="Z37" s="14" t="str">
        <x:v>Confirmar decisor, frecuencia de movimientos, peso/dimensiones habituales y cómo resuelven hoy los traslados.</x:v>
      </x:c>
      <x:c r="AA37" s="14" t="str">
        <x:v>https://www.google.com/maps/search/?api=1&amp;query=Dromos+S.A.+%7C+Movimiento+de+Suelos+Jos%C3%A9+Barros+Pazos+3300%2C+X5009+C%C3%B3rdoba</x:v>
      </x:c>
      <x:c r="AB37" s="14" t="str">
        <x:v>Google Maps / ficha comercial</x:v>
      </x:c>
      <x:c r="AC37" s="14" t="str">
        <x:v>https://www.google.com/maps/search/?api=1&amp;query=Dromos+SA+Movimiento+de+Suelos+Jos%C3%A9+Barros+Pazos+3300+C%C3%B3rdoba</x:v>
      </x:c>
      <x:c r="AD37" s="14" t="str">
        <x:v>Empresa constructora en Córdoba especializada en movimiento de suelos.</x:v>
      </x:c>
      <x:c r="AE37" s="14" t="str">
        <x:v>Media-Alta</x:v>
      </x:c>
      <x:c r="AF37" s="14" t="str">
        <x:v>Rastrillaje profundo Córdoba Capital 2026-09-14</x:v>
      </x:c>
      <x:c r="AG37" s="14" t="str">
        <x:v>Plataforma 20 tn + malacate + coordinación interobra.</x:v>
      </x:c>
      <x:c r="AH37" s="14" t="str">
        <x:v>movimiento de suelos</x:v>
      </x:c>
      <x:c r="AI37" s="14" t="str">
        <x:v>Sí</x:v>
      </x:c>
      <x:c r="AJ37" s="14" t="str">
        <x:v>A — prioridad alta</x:v>
      </x:c>
      <x:c r="AK37" s="14" t="str">
        <x:v>Muy buen encaje por flota móvil.</x:v>
      </x:c>
      <x:c r="AL37" s="14" t="str">
        <x:v>Google Maps / ficha comercial</x:v>
      </x:c>
      <x:c r="AM37" s="14" t="str">
        <x:v>Alta nueva del barrido profundo; cruzada contra la base maestra y el primer barrido para evitar duplicados.</x:v>
      </x:c>
    </x:row>
    <x:row r="38" ht="44" customHeight="1">
      <x:c r="A38" s="14" t="str">
        <x:v>CBA-037</x:v>
      </x:c>
      <x:c r="B38" s="14" t="str">
        <x:v>Pendiente</x:v>
      </x:c>
      <x:c r="C38" s="14" t="str">
        <x:v>Córdoba Capital</x:v>
      </x:c>
      <x:c r="D38" s="14" t="str">
        <x:v>Montevideo 616, Córdoba Capital; Taller: Julio Arboleda 5550, Córdoba</x:v>
      </x:c>
      <x:c r="E38" s="14" t="str">
        <x:v>Córdoba Capital</x:v>
      </x:c>
      <x:c r="F38" s="14" t="str">
        <x:v>A+</x:v>
      </x:c>
      <x:c r="G38" s="14" t="n">
        <x:v>96</x:v>
      </x:c>
      <x:c r="H38" s="14" t="str">
        <x:v>Vial RG S.A.</x:v>
      </x:c>
      <x:c r="I38" s="14" t="str">
        <x:v>Infraestructura vial, civil e hidráulica; pavimentación y puentes</x:v>
      </x:c>
      <x:c r="J38" s="14" t="str">
        <x:v>Construcción vial / movimiento de suelo</x:v>
      </x:c>
      <x:c r="K38" s="14" t="str">
        <x:v>+54 9 351 7375164</x:v>
      </x:c>
      <x:c r="L38" s="14" t="str">
        <x:v>OK</x:v>
      </x:c>
      <x:c r="M38" s="14" t="str">
        <x:v>taller central / equipos / logística / jefe de obra</x:v>
      </x:c>
      <x:c r="N38" s="14" t="str">
        <x:v>Traslado de maquinaria pesada entre taller central y obras viales en Córdoba/provincia.</x:v>
      </x:c>
      <x:c r="O38" s="14" t="str">
        <x:v>Plataforma 20 tn + malacate + coordinación interobra + seguro/GPS.</x:v>
      </x:c>
      <x:c r="P38" s="14" t="str">
        <x:v>Refuerzo logístico para múltiples frentes, mantenimiento y movimientos no planificados.</x:v>
      </x:c>
      <x:c r="Q38" s="14" t="str">
        <x:v>Contactar taller central/logística y preguntar por próximas movilizaciones de maquinaria.</x:v>
      </x:c>
      <x:c r="R38" s="14"/>
      <x:c r="S38" s="14" t="str">
        <x:v>Montevideo 616, Córdoba Capital; Taller: Julio Arboleda 5550, Córdoba</x:v>
      </x:c>
      <x:c r="T38" s="14"/>
      <x:c r="U38" s="14"/>
      <x:c r="V38" s="14"/>
      <x:c r="W38" s="14"/>
      <x:c r="X38" s="14" t="str">
        <x:v>tel:+5493517375164</x:v>
      </x:c>
      <x:c r="Y38" s="14" t="str">
        <x:v>tel:+5493517375164</x:v>
      </x:c>
      <x:c r="Z38" s="14" t="str">
        <x:v>Confirmar decisor, frecuencia de movimientos, peso/dimensiones habituales y cómo resuelven hoy los traslados.</x:v>
      </x:c>
      <x:c r="AA38" s="14" t="str">
        <x:v>https://www.google.com/maps/search/?api=1&amp;query=Vial+RG+S.A.+Montevideo+616%2C+C%C3%B3rdoba+Capital%3B+Taller%3A+Julio+Arboleda+5550%2C+C%C3%B3rdoba</x:v>
      </x:c>
      <x:c r="AB38" s="14" t="str">
        <x:v>Web oficial Vial RG</x:v>
      </x:c>
      <x:c r="AC38" s="14" t="str">
        <x:v>https://www.vialrg.com/</x:v>
      </x:c>
      <x:c r="AD38" s="14" t="str">
        <x:v>Constructora vial con flota de maquinaria pesada, casa central y taller en Córdoba Capital.</x:v>
      </x:c>
      <x:c r="AE38" s="14" t="str">
        <x:v>Alta</x:v>
      </x:c>
      <x:c r="AF38" s="14" t="str">
        <x:v>Rastrillaje profundo Córdoba Capital 2026-09-14</x:v>
      </x:c>
      <x:c r="AG38" s="14" t="str">
        <x:v>Plataforma 20 tn + malacate + coordinación interobra + seguro/GPS.</x:v>
      </x:c>
      <x:c r="AH38" s="14" t="str">
        <x:v>constructora vial / flota pesada</x:v>
      </x:c>
      <x:c r="AI38" s="14" t="str">
        <x:v>Sí</x:v>
      </x:c>
      <x:c r="AJ38" s="14" t="str">
        <x:v>A+ — visita/llamada inmediata</x:v>
      </x:c>
      <x:c r="AK38" s="14" t="str">
        <x:v>A+ por obras múltiples y taller central.</x:v>
      </x:c>
      <x:c r="AL38" s="14" t="str">
        <x:v>Web oficial Vial RG</x:v>
      </x:c>
      <x:c r="AM38" s="14" t="str">
        <x:v>Alta nueva del barrido profundo; cruzada contra la base maestra y el primer barrido para evitar duplicados.</x:v>
      </x:c>
    </x:row>
    <x:row r="39" ht="44" customHeight="1">
      <x:c r="A39" s="14" t="str">
        <x:v>CBA-038</x:v>
      </x:c>
      <x:c r="B39" s="14" t="str">
        <x:v>Pendiente</x:v>
      </x:c>
      <x:c r="C39" s="14" t="str">
        <x:v>Córdoba Capital</x:v>
      </x:c>
      <x:c r="D39" s="14" t="str">
        <x:v>Vito Remo Roggio 3531, Córdoba</x:v>
      </x:c>
      <x:c r="E39" s="14" t="str">
        <x:v>Córdoba Capital</x:v>
      </x:c>
      <x:c r="F39" s="14" t="str">
        <x:v>A+</x:v>
      </x:c>
      <x:c r="G39" s="14" t="n">
        <x:v>95</x:v>
      </x:c>
      <x:c r="H39" s="14" t="str">
        <x:v>Benito Roggio e Hijos S.A.</x:v>
      </x:c>
      <x:c r="I39" s="14" t="str">
        <x:v>Grandes obras de infraestructura e ingeniería</x:v>
      </x:c>
      <x:c r="J39" s="14" t="str">
        <x:v>Construcción vial / movimiento de suelo</x:v>
      </x:c>
      <x:c r="K39" s="14" t="str">
        <x:v>+54 351 6380045 / +54 351 4759345</x:v>
      </x:c>
      <x:c r="L39" s="14" t="str">
        <x:v>OK</x:v>
      </x:c>
      <x:c r="M39" s="14" t="str">
        <x:v>equipos / logística / compras / jefe de obra</x:v>
      </x:c>
      <x:c r="N39" s="14" t="str">
        <x:v>Movilización de maquinaria, obradores, equipos y componentes entre grandes obras.</x:v>
      </x:c>
      <x:c r="O39" s="14" t="str">
        <x:v>Plataforma 20 tn + logística de obra + seguro/GPS.</x:v>
      </x:c>
      <x:c r="P39" s="14" t="str">
        <x:v>Proveedor regional de apoyo para movimientos puntuales y urgentes en Córdoba.</x:v>
      </x:c>
      <x:c r="Q39" s="14" t="str">
        <x:v>Contactar compras/logística y consultar homologación de transportistas/proveedores.</x:v>
      </x:c>
      <x:c r="R39" s="14"/>
      <x:c r="S39" s="14" t="str">
        <x:v>Vito Remo Roggio 3531, Córdoba</x:v>
      </x:c>
      <x:c r="T39" s="14"/>
      <x:c r="U39" s="14"/>
      <x:c r="V39" s="14"/>
      <x:c r="W39" s="14"/>
      <x:c r="X39" s="14" t="str">
        <x:v>tel:+543516380045</x:v>
      </x:c>
      <x:c r="Y39" s="14" t="str">
        <x:v>tel:+543516380045</x:v>
      </x:c>
      <x:c r="Z39" s="14" t="str">
        <x:v>Confirmar decisor, frecuencia de movimientos, peso/dimensiones habituales y cómo resuelven hoy los traslados.</x:v>
      </x:c>
      <x:c r="AA39" s="14" t="str">
        <x:v>https://www.google.com/maps/search/?api=1&amp;query=Benito+Roggio+e+Hijos+S.A.+Vito+Remo+Roggio+3531%2C+C%C3%B3rdoba</x:v>
      </x:c>
      <x:c r="AB39" s="14" t="str">
        <x:v>Web oficial Benito Roggio</x:v>
      </x:c>
      <x:c r="AC39" s="14" t="str">
        <x:v>https://www.broggio.com.ar/</x:v>
      </x:c>
      <x:c r="AD39" s="14" t="str">
        <x:v>Constructora con más de un siglo y sede en Córdoba; ejecuta grandes obras de infraestructura.</x:v>
      </x:c>
      <x:c r="AE39" s="14" t="str">
        <x:v>Alta</x:v>
      </x:c>
      <x:c r="AF39" s="14" t="str">
        <x:v>Rastrillaje profundo Córdoba Capital 2026-09-14</x:v>
      </x:c>
      <x:c r="AG39" s="14" t="str">
        <x:v>Plataforma 20 tn + logística de obra + seguro/GPS.</x:v>
      </x:c>
      <x:c r="AH39" s="14" t="str">
        <x:v>grandes obras / infraestructura</x:v>
      </x:c>
      <x:c r="AI39" s="14" t="str">
        <x:v>Sí</x:v>
      </x:c>
      <x:c r="AJ39" s="14" t="str">
        <x:v>A+ — visita/llamada inmediata</x:v>
      </x:c>
      <x:c r="AK39" s="14" t="str">
        <x:v>Cuenta grande: ciclo comercial más largo pero alto valor potencial.</x:v>
      </x:c>
      <x:c r="AL39" s="14" t="str">
        <x:v>Web oficial Benito Roggio</x:v>
      </x:c>
      <x:c r="AM39" s="14" t="str">
        <x:v>Alta nueva del barrido profundo; cruzada contra la base maestra y el primer barrido para evitar duplicados.</x:v>
      </x:c>
    </x:row>
    <x:row r="40" ht="44" customHeight="1">
      <x:c r="A40" s="14" t="str">
        <x:v>CBA-039</x:v>
      </x:c>
      <x:c r="B40" s="14" t="str">
        <x:v>Pendiente</x:v>
      </x:c>
      <x:c r="C40" s="14" t="str">
        <x:v>Córdoba Capital</x:v>
      </x:c>
      <x:c r="D40" s="14" t="str">
        <x:v>Mirizi, X5016 Córdoba</x:v>
      </x:c>
      <x:c r="E40" s="14" t="str">
        <x:v>Córdoba Capital</x:v>
      </x:c>
      <x:c r="F40" s="14" t="str">
        <x:v>A</x:v>
      </x:c>
      <x:c r="G40" s="14" t="n">
        <x:v>90</x:v>
      </x:c>
      <x:c r="H40" s="14" t="str">
        <x:v>Chediack - Operación Córdoba RN36</x:v>
      </x:c>
      <x:c r="I40" s="14" t="str">
        <x:v>Grandes obras viales e infraestructura</x:v>
      </x:c>
      <x:c r="J40" s="14" t="str">
        <x:v>Construcción vial / movimiento de suelo</x:v>
      </x:c>
      <x:c r="K40" s="14" t="str">
        <x:v>+54 351 2430578</x:v>
      </x:c>
      <x:c r="L40" s="14" t="str">
        <x:v>OK</x:v>
      </x:c>
      <x:c r="M40" s="14" t="str">
        <x:v>jefe de obra / equipos / logística</x:v>
      </x:c>
      <x:c r="N40" s="14" t="str">
        <x:v>Movilización de maquinaria y equipos vinculados a frentes de obra vial en Córdoba.</x:v>
      </x:c>
      <x:c r="O40" s="14" t="str">
        <x:v>Plataforma 20 tn + coordinación de obra + seguro/GPS.</x:v>
      </x:c>
      <x:c r="P40" s="14" t="str">
        <x:v>Apoyo local para movimientos urgentes de maquinaria y equipos entre obradores.</x:v>
      </x:c>
      <x:c r="Q40" s="14" t="str">
        <x:v>Validar oficina/obra activa y pedir contacto de equipos/logística.</x:v>
      </x:c>
      <x:c r="R40" s="14"/>
      <x:c r="S40" s="14" t="str">
        <x:v>Mirizi, X5016 Córdoba</x:v>
      </x:c>
      <x:c r="T40" s="14"/>
      <x:c r="U40" s="14"/>
      <x:c r="V40" s="14"/>
      <x:c r="W40" s="14"/>
      <x:c r="X40" s="14" t="str">
        <x:v>tel:+543512430578</x:v>
      </x:c>
      <x:c r="Y40" s="14" t="str">
        <x:v>tel:+543512430578</x:v>
      </x:c>
      <x:c r="Z40" s="14" t="str">
        <x:v>Confirmar decisor, frecuencia de movimientos, peso/dimensiones habituales y cómo resuelven hoy los traslados.</x:v>
      </x:c>
      <x:c r="AA40" s="14" t="str">
        <x:v>https://www.google.com/maps/search/?api=1&amp;query=Chediack+-+Operaci%C3%B3n+C%C3%B3rdoba+RN36+Mirizi%2C+X5016+C%C3%B3rdoba</x:v>
      </x:c>
      <x:c r="AB40" s="14" t="str">
        <x:v>Google Maps + evidencia de obra RN36</x:v>
      </x:c>
      <x:c r="AC40" s="14" t="str">
        <x:v>https://www.google.com/maps/search/?api=1&amp;query=CHEDIACK+Altonivel+RN36+Mirizi+C%C3%B3rdoba</x:v>
      </x:c>
      <x:c r="AD40" s="14" t="str">
        <x:v>Presencia operativa en obra RN36 dentro de Córdoba; empresa de infraestructura de gran escala.</x:v>
      </x:c>
      <x:c r="AE40" s="14" t="str">
        <x:v>Media-Alta</x:v>
      </x:c>
      <x:c r="AF40" s="14" t="str">
        <x:v>Rastrillaje profundo Córdoba Capital 2026-09-14</x:v>
      </x:c>
      <x:c r="AG40" s="14" t="str">
        <x:v>Plataforma 20 tn + coordinación de obra + seguro/GPS.</x:v>
      </x:c>
      <x:c r="AH40" s="14" t="str">
        <x:v>constructora vial / grandes obras</x:v>
      </x:c>
      <x:c r="AI40" s="14" t="str">
        <x:v>Sí</x:v>
      </x:c>
      <x:c r="AJ40" s="14" t="str">
        <x:v>A — prioridad alta</x:v>
      </x:c>
      <x:c r="AK40" s="14" t="str">
        <x:v>Priorizar sólo si confirman operación activa y decisor local.</x:v>
      </x:c>
      <x:c r="AL40" s="14" t="str">
        <x:v>Google Maps + evidencia de obra RN36</x:v>
      </x:c>
      <x:c r="AM40" s="14" t="str">
        <x:v>Alta nueva del barrido profundo; cruzada contra la base maestra y el primer barrido para evitar duplicados.</x:v>
      </x:c>
    </x:row>
    <x:row r="41" ht="44" customHeight="1">
      <x:c r="A41" s="14" t="str">
        <x:v>CBA-040</x:v>
      </x:c>
      <x:c r="B41" s="14" t="str">
        <x:v>Pendiente</x:v>
      </x:c>
      <x:c r="C41" s="14" t="str">
        <x:v>Córdoba Capital</x:v>
      </x:c>
      <x:c r="D41" s="14" t="str">
        <x:v>Av. Juan B. Justo 4730, Córdoba; Polo 52, Autopista Córdoba-Rosario</x:v>
      </x:c>
      <x:c r="E41" s="14" t="str">
        <x:v>Córdoba Capital</x:v>
      </x:c>
      <x:c r="F41" s="14" t="str">
        <x:v>A+</x:v>
      </x:c>
      <x:c r="G41" s="14" t="n">
        <x:v>100</x:v>
      </x:c>
      <x:c r="H41" s="14" t="str">
        <x:v>Industrias MG - JMV</x:v>
      </x:c>
      <x:c r="I41" s="14" t="str">
        <x:v>Venta y alquiler de maquinaria vial, industrial y agrícola; autoelevadores y plataformas</x:v>
      </x:c>
      <x:c r="J41" s="14" t="str">
        <x:v>Alquiler / dealer maquinaria pesada</x:v>
      </x:c>
      <x:c r="K41" s="14" t="str">
        <x:v>+54 351 4704400 / +54 351 4704404</x:v>
      </x:c>
      <x:c r="L41" s="14" t="str">
        <x:v>OK</x:v>
      </x:c>
      <x:c r="M41" s="14" t="str">
        <x:v>alquileres / logística / usados / servicio</x:v>
      </x:c>
      <x:c r="N41" s="14" t="str">
        <x:v>Movimiento de palas, retroexcavadoras, excavadoras, minicargadoras, autoelevadores y plataformas entre sucursales/clientes.</x:v>
      </x:c>
      <x:c r="O41" s="14" t="str">
        <x:v>Plataforma 20 tn + malacate + entregas/retiros + seguro/GPS.</x:v>
      </x:c>
      <x:c r="P41" s="14" t="str">
        <x:v>Tercerizar entregas, alquileres y movimientos de usados sin afectar su capacidad comercial/técnica.</x:v>
      </x:c>
      <x:c r="Q41" s="14" t="str">
        <x:v>Llamada inmediata; pedir por alquileres y consultar volumen mensual de entregas/retiros.</x:v>
      </x:c>
      <x:c r="R41" s="14"/>
      <x:c r="S41" s="14" t="str">
        <x:v>Av. Juan B. Justo 4730, Córdoba; Polo 52, Autopista Córdoba-Rosario</x:v>
      </x:c>
      <x:c r="T41" s="14"/>
      <x:c r="U41" s="14"/>
      <x:c r="V41" s="14"/>
      <x:c r="W41" s="14"/>
      <x:c r="X41" s="14" t="str">
        <x:v>tel:+543514704400</x:v>
      </x:c>
      <x:c r="Y41" s="14" t="str">
        <x:v>tel:+543514704400</x:v>
      </x:c>
      <x:c r="Z41" s="14" t="str">
        <x:v>Confirmar decisor, frecuencia de movimientos, peso/dimensiones habituales y cómo resuelven hoy los traslados.</x:v>
      </x:c>
      <x:c r="AA41" s="14" t="str">
        <x:v>https://www.google.com/maps/search/?api=1&amp;query=Industrias+MG+-+JMV+Av.+Juan+B.+Justo+4730%2C+C%C3%B3rdoba%3B+Polo+52%2C+Autopista+C%C3%B3rdoba-Rosario</x:v>
      </x:c>
      <x:c r="AB41" s="14" t="str">
        <x:v>Web oficial Industrias MG</x:v>
      </x:c>
      <x:c r="AC41" s="14" t="str">
        <x:v>https://industrias-mg.com.ar/alquiler-de-equipos-2/</x:v>
      </x:c>
      <x:c r="AD41" s="14" t="str">
        <x:v>Comercializa y alquila maquinaria vial e industrial; flota incluye equipos de movimiento de suelo, autoelevadores y plataformas.</x:v>
      </x:c>
      <x:c r="AE41" s="14" t="str">
        <x:v>Alta</x:v>
      </x:c>
      <x:c r="AF41" s="14" t="str">
        <x:v>Rastrillaje profundo Córdoba Capital 2026-09-14</x:v>
      </x:c>
      <x:c r="AG41" s="14" t="str">
        <x:v>Plataforma 20 tn + malacate + entregas/retiros + seguro/GPS.</x:v>
      </x:c>
      <x:c r="AH41" s="14" t="str">
        <x:v>dealer y alquiler maquinaria vial</x:v>
      </x:c>
      <x:c r="AI41" s="14" t="str">
        <x:v>Sí</x:v>
      </x:c>
      <x:c r="AJ41" s="14" t="str">
        <x:v>A+ — visita/llamada inmediata</x:v>
      </x:c>
      <x:c r="AK41" s="14" t="str">
        <x:v>A+ junto con Sullair/Finning: transporte totalmente alineado al modelo de negocio.</x:v>
      </x:c>
      <x:c r="AL41" s="14" t="str">
        <x:v>Web oficial Industrias MG</x:v>
      </x:c>
      <x:c r="AM41" s="14" t="str">
        <x:v>Alta nueva del barrido profundo; cruzada contra la base maestra y el primer barrido para evitar duplicados.</x:v>
      </x:c>
    </x:row>
    <x:row r="42" ht="44" customHeight="1">
      <x:c r="A42" s="14" t="str">
        <x:v>CBA-041</x:v>
      </x:c>
      <x:c r="B42" s="14" t="str">
        <x:v>Pendiente</x:v>
      </x:c>
      <x:c r="C42" s="14" t="str">
        <x:v>Córdoba Capital</x:v>
      </x:c>
      <x:c r="D42" s="14" t="str">
        <x:v>Av. Japón 950, Córdoba</x:v>
      </x:c>
      <x:c r="E42" s="14" t="str">
        <x:v>Córdoba Capital</x:v>
      </x:c>
      <x:c r="F42" s="14" t="str">
        <x:v>A+</x:v>
      </x:c>
      <x:c r="G42" s="14" t="n">
        <x:v>96</x:v>
      </x:c>
      <x:c r="H42" s="14" t="str">
        <x:v>LiuGong Córdoba</x:v>
      </x:c>
      <x:c r="I42" s="14" t="str">
        <x:v>Comercialización y posventa de maquinaria pesada para movimiento de suelos, construcción y logística</x:v>
      </x:c>
      <x:c r="J42" s="14" t="str">
        <x:v>Alquiler / dealer maquinaria pesada</x:v>
      </x:c>
      <x:c r="K42" s="14" t="str">
        <x:v>+54 351 8863031</x:v>
      </x:c>
      <x:c r="L42" s="14" t="str">
        <x:v>OK</x:v>
      </x:c>
      <x:c r="M42" s="14" t="str">
        <x:v>gerencia Córdoba / ventas / posventa / logística</x:v>
      </x:c>
      <x:c r="N42" s="14" t="str">
        <x:v>Entrega/retiro de cargadoras, excavadoras, autoelevadores y otros equipos pesados.</x:v>
      </x:c>
      <x:c r="O42" s="14" t="str">
        <x:v>Plataforma 20 tn + malacate + coordinación de entrega + seguro/GPS.</x:v>
      </x:c>
      <x:c r="P42" s="14" t="str">
        <x:v>Proveedor local para entregas de equipos vendidos/usados y movimientos de posventa.</x:v>
      </x:c>
      <x:c r="Q42" s="14" t="str">
        <x:v>Contactar gerencia Córdoba y preguntar cómo resuelven traslados de equipos de la sucursal.</x:v>
      </x:c>
      <x:c r="R42" s="14"/>
      <x:c r="S42" s="14" t="str">
        <x:v>Av. Japón 950, Córdoba</x:v>
      </x:c>
      <x:c r="T42" s="14"/>
      <x:c r="U42" s="14"/>
      <x:c r="V42" s="14"/>
      <x:c r="W42" s="14"/>
      <x:c r="X42" s="14" t="str">
        <x:v>tel:+543518863031</x:v>
      </x:c>
      <x:c r="Y42" s="14" t="str">
        <x:v>tel:+543518863031</x:v>
      </x:c>
      <x:c r="Z42" s="14" t="str">
        <x:v>Confirmar decisor, frecuencia de movimientos, peso/dimensiones habituales y cómo resuelven hoy los traslados.</x:v>
      </x:c>
      <x:c r="AA42" s="14" t="str">
        <x:v>https://www.google.com/maps/search/?api=1&amp;query=LiuGong+C%C3%B3rdoba+Av.+Jap%C3%B3n+950%2C+C%C3%B3rdoba</x:v>
      </x:c>
      <x:c r="AB42" s="14" t="str">
        <x:v>Web oficial LiuGong Córdoba</x:v>
      </x:c>
      <x:c r="AC42" s="14" t="str">
        <x:v>https://liugongcordoba.com.ar/</x:v>
      </x:c>
      <x:c r="AD42" s="14" t="str">
        <x:v>Punto de venta Córdoba Capital para equipamiento pesado, movimiento de suelos y construcción.</x:v>
      </x:c>
      <x:c r="AE42" s="14" t="str">
        <x:v>Alta</x:v>
      </x:c>
      <x:c r="AF42" s="14" t="str">
        <x:v>Rastrillaje profundo Córdoba Capital 2026-09-14</x:v>
      </x:c>
      <x:c r="AG42" s="14" t="str">
        <x:v>Plataforma 20 tn + malacate + coordinación de entrega + seguro/GPS.</x:v>
      </x:c>
      <x:c r="AH42" s="14" t="str">
        <x:v>dealer maquinaria pesada</x:v>
      </x:c>
      <x:c r="AI42" s="14" t="str">
        <x:v>Sí</x:v>
      </x:c>
      <x:c r="AJ42" s="14" t="str">
        <x:v>A+ — visita/llamada inmediata</x:v>
      </x:c>
      <x:c r="AK42" s="14" t="str">
        <x:v>A+ por venta y posventa de equipos de gran porte.</x:v>
      </x:c>
      <x:c r="AL42" s="14" t="str">
        <x:v>Web oficial LiuGong Córdoba</x:v>
      </x:c>
      <x:c r="AM42" s="14" t="str">
        <x:v>Alta nueva del barrido profundo; cruzada contra la base maestra y el primer barrido para evitar duplicados.</x:v>
      </x:c>
    </x:row>
    <x:row r="43" ht="44" customHeight="1">
      <x:c r="A43" s="14" t="str">
        <x:v>CBA-042</x:v>
      </x:c>
      <x:c r="B43" s="14" t="str">
        <x:v>Pendiente</x:v>
      </x:c>
      <x:c r="C43" s="14" t="str">
        <x:v>Córdoba Capital</x:v>
      </x:c>
      <x:c r="D43" s="14" t="str">
        <x:v>Av. Circunvalación 1180, Colectora Sur, X5014 Córdoba</x:v>
      </x:c>
      <x:c r="E43" s="14" t="str">
        <x:v>Córdoba Capital</x:v>
      </x:c>
      <x:c r="F43" s="14" t="str">
        <x:v>A+</x:v>
      </x:c>
      <x:c r="G43" s="14" t="n">
        <x:v>95</x:v>
      </x:c>
      <x:c r="H43" s="14" t="str">
        <x:v>Centro Vial / ROMECO Córdoba</x:v>
      </x:c>
      <x:c r="I43" s="14" t="str">
        <x:v>Maquinaria de construcción, taller y posventa</x:v>
      </x:c>
      <x:c r="J43" s="14" t="str">
        <x:v>Alquiler / dealer maquinaria pesada</x:v>
      </x:c>
      <x:c r="K43" s="14" t="str">
        <x:v>+54 9 351 3090000</x:v>
      </x:c>
      <x:c r="L43" s="14" t="str">
        <x:v>OK</x:v>
      </x:c>
      <x:c r="M43" s="14" t="str">
        <x:v>ventas / taller / logística / usados</x:v>
      </x:c>
      <x:c r="N43" s="14" t="str">
        <x:v>Movimiento de equipos de construcción entre taller, clientes y obras.</x:v>
      </x:c>
      <x:c r="O43" s="14" t="str">
        <x:v>Plataforma 20 tn + malacate + traslados de servicio/usados.</x:v>
      </x:c>
      <x:c r="P43" s="14" t="str">
        <x:v>Refuerzo para entregas y retiros vinculados a taller, venta y posventa.</x:v>
      </x:c>
      <x:c r="Q43" s="14" t="str">
        <x:v>Validar marca/unidad de negocio y pedir por logística o taller.</x:v>
      </x:c>
      <x:c r="R43" s="14"/>
      <x:c r="S43" s="14" t="str">
        <x:v>Av. Circunvalación 1180, Colectora Sur, X5014 Córdoba</x:v>
      </x:c>
      <x:c r="T43" s="14"/>
      <x:c r="U43" s="14"/>
      <x:c r="V43" s="14"/>
      <x:c r="W43" s="14"/>
      <x:c r="X43" s="14" t="str">
        <x:v>tel:+5493513090000</x:v>
      </x:c>
      <x:c r="Y43" s="14" t="str">
        <x:v>tel:+5493513090000</x:v>
      </x:c>
      <x:c r="Z43" s="14" t="str">
        <x:v>Confirmar decisor, frecuencia de movimientos, peso/dimensiones habituales y cómo resuelven hoy los traslados.</x:v>
      </x:c>
      <x:c r="AA43" s="14" t="str">
        <x:v>https://www.google.com/maps/search/?api=1&amp;query=Centro+Vial+%2F+ROMECO+C%C3%B3rdoba+Av.+Circunvalaci%C3%B3n+1180%2C+Colectora+Sur%2C+X5014+C%C3%B3rdoba</x:v>
      </x:c>
      <x:c r="AB43" s="14" t="str">
        <x:v>Google Maps / ficha comercial</x:v>
      </x:c>
      <x:c r="AC43" s="14" t="str">
        <x:v>https://www.google.com/maps/search/?api=1&amp;query=ROMECO+C%C3%B3rdoba+Av+Circunvalaci%C3%B3n+1180+C%C3%B3rdoba</x:v>
      </x:c>
      <x:c r="AD43" s="14" t="str">
        <x:v>Proveedor/taller de maquinaria de construcción en Córdoba Capital.</x:v>
      </x:c>
      <x:c r="AE43" s="14" t="str">
        <x:v>Media-Alta</x:v>
      </x:c>
      <x:c r="AF43" s="14" t="str">
        <x:v>Rastrillaje profundo Córdoba Capital 2026-09-14</x:v>
      </x:c>
      <x:c r="AG43" s="14" t="str">
        <x:v>Plataforma 20 tn + malacate + traslados de servicio/usados.</x:v>
      </x:c>
      <x:c r="AH43" s="14" t="str">
        <x:v>dealer / taller maquinaria pesada</x:v>
      </x:c>
      <x:c r="AI43" s="14" t="str">
        <x:v>Sí</x:v>
      </x:c>
      <x:c r="AJ43" s="14" t="str">
        <x:v>A+ — visita/llamada inmediata</x:v>
      </x:c>
      <x:c r="AK43" s="14" t="str">
        <x:v>Combinar como una sola cuenta para evitar duplicación comercial.</x:v>
      </x:c>
      <x:c r="AL43" s="14" t="str">
        <x:v>Google Maps / ficha comercial</x:v>
      </x:c>
      <x:c r="AM43" s="14" t="str">
        <x:v>Alta nueva del barrido profundo; cruzada contra la base maestra y el primer barrido para evitar duplicados.</x:v>
      </x:c>
    </x:row>
    <x:row r="44" ht="44" customHeight="1">
      <x:c r="A44" s="14" t="str">
        <x:v>CBA-043</x:v>
      </x:c>
      <x:c r="B44" s="14" t="str">
        <x:v>Pendiente</x:v>
      </x:c>
      <x:c r="C44" s="14" t="str">
        <x:v>Córdoba Capital</x:v>
      </x:c>
      <x:c r="D44" s="14" t="str">
        <x:v>Rufino Cuervo 1085, Córdoba</x:v>
      </x:c>
      <x:c r="E44" s="14" t="str">
        <x:v>Córdoba Capital</x:v>
      </x:c>
      <x:c r="F44" s="14" t="str">
        <x:v>A+</x:v>
      </x:c>
      <x:c r="G44" s="14" t="n">
        <x:v>95</x:v>
      </x:c>
      <x:c r="H44" s="14" t="str">
        <x:v>DI LUCA | Constructora</x:v>
      </x:c>
      <x:c r="I44" s="14" t="str">
        <x:v>Movimiento de suelos, excavaciones, demoliciones, compactación vial y obra civil</x:v>
      </x:c>
      <x:c r="J44" s="14" t="str">
        <x:v>Construcción vial / movimiento de suelo</x:v>
      </x:c>
      <x:c r="K44" s="14" t="str">
        <x:v>+54 9 351 9037342 / +54 351 2339136</x:v>
      </x:c>
      <x:c r="L44" s="14" t="str">
        <x:v>OK</x:v>
      </x:c>
      <x:c r="M44" s="14" t="str">
        <x:v>operaciones / equipos / jefe de obra</x:v>
      </x:c>
      <x:c r="N44" s="14" t="str">
        <x:v>Traslado de excavadoras, equipos de compactación y maquinaria entre frentes de obra.</x:v>
      </x:c>
      <x:c r="O44" s="14" t="str">
        <x:v>Plataforma 20 tn + malacate + coordinación interobra.</x:v>
      </x:c>
      <x:c r="P44" s="14" t="str">
        <x:v>Disminuir esperas entre frentes y tercerizar picos de movilización.</x:v>
      </x:c>
      <x:c r="Q44" s="14" t="str">
        <x:v>Contactar operaciones y pedir próximo movimiento de maquinaria.</x:v>
      </x:c>
      <x:c r="R44" s="14"/>
      <x:c r="S44" s="14" t="str">
        <x:v>Rufino Cuervo 1085, Córdoba</x:v>
      </x:c>
      <x:c r="T44" s="14"/>
      <x:c r="U44" s="14"/>
      <x:c r="V44" s="14"/>
      <x:c r="W44" s="14"/>
      <x:c r="X44" s="14" t="str">
        <x:v>tel:+5493519037342</x:v>
      </x:c>
      <x:c r="Y44" s="14" t="str">
        <x:v>tel:+5493519037342</x:v>
      </x:c>
      <x:c r="Z44" s="14" t="str">
        <x:v>Confirmar decisor, frecuencia de movimientos, peso/dimensiones habituales y cómo resuelven hoy los traslados.</x:v>
      </x:c>
      <x:c r="AA44" s="14" t="str">
        <x:v>https://www.google.com/maps/search/?api=1&amp;query=DI+LUCA+%7C+Constructora+Rufino+Cuervo+1085%2C+C%C3%B3rdoba</x:v>
      </x:c>
      <x:c r="AB44" s="14" t="str">
        <x:v>Web/LinkedIn DI LUCA</x:v>
      </x:c>
      <x:c r="AC44" s="14" t="str">
        <x:v>https://www.dilucaconstructora.com/</x:v>
      </x:c>
      <x:c r="AD44" s="14" t="str">
        <x:v>Especializada en movimientos de suelos, excavaciones, demoliciones, compactación vial y obra civil.</x:v>
      </x:c>
      <x:c r="AE44" s="14" t="str">
        <x:v>Alta</x:v>
      </x:c>
      <x:c r="AF44" s="14" t="str">
        <x:v>Rastrillaje profundo Córdoba Capital 2026-09-14</x:v>
      </x:c>
      <x:c r="AG44" s="14" t="str">
        <x:v>Plataforma 20 tn + malacate + coordinación interobra.</x:v>
      </x:c>
      <x:c r="AH44" s="14" t="str">
        <x:v>movimiento de suelos / excavaciones</x:v>
      </x:c>
      <x:c r="AI44" s="14" t="str">
        <x:v>Sí</x:v>
      </x:c>
      <x:c r="AJ44" s="14" t="str">
        <x:v>A+ — visita/llamada inmediata</x:v>
      </x:c>
      <x:c r="AK44" s="14" t="str">
        <x:v>A+ por uso intensivo de maquinaria móvil.</x:v>
      </x:c>
      <x:c r="AL44" s="14" t="str">
        <x:v>Web/LinkedIn DI LUCA</x:v>
      </x:c>
      <x:c r="AM44" s="14" t="str">
        <x:v>Alta nueva del barrido profundo; cruzada contra la base maestra y el primer barrido para evitar duplicados.</x:v>
      </x:c>
    </x:row>
    <x:row r="45" ht="44" customHeight="1">
      <x:c r="A45" s="14" t="str">
        <x:v>CBA-044</x:v>
      </x:c>
      <x:c r="B45" s="14" t="str">
        <x:v>Pendiente</x:v>
      </x:c>
      <x:c r="C45" s="14" t="str">
        <x:v>Córdoba Capital</x:v>
      </x:c>
      <x:c r="D45" s="14" t="str">
        <x:v>Cruz Alta 8348, Córdoba</x:v>
      </x:c>
      <x:c r="E45" s="14" t="str">
        <x:v>Córdoba Capital</x:v>
      </x:c>
      <x:c r="F45" s="14" t="str">
        <x:v>A</x:v>
      </x:c>
      <x:c r="G45" s="14" t="n">
        <x:v>90</x:v>
      </x:c>
      <x:c r="H45" s="14" t="str">
        <x:v>Pellicer Movimientos de Suelo</x:v>
      </x:c>
      <x:c r="I45" s="14" t="str">
        <x:v>Movimiento de suelos</x:v>
      </x:c>
      <x:c r="J45" s="14" t="str">
        <x:v>Construcción vial / movimiento de suelo</x:v>
      </x:c>
      <x:c r="K45" s="14" t="str">
        <x:v>+54 9 351 4033476</x:v>
      </x:c>
      <x:c r="L45" s="14" t="str">
        <x:v>OK</x:v>
      </x:c>
      <x:c r="M45" s="14" t="str">
        <x:v>operaciones / equipos</x:v>
      </x:c>
      <x:c r="N45" s="14" t="str">
        <x:v>Movilización de maquinaria de movimiento de suelos entre obras.</x:v>
      </x:c>
      <x:c r="O45" s="14" t="str">
        <x:v>Plataforma 20 tn + malacate + traslados interobra.</x:v>
      </x:c>
      <x:c r="P45" s="14" t="str">
        <x:v>Ofrecer servicio por viaje para evitar inmovilizar recursos propios.</x:v>
      </x:c>
      <x:c r="Q45" s="14" t="str">
        <x:v>Validar parque de máquinas y frecuencia de movimientos.</x:v>
      </x:c>
      <x:c r="R45" s="14"/>
      <x:c r="S45" s="14" t="str">
        <x:v>Cruz Alta 8348, Córdoba</x:v>
      </x:c>
      <x:c r="T45" s="14"/>
      <x:c r="U45" s="14"/>
      <x:c r="V45" s="14"/>
      <x:c r="W45" s="14"/>
      <x:c r="X45" s="14" t="str">
        <x:v>tel:+5493514033476</x:v>
      </x:c>
      <x:c r="Y45" s="14" t="str">
        <x:v>tel:+5493514033476</x:v>
      </x:c>
      <x:c r="Z45" s="14" t="str">
        <x:v>Confirmar decisor, frecuencia de movimientos, peso/dimensiones habituales y cómo resuelven hoy los traslados.</x:v>
      </x:c>
      <x:c r="AA45" s="14" t="str">
        <x:v>https://www.google.com/maps/search/?api=1&amp;query=Pellicer+Movimientos+de+Suelo+Cruz+Alta+8348%2C+C%C3%B3rdoba</x:v>
      </x:c>
      <x:c r="AB45" s="14" t="str">
        <x:v>Directorio comercial + Google Maps</x:v>
      </x:c>
      <x:c r="AC45" s="14" t="str">
        <x:v>https://www.cylex.com.ar/cordoba/pellicer-movimientos-de-suelo-11415825.html</x:v>
      </x:c>
      <x:c r="AD45" s="14" t="str">
        <x:v>Registro comercial en Córdoba Capital para movimiento de suelos.</x:v>
      </x:c>
      <x:c r="AE45" s="14" t="str">
        <x:v>Media-Alta</x:v>
      </x:c>
      <x:c r="AF45" s="14" t="str">
        <x:v>Rastrillaje profundo Córdoba Capital 2026-09-14</x:v>
      </x:c>
      <x:c r="AG45" s="14" t="str">
        <x:v>Plataforma 20 tn + malacate + traslados interobra.</x:v>
      </x:c>
      <x:c r="AH45" s="14" t="str">
        <x:v>movimiento de suelos</x:v>
      </x:c>
      <x:c r="AI45" s="14" t="str">
        <x:v>Sí</x:v>
      </x:c>
      <x:c r="AJ45" s="14" t="str">
        <x:v>A — prioridad alta</x:v>
      </x:c>
      <x:c r="AK45" s="14" t="str">
        <x:v>Cuenta mediana con necesidad directa.</x:v>
      </x:c>
      <x:c r="AL45" s="14" t="str">
        <x:v>Directorio comercial + Google Maps</x:v>
      </x:c>
      <x:c r="AM45" s="14" t="str">
        <x:v>Alta nueva del barrido profundo; cruzada contra la base maestra y el primer barrido para evitar duplicados.</x:v>
      </x:c>
    </x:row>
    <x:row r="46" ht="44" customHeight="1">
      <x:c r="A46" s="14" t="str">
        <x:v>CBA-045</x:v>
      </x:c>
      <x:c r="B46" s="14" t="str">
        <x:v>Pendiente</x:v>
      </x:c>
      <x:c r="C46" s="14" t="str">
        <x:v>Córdoba Capital</x:v>
      </x:c>
      <x:c r="D46" s="14" t="str">
        <x:v>Antonio Nores 5423, X5021 Córdoba</x:v>
      </x:c>
      <x:c r="E46" s="14" t="str">
        <x:v>Córdoba Capital</x:v>
      </x:c>
      <x:c r="F46" s="14" t="str">
        <x:v>A</x:v>
      </x:c>
      <x:c r="G46" s="14" t="n">
        <x:v>90</x:v>
      </x:c>
      <x:c r="H46" s="14" t="str">
        <x:v>Redcons S.R.L.</x:v>
      </x:c>
      <x:c r="I46" s="14" t="str">
        <x:v>Excavaciones y obras</x:v>
      </x:c>
      <x:c r="J46" s="14" t="str">
        <x:v>Construcción vial / movimiento de suelo</x:v>
      </x:c>
      <x:c r="K46" s="14" t="str">
        <x:v>+54 351 5158731</x:v>
      </x:c>
      <x:c r="L46" s="14" t="str">
        <x:v>OK</x:v>
      </x:c>
      <x:c r="M46" s="14" t="str">
        <x:v>operaciones / equipos / jefe de obra</x:v>
      </x:c>
      <x:c r="N46" s="14" t="str">
        <x:v>Traslado de excavadoras y maquinaria a distintos frentes.</x:v>
      </x:c>
      <x:c r="O46" s="14" t="str">
        <x:v>Plataforma 20 tn + malacate + coordinación de obra.</x:v>
      </x:c>
      <x:c r="P46" s="14" t="str">
        <x:v>Proveedor flexible para movimientos no programados.</x:v>
      </x:c>
      <x:c r="Q46" s="14" t="str">
        <x:v>Llamar y validar flota/obras actuales.</x:v>
      </x:c>
      <x:c r="R46" s="14"/>
      <x:c r="S46" s="14" t="str">
        <x:v>Antonio Nores 5423, X5021 Córdoba</x:v>
      </x:c>
      <x:c r="T46" s="14"/>
      <x:c r="U46" s="14"/>
      <x:c r="V46" s="14"/>
      <x:c r="W46" s="14"/>
      <x:c r="X46" s="14" t="str">
        <x:v>tel:+543515158731</x:v>
      </x:c>
      <x:c r="Y46" s="14" t="str">
        <x:v>tel:+543515158731</x:v>
      </x:c>
      <x:c r="Z46" s="14" t="str">
        <x:v>Confirmar decisor, frecuencia de movimientos, peso/dimensiones habituales y cómo resuelven hoy los traslados.</x:v>
      </x:c>
      <x:c r="AA46" s="14" t="str">
        <x:v>https://www.google.com/maps/search/?api=1&amp;query=Redcons+S.R.L.+Antonio+Nores+5423%2C+X5021+C%C3%B3rdoba</x:v>
      </x:c>
      <x:c r="AB46" s="14" t="str">
        <x:v>Google Maps / ficha comercial</x:v>
      </x:c>
      <x:c r="AC46" s="14" t="str">
        <x:v>https://www.google.com/maps/search/?api=1&amp;query=Redcons+SRL+Antonio+Nores+5423+C%C3%B3rdoba</x:v>
      </x:c>
      <x:c r="AD46" s="14" t="str">
        <x:v>Contratista de excavación con domicilio en Córdoba Capital.</x:v>
      </x:c>
      <x:c r="AE46" s="14" t="str">
        <x:v>Media-Alta</x:v>
      </x:c>
      <x:c r="AF46" s="14" t="str">
        <x:v>Rastrillaje profundo Córdoba Capital 2026-09-14</x:v>
      </x:c>
      <x:c r="AG46" s="14" t="str">
        <x:v>Plataforma 20 tn + malacate + coordinación de obra.</x:v>
      </x:c>
      <x:c r="AH46" s="14" t="str">
        <x:v>excavaciones / movimiento de suelo</x:v>
      </x:c>
      <x:c r="AI46" s="14" t="str">
        <x:v>Sí</x:v>
      </x:c>
      <x:c r="AJ46" s="14" t="str">
        <x:v>A — prioridad alta</x:v>
      </x:c>
      <x:c r="AK46" s="14" t="str">
        <x:v>Necesidad probable alta.</x:v>
      </x:c>
      <x:c r="AL46" s="14" t="str">
        <x:v>Google Maps / ficha comercial</x:v>
      </x:c>
      <x:c r="AM46" s="14" t="str">
        <x:v>Alta nueva del barrido profundo; cruzada contra la base maestra y el primer barrido para evitar duplicados.</x:v>
      </x:c>
    </x:row>
    <x:row r="47" ht="44" customHeight="1">
      <x:c r="A47" s="14" t="str">
        <x:v>CBA-046</x:v>
      </x:c>
      <x:c r="B47" s="14" t="str">
        <x:v>Pendiente</x:v>
      </x:c>
      <x:c r="C47" s="14" t="str">
        <x:v>Córdoba Capital</x:v>
      </x:c>
      <x:c r="D47" s="14" t="str">
        <x:v>Juan de Santiso y Moscoso 2560, X5012 Córdoba</x:v>
      </x:c>
      <x:c r="E47" s="14" t="str">
        <x:v>Córdoba Capital</x:v>
      </x:c>
      <x:c r="F47" s="14" t="str">
        <x:v>A+</x:v>
      </x:c>
      <x:c r="G47" s="14" t="n">
        <x:v>95</x:v>
      </x:c>
      <x:c r="H47" s="14" t="str">
        <x:v>Mendiolaza Demoliciones S.R.L.</x:v>
      </x:c>
      <x:c r="I47" s="14" t="str">
        <x:v>Demoliciones y logística de obra</x:v>
      </x:c>
      <x:c r="J47" s="14" t="str">
        <x:v>Construcción vial / movimiento de suelo</x:v>
      </x:c>
      <x:c r="K47" s="14" t="str">
        <x:v>+54 351 3781565 / +54 9 351 4038917</x:v>
      </x:c>
      <x:c r="L47" s="14" t="str">
        <x:v>OK</x:v>
      </x:c>
      <x:c r="M47" s="14" t="str">
        <x:v>operaciones / logística / jefe de obra</x:v>
      </x:c>
      <x:c r="N47" s="14" t="str">
        <x:v>Movilización de excavadoras/equipos de demolición y apoyo entre obras.</x:v>
      </x:c>
      <x:c r="O47" s="14" t="str">
        <x:v>Plataforma 20 tn + malacate + traslados de maquinaria.</x:v>
      </x:c>
      <x:c r="P47" s="14" t="str">
        <x:v>Apoyo a la logística de obra para maquinaria pesada, además del retiro de residuos que ya gestionan.</x:v>
      </x:c>
      <x:c r="Q47" s="14" t="str">
        <x:v>Pedir por operaciones y próximo frente de demolición.</x:v>
      </x:c>
      <x:c r="R47" s="14"/>
      <x:c r="S47" s="14" t="str">
        <x:v>Juan de Santiso y Moscoso 2560, X5012 Córdoba</x:v>
      </x:c>
      <x:c r="T47" s="14"/>
      <x:c r="U47" s="14"/>
      <x:c r="V47" s="14"/>
      <x:c r="W47" s="14"/>
      <x:c r="X47" s="14" t="str">
        <x:v>tel:+543513781565</x:v>
      </x:c>
      <x:c r="Y47" s="14" t="str">
        <x:v>tel:+543513781565</x:v>
      </x:c>
      <x:c r="Z47" s="14" t="str">
        <x:v>Confirmar decisor, frecuencia de movimientos, peso/dimensiones habituales y cómo resuelven hoy los traslados.</x:v>
      </x:c>
      <x:c r="AA47" s="14" t="str">
        <x:v>https://www.google.com/maps/search/?api=1&amp;query=Mendiolaza+Demoliciones+S.R.L.+Juan+de+Santiso+y+Moscoso+2560%2C+X5012+C%C3%B3rdoba</x:v>
      </x:c>
      <x:c r="AB47" s="14" t="str">
        <x:v>Web oficial + Google Maps</x:v>
      </x:c>
      <x:c r="AC47" s="14" t="str">
        <x:v>https://mendiolazademoliciones.com/</x:v>
      </x:c>
      <x:c r="AD47" s="14" t="str">
        <x:v>Empresa de demolición con sede operativa en Córdoba Capital y 20 años de experiencia.</x:v>
      </x:c>
      <x:c r="AE47" s="14" t="str">
        <x:v>Alta</x:v>
      </x:c>
      <x:c r="AF47" s="14" t="str">
        <x:v>Rastrillaje profundo Córdoba Capital 2026-09-14</x:v>
      </x:c>
      <x:c r="AG47" s="14" t="str">
        <x:v>Plataforma 20 tn + malacate + traslados de maquinaria.</x:v>
      </x:c>
      <x:c r="AH47" s="14" t="str">
        <x:v>demoliciones / maquinaria pesada</x:v>
      </x:c>
      <x:c r="AI47" s="14" t="str">
        <x:v>Sí</x:v>
      </x:c>
      <x:c r="AJ47" s="14" t="str">
        <x:v>A+ — visita/llamada inmediata</x:v>
      </x:c>
      <x:c r="AK47" s="14" t="str">
        <x:v>A+ por maquinaria de demolición y rotación de obras.</x:v>
      </x:c>
      <x:c r="AL47" s="14" t="str">
        <x:v>Web oficial + Google Maps</x:v>
      </x:c>
      <x:c r="AM47" s="14" t="str">
        <x:v>Alta nueva del barrido profundo; cruzada contra la base maestra y el primer barrido para evitar duplicados.</x:v>
      </x:c>
    </x:row>
    <x:row r="48" ht="44" customHeight="1">
      <x:c r="A48" s="14" t="str">
        <x:v>CBA-047</x:v>
      </x:c>
      <x:c r="B48" s="14" t="str">
        <x:v>Pendiente</x:v>
      </x:c>
      <x:c r="C48" s="14" t="str">
        <x:v>Córdoba Capital</x:v>
      </x:c>
      <x:c r="D48" s="14" t="str">
        <x:v>Tte. Gral. Donato Alvarez 7812, Córdoba</x:v>
      </x:c>
      <x:c r="E48" s="14" t="str">
        <x:v>Córdoba Capital</x:v>
      </x:c>
      <x:c r="F48" s="14" t="str">
        <x:v>A+</x:v>
      </x:c>
      <x:c r="G48" s="14" t="n">
        <x:v>95</x:v>
      </x:c>
      <x:c r="H48" s="14" t="str">
        <x:v>Demoliciones y Excavaciones Signorini S.A.</x:v>
      </x:c>
      <x:c r="I48" s="14" t="str">
        <x:v>Demoliciones, excavaciones y movimientos de suelo</x:v>
      </x:c>
      <x:c r="J48" s="14" t="str">
        <x:v>Construcción vial / movimiento de suelo</x:v>
      </x:c>
      <x:c r="K48" s="14" t="str">
        <x:v>+54 351 6134084</x:v>
      </x:c>
      <x:c r="L48" s="14" t="str">
        <x:v>OK</x:v>
      </x:c>
      <x:c r="M48" s="14" t="str">
        <x:v>operaciones / equipos</x:v>
      </x:c>
      <x:c r="N48" s="14" t="str">
        <x:v>Movimientos de grandes equipos de demolición/excavación entre obras.</x:v>
      </x:c>
      <x:c r="O48" s="14" t="str">
        <x:v>Plataforma 20 tn + malacate + coordinación interobra.</x:v>
      </x:c>
      <x:c r="P48" s="14" t="str">
        <x:v>Reducir tiempos muertos de maquinaria durante cambios de obra.</x:v>
      </x:c>
      <x:c r="Q48" s="14" t="str">
        <x:v>Contactar operaciones y detectar próximos traslados.</x:v>
      </x:c>
      <x:c r="R48" s="14"/>
      <x:c r="S48" s="14" t="str">
        <x:v>Tte. Gral. Donato Alvarez 7812, Córdoba</x:v>
      </x:c>
      <x:c r="T48" s="14"/>
      <x:c r="U48" s="14"/>
      <x:c r="V48" s="14"/>
      <x:c r="W48" s="14"/>
      <x:c r="X48" s="14" t="str">
        <x:v>tel:+543516134084</x:v>
      </x:c>
      <x:c r="Y48" s="14" t="str">
        <x:v>tel:+543516134084</x:v>
      </x:c>
      <x:c r="Z48" s="14" t="str">
        <x:v>Confirmar decisor, frecuencia de movimientos, peso/dimensiones habituales y cómo resuelven hoy los traslados.</x:v>
      </x:c>
      <x:c r="AA48" s="14" t="str">
        <x:v>https://www.google.com/maps/search/?api=1&amp;query=Demoliciones+y+Excavaciones+Signorini+S.A.+Tte.+Gral.+Donato+Alvarez+7812%2C+C%C3%B3rdoba</x:v>
      </x:c>
      <x:c r="AB48" s="14" t="str">
        <x:v>Google Maps / directorio comercial</x:v>
      </x:c>
      <x:c r="AC48" s="14" t="str">
        <x:v>https://www.google.com/maps/search/?api=1&amp;query=Demoliciones+y+Excavaciones+Signorini+SA+Donato+Alvarez+7812+C%C3%B3rdoba</x:v>
      </x:c>
      <x:c r="AD48" s="14" t="str">
        <x:v>Empresa constructora/contratista de excavación en Córdoba Capital; trabaja con grandes equipos.</x:v>
      </x:c>
      <x:c r="AE48" s="14" t="str">
        <x:v>Media-Alta</x:v>
      </x:c>
      <x:c r="AF48" s="14" t="str">
        <x:v>Rastrillaje profundo Córdoba Capital 2026-09-14</x:v>
      </x:c>
      <x:c r="AG48" s="14" t="str">
        <x:v>Plataforma 20 tn + malacate + coordinación interobra.</x:v>
      </x:c>
      <x:c r="AH48" s="14" t="str">
        <x:v>demoliciones / excavaciones</x:v>
      </x:c>
      <x:c r="AI48" s="14" t="str">
        <x:v>Sí</x:v>
      </x:c>
      <x:c r="AJ48" s="14" t="str">
        <x:v>A+ — visita/llamada inmediata</x:v>
      </x:c>
      <x:c r="AK48" s="14" t="str">
        <x:v>Alta necesidad por naturaleza del servicio.</x:v>
      </x:c>
      <x:c r="AL48" s="14" t="str">
        <x:v>Google Maps / directorio comercial</x:v>
      </x:c>
      <x:c r="AM48" s="14" t="str">
        <x:v>Alta nueva del barrido profundo; cruzada contra la base maestra y el primer barrido para evitar duplicados.</x:v>
      </x:c>
    </x:row>
    <x:row r="49" ht="44" customHeight="1">
      <x:c r="A49" s="14" t="str">
        <x:v>CBA-048</x:v>
      </x:c>
      <x:c r="B49" s="14" t="str">
        <x:v>Pendiente</x:v>
      </x:c>
      <x:c r="C49" s="14" t="str">
        <x:v>Córdoba Capital</x:v>
      </x:c>
      <x:c r="D49" s="14" t="str">
        <x:v>Palpa 5446, X5003 Córdoba</x:v>
      </x:c>
      <x:c r="E49" s="14" t="str">
        <x:v>Córdoba Capital</x:v>
      </x:c>
      <x:c r="F49" s="14" t="str">
        <x:v>A+</x:v>
      </x:c>
      <x:c r="G49" s="14" t="n">
        <x:v>95</x:v>
      </x:c>
      <x:c r="H49" s="14" t="str">
        <x:v>Olmos Demoliciones - Olmos Vial</x:v>
      </x:c>
      <x:c r="I49" s="14" t="str">
        <x:v>Demoliciones y servicios viales</x:v>
      </x:c>
      <x:c r="J49" s="14" t="str">
        <x:v>Construcción vial / movimiento de suelo</x:v>
      </x:c>
      <x:c r="K49" s="14" t="str">
        <x:v>+54 9 351 3615566</x:v>
      </x:c>
      <x:c r="L49" s="14" t="str">
        <x:v>OK</x:v>
      </x:c>
      <x:c r="M49" s="14" t="str">
        <x:v>operaciones / equipos / logística</x:v>
      </x:c>
      <x:c r="N49" s="14" t="str">
        <x:v>Traslado de maquinaria de demolición y vial entre obras.</x:v>
      </x:c>
      <x:c r="O49" s="14" t="str">
        <x:v>Plataforma 20 tn + malacate + coordinación de frentes.</x:v>
      </x:c>
      <x:c r="P49" s="14" t="str">
        <x:v>Proveedor de refuerzo para rotación rápida de equipos.</x:v>
      </x:c>
      <x:c r="Q49" s="14" t="str">
        <x:v>Pedir por operaciones y validar parque actual.</x:v>
      </x:c>
      <x:c r="R49" s="14"/>
      <x:c r="S49" s="14" t="str">
        <x:v>Palpa 5446, X5003 Córdoba</x:v>
      </x:c>
      <x:c r="T49" s="14"/>
      <x:c r="U49" s="14"/>
      <x:c r="V49" s="14"/>
      <x:c r="W49" s="14"/>
      <x:c r="X49" s="14" t="str">
        <x:v>tel:+5493513615566</x:v>
      </x:c>
      <x:c r="Y49" s="14" t="str">
        <x:v>tel:+5493513615566</x:v>
      </x:c>
      <x:c r="Z49" s="14" t="str">
        <x:v>Confirmar decisor, frecuencia de movimientos, peso/dimensiones habituales y cómo resuelven hoy los traslados.</x:v>
      </x:c>
      <x:c r="AA49" s="14" t="str">
        <x:v>https://www.google.com/maps/search/?api=1&amp;query=Olmos+Demoliciones+-+Olmos+Vial+Palpa+5446%2C+X5003+C%C3%B3rdoba</x:v>
      </x:c>
      <x:c r="AB49" s="14" t="str">
        <x:v>Google Maps / ficha comercial</x:v>
      </x:c>
      <x:c r="AC49" s="14" t="str">
        <x:v>https://www.google.com/maps/search/?api=1&amp;query=Olmos+Demoliciones+Olmos+Vial+Palpa+5446+C%C3%B3rdoba</x:v>
      </x:c>
      <x:c r="AD49" s="14" t="str">
        <x:v>Empresa de demoliciones/servicios viales con base en Córdoba Capital.</x:v>
      </x:c>
      <x:c r="AE49" s="14" t="str">
        <x:v>Media-Alta</x:v>
      </x:c>
      <x:c r="AF49" s="14" t="str">
        <x:v>Rastrillaje profundo Córdoba Capital 2026-09-14</x:v>
      </x:c>
      <x:c r="AG49" s="14" t="str">
        <x:v>Plataforma 20 tn + malacate + coordinación de frentes.</x:v>
      </x:c>
      <x:c r="AH49" s="14" t="str">
        <x:v>demoliciones / vial</x:v>
      </x:c>
      <x:c r="AI49" s="14" t="str">
        <x:v>Sí</x:v>
      </x:c>
      <x:c r="AJ49" s="14" t="str">
        <x:v>A+ — visita/llamada inmediata</x:v>
      </x:c>
      <x:c r="AK49" s="14" t="str">
        <x:v>A+ por uso de equipos pesados.</x:v>
      </x:c>
      <x:c r="AL49" s="14" t="str">
        <x:v>Google Maps / ficha comercial</x:v>
      </x:c>
      <x:c r="AM49" s="14" t="str">
        <x:v>Alta nueva del barrido profundo; cruzada contra la base maestra y el primer barrido para evitar duplicados.</x:v>
      </x:c>
    </x:row>
    <x:row r="50" ht="44" customHeight="1">
      <x:c r="A50" s="14" t="str">
        <x:v>CBA-049</x:v>
      </x:c>
      <x:c r="B50" s="14" t="str">
        <x:v>Pendiente</x:v>
      </x:c>
      <x:c r="C50" s="14" t="str">
        <x:v>Córdoba Capital</x:v>
      </x:c>
      <x:c r="D50" s="14" t="str">
        <x:v>Méjico 155, X5004 Córdoba</x:v>
      </x:c>
      <x:c r="E50" s="14" t="str">
        <x:v>Córdoba Capital</x:v>
      </x:c>
      <x:c r="F50" s="14" t="str">
        <x:v>A+</x:v>
      </x:c>
      <x:c r="G50" s="14" t="n">
        <x:v>95</x:v>
      </x:c>
      <x:c r="H50" s="14" t="str">
        <x:v>Demoliciones Brasca</x:v>
      </x:c>
      <x:c r="I50" s="14" t="str">
        <x:v>Demoliciones y movimiento de materiales/equipos</x:v>
      </x:c>
      <x:c r="J50" s="14" t="str">
        <x:v>Construcción vial / movimiento de suelo</x:v>
      </x:c>
      <x:c r="K50" s="14" t="str">
        <x:v>+54 351 4510341</x:v>
      </x:c>
      <x:c r="L50" s="14" t="str">
        <x:v>OK</x:v>
      </x:c>
      <x:c r="M50" s="14" t="str">
        <x:v>operaciones / equipos / logística</x:v>
      </x:c>
      <x:c r="N50" s="14" t="str">
        <x:v>Movilización de equipos de demolición y maquinaria entre trabajos.</x:v>
      </x:c>
      <x:c r="O50" s="14" t="str">
        <x:v>Plataforma 20 tn + malacate + traslados interobra.</x:v>
      </x:c>
      <x:c r="P50" s="14" t="str">
        <x:v>Cubrir picos de movilización y cambios de frente sin demoras.</x:v>
      </x:c>
      <x:c r="Q50" s="14" t="str">
        <x:v>Llamar a operaciones y preguntar por próximo movimiento.</x:v>
      </x:c>
      <x:c r="R50" s="14"/>
      <x:c r="S50" s="14" t="str">
        <x:v>Méjico 155, X5004 Córdoba</x:v>
      </x:c>
      <x:c r="T50" s="14"/>
      <x:c r="U50" s="14"/>
      <x:c r="V50" s="14"/>
      <x:c r="W50" s="14"/>
      <x:c r="X50" s="14" t="str">
        <x:v>tel:+543514510341</x:v>
      </x:c>
      <x:c r="Y50" s="14" t="str">
        <x:v>tel:+543514510341</x:v>
      </x:c>
      <x:c r="Z50" s="14" t="str">
        <x:v>Confirmar decisor, frecuencia de movimientos, peso/dimensiones habituales y cómo resuelven hoy los traslados.</x:v>
      </x:c>
      <x:c r="AA50" s="14" t="str">
        <x:v>https://www.google.com/maps/search/?api=1&amp;query=Demoliciones+Brasca+M%C3%A9jico+155%2C+X5004+C%C3%B3rdoba</x:v>
      </x:c>
      <x:c r="AB50" s="14" t="str">
        <x:v>Google Maps / ficha comercial</x:v>
      </x:c>
      <x:c r="AC50" s="14" t="str">
        <x:v>https://www.google.com/maps/search/?api=1&amp;query=Demoliciones+Brasca+M%C3%A9jico+155+C%C3%B3rdoba</x:v>
      </x:c>
      <x:c r="AD50" s="14" t="str">
        <x:v>Contratista de demolición con base en Córdoba Capital.</x:v>
      </x:c>
      <x:c r="AE50" s="14" t="str">
        <x:v>Media-Alta</x:v>
      </x:c>
      <x:c r="AF50" s="14" t="str">
        <x:v>Rastrillaje profundo Córdoba Capital 2026-09-14</x:v>
      </x:c>
      <x:c r="AG50" s="14" t="str">
        <x:v>Plataforma 20 tn + malacate + traslados interobra.</x:v>
      </x:c>
      <x:c r="AH50" s="14" t="str">
        <x:v>demoliciones</x:v>
      </x:c>
      <x:c r="AI50" s="14" t="str">
        <x:v>Sí</x:v>
      </x:c>
      <x:c r="AJ50" s="14" t="str">
        <x:v>A+ — visita/llamada inmediata</x:v>
      </x:c>
      <x:c r="AK50" s="14" t="str">
        <x:v>Alta necesidad inherente al rubro.</x:v>
      </x:c>
      <x:c r="AL50" s="14" t="str">
        <x:v>Google Maps / ficha comercial</x:v>
      </x:c>
      <x:c r="AM50" s="14" t="str">
        <x:v>Alta nueva del barrido profundo; cruzada contra la base maestra y el primer barrido para evitar duplicados.</x:v>
      </x:c>
    </x:row>
    <x:row r="51" ht="44" customHeight="1">
      <x:c r="A51" s="14" t="str">
        <x:v>CBA-050</x:v>
      </x:c>
      <x:c r="B51" s="14" t="str">
        <x:v>Pendiente</x:v>
      </x:c>
      <x:c r="C51" s="14" t="str">
        <x:v>Córdoba Capital</x:v>
      </x:c>
      <x:c r="D51" s="14" t="str">
        <x:v>Parque Industrial Polo 52, Manzana 48 Lote 19, Córdoba</x:v>
      </x:c>
      <x:c r="E51" s="14" t="str">
        <x:v>Córdoba Capital</x:v>
      </x:c>
      <x:c r="F51" s="14" t="str">
        <x:v>A</x:v>
      </x:c>
      <x:c r="G51" s="14" t="n">
        <x:v>90</x:v>
      </x:c>
      <x:c r="H51" s="14" t="str">
        <x:v>Grupo Kilowatt</x:v>
      </x:c>
      <x:c r="I51" s="14" t="str">
        <x:v>Fabricación de grupos electrógenos y equipos eléctricos</x:v>
      </x:c>
      <x:c r="J51" s="14" t="str">
        <x:v>Equipos industriales / energía</x:v>
      </x:c>
      <x:c r="K51" s="14" t="str">
        <x:v>+54 351 5693902</x:v>
      </x:c>
      <x:c r="L51" s="14" t="str">
        <x:v>OK</x:v>
      </x:c>
      <x:c r="M51" s="14" t="str">
        <x:v>ventas / logística / expedición</x:v>
      </x:c>
      <x:c r="N51" s="14" t="str">
        <x:v>Entrega de grupos electrógenos y equipos de generación a obras, industrias y eventos.</x:v>
      </x:c>
      <x:c r="O51" s="14" t="str">
        <x:v>Plataforma + hidrogrúa/malacate según peso + seguro/GPS.</x:v>
      </x:c>
      <x:c r="P51" s="14" t="str">
        <x:v>Tercerizar entregas de equipos pesados y evitar coordinar grúa/transporte por separado.</x:v>
      </x:c>
      <x:c r="Q51" s="14" t="str">
        <x:v>Contactar ventas/logística y relevar pesos de grupos más vendidos.</x:v>
      </x:c>
      <x:c r="R51" s="14"/>
      <x:c r="S51" s="14" t="str">
        <x:v>Parque Industrial Polo 52, Manzana 48 Lote 19, Córdoba</x:v>
      </x:c>
      <x:c r="T51" s="14"/>
      <x:c r="U51" s="14"/>
      <x:c r="V51" s="14"/>
      <x:c r="W51" s="14"/>
      <x:c r="X51" s="14" t="str">
        <x:v>tel:+543515693902</x:v>
      </x:c>
      <x:c r="Y51" s="14" t="str">
        <x:v>tel:+543515693902</x:v>
      </x:c>
      <x:c r="Z51" s="14" t="str">
        <x:v>Confirmar decisor, frecuencia de movimientos, peso/dimensiones habituales y cómo resuelven hoy los traslados.</x:v>
      </x:c>
      <x:c r="AA51" s="14" t="str">
        <x:v>https://www.google.com/maps/search/?api=1&amp;query=Grupo+Kilowatt+Parque+Industrial+Polo+52%2C+Manzana+48+Lote+19%2C+C%C3%B3rdoba</x:v>
      </x:c>
      <x:c r="AB51" s="14" t="str">
        <x:v>Google Maps / ficha comercial</x:v>
      </x:c>
      <x:c r="AC51" s="14" t="str">
        <x:v>https://www.google.com/maps/search/?api=1&amp;query=Grupo+Kilowatt+Polo+52+C%C3%B3rdoba</x:v>
      </x:c>
      <x:c r="AD51" s="14" t="str">
        <x:v>Fabricante de grupos electrógenos en Polo 52, Córdoba.</x:v>
      </x:c>
      <x:c r="AE51" s="14" t="str">
        <x:v>Media-Alta</x:v>
      </x:c>
      <x:c r="AF51" s="14" t="str">
        <x:v>Rastrillaje profundo Córdoba Capital 2026-09-14</x:v>
      </x:c>
      <x:c r="AG51" s="14" t="str">
        <x:v>Plataforma + hidrogrúa/malacate según peso + seguro/GPS.</x:v>
      </x:c>
      <x:c r="AH51" s="14" t="str">
        <x:v>grupos electrógenos / energía</x:v>
      </x:c>
      <x:c r="AI51" s="14" t="str">
        <x:v>Sí</x:v>
      </x:c>
      <x:c r="AJ51" s="14" t="str">
        <x:v>A — prioridad alta</x:v>
      </x:c>
      <x:c r="AK51" s="14" t="str">
        <x:v>Buen encaje por entregas de equipos pesados.</x:v>
      </x:c>
      <x:c r="AL51" s="14" t="str">
        <x:v>Google Maps / ficha comercial</x:v>
      </x:c>
      <x:c r="AM51" s="14" t="str">
        <x:v>Alta nueva del barrido profundo; cruzada contra la base maestra y el primer barrido para evitar duplicados.</x:v>
      </x:c>
    </x:row>
    <x:row r="52" ht="44" customHeight="1">
      <x:c r="A52" s="14" t="str">
        <x:v>CBA-051</x:v>
      </x:c>
      <x:c r="B52" s="14" t="str">
        <x:v>Pendiente</x:v>
      </x:c>
      <x:c r="C52" s="14" t="str">
        <x:v>Córdoba Capital</x:v>
      </x:c>
      <x:c r="D52" s="14" t="str">
        <x:v>Salvador Díaz Miron 65, X5000 Córdoba</x:v>
      </x:c>
      <x:c r="E52" s="14" t="str">
        <x:v>Córdoba Capital</x:v>
      </x:c>
      <x:c r="F52" s="14" t="str">
        <x:v>A</x:v>
      </x:c>
      <x:c r="G52" s="14" t="n">
        <x:v>90</x:v>
      </x:c>
      <x:c r="H52" s="14" t="str">
        <x:v>Calderas Industriales Cal Marq Córdoba</x:v>
      </x:c>
      <x:c r="I52" s="14" t="str">
        <x:v>Fabricación de calderas industriales</x:v>
      </x:c>
      <x:c r="J52" s="14" t="str">
        <x:v>Equipos industriales / energía</x:v>
      </x:c>
      <x:c r="K52" s="14" t="str">
        <x:v>+54 351 3324444</x:v>
      </x:c>
      <x:c r="L52" s="14" t="str">
        <x:v>OK</x:v>
      </x:c>
      <x:c r="M52" s="14" t="str">
        <x:v>producción / expedición / montaje</x:v>
      </x:c>
      <x:c r="N52" s="14" t="str">
        <x:v>Despacho de calderas y equipos térmicos de gran peso/volumen a plantas.</x:v>
      </x:c>
      <x:c r="O52" s="14" t="str">
        <x:v>Plataforma 20 tn + hidrogrúa + maniobras coordinadas.</x:v>
      </x:c>
      <x:c r="P52" s="14" t="str">
        <x:v>Resolver despacho e instalación logística de equipos sin depender de múltiples proveedores.</x:v>
      </x:c>
      <x:c r="Q52" s="14" t="str">
        <x:v>Llamar a producción/expedición y preguntar tamaños/pesos habituales.</x:v>
      </x:c>
      <x:c r="R52" s="14"/>
      <x:c r="S52" s="14" t="str">
        <x:v>Salvador Díaz Miron 65, X5000 Córdoba</x:v>
      </x:c>
      <x:c r="T52" s="14"/>
      <x:c r="U52" s="14"/>
      <x:c r="V52" s="14"/>
      <x:c r="W52" s="14"/>
      <x:c r="X52" s="14" t="str">
        <x:v>tel:+543513324444</x:v>
      </x:c>
      <x:c r="Y52" s="14" t="str">
        <x:v>tel:+543513324444</x:v>
      </x:c>
      <x:c r="Z52" s="14" t="str">
        <x:v>Confirmar decisor, frecuencia de movimientos, peso/dimensiones habituales y cómo resuelven hoy los traslados.</x:v>
      </x:c>
      <x:c r="AA52" s="14" t="str">
        <x:v>https://www.google.com/maps/search/?api=1&amp;query=Calderas+Industriales+Cal+Marq+C%C3%B3rdoba+Salvador+D%C3%ADaz+Miron+65%2C+X5000+C%C3%B3rdoba</x:v>
      </x:c>
      <x:c r="AB52" s="14" t="str">
        <x:v>Google Maps / ficha comercial</x:v>
      </x:c>
      <x:c r="AC52" s="14" t="str">
        <x:v>https://www.google.com/maps/search/?api=1&amp;query=Calderas+Industriales+Cal+Marq+Salvador+Diaz+Miron+65+C%C3%B3rdoba</x:v>
      </x:c>
      <x:c r="AD52" s="14" t="str">
        <x:v>Fabricante de calderas industriales en Córdoba Capital.</x:v>
      </x:c>
      <x:c r="AE52" s="14" t="str">
        <x:v>Media-Alta</x:v>
      </x:c>
      <x:c r="AF52" s="14" t="str">
        <x:v>Rastrillaje profundo Córdoba Capital 2026-09-14</x:v>
      </x:c>
      <x:c r="AG52" s="14" t="str">
        <x:v>Plataforma 20 tn + hidrogrúa + maniobras coordinadas.</x:v>
      </x:c>
      <x:c r="AH52" s="14" t="str">
        <x:v>calderas / equipos industriales</x:v>
      </x:c>
      <x:c r="AI52" s="14" t="str">
        <x:v>Sí</x:v>
      </x:c>
      <x:c r="AJ52" s="14" t="str">
        <x:v>A — prioridad alta</x:v>
      </x:c>
      <x:c r="AK52" s="14" t="str">
        <x:v>Carga pesada y sobredimensionada potencial.</x:v>
      </x:c>
      <x:c r="AL52" s="14" t="str">
        <x:v>Google Maps / ficha comercial</x:v>
      </x:c>
      <x:c r="AM52" s="14" t="str">
        <x:v>Alta nueva del barrido profundo; cruzada contra la base maestra y el primer barrido para evitar duplicados.</x:v>
      </x:c>
    </x:row>
    <x:row r="53" ht="44" customHeight="1">
      <x:c r="A53" s="14" t="str">
        <x:v>CBA-052</x:v>
      </x:c>
      <x:c r="B53" s="14" t="str">
        <x:v>Pendiente</x:v>
      </x:c>
      <x:c r="C53" s="14" t="str">
        <x:v>Córdoba Capital</x:v>
      </x:c>
      <x:c r="D53" s="14" t="str">
        <x:v>San Fernando 1477, X5000 Córdoba</x:v>
      </x:c>
      <x:c r="E53" s="14" t="str">
        <x:v>Córdoba Capital</x:v>
      </x:c>
      <x:c r="F53" s="14" t="str">
        <x:v>A</x:v>
      </x:c>
      <x:c r="G53" s="14" t="n">
        <x:v>90</x:v>
      </x:c>
      <x:c r="H53" s="14" t="str">
        <x:v>Montajes Industriales SRL</x:v>
      </x:c>
      <x:c r="I53" s="14" t="str">
        <x:v>Fabricación de estructuras metálicas y montajes</x:v>
      </x:c>
      <x:c r="J53" s="14" t="str">
        <x:v>Metalúrgica y fabricación</x:v>
      </x:c>
      <x:c r="K53" s="14" t="str">
        <x:v>+54 351 6697355</x:v>
      </x:c>
      <x:c r="L53" s="14" t="str">
        <x:v>OK</x:v>
      </x:c>
      <x:c r="M53" s="14" t="str">
        <x:v>producción / montaje / logística</x:v>
      </x:c>
      <x:c r="N53" s="14" t="str">
        <x:v>Traslado de estructuras, conjuntos metálicos y equipos hacia obra/planta.</x:v>
      </x:c>
      <x:c r="O53" s="14" t="str">
        <x:v>Plataforma 20 tn + hidrogrúa + seguro/GPS.</x:v>
      </x:c>
      <x:c r="P53" s="14" t="str">
        <x:v>Integrar transporte con cronograma de montaje y descarga.</x:v>
      </x:c>
      <x:c r="Q53" s="14" t="str">
        <x:v>Contactar montaje/logística y preguntar por obras activas.</x:v>
      </x:c>
      <x:c r="R53" s="14"/>
      <x:c r="S53" s="14" t="str">
        <x:v>San Fernando 1477, X5000 Córdoba</x:v>
      </x:c>
      <x:c r="T53" s="14"/>
      <x:c r="U53" s="14"/>
      <x:c r="V53" s="14"/>
      <x:c r="W53" s="14"/>
      <x:c r="X53" s="14" t="str">
        <x:v>tel:+543516697355</x:v>
      </x:c>
      <x:c r="Y53" s="14" t="str">
        <x:v>tel:+543516697355</x:v>
      </x:c>
      <x:c r="Z53" s="14" t="str">
        <x:v>Confirmar decisor, frecuencia de movimientos, peso/dimensiones habituales y cómo resuelven hoy los traslados.</x:v>
      </x:c>
      <x:c r="AA53" s="14" t="str">
        <x:v>https://www.google.com/maps/search/?api=1&amp;query=Montajes+Industriales+SRL+San+Fernando+1477%2C+X5000+C%C3%B3rdoba</x:v>
      </x:c>
      <x:c r="AB53" s="14" t="str">
        <x:v>Google Maps / ficha comercial</x:v>
      </x:c>
      <x:c r="AC53" s="14" t="str">
        <x:v>https://www.google.com/maps/search/?api=1&amp;query=Montajes+Industriales+SRL+San+Fernando+1477+C%C3%B3rdoba</x:v>
      </x:c>
      <x:c r="AD53" s="14" t="str">
        <x:v>Fabricante de estructuras metálicas en Córdoba Capital.</x:v>
      </x:c>
      <x:c r="AE53" s="14" t="str">
        <x:v>Media-Alta</x:v>
      </x:c>
      <x:c r="AF53" s="14" t="str">
        <x:v>Rastrillaje profundo Córdoba Capital 2026-09-14</x:v>
      </x:c>
      <x:c r="AG53" s="14" t="str">
        <x:v>Plataforma 20 tn + hidrogrúa + seguro/GPS.</x:v>
      </x:c>
      <x:c r="AH53" s="14" t="str">
        <x:v>estructuras / montajes</x:v>
      </x:c>
      <x:c r="AI53" s="14" t="str">
        <x:v>Sí</x:v>
      </x:c>
      <x:c r="AJ53" s="14" t="str">
        <x:v>A — prioridad alta</x:v>
      </x:c>
      <x:c r="AK53" s="14" t="str">
        <x:v>Buen encaje para cargas largas y pesadas.</x:v>
      </x:c>
      <x:c r="AL53" s="14" t="str">
        <x:v>Google Maps / ficha comercial</x:v>
      </x:c>
      <x:c r="AM53" s="14" t="str">
        <x:v>Alta nueva del barrido profundo; cruzada contra la base maestra y el primer barrido para evitar duplicados.</x:v>
      </x:c>
    </x:row>
    <x:row r="54" ht="44" customHeight="1">
      <x:c r="A54" s="14" t="str">
        <x:v>CBA-053</x:v>
      </x:c>
      <x:c r="B54" s="14" t="str">
        <x:v>Pendiente</x:v>
      </x:c>
      <x:c r="C54" s="14" t="str">
        <x:v>Córdoba Capital</x:v>
      </x:c>
      <x:c r="D54" s="14" t="str">
        <x:v>Av. Japón, Córdoba</x:v>
      </x:c>
      <x:c r="E54" s="14" t="str">
        <x:v>Córdoba Capital</x:v>
      </x:c>
      <x:c r="F54" s="14" t="str">
        <x:v>A</x:v>
      </x:c>
      <x:c r="G54" s="14" t="n">
        <x:v>85</x:v>
      </x:c>
      <x:c r="H54" s="14" t="str">
        <x:v>Hormigones Alberdi SRL</x:v>
      </x:c>
      <x:c r="I54" s="14" t="str">
        <x:v>Hormigón elaborado</x:v>
      </x:c>
      <x:c r="J54" s="14" t="str">
        <x:v>Hormigón, áridos y materiales</x:v>
      </x:c>
      <x:c r="K54" s="14" t="str">
        <x:v>+54 351 6564188</x:v>
      </x:c>
      <x:c r="L54" s="14" t="str">
        <x:v>OK</x:v>
      </x:c>
      <x:c r="M54" s="14" t="str">
        <x:v>planta / mantenimiento / logística</x:v>
      </x:c>
      <x:c r="N54" s="14" t="str">
        <x:v>Traslado eventual de equipos de planta, moldes, bombas y maquinaria auxiliar; apoyo a obras especiales.</x:v>
      </x:c>
      <x:c r="O54" s="14" t="str">
        <x:v>Plataforma + hidrogrúa para equipos/piezas; no competir con mixer de hormigón.</x:v>
      </x:c>
      <x:c r="P54" s="14" t="str">
        <x:v>Ofrecer logística de equipos y componentes, no reparto de hormigón.</x:v>
      </x:c>
      <x:c r="Q54" s="14" t="str">
        <x:v>Contactar planta/mantenimiento y relevar movimientos no cubiertos por su flota.</x:v>
      </x:c>
      <x:c r="R54" s="14"/>
      <x:c r="S54" s="14" t="str">
        <x:v>Av. Japón, Córdoba</x:v>
      </x:c>
      <x:c r="T54" s="14"/>
      <x:c r="U54" s="14"/>
      <x:c r="V54" s="14"/>
      <x:c r="W54" s="14"/>
      <x:c r="X54" s="14" t="str">
        <x:v>tel:+543516564188</x:v>
      </x:c>
      <x:c r="Y54" s="14" t="str">
        <x:v>tel:+543516564188</x:v>
      </x:c>
      <x:c r="Z54" s="14" t="str">
        <x:v>Confirmar decisor, frecuencia de movimientos, peso/dimensiones habituales y cómo resuelven hoy los traslados.</x:v>
      </x:c>
      <x:c r="AA54" s="14" t="str">
        <x:v>https://www.google.com/maps/search/?api=1&amp;query=Hormigones+Alberdi+SRL+Av.+Jap%C3%B3n%2C+C%C3%B3rdoba</x:v>
      </x:c>
      <x:c r="AB54" s="14" t="str">
        <x:v>Google Maps / ficha comercial</x:v>
      </x:c>
      <x:c r="AC54" s="14" t="str">
        <x:v>https://www.google.com/maps/search/?api=1&amp;query=Hormigones+Alberdi+SRL+Av+Jap%C3%B3n+C%C3%B3rdoba</x:v>
      </x:c>
      <x:c r="AD54" s="14" t="str">
        <x:v>Proveedor de hormigón preparado en Córdoba Capital.</x:v>
      </x:c>
      <x:c r="AE54" s="14" t="str">
        <x:v>Media-Alta</x:v>
      </x:c>
      <x:c r="AF54" s="14" t="str">
        <x:v>Rastrillaje profundo Córdoba Capital 2026-09-14</x:v>
      </x:c>
      <x:c r="AG54" s="14" t="str">
        <x:v>Plataforma + hidrogrúa para equipos/piezas; no competir con mixer de hormigón.</x:v>
      </x:c>
      <x:c r="AH54" s="14" t="str">
        <x:v>hormigón / equipos de planta</x:v>
      </x:c>
      <x:c r="AI54" s="14" t="str">
        <x:v>Sí</x:v>
      </x:c>
      <x:c r="AJ54" s="14" t="str">
        <x:v>A — prioridad alta</x:v>
      </x:c>
      <x:c r="AK54" s="14" t="str">
        <x:v>Potencial más puntual que recurrente; priorizar mantenimiento/equipos.</x:v>
      </x:c>
      <x:c r="AL54" s="14" t="str">
        <x:v>Google Maps / ficha comercial</x:v>
      </x:c>
      <x:c r="AM54" s="14" t="str">
        <x:v>Alta nueva del barrido profundo; cruzada contra la base maestra y el primer barrido para evitar duplicados.</x:v>
      </x:c>
    </x:row>
    <x:row r="55" ht="44" customHeight="1">
      <x:c r="A55" s="14" t="str">
        <x:v>CBA-054</x:v>
      </x:c>
      <x:c r="B55" s="14" t="str">
        <x:v>Pendiente</x:v>
      </x:c>
      <x:c r="C55" s="14" t="str">
        <x:v>Córdoba Capital</x:v>
      </x:c>
      <x:c r="D55" s="14" t="str">
        <x:v>Córdoba Capital, Córdoba</x:v>
      </x:c>
      <x:c r="E55" s="14" t="str">
        <x:v>Córdoba Capital</x:v>
      </x:c>
      <x:c r="F55" s="14" t="str">
        <x:v>A</x:v>
      </x:c>
      <x:c r="G55" s="14" t="n">
        <x:v>90</x:v>
      </x:c>
      <x:c r="H55" s="14" t="str">
        <x:v>L.A Generadores</x:v>
      </x:c>
      <x:c r="I55" s="14" t="str">
        <x:v>Alquiler de grupos electrógenos y equipos industriales</x:v>
      </x:c>
      <x:c r="J55" s="14" t="str">
        <x:v>Equipos industriales / energía</x:v>
      </x:c>
      <x:c r="K55" s="14" t="str">
        <x:v>+54 351 2375780</x:v>
      </x:c>
      <x:c r="L55" s="14" t="str">
        <x:v>OK</x:v>
      </x:c>
      <x:c r="M55" s="14" t="str">
        <x:v>alquileres / operaciones</x:v>
      </x:c>
      <x:c r="N55" s="14" t="str">
        <x:v>Entrega y retiro de grupos electrógenos en obras/eventos/industrias.</x:v>
      </x:c>
      <x:c r="O55" s="14" t="str">
        <x:v>Plataforma + hidrogrúa/malacate + entregas/retiros.</x:v>
      </x:c>
      <x:c r="P55" s="14" t="str">
        <x:v>Cubrir simultaneidad de alquileres y movimientos urgentes.</x:v>
      </x:c>
      <x:c r="Q55" s="14" t="str">
        <x:v>Llamar y consultar potencias/pesos de equipos y frecuencia de alquiler.</x:v>
      </x:c>
      <x:c r="R55" s="14"/>
      <x:c r="S55" s="14" t="str">
        <x:v>Córdoba Capital, Córdoba</x:v>
      </x:c>
      <x:c r="T55" s="14"/>
      <x:c r="U55" s="14"/>
      <x:c r="V55" s="14"/>
      <x:c r="W55" s="14"/>
      <x:c r="X55" s="14" t="str">
        <x:v>tel:+543512375780</x:v>
      </x:c>
      <x:c r="Y55" s="14" t="str">
        <x:v>tel:+543512375780</x:v>
      </x:c>
      <x:c r="Z55" s="14" t="str">
        <x:v>Confirmar decisor, frecuencia de movimientos, peso/dimensiones habituales y cómo resuelven hoy los traslados.</x:v>
      </x:c>
      <x:c r="AA55" s="14" t="str">
        <x:v>https://www.google.com/maps/search/?api=1&amp;query=L.A+Generadores+C%C3%B3rdoba+Capital%2C+C%C3%B3rdoba</x:v>
      </x:c>
      <x:c r="AB55" s="14" t="str">
        <x:v>Google Maps / ficha comercial</x:v>
      </x:c>
      <x:c r="AC55" s="14" t="str">
        <x:v>https://www.google.com/maps/search/?api=1&amp;query=L.A+Generadores+C%C3%B3rdoba+Capital</x:v>
      </x:c>
      <x:c r="AD55" s="14" t="str">
        <x:v>Alquiler de maquinaria y equipos industriales en Córdoba.</x:v>
      </x:c>
      <x:c r="AE55" s="14" t="str">
        <x:v>Media-Alta</x:v>
      </x:c>
      <x:c r="AF55" s="14" t="str">
        <x:v>Rastrillaje profundo Córdoba Capital 2026-09-14</x:v>
      </x:c>
      <x:c r="AG55" s="14" t="str">
        <x:v>Plataforma + hidrogrúa/malacate + entregas/retiros.</x:v>
      </x:c>
      <x:c r="AH55" s="14" t="str">
        <x:v>generadores / alquiler</x:v>
      </x:c>
      <x:c r="AI55" s="14" t="str">
        <x:v>Sí</x:v>
      </x:c>
      <x:c r="AJ55" s="14" t="str">
        <x:v>A — prioridad alta</x:v>
      </x:c>
      <x:c r="AK55" s="14" t="str">
        <x:v>Necesidad logística directa por alquiler.</x:v>
      </x:c>
      <x:c r="AL55" s="14" t="str">
        <x:v>Google Maps / ficha comercial</x:v>
      </x:c>
      <x:c r="AM55" s="14" t="str">
        <x:v>Alta nueva del barrido profundo; cruzada contra la base maestra y el primer barrido para evitar duplicados.</x:v>
      </x:c>
    </x:row>
    <x:row r="56" ht="44" customHeight="1">
      <x:c r="A56" s="14" t="str">
        <x:v>CBA-055</x:v>
      </x:c>
      <x:c r="B56" s="14" t="str">
        <x:v>Pendiente</x:v>
      </x:c>
      <x:c r="C56" s="14" t="str">
        <x:v>Córdoba Capital</x:v>
      </x:c>
      <x:c r="D56" s="14" t="str">
        <x:v>Japón 400, X5000 Córdoba</x:v>
      </x:c>
      <x:c r="E56" s="14" t="str">
        <x:v>Córdoba Capital</x:v>
      </x:c>
      <x:c r="F56" s="14" t="str">
        <x:v>A</x:v>
      </x:c>
      <x:c r="G56" s="14" t="n">
        <x:v>86</x:v>
      </x:c>
      <x:c r="H56" s="14" t="str">
        <x:v>SOLIND - Comercialización de Máquinas Industriales</x:v>
      </x:c>
      <x:c r="I56" s="14" t="str">
        <x:v>Comercialización y taller de máquinas industriales</x:v>
      </x:c>
      <x:c r="J56" s="14" t="str">
        <x:v>Equipos industriales / energía</x:v>
      </x:c>
      <x:c r="K56" s="14" t="str">
        <x:v>+54 9 351 6304033</x:v>
      </x:c>
      <x:c r="L56" s="14" t="str">
        <x:v>OK</x:v>
      </x:c>
      <x:c r="M56" s="14" t="str">
        <x:v>ventas / taller / logística</x:v>
      </x:c>
      <x:c r="N56" s="14" t="str">
        <x:v>Entrega y retiro de maquinaria industrial nueva/usada y equipos de taller.</x:v>
      </x:c>
      <x:c r="O56" s="14" t="str">
        <x:v>Plataforma + malacate + seguro.</x:v>
      </x:c>
      <x:c r="P56" s="14" t="str">
        <x:v>Resolver entregas especiales y retiros de máquinas para servicio.</x:v>
      </x:c>
      <x:c r="Q56" s="14" t="str">
        <x:v>Validar tipos/pesos de equipos y volumen de entregas.</x:v>
      </x:c>
      <x:c r="R56" s="14"/>
      <x:c r="S56" s="14" t="str">
        <x:v>Japón 400, X5000 Córdoba</x:v>
      </x:c>
      <x:c r="T56" s="14"/>
      <x:c r="U56" s="14"/>
      <x:c r="V56" s="14"/>
      <x:c r="W56" s="14"/>
      <x:c r="X56" s="14" t="str">
        <x:v>tel:+5493516304033</x:v>
      </x:c>
      <x:c r="Y56" s="14" t="str">
        <x:v>tel:+5493516304033</x:v>
      </x:c>
      <x:c r="Z56" s="14" t="str">
        <x:v>Confirmar decisor, frecuencia de movimientos, peso/dimensiones habituales y cómo resuelven hoy los traslados.</x:v>
      </x:c>
      <x:c r="AA56" s="14" t="str">
        <x:v>https://www.google.com/maps/search/?api=1&amp;query=SOLIND+-+Comercializaci%C3%B3n+de+M%C3%A1quinas+Industriales+Jap%C3%B3n+400%2C+X5000+C%C3%B3rdoba</x:v>
      </x:c>
      <x:c r="AB56" s="14" t="str">
        <x:v>Google Maps / ficha comercial</x:v>
      </x:c>
      <x:c r="AC56" s="14" t="str">
        <x:v>https://www.google.com/maps/search/?api=1&amp;query=SOLIND+Comercializaci%C3%B3n+de+M%C3%A1quinas+Industriales+Japon+400+C%C3%B3rdoba</x:v>
      </x:c>
      <x:c r="AD56" s="14" t="str">
        <x:v>Fábrica/taller de maquinaria en Córdoba Capital.</x:v>
      </x:c>
      <x:c r="AE56" s="14" t="str">
        <x:v>Media-Alta</x:v>
      </x:c>
      <x:c r="AF56" s="14" t="str">
        <x:v>Rastrillaje profundo Córdoba Capital 2026-09-14</x:v>
      </x:c>
      <x:c r="AG56" s="14" t="str">
        <x:v>Plataforma + malacate + seguro.</x:v>
      </x:c>
      <x:c r="AH56" s="14" t="str">
        <x:v>maquinaria industrial</x:v>
      </x:c>
      <x:c r="AI56" s="14" t="str">
        <x:v>Sí</x:v>
      </x:c>
      <x:c r="AJ56" s="14" t="str">
        <x:v>A — prioridad alta</x:v>
      </x:c>
      <x:c r="AK56" s="14" t="str">
        <x:v>Interesante para carga industrial no estándar.</x:v>
      </x:c>
      <x:c r="AL56" s="14" t="str">
        <x:v>Google Maps / ficha comercial</x:v>
      </x:c>
      <x:c r="AM56" s="14" t="str">
        <x:v>Alta nueva del barrido profundo; cruzada contra la base maestra y el primer barrido para evitar duplicados.</x:v>
      </x:c>
    </x:row>
    <x:row r="57" ht="44" customHeight="1">
      <x:c r="A57" s="14" t="str">
        <x:v>CBA-056</x:v>
      </x:c>
      <x:c r="B57" s="14" t="str">
        <x:v>Pendiente</x:v>
      </x:c>
      <x:c r="C57" s="14" t="str">
        <x:v>Córdoba Capital</x:v>
      </x:c>
      <x:c r="D57" s="14" t="str">
        <x:v>Dr. Mariano Castex 270, X5003 Córdoba</x:v>
      </x:c>
      <x:c r="E57" s="14" t="str">
        <x:v>Córdoba Capital</x:v>
      </x:c>
      <x:c r="F57" s="14" t="str">
        <x:v>B</x:v>
      </x:c>
      <x:c r="G57" s="14" t="n">
        <x:v>80</x:v>
      </x:c>
      <x:c r="H57" s="14" t="str">
        <x:v>Ocampo Compresores</x:v>
      </x:c>
      <x:c r="I57" s="14" t="str">
        <x:v>Servicio y reparación de compresores de aire</x:v>
      </x:c>
      <x:c r="J57" s="14" t="str">
        <x:v>Equipos industriales / energía</x:v>
      </x:c>
      <x:c r="K57" s="14" t="str">
        <x:v>+54 351 7321333</x:v>
      </x:c>
      <x:c r="L57" s="14" t="str">
        <x:v>OK</x:v>
      </x:c>
      <x:c r="M57" s="14" t="str">
        <x:v>servicio técnico / logística</x:v>
      </x:c>
      <x:c r="N57" s="14" t="str">
        <x:v>Retiro y entrega de compresores industriales para reparación y mantenimiento.</x:v>
      </x:c>
      <x:c r="O57" s="14" t="str">
        <x:v>Plataforma/hidrogrúa según peso + retiro/entrega programada.</x:v>
      </x:c>
      <x:c r="P57" s="14" t="str">
        <x:v>Ofrecer logística de equipos que excedan utilitarios propios.</x:v>
      </x:c>
      <x:c r="Q57" s="14" t="str">
        <x:v>Llamar y relevar rango de peso de compresores atendidos.</x:v>
      </x:c>
      <x:c r="R57" s="14"/>
      <x:c r="S57" s="14" t="str">
        <x:v>Dr. Mariano Castex 270, X5003 Córdoba</x:v>
      </x:c>
      <x:c r="T57" s="14"/>
      <x:c r="U57" s="14"/>
      <x:c r="V57" s="14"/>
      <x:c r="W57" s="14"/>
      <x:c r="X57" s="14" t="str">
        <x:v>tel:+543517321333</x:v>
      </x:c>
      <x:c r="Y57" s="14" t="str">
        <x:v>tel:+543517321333</x:v>
      </x:c>
      <x:c r="Z57" s="14" t="str">
        <x:v>Confirmar decisor, frecuencia de movimientos, peso/dimensiones habituales y cómo resuelven hoy los traslados.</x:v>
      </x:c>
      <x:c r="AA57" s="14" t="str">
        <x:v>https://www.google.com/maps/search/?api=1&amp;query=Ocampo+Compresores+Dr.+Mariano+Castex+270%2C+X5003+C%C3%B3rdoba</x:v>
      </x:c>
      <x:c r="AB57" s="14" t="str">
        <x:v>Google Maps / ficha comercial</x:v>
      </x:c>
      <x:c r="AC57" s="14" t="str">
        <x:v>https://www.google.com/maps/search/?api=1&amp;query=Ocampo+Compresores+Mariano+Castex+270+C%C3%B3rdoba</x:v>
      </x:c>
      <x:c r="AD57" s="14" t="str">
        <x:v>Servicio especializado de compresores de aire en Córdoba Capital.</x:v>
      </x:c>
      <x:c r="AE57" s="14" t="str">
        <x:v>Media-Alta</x:v>
      </x:c>
      <x:c r="AF57" s="14" t="str">
        <x:v>Rastrillaje profundo Córdoba Capital 2026-09-14</x:v>
      </x:c>
      <x:c r="AG57" s="14" t="str">
        <x:v>Plataforma/hidrogrúa según peso + retiro/entrega programada.</x:v>
      </x:c>
      <x:c r="AH57" s="14" t="str">
        <x:v>compresores / servicio técnico</x:v>
      </x:c>
      <x:c r="AI57" s="14" t="str">
        <x:v>Sí</x:v>
      </x:c>
      <x:c r="AJ57" s="14" t="str">
        <x:v>B — segunda pasada</x:v>
      </x:c>
      <x:c r="AK57" s="14" t="str">
        <x:v>B por frecuencia incierta pero buen caso de retiro/entrega de equipos.</x:v>
      </x:c>
      <x:c r="AL57" s="14" t="str">
        <x:v>Google Maps / ficha comercial</x:v>
      </x:c>
      <x:c r="AM57" s="14" t="str">
        <x:v>Alta nueva del barrido profundo; cruzada contra la base maestra y el primer barrido para evitar duplicados.</x:v>
      </x:c>
    </x:row>
    <x:row r="58" ht="44" customHeight="1">
      <x:c r="A58" s="14" t="str">
        <x:v>CBA-057</x:v>
      </x:c>
      <x:c r="B58" s="14" t="str">
        <x:v>Pendiente</x:v>
      </x:c>
      <x:c r="C58" s="14" t="str">
        <x:v>Córdoba Capital</x:v>
      </x:c>
      <x:c r="D58" s="14" t="str">
        <x:v>Pasaje General Antranik 1224, X5004 Córdoba</x:v>
      </x:c>
      <x:c r="E58" s="14" t="str">
        <x:v>Córdoba Capital</x:v>
      </x:c>
      <x:c r="F58" s="14" t="str">
        <x:v>A</x:v>
      </x:c>
      <x:c r="G58" s="14" t="n">
        <x:v>90</x:v>
      </x:c>
      <x:c r="H58" s="14" t="str">
        <x:v>Autoelevadores El Yorch</x:v>
      </x:c>
      <x:c r="I58" s="14" t="str">
        <x:v>Alquiler de autoelevadores</x:v>
      </x:c>
      <x:c r="J58" s="14" t="str">
        <x:v>Autoelevadores y elevación</x:v>
      </x:c>
      <x:c r="K58" s="14" t="str">
        <x:v>+54 351 3853075</x:v>
      </x:c>
      <x:c r="L58" s="14" t="str">
        <x:v>OK</x:v>
      </x:c>
      <x:c r="M58" s="14" t="str">
        <x:v>alquileres / operaciones</x:v>
      </x:c>
      <x:c r="N58" s="14" t="str">
        <x:v>Entrega y retiro de autoelevadores entre clientes y base.</x:v>
      </x:c>
      <x:c r="O58" s="14" t="str">
        <x:v>Plataforma + malacate + entregas/retiros.</x:v>
      </x:c>
      <x:c r="P58" s="14" t="str">
        <x:v>Cubrir urgencias y operaciones fuera de horario/radio.</x:v>
      </x:c>
      <x:c r="Q58" s="14" t="str">
        <x:v>Llamar y preguntar frecuencia de alquileres y traslado actual.</x:v>
      </x:c>
      <x:c r="R58" s="14"/>
      <x:c r="S58" s="14" t="str">
        <x:v>Pasaje General Antranik 1224, X5004 Córdoba</x:v>
      </x:c>
      <x:c r="T58" s="14"/>
      <x:c r="U58" s="14"/>
      <x:c r="V58" s="14"/>
      <x:c r="W58" s="14"/>
      <x:c r="X58" s="14" t="str">
        <x:v>tel:+543513853075</x:v>
      </x:c>
      <x:c r="Y58" s="14" t="str">
        <x:v>tel:+543513853075</x:v>
      </x:c>
      <x:c r="Z58" s="14" t="str">
        <x:v>Confirmar decisor, frecuencia de movimientos, peso/dimensiones habituales y cómo resuelven hoy los traslados.</x:v>
      </x:c>
      <x:c r="AA58" s="14" t="str">
        <x:v>https://www.google.com/maps/search/?api=1&amp;query=Autoelevadores+El+Yorch+Pasaje+General+Antranik+1224%2C+X5004+C%C3%B3rdoba</x:v>
      </x:c>
      <x:c r="AB58" s="14" t="str">
        <x:v>Google Maps / ficha comercial</x:v>
      </x:c>
      <x:c r="AC58" s="14" t="str">
        <x:v>https://www.google.com/maps/search/?api=1&amp;query=Autoelevadores+El+Yorch+Pasaje+General+Antranik+1224+C%C3%B3rdoba</x:v>
      </x:c>
      <x:c r="AD58" s="14" t="str">
        <x:v>Agencia de alquiler de equipos en Córdoba Capital.</x:v>
      </x:c>
      <x:c r="AE58" s="14" t="str">
        <x:v>Media-Alta</x:v>
      </x:c>
      <x:c r="AF58" s="14" t="str">
        <x:v>Rastrillaje profundo Córdoba Capital 2026-09-14</x:v>
      </x:c>
      <x:c r="AG58" s="14" t="str">
        <x:v>Plataforma + malacate + entregas/retiros.</x:v>
      </x:c>
      <x:c r="AH58" s="14" t="str">
        <x:v>autoelevadores / alquiler</x:v>
      </x:c>
      <x:c r="AI58" s="14" t="str">
        <x:v>Sí</x:v>
      </x:c>
      <x:c r="AJ58" s="14" t="str">
        <x:v>A — prioridad alta</x:v>
      </x:c>
      <x:c r="AK58" s="14" t="str">
        <x:v>Necesidad logística directa.</x:v>
      </x:c>
      <x:c r="AL58" s="14" t="str">
        <x:v>Google Maps / ficha comercial</x:v>
      </x:c>
      <x:c r="AM58" s="14" t="str">
        <x:v>Alta nueva del barrido profundo; cruzada contra la base maestra y el primer barrido para evitar duplicados.</x:v>
      </x:c>
    </x:row>
    <x:row r="59" ht="44" customHeight="1">
      <x:c r="A59" s="14" t="str">
        <x:v>CBA-058</x:v>
      </x:c>
      <x:c r="B59" s="14" t="str">
        <x:v>Pendiente</x:v>
      </x:c>
      <x:c r="C59" s="14" t="str">
        <x:v>Córdoba Capital</x:v>
      </x:c>
      <x:c r="D59" s="14" t="str">
        <x:v>Av. Colón 5212, X5003 Córdoba</x:v>
      </x:c>
      <x:c r="E59" s="14" t="str">
        <x:v>Córdoba Capital</x:v>
      </x:c>
      <x:c r="F59" s="14" t="str">
        <x:v>B</x:v>
      </x:c>
      <x:c r="G59" s="14" t="n">
        <x:v>78</x:v>
      </x:c>
      <x:c r="H59" s="14" t="str">
        <x:v>Alquilo Todo Córdoba</x:v>
      </x:c>
      <x:c r="I59" s="14" t="str">
        <x:v>Alquiler de herramientas y equipos</x:v>
      </x:c>
      <x:c r="J59" s="14" t="str">
        <x:v>Equipos industriales / energía</x:v>
      </x:c>
      <x:c r="K59" s="14" t="str">
        <x:v>+54 351 7292451</x:v>
      </x:c>
      <x:c r="L59" s="14" t="str">
        <x:v>OK</x:v>
      </x:c>
      <x:c r="M59" s="14" t="str">
        <x:v>alquileres / logística</x:v>
      </x:c>
      <x:c r="N59" s="14" t="str">
        <x:v>Algunos equipos de alquiler requieren entrega/retiro; potencial para cargas que excedan utilitarios.</x:v>
      </x:c>
      <x:c r="O59" s="14" t="str">
        <x:v>Plataforma/hidrogrúa sólo para equipos pesados o especiales.</x:v>
      </x:c>
      <x:c r="P59" s="14" t="str">
        <x:v>Ofrecer servicio puntual para equipos grandes y picos, no logística liviana.</x:v>
      </x:c>
      <x:c r="Q59" s="14" t="str">
        <x:v>Validar cartera de equipos pesados antes de priorizar visita.</x:v>
      </x:c>
      <x:c r="R59" s="14"/>
      <x:c r="S59" s="14" t="str">
        <x:v>Av. Colón 5212, X5003 Córdoba</x:v>
      </x:c>
      <x:c r="T59" s="14"/>
      <x:c r="U59" s="14"/>
      <x:c r="V59" s="14"/>
      <x:c r="W59" s="14"/>
      <x:c r="X59" s="14" t="str">
        <x:v>tel:+543517292451</x:v>
      </x:c>
      <x:c r="Y59" s="14" t="str">
        <x:v>tel:+543517292451</x:v>
      </x:c>
      <x:c r="Z59" s="14" t="str">
        <x:v>Confirmar decisor, frecuencia de movimientos, peso/dimensiones habituales y cómo resuelven hoy los traslados.</x:v>
      </x:c>
      <x:c r="AA59" s="14" t="str">
        <x:v>https://www.google.com/maps/search/?api=1&amp;query=Alquilo+Todo+C%C3%B3rdoba+Av.+Col%C3%B3n+5212%2C+X5003+C%C3%B3rdoba</x:v>
      </x:c>
      <x:c r="AB59" s="14" t="str">
        <x:v>Google Maps / ficha comercial</x:v>
      </x:c>
      <x:c r="AC59" s="14" t="str">
        <x:v>https://www.google.com/maps/search/?api=1&amp;query=Alquilo+Todo+C%C3%B3rdoba+Av+Colon+5212+C%C3%B3rdoba</x:v>
      </x:c>
      <x:c r="AD59" s="14" t="str">
        <x:v>Agencia de alquiler de equipos/herramientas con alto volumen de reseñas.</x:v>
      </x:c>
      <x:c r="AE59" s="14" t="str">
        <x:v>Media-Alta</x:v>
      </x:c>
      <x:c r="AF59" s="14" t="str">
        <x:v>Rastrillaje profundo Córdoba Capital 2026-09-14</x:v>
      </x:c>
      <x:c r="AG59" s="14" t="str">
        <x:v>Plataforma/hidrogrúa sólo para equipos pesados o especiales.</x:v>
      </x:c>
      <x:c r="AH59" s="14" t="str">
        <x:v>alquiler equipos</x:v>
      </x:c>
      <x:c r="AI59" s="14" t="str">
        <x:v>Sí</x:v>
      </x:c>
      <x:c r="AJ59" s="14" t="str">
        <x:v>B — segunda pasada</x:v>
      </x:c>
      <x:c r="AK59" s="14" t="str">
        <x:v>B: filtrar si poseen maquinaria que justifique plataforma.</x:v>
      </x:c>
      <x:c r="AL59" s="14" t="str">
        <x:v>Google Maps / ficha comercial</x:v>
      </x:c>
      <x:c r="AM59" s="14" t="str">
        <x:v>Alta nueva del barrido profundo; cruzada contra la base maestra y el primer barrido para evitar duplicados.</x:v>
      </x:c>
    </x:row>
    <x:row r="60" ht="44" customHeight="1">
      <x:c r="A60" s="14" t="str">
        <x:v>CBA-059</x:v>
      </x:c>
      <x:c r="B60" s="14" t="str">
        <x:v>Pendiente</x:v>
      </x:c>
      <x:c r="C60" s="14" t="str">
        <x:v>Córdoba Capital</x:v>
      </x:c>
      <x:c r="D60" s="14" t="str">
        <x:v>De las Artesanías 4250, X5012 Córdoba</x:v>
      </x:c>
      <x:c r="E60" s="14" t="str">
        <x:v>Córdoba Capital</x:v>
      </x:c>
      <x:c r="F60" s="14" t="str">
        <x:v>B</x:v>
      </x:c>
      <x:c r="G60" s="14" t="n">
        <x:v>78</x:v>
      </x:c>
      <x:c r="H60" s="14" t="str">
        <x:v>Grúas Martin S.A.</x:v>
      </x:c>
      <x:c r="I60" s="14" t="str">
        <x:v>Grúas, izajes y transporte por camión</x:v>
      </x:c>
      <x:c r="J60" s="14" t="str">
        <x:v>Transporte / izajes / alianza</x:v>
      </x:c>
      <x:c r="K60" s="14" t="str">
        <x:v>+54 9 351 3910572</x:v>
      </x:c>
      <x:c r="L60" s="14" t="str">
        <x:v>OK</x:v>
      </x:c>
      <x:c r="M60" s="14" t="str">
        <x:v>operaciones / tráfico / comercial</x:v>
      </x:c>
      <x:c r="N60" s="14" t="str">
        <x:v>Puede requerir subcontratación de plataforma/carretones en picos o servicios combinados de izaje + transporte.</x:v>
      </x:c>
      <x:c r="O60" s="14" t="str">
        <x:v>Capacidad complementaria de plataforma/malacate y coordinación como socio de overflow.</x:v>
      </x:c>
      <x:c r="P60" s="14" t="str">
        <x:v>Plantear alianza operativa, no venta tradicional: cubrir picos o viajes que no calcen con su flota.</x:v>
      </x:c>
      <x:c r="Q60" s="14" t="str">
        <x:v>Contactar operaciones/comercial y validar interés en subcontratación recíproca.</x:v>
      </x:c>
      <x:c r="R60" s="14"/>
      <x:c r="S60" s="14" t="str">
        <x:v>De las Artesanías 4250, X5012 Córdoba</x:v>
      </x:c>
      <x:c r="T60" s="14"/>
      <x:c r="U60" s="14"/>
      <x:c r="V60" s="14"/>
      <x:c r="W60" s="14"/>
      <x:c r="X60" s="14" t="str">
        <x:v>tel:+5493513910572</x:v>
      </x:c>
      <x:c r="Y60" s="14" t="str">
        <x:v>tel:+5493513910572</x:v>
      </x:c>
      <x:c r="Z60" s="14" t="str">
        <x:v>Confirmar decisor, frecuencia de movimientos, peso/dimensiones habituales y cómo resuelven hoy los traslados.</x:v>
      </x:c>
      <x:c r="AA60" s="14" t="str">
        <x:v>https://www.google.com/maps/search/?api=1&amp;query=Gr%C3%BAas+Martin+S.A.+De+las+Artesan%C3%ADas+4250%2C+X5012+C%C3%B3rdoba</x:v>
      </x:c>
      <x:c r="AB60" s="14" t="str">
        <x:v>Google Maps / ficha comercial</x:v>
      </x:c>
      <x:c r="AC60" s="14" t="str">
        <x:v>https://www.google.com/maps/search/?api=1&amp;query=Gruas+Martin+SA+De+las+Artesanias+4250+C%C3%B3rdoba</x:v>
      </x:c>
      <x:c r="AD60" s="14" t="str">
        <x:v>Servicio de grúa y transporte por camión en Córdoba Capital.</x:v>
      </x:c>
      <x:c r="AE60" s="14" t="str">
        <x:v>Media-Alta</x:v>
      </x:c>
      <x:c r="AF60" s="14" t="str">
        <x:v>Rastrillaje profundo Córdoba Capital 2026-09-14</x:v>
      </x:c>
      <x:c r="AG60" s="14" t="str">
        <x:v>Capacidad complementaria de plataforma/malacate y coordinación como socio de overflow.</x:v>
      </x:c>
      <x:c r="AH60" s="14" t="str">
        <x:v>alianza / izajes / transporte</x:v>
      </x:c>
      <x:c r="AI60" s="14" t="str">
        <x:v>Sí</x:v>
      </x:c>
      <x:c r="AJ60" s="14" t="str">
        <x:v>B — segunda pasada</x:v>
      </x:c>
      <x:c r="AK60" s="14" t="str">
        <x:v>Cuenta estratégica/competidor complementario; no mezclar con prospecto final tradicional.</x:v>
      </x:c>
      <x:c r="AL60" s="14" t="str">
        <x:v>Google Maps / ficha comercial</x:v>
      </x:c>
      <x:c r="AM60" s="14" t="str">
        <x:v>Alta nueva del barrido profundo; cruzada contra la base maestra y el primer barrido para evitar duplicados.</x:v>
      </x:c>
    </x:row>
    <x:row r="61">
      <x:c r="A61" s="46" t="str">
        <x:v>CBA-060</x:v>
      </x:c>
      <x:c r="B61" s="46" t="str">
        <x:v>Pendiente</x:v>
      </x:c>
      <x:c r="C61" s="46" t="str">
        <x:v>Córdoba Capital</x:v>
      </x:c>
      <x:c r="D61" s="46" t="str">
        <x:v>Juan B. Justo / zona norte</x:v>
      </x:c>
      <x:c r="E61" s="46" t="str">
        <x:v>Córdoba Capital</x:v>
      </x:c>
      <x:c r="F61" s="46" t="str">
        <x:v>A+</x:v>
      </x:c>
      <x:c r="G61" s="46" t="n">
        <x:v>100</x:v>
      </x:c>
      <x:c r="H61" s="46" t="str">
        <x:v>Igarreta Máquinas S.A. - Sucursal Centro (Komatsu)</x:v>
      </x:c>
      <x:c r="I61" s="46" t="str">
        <x:v>Representante Komatsu; venta, alquiler, repuestos y servicio de maquinaria pesada</x:v>
      </x:c>
      <x:c r="J61" s="46" t="str">
        <x:v>Alquiler / dealer maquinaria pesada</x:v>
      </x:c>
      <x:c r="K61" s="46" t="str">
        <x:v>0351 236-3110</x:v>
      </x:c>
      <x:c r="L61" s="46" t="str">
        <x:v>OK</x:v>
      </x:c>
      <x:c r="M61" s="46" t="str">
        <x:v>rental / logística / posventa / usados</x:v>
      </x:c>
      <x:c r="N61" s="46" t="str">
        <x:v>Entrega y retiro de excavadoras, cargadoras, topadoras, motoniveladoras y compactadores Komatsu entre sucursal, clientes y obras.</x:v>
      </x:c>
      <x:c r="O61" s="46" t="str">
        <x:v>Plataforma 20 tn + malacate + coordinación de retiro/entrega + seguro/GPS.</x:v>
      </x:c>
      <x:c r="P61" s="46" t="str">
        <x:v>Refuerzo de flota para alquileres, entregas de equipos y traslados de service sin inmovilizar recursos propios.</x:v>
      </x:c>
      <x:c r="Q61" s="46" t="str">
        <x:v>Llamada y visita prioritaria; pedir por Rental/Logística y relevar frecuencia mensual de movimientos.</x:v>
      </x:c>
      <x:c r="R61" s="46"/>
      <x:c r="S61" s="46" t="str">
        <x:v>Av. Juan B. Justo 6400, Córdoba</x:v>
      </x:c>
      <x:c r="T61" s="46"/>
      <x:c r="U61" s="46"/>
      <x:c r="V61" s="46"/>
      <x:c r="W61" s="46"/>
      <x:c r="X61" s="46" t="str">
        <x:v>tel:03512363110</x:v>
      </x:c>
      <x:c r="Y61" s="46" t="str">
        <x:v>tel:03512363110</x:v>
      </x:c>
      <x:c r="Z61" s="46" t="str">
        <x:v>Confirmar decisor, frecuencia de movimientos, peso/dimensiones habituales y cómo resuelven hoy los traslados.</x:v>
      </x:c>
      <x:c r="AA61" s="46" t="str">
        <x:v>https://www.google.com/maps/search/?api=1&amp;query=Igarreta+M%C3%A1quinas+S.A.+-+Sucursal+Centro+%28Komatsu%29+Av.+Juan+B.+Justo+6400%2C+C%C3%B3rdoba</x:v>
      </x:c>
      <x:c r="AB61" s="46" t="str">
        <x:v>Web oficial Igarreta Máquinas</x:v>
      </x:c>
      <x:c r="AC61" s="46" t="str">
        <x:v>https://www.igarretamaquinas.com.ar/contactenos/CONT%C3%81CTENOS</x:v>
      </x:c>
      <x:c r="AD61" s="46" t="str">
        <x:v>Sucursal Centro en Córdoba y alquiler de maquinaria Komatsu pesada para construcción y movimiento de suelo.</x:v>
      </x:c>
      <x:c r="AE61" s="46" t="str">
        <x:v>Alta</x:v>
      </x:c>
      <x:c r="AF61" s="46" t="str">
        <x:v>Tercera pasada marcas + parques Córdoba Capital 2026-09-14</x:v>
      </x:c>
      <x:c r="AG61" s="46" t="str">
        <x:v>Plataforma 20 tn + malacate + coordinación de retiro/entrega + seguro/GPS.</x:v>
      </x:c>
      <x:c r="AH61" s="46" t="str">
        <x:v>Komatsu / rental maquinaria pesada</x:v>
      </x:c>
      <x:c r="AI61" s="46" t="str">
        <x:v>Sí</x:v>
      </x:c>
      <x:c r="AJ61" s="46" t="str">
        <x:v>A+ — visita/llamada inmediata</x:v>
      </x:c>
      <x:c r="AK61" s="46" t="str">
        <x:v>A+ por alquiler de equipos de gran porte y posventa.</x:v>
      </x:c>
      <x:c r="AL61" s="46" t="str">
        <x:v>Web oficial Igarreta Máquinas</x:v>
      </x:c>
      <x:c r="AM61" s="46" t="str">
        <x:v>Alta nueva de tercera pasada; cruzada contra base maestra y rastrillaje previo para evitar duplicados.</x:v>
      </x:c>
    </x:row>
    <x:row r="62">
      <x:c r="A62" s="46" t="str">
        <x:v>CBA-061</x:v>
      </x:c>
      <x:c r="B62" s="46" t="str">
        <x:v>Pendiente</x:v>
      </x:c>
      <x:c r="C62" s="46" t="str">
        <x:v>Córdoba Capital</x:v>
      </x:c>
      <x:c r="D62" s="46" t="str">
        <x:v>Juan B. Justo / zona norte</x:v>
      </x:c>
      <x:c r="E62" s="46" t="str">
        <x:v>Córdoba Capital</x:v>
      </x:c>
      <x:c r="F62" s="46" t="str">
        <x:v>A+</x:v>
      </x:c>
      <x:c r="G62" s="46" t="n">
        <x:v>98</x:v>
      </x:c>
      <x:c r="H62" s="46" t="str">
        <x:v>Frasinelli Máquinas y Repuestos S.A.</x:v>
      </x:c>
      <x:c r="I62" s="46" t="str">
        <x:v>Venta, repuestos y servicio de maquinaria vial, construcción, agro y minería</x:v>
      </x:c>
      <x:c r="J62" s="46" t="str">
        <x:v>Alquiler / dealer maquinaria pesada</x:v>
      </x:c>
      <x:c r="K62" s="46" t="str">
        <x:v>+54 9 351 403-3567 / 0351 470-2260</x:v>
      </x:c>
      <x:c r="L62" s="46" t="str">
        <x:v>OK</x:v>
      </x:c>
      <x:c r="M62" s="46" t="str">
        <x:v>ventas / posventa / logística / taller</x:v>
      </x:c>
      <x:c r="N62" s="46" t="str">
        <x:v>Movimiento de maquinaria vial y de construcción para entregas, retiros, service y equipos usados.</x:v>
      </x:c>
      <x:c r="O62" s="46" t="str">
        <x:v>Plataforma 20 tn + malacate + coordinación de traslado + seguro/GPS.</x:v>
      </x:c>
      <x:c r="P62" s="46" t="str">
        <x:v>Tercerización flexible para entregas, usados y equipos que ingresan o salen de taller.</x:v>
      </x:c>
      <x:c r="Q62" s="46" t="str">
        <x:v>Contactar ventas/posventa y consultar cómo resuelven hoy el transporte de equipos.</x:v>
      </x:c>
      <x:c r="R62" s="46"/>
      <x:c r="S62" s="46" t="str">
        <x:v>Av. Juan B. Justo 5008, Córdoba</x:v>
      </x:c>
      <x:c r="T62" s="46"/>
      <x:c r="U62" s="46"/>
      <x:c r="V62" s="46"/>
      <x:c r="W62" s="46"/>
      <x:c r="X62" s="46" t="str">
        <x:v>tel:+5493514033567</x:v>
      </x:c>
      <x:c r="Y62" s="46" t="str">
        <x:v>tel:+5493514033567</x:v>
      </x:c>
      <x:c r="Z62" s="46" t="str">
        <x:v>Confirmar decisor, frecuencia de movimientos, peso/dimensiones habituales y cómo resuelven hoy los traslados.</x:v>
      </x:c>
      <x:c r="AA62" s="46" t="str">
        <x:v>https://www.google.com/maps/search/?api=1&amp;query=Frasinelli+M%C3%A1quinas+y+Repuestos+S.A.+Av.+Juan+B.+Justo+5008%2C+C%C3%B3rdoba</x:v>
      </x:c>
      <x:c r="AB62" s="46" t="str">
        <x:v>Web oficial Frasinelli</x:v>
      </x:c>
      <x:c r="AC62" s="46" t="str">
        <x:v>https://www.frasinelli.com.ar/contacto/</x:v>
      </x:c>
      <x:c r="AD62" s="46" t="str">
        <x:v>Empresa cordobesa enfocada en maquinaria vial y equipos para construcción, agro, minería y transporte.</x:v>
      </x:c>
      <x:c r="AE62" s="46" t="str">
        <x:v>Alta</x:v>
      </x:c>
      <x:c r="AF62" s="46" t="str">
        <x:v>Tercera pasada marcas + parques Córdoba Capital 2026-09-14</x:v>
      </x:c>
      <x:c r="AG62" s="46" t="str">
        <x:v>Plataforma 20 tn + malacate + coordinación de traslado + seguro/GPS.</x:v>
      </x:c>
      <x:c r="AH62" s="46" t="str">
        <x:v>maquinaria vial / posventa</x:v>
      </x:c>
      <x:c r="AI62" s="46" t="str">
        <x:v>Sí</x:v>
      </x:c>
      <x:c r="AJ62" s="46" t="str">
        <x:v>A+ — visita/llamada inmediata</x:v>
      </x:c>
      <x:c r="AK62" s="46" t="str">
        <x:v>Alta prioridad por equipos pesados y taller.</x:v>
      </x:c>
      <x:c r="AL62" s="46" t="str">
        <x:v>Web oficial Frasinelli</x:v>
      </x:c>
      <x:c r="AM62" s="46" t="str">
        <x:v>Alta nueva de tercera pasada; cruzada contra base maestra y rastrillaje previo para evitar duplicados.</x:v>
      </x:c>
    </x:row>
    <x:row r="63">
      <x:c r="A63" s="46" t="str">
        <x:v>CBA-062</x:v>
      </x:c>
      <x:c r="B63" s="46" t="str">
        <x:v>Pendiente</x:v>
      </x:c>
      <x:c r="C63" s="46" t="str">
        <x:v>Córdoba Capital</x:v>
      </x:c>
      <x:c r="D63" s="46" t="str">
        <x:v>Av. Colón / zona oeste</x:v>
      </x:c>
      <x:c r="E63" s="46" t="str">
        <x:v>Córdoba Capital</x:v>
      </x:c>
      <x:c r="F63" s="46" t="str">
        <x:v>A+</x:v>
      </x:c>
      <x:c r="G63" s="46" t="n">
        <x:v>98</x:v>
      </x:c>
      <x:c r="H63" s="46" t="str">
        <x:v>Autoelevadores Centro Motor Toyota</x:v>
      </x:c>
      <x:c r="I63" s="46" t="str">
        <x:v>Venta, alquiler y posventa de autoelevadores Toyota Material Handling</x:v>
      </x:c>
      <x:c r="J63" s="46" t="str">
        <x:v>Autoelevadores y elevación</x:v>
      </x:c>
      <x:c r="K63" s="46" t="str">
        <x:v>0351 484-9400 / 0351 485-8484</x:v>
      </x:c>
      <x:c r="L63" s="46" t="str">
        <x:v>OK</x:v>
      </x:c>
      <x:c r="M63" s="46" t="str">
        <x:v>alquileres / logística / posventa</x:v>
      </x:c>
      <x:c r="N63" s="46" t="str">
        <x:v>Entrega, retiro y traslado de autoelevadores entre sucursal, clientes y servicio técnico.</x:v>
      </x:c>
      <x:c r="O63" s="46" t="str">
        <x:v>Plataforma + malacate + entregas/retiros programados + seguro.</x:v>
      </x:c>
      <x:c r="P63" s="46" t="str">
        <x:v>Absorber picos de entregas y retiros de la flota de alquiler o unidades de service.</x:v>
      </x:c>
      <x:c r="Q63" s="46" t="str">
        <x:v>Pedir por alquileres/logística y relevar cantidad de movimientos mensuales.</x:v>
      </x:c>
      <x:c r="R63" s="46"/>
      <x:c r="S63" s="46" t="str">
        <x:v>Av. Colón 5077, Córdoba</x:v>
      </x:c>
      <x:c r="T63" s="46"/>
      <x:c r="U63" s="46"/>
      <x:c r="V63" s="46"/>
      <x:c r="W63" s="46"/>
      <x:c r="X63" s="46" t="str">
        <x:v>tel:03514849400</x:v>
      </x:c>
      <x:c r="Y63" s="46" t="str">
        <x:v>tel:03514849400</x:v>
      </x:c>
      <x:c r="Z63" s="46" t="str">
        <x:v>Confirmar decisor, frecuencia de movimientos, peso/dimensiones habituales y cómo resuelven hoy los traslados.</x:v>
      </x:c>
      <x:c r="AA63" s="46" t="str">
        <x:v>https://www.google.com/maps/search/?api=1&amp;query=Autoelevadores+Centro+Motor+Toyota+Av.+Col%C3%B3n+5077%2C+C%C3%B3rdoba</x:v>
      </x:c>
      <x:c r="AB63" s="46" t="str">
        <x:v>Web oficial Autoelevadores Centro Motor / Toyota</x:v>
      </x:c>
      <x:c r="AC63" s="46" t="str">
        <x:v>https://www.autoelevadorescentromotor.com/</x:v>
      </x:c>
      <x:c r="AD63" s="46" t="str">
        <x:v>Concesionario Toyota Material Handling con venta, alquiler, postventa y transporte de unidades.</x:v>
      </x:c>
      <x:c r="AE63" s="46" t="str">
        <x:v>Alta</x:v>
      </x:c>
      <x:c r="AF63" s="46" t="str">
        <x:v>Tercera pasada marcas + parques Córdoba Capital 2026-09-14</x:v>
      </x:c>
      <x:c r="AG63" s="46" t="str">
        <x:v>Plataforma + malacate + entregas/retiros programados + seguro.</x:v>
      </x:c>
      <x:c r="AH63" s="46" t="str">
        <x:v>Toyota Material Handling / alquiler</x:v>
      </x:c>
      <x:c r="AI63" s="46" t="str">
        <x:v>Sí</x:v>
      </x:c>
      <x:c r="AJ63" s="46" t="str">
        <x:v>A+ — visita/llamada inmediata</x:v>
      </x:c>
      <x:c r="AK63" s="46" t="str">
        <x:v>A+ por rotación de flota de alquiler.</x:v>
      </x:c>
      <x:c r="AL63" s="46" t="str">
        <x:v>Web oficial Autoelevadores Centro Motor / Toyota</x:v>
      </x:c>
      <x:c r="AM63" s="46" t="str">
        <x:v>Alta nueva de tercera pasada; cruzada contra base maestra y rastrillaje previo para evitar duplicados.</x:v>
      </x:c>
    </x:row>
    <x:row r="64">
      <x:c r="A64" s="46" t="str">
        <x:v>CBA-063</x:v>
      </x:c>
      <x:c r="B64" s="46" t="str">
        <x:v>Pendiente</x:v>
      </x:c>
      <x:c r="C64" s="46" t="str">
        <x:v>Córdoba Capital</x:v>
      </x:c>
      <x:c r="D64" s="46" t="str">
        <x:v>Av. Japón / Guiñazú</x:v>
      </x:c>
      <x:c r="E64" s="46" t="str">
        <x:v>Córdoba Capital</x:v>
      </x:c>
      <x:c r="F64" s="46" t="str">
        <x:v>A+</x:v>
      </x:c>
      <x:c r="G64" s="46" t="n">
        <x:v>98</x:v>
      </x:c>
      <x:c r="H64" s="46" t="str">
        <x:v>Horizon High Reach Limited - Haulotte Group</x:v>
      </x:c>
      <x:c r="I64" s="46" t="str">
        <x:v>Alquiler y comercialización de plataformas y equipos de trabajo en altura</x:v>
      </x:c>
      <x:c r="J64" s="46" t="str">
        <x:v>Autoelevadores y elevación</x:v>
      </x:c>
      <x:c r="K64" s="46" t="str">
        <x:v>0351 700-0302</x:v>
      </x:c>
      <x:c r="L64" s="46" t="str">
        <x:v>OK</x:v>
      </x:c>
      <x:c r="M64" s="46" t="str">
        <x:v>alquileres / operaciones / logística</x:v>
      </x:c>
      <x:c r="N64" s="46" t="str">
        <x:v>Entrega y retiro de plataformas elevadoras, brazos y equipos de altura entre base y obras.</x:v>
      </x:c>
      <x:c r="O64" s="46" t="str">
        <x:v>Plataforma + malacate + logística de entrega/retiro + seguro/GPS.</x:v>
      </x:c>
      <x:c r="P64" s="46" t="str">
        <x:v>Capacidad overflow para rotación de plataformas y traslados interurbanos.</x:v>
      </x:c>
      <x:c r="Q64" s="46" t="str">
        <x:v>Contactar operaciones/alquileres y consultar flota tercerizada y radio de cobertura.</x:v>
      </x:c>
      <x:c r="R64" s="46"/>
      <x:c r="S64" s="46" t="str">
        <x:v>Av. Japón 1010, Guiñazú, Córdoba</x:v>
      </x:c>
      <x:c r="T64" s="46"/>
      <x:c r="U64" s="46"/>
      <x:c r="V64" s="46"/>
      <x:c r="W64" s="46"/>
      <x:c r="X64" s="46" t="str">
        <x:v>tel:03517000302</x:v>
      </x:c>
      <x:c r="Y64" s="46" t="str">
        <x:v>tel:03517000302</x:v>
      </x:c>
      <x:c r="Z64" s="46" t="str">
        <x:v>Confirmar decisor, frecuencia de movimientos, peso/dimensiones habituales y cómo resuelven hoy los traslados.</x:v>
      </x:c>
      <x:c r="AA64" s="46" t="str">
        <x:v>https://www.google.com/maps/search/?api=1&amp;query=Horizon+High+Reach+Limited+-+Haulotte+Group+Av.+Jap%C3%B3n+1010%2C+Gui%C3%B1az%C3%BA%2C+C%C3%B3rdoba</x:v>
      </x:c>
      <x:c r="AB64" s="46" t="str">
        <x:v>Web oficial Horizon Sudamérica</x:v>
      </x:c>
      <x:c r="AC64" s="46" t="str">
        <x:v>https://horizonsudamerica.com/quienes-somos/</x:v>
      </x:c>
      <x:c r="AD64" s="46" t="str">
        <x:v>Operación en Córdoba vinculada a Haulotte con equipos de elevación y alquiler.</x:v>
      </x:c>
      <x:c r="AE64" s="46" t="str">
        <x:v>Alta</x:v>
      </x:c>
      <x:c r="AF64" s="46" t="str">
        <x:v>Tercera pasada marcas + parques Córdoba Capital 2026-09-14</x:v>
      </x:c>
      <x:c r="AG64" s="46" t="str">
        <x:v>Plataforma + malacate + logística de entrega/retiro + seguro/GPS.</x:v>
      </x:c>
      <x:c r="AH64" s="46" t="str">
        <x:v>Haulotte / plataformas</x:v>
      </x:c>
      <x:c r="AI64" s="46" t="str">
        <x:v>Sí</x:v>
      </x:c>
      <x:c r="AJ64" s="46" t="str">
        <x:v>A+ — visita/llamada inmediata</x:v>
      </x:c>
      <x:c r="AK64" s="46" t="str">
        <x:v>A+ por entrega/retiro recurrente de equipos.</x:v>
      </x:c>
      <x:c r="AL64" s="46" t="str">
        <x:v>Web oficial Horizon Sudamérica</x:v>
      </x:c>
      <x:c r="AM64" s="46" t="str">
        <x:v>Alta nueva de tercera pasada; cruzada contra base maestra y rastrillaje previo para evitar duplicados.</x:v>
      </x:c>
    </x:row>
    <x:row r="65">
      <x:c r="A65" s="46" t="str">
        <x:v>CBA-064</x:v>
      </x:c>
      <x:c r="B65" s="46" t="str">
        <x:v>Pendiente</x:v>
      </x:c>
      <x:c r="C65" s="46" t="str">
        <x:v>Córdoba Capital</x:v>
      </x:c>
      <x:c r="D65" s="46" t="str">
        <x:v>Cerro de las Rosas / Rafael Núñez</x:v>
      </x:c>
      <x:c r="E65" s="46" t="str">
        <x:v>Córdoba Capital</x:v>
      </x:c>
      <x:c r="F65" s="46" t="str">
        <x:v>A+</x:v>
      </x:c>
      <x:c r="G65" s="46" t="n">
        <x:v>95</x:v>
      </x:c>
      <x:c r="H65" s="46" t="str">
        <x:v>X MAQ - Venta y Alquiler de Maquinaria Vial</x:v>
      </x:c>
      <x:c r="I65" s="46" t="str">
        <x:v>Venta y alquiler de maquinaria vial y equipos de construcción</x:v>
      </x:c>
      <x:c r="J65" s="46" t="str">
        <x:v>Alquiler / dealer maquinaria pesada</x:v>
      </x:c>
      <x:c r="K65" s="46" t="str">
        <x:v>+54 351 393-0075</x:v>
      </x:c>
      <x:c r="L65" s="46" t="str">
        <x:v>A verificar</x:v>
      </x:c>
      <x:c r="M65" s="46" t="str">
        <x:v>alquileres / operaciones / logística</x:v>
      </x:c>
      <x:c r="N65" s="46" t="str">
        <x:v>Movilización de maquinaria vial alquilada o vendida hacia obras y clientes.</x:v>
      </x:c>
      <x:c r="O65" s="46" t="str">
        <x:v>Plataforma 20 tn + malacate + seguro/GPS.</x:v>
      </x:c>
      <x:c r="P65" s="46" t="str">
        <x:v>Resolver entregas/retiros sin dedicar transporte propio permanente.</x:v>
      </x:c>
      <x:c r="Q65" s="46" t="str">
        <x:v>Llamar a alquileres y consultar próximos movimientos y pesos habituales.</x:v>
      </x:c>
      <x:c r="R65" s="46"/>
      <x:c r="S65" s="46" t="str">
        <x:v>Av. Rafael Núñez 3578, Of. 8, Córdoba</x:v>
      </x:c>
      <x:c r="T65" s="46"/>
      <x:c r="U65" s="46"/>
      <x:c r="V65" s="46"/>
      <x:c r="W65" s="46"/>
      <x:c r="X65" s="46" t="str">
        <x:v>tel:+543513930075</x:v>
      </x:c>
      <x:c r="Y65" s="46" t="str">
        <x:v>tel:+543513930075</x:v>
      </x:c>
      <x:c r="Z65" s="46" t="str">
        <x:v>Confirmar decisor, frecuencia de movimientos, peso/dimensiones habituales y cómo resuelven hoy los traslados.</x:v>
      </x:c>
      <x:c r="AA65" s="46" t="str">
        <x:v>https://www.google.com/maps/search/?api=1&amp;query=X+MAQ+-+Venta+y+Alquiler+de+Maquinaria+Vial+Av.+Rafael+N%C3%BA%C3%B1ez+3578%2C+Of.+8%2C+C%C3%B3rdoba</x:v>
      </x:c>
      <x:c r="AB65" s="46" t="str">
        <x:v>Google Business Profile</x:v>
      </x:c>
      <x:c r="AC65" s="46" t="str">
        <x:v>https://www.google.com/maps/search/?api=1&amp;query=X+MAQ+Venta+y+Alquiler+de+Maquinaria+Vial+Cordoba</x:v>
      </x:c>
      <x:c r="AD65" s="46" t="str">
        <x:v>Proveedor local identificado como venta y alquiler de maquinaria vial en Córdoba Capital.</x:v>
      </x:c>
      <x:c r="AE65" s="46" t="str">
        <x:v>Media</x:v>
      </x:c>
      <x:c r="AF65" s="46" t="str">
        <x:v>Tercera pasada marcas + parques Córdoba Capital 2026-09-14</x:v>
      </x:c>
      <x:c r="AG65" s="46" t="str">
        <x:v>Plataforma 20 tn + malacate + seguro/GPS.</x:v>
      </x:c>
      <x:c r="AH65" s="46" t="str">
        <x:v>maquinaria vial / alquiler</x:v>
      </x:c>
      <x:c r="AI65" s="46" t="str">
        <x:v>Sí</x:v>
      </x:c>
      <x:c r="AJ65" s="46" t="str">
        <x:v>A+ — visita/llamada inmediata</x:v>
      </x:c>
      <x:c r="AK65" s="46" t="str">
        <x:v>Validar flota y frecuencia en primer contacto.</x:v>
      </x:c>
      <x:c r="AL65" s="46" t="str">
        <x:v>Google Business Profile</x:v>
      </x:c>
      <x:c r="AM65" s="46" t="str">
        <x:v>Alta nueva de tercera pasada; cruzada contra base maestra y rastrillaje previo para evitar duplicados.</x:v>
      </x:c>
    </x:row>
    <x:row r="66">
      <x:c r="A66" s="46" t="str">
        <x:v>CBA-065</x:v>
      </x:c>
      <x:c r="B66" s="46" t="str">
        <x:v>Pendiente</x:v>
      </x:c>
      <x:c r="C66" s="46" t="str">
        <x:v>Córdoba Capital</x:v>
      </x:c>
      <x:c r="D66" s="46" t="str">
        <x:v>Bv. de los Alemanes / zona norte</x:v>
      </x:c>
      <x:c r="E66" s="46" t="str">
        <x:v>Córdoba Capital</x:v>
      </x:c>
      <x:c r="F66" s="46" t="str">
        <x:v>A+</x:v>
      </x:c>
      <x:c r="G66" s="46" t="n">
        <x:v>95</x:v>
      </x:c>
      <x:c r="H66" s="46" t="str">
        <x:v>Grúas San Blas - Córdoba</x:v>
      </x:c>
      <x:c r="I66" s="46" t="str">
        <x:v>Venta, alquiler y servicio de maquinaria para construcción, industria e izaje</x:v>
      </x:c>
      <x:c r="J66" s="46" t="str">
        <x:v>Alquiler / dealer maquinaria pesada</x:v>
      </x:c>
      <x:c r="K66" s="46" t="str">
        <x:v>0351 475-9001</x:v>
      </x:c>
      <x:c r="L66" s="46" t="str">
        <x:v>OK</x:v>
      </x:c>
      <x:c r="M66" s="46" t="str">
        <x:v>rental / logística / sucursal Córdoba</x:v>
      </x:c>
      <x:c r="N66" s="46" t="str">
        <x:v>Traslado de equipos de construcción, manipuladores, minicargadores y maquinaria de alquiler/venta.</x:v>
      </x:c>
      <x:c r="O66" s="46" t="str">
        <x:v>Plataforma 20 tn + malacate + coordinación de equipos especiales + seguro/GPS.</x:v>
      </x:c>
      <x:c r="P66" s="46" t="str">
        <x:v>Refuerzo regional para entregas/retiros y picos de rental, incluyendo equipos que requieren transporte especial.</x:v>
      </x:c>
      <x:c r="Q66" s="46" t="str">
        <x:v>Pedir por Rental/Logística de Córdoba y ofrecer capacidad overflow.</x:v>
      </x:c>
      <x:c r="R66" s="46"/>
      <x:c r="S66" s="46" t="str">
        <x:v>Bv. de los Alemanes 2815, Córdoba</x:v>
      </x:c>
      <x:c r="T66" s="46"/>
      <x:c r="U66" s="46"/>
      <x:c r="V66" s="46"/>
      <x:c r="W66" s="46"/>
      <x:c r="X66" s="46" t="str">
        <x:v>tel:03514759001</x:v>
      </x:c>
      <x:c r="Y66" s="46" t="str">
        <x:v>tel:03514759001</x:v>
      </x:c>
      <x:c r="Z66" s="46" t="str">
        <x:v>Confirmar decisor, frecuencia de movimientos, peso/dimensiones habituales y cómo resuelven hoy los traslados.</x:v>
      </x:c>
      <x:c r="AA66" s="46" t="str">
        <x:v>https://www.google.com/maps/search/?api=1&amp;query=Gr%C3%BAas+San+Blas+-+C%C3%B3rdoba+Bv.+de+los+Alemanes+2815%2C+C%C3%B3rdoba</x:v>
      </x:c>
      <x:c r="AB66" s="46" t="str">
        <x:v>Web oficial Grúas San Blas + Google Business</x:v>
      </x:c>
      <x:c r="AC66" s="46" t="str">
        <x:v>https://www.gsb.com.ar/</x:v>
      </x:c>
      <x:c r="AD66" s="46" t="str">
        <x:v>Empresa de maquinaria con venta/rental y presencia operativa en Córdoba.</x:v>
      </x:c>
      <x:c r="AE66" s="46" t="str">
        <x:v>Alta</x:v>
      </x:c>
      <x:c r="AF66" s="46" t="str">
        <x:v>Tercera pasada marcas + parques Córdoba Capital 2026-09-14</x:v>
      </x:c>
      <x:c r="AG66" s="46" t="str">
        <x:v>Plataforma 20 tn + malacate + coordinación de equipos especiales + seguro/GPS.</x:v>
      </x:c>
      <x:c r="AH66" s="46" t="str">
        <x:v>rental / maquinaria / izaje</x:v>
      </x:c>
      <x:c r="AI66" s="46" t="str">
        <x:v>Sí</x:v>
      </x:c>
      <x:c r="AJ66" s="46" t="str">
        <x:v>A+ — visita/llamada inmediata</x:v>
      </x:c>
      <x:c r="AK66" s="46" t="str">
        <x:v>A+ por parque de equipos y alquiler.</x:v>
      </x:c>
      <x:c r="AL66" s="46" t="str">
        <x:v>Web oficial Grúas San Blas + Google Business</x:v>
      </x:c>
      <x:c r="AM66" s="46" t="str">
        <x:v>Alta nueva de tercera pasada; cruzada contra base maestra y rastrillaje previo para evitar duplicados.</x:v>
      </x:c>
    </x:row>
    <x:row r="67">
      <x:c r="A67" s="46" t="str">
        <x:v>CBA-066</x:v>
      </x:c>
      <x:c r="B67" s="46" t="str">
        <x:v>Pendiente</x:v>
      </x:c>
      <x:c r="C67" s="46" t="str">
        <x:v>Córdoba Capital</x:v>
      </x:c>
      <x:c r="D67" s="46" t="str">
        <x:v>Circunvalación Norte / Capdevila</x:v>
      </x:c>
      <x:c r="E67" s="46" t="str">
        <x:v>Córdoba Capital</x:v>
      </x:c>
      <x:c r="F67" s="46" t="str">
        <x:v>A+</x:v>
      </x:c>
      <x:c r="G67" s="46" t="n">
        <x:v>100</x:v>
      </x:c>
      <x:c r="H67" s="46" t="str">
        <x:v>GRUMAQ - Sucursal Córdoba</x:v>
      </x:c>
      <x:c r="I67" s="46" t="str">
        <x:v>Representante CASE Construction y FPT; venta, rental, servicio y repuestos de maquinaria vial</x:v>
      </x:c>
      <x:c r="J67" s="46" t="str">
        <x:v>Alquiler / dealer maquinaria pesada</x:v>
      </x:c>
      <x:c r="K67" s="46" t="str">
        <x:v>0810-555-4767</x:v>
      </x:c>
      <x:c r="L67" s="46" t="str">
        <x:v>OK</x:v>
      </x:c>
      <x:c r="M67" s="46" t="str">
        <x:v>Rental / sucursal Córdoba / logística / service</x:v>
      </x:c>
      <x:c r="N67" s="46" t="str">
        <x:v>Entrega y retiro de excavadoras, cargadoras, retroexcavadoras, motoniveladoras y minicargadoras CASE, además de usados y equipos de service.</x:v>
      </x:c>
      <x:c r="O67" s="46" t="str">
        <x:v>Plataforma 20 tn + malacate + coordinación de traslado + seguro/GPS.</x:v>
      </x:c>
      <x:c r="P67" s="46" t="str">
        <x:v>Apoyo de transporte para Rental CASE, usados y movimientos de posventa en Córdoba y provincia.</x:v>
      </x:c>
      <x:c r="Q67" s="46" t="str">
        <x:v>Llamada inmediata a sucursal Córdoba; pedir por Rental y logística.</x:v>
      </x:c>
      <x:c r="R67" s="46"/>
      <x:c r="S67" s="46" t="str">
        <x:v>Av. Circunvalación Colectora Norte s/n, entre Rancagua y Capdevila, Córdoba</x:v>
      </x:c>
      <x:c r="T67" s="46"/>
      <x:c r="U67" s="46"/>
      <x:c r="V67" s="46"/>
      <x:c r="W67" s="46"/>
      <x:c r="X67" s="46" t="str">
        <x:v>tel:08105554767</x:v>
      </x:c>
      <x:c r="Y67" s="46" t="str">
        <x:v>tel:08105554767</x:v>
      </x:c>
      <x:c r="Z67" s="46" t="str">
        <x:v>Confirmar decisor, frecuencia de movimientos, peso/dimensiones habituales y cómo resuelven hoy los traslados.</x:v>
      </x:c>
      <x:c r="AA67" s="46" t="str">
        <x:v>https://www.google.com/maps/search/?api=1&amp;query=GRUMAQ+-+Sucursal+C%C3%B3rdoba+Av.+Circunvalaci%C3%B3n+Colectora+Norte+s%2Fn%2C+entre+Rancagua+y+Capdevila%2C+C%C3%B3rdoba</x:v>
      </x:c>
      <x:c r="AB67" s="46" t="str">
        <x:v>Web oficial GRUMAQ</x:v>
      </x:c>
      <x:c r="AC67" s="46" t="str">
        <x:v>https://grumaq.com.ar/</x:v>
      </x:c>
      <x:c r="AD67" s="46" t="str">
        <x:v>Sucursal Córdoba; representante CASE Construction y FPT con venta, alquiler, servicio técnico y repuestos.</x:v>
      </x:c>
      <x:c r="AE67" s="46" t="str">
        <x:v>Alta</x:v>
      </x:c>
      <x:c r="AF67" s="46" t="str">
        <x:v>Tercera pasada marcas + parques Córdoba Capital 2026-09-14</x:v>
      </x:c>
      <x:c r="AG67" s="46" t="str">
        <x:v>Plataforma 20 tn + malacate + coordinación de traslado + seguro/GPS.</x:v>
      </x:c>
      <x:c r="AH67" s="46" t="str">
        <x:v>CASE Construction / rental</x:v>
      </x:c>
      <x:c r="AI67" s="46" t="str">
        <x:v>Sí</x:v>
      </x:c>
      <x:c r="AJ67" s="46" t="str">
        <x:v>A+ — visita/llamada inmediata</x:v>
      </x:c>
      <x:c r="AK67" s="46" t="str">
        <x:v>A+ paradigmático: rental y maquinaria vial pesada.</x:v>
      </x:c>
      <x:c r="AL67" s="46" t="str">
        <x:v>Web oficial GRUMAQ</x:v>
      </x:c>
      <x:c r="AM67" s="46" t="str">
        <x:v>Alta nueva de tercera pasada; cruzada contra base maestra y rastrillaje previo para evitar duplicados.</x:v>
      </x:c>
    </x:row>
    <x:row r="68">
      <x:c r="A68" s="46" t="str">
        <x:v>CBA-067</x:v>
      </x:c>
      <x:c r="B68" s="46" t="str">
        <x:v>Pendiente</x:v>
      </x:c>
      <x:c r="C68" s="46" t="str">
        <x:v>Córdoba Capital</x:v>
      </x:c>
      <x:c r="D68" s="46" t="str">
        <x:v>Bv. de los Alemanes / zona norte</x:v>
      </x:c>
      <x:c r="E68" s="46" t="str">
        <x:v>Córdoba Capital</x:v>
      </x:c>
      <x:c r="F68" s="46" t="str">
        <x:v>A</x:v>
      </x:c>
      <x:c r="G68" s="46" t="n">
        <x:v>84</x:v>
      </x:c>
      <x:c r="H68" s="46" t="str">
        <x:v>Kaeser Compresores de Argentina - Sucursal Córdoba</x:v>
      </x:c>
      <x:c r="I68" s="46" t="str">
        <x:v>Compresores industriales y móviles; venta, servicio y soluciones de aire comprimido</x:v>
      </x:c>
      <x:c r="J68" s="46" t="str">
        <x:v>Equipos industriales / energía</x:v>
      </x:c>
      <x:c r="K68" s="46" t="str">
        <x:v>+54 9 351 324-9876</x:v>
      </x:c>
      <x:c r="L68" s="46" t="str">
        <x:v>OK</x:v>
      </x:c>
      <x:c r="M68" s="46" t="str">
        <x:v>service / logística / sucursal Córdoba</x:v>
      </x:c>
      <x:c r="N68" s="46" t="str">
        <x:v>Entrega y retiro de compresores móviles e industriales para clientes, obras, minería y servicio técnico.</x:v>
      </x:c>
      <x:c r="O68" s="46" t="str">
        <x:v>Plataforma + malacate + retiro/entrega programada + seguro.</x:v>
      </x:c>
      <x:c r="P68" s="46" t="str">
        <x:v>Soporte para equipos móviles o unidades industriales que exceden transporte liviano.</x:v>
      </x:c>
      <x:c r="Q68" s="46" t="str">
        <x:v>Contactar service/logística y relevar movimientos de compresores móviles.</x:v>
      </x:c>
      <x:c r="R68" s="46"/>
      <x:c r="S68" s="46" t="str">
        <x:v>Bv. de los Alemanes 3200, Local 2, Córdoba</x:v>
      </x:c>
      <x:c r="T68" s="46"/>
      <x:c r="U68" s="46"/>
      <x:c r="V68" s="46"/>
      <x:c r="W68" s="46"/>
      <x:c r="X68" s="46" t="str">
        <x:v>tel:+5493513249876</x:v>
      </x:c>
      <x:c r="Y68" s="46" t="str">
        <x:v>tel:+5493513249876</x:v>
      </x:c>
      <x:c r="Z68" s="46" t="str">
        <x:v>Confirmar decisor, frecuencia de movimientos, peso/dimensiones habituales y cómo resuelven hoy los traslados.</x:v>
      </x:c>
      <x:c r="AA68" s="46" t="str">
        <x:v>https://www.google.com/maps/search/?api=1&amp;query=Kaeser+Compresores+de+Argentina+-+Sucursal+C%C3%B3rdoba+Bv.+de+los+Alemanes+3200%2C+Local+2%2C+C%C3%B3rdoba</x:v>
      </x:c>
      <x:c r="AB68" s="46" t="str">
        <x:v>Web/Red oficial Kaeser</x:v>
      </x:c>
      <x:c r="AC68" s="46" t="str">
        <x:v>https://ar.kaeser.com/</x:v>
      </x:c>
      <x:c r="AD68" s="46" t="str">
        <x:v>Sucursal Córdoba; línea de compresores móviles aplicable a construcción, minería e industria.</x:v>
      </x:c>
      <x:c r="AE68" s="46" t="str">
        <x:v>Alta</x:v>
      </x:c>
      <x:c r="AF68" s="46" t="str">
        <x:v>Tercera pasada marcas + parques Córdoba Capital 2026-09-14</x:v>
      </x:c>
      <x:c r="AG68" s="46" t="str">
        <x:v>Plataforma + malacate + retiro/entrega programada + seguro.</x:v>
      </x:c>
      <x:c r="AH68" s="46" t="str">
        <x:v>compresores móviles / industrial</x:v>
      </x:c>
      <x:c r="AI68" s="46" t="str">
        <x:v>Sí</x:v>
      </x:c>
      <x:c r="AJ68" s="46" t="str">
        <x:v>A — prioridad alta</x:v>
      </x:c>
      <x:c r="AK68" s="46" t="str">
        <x:v>A por equipos pesados y service, aunque frecuencia a validar.</x:v>
      </x:c>
      <x:c r="AL68" s="46" t="str">
        <x:v>Web/Red oficial Kaeser</x:v>
      </x:c>
      <x:c r="AM68" s="46" t="str">
        <x:v>Alta nueva de tercera pasada; cruzada contra base maestra y rastrillaje previo para evitar duplicados.</x:v>
      </x:c>
    </x:row>
    <x:row r="69">
      <x:c r="A69" s="46" t="str">
        <x:v>CBA-068</x:v>
      </x:c>
      <x:c r="B69" s="46" t="str">
        <x:v>Pendiente</x:v>
      </x:c>
      <x:c r="C69" s="46" t="str">
        <x:v>Córdoba Capital</x:v>
      </x:c>
      <x:c r="D69" s="46" t="str">
        <x:v>Juan B. Justo</x:v>
      </x:c>
      <x:c r="E69" s="46" t="str">
        <x:v>Córdoba Capital</x:v>
      </x:c>
      <x:c r="F69" s="46" t="str">
        <x:v>A</x:v>
      </x:c>
      <x:c r="G69" s="46" t="n">
        <x:v>82</x:v>
      </x:c>
      <x:c r="H69" s="46" t="str">
        <x:v>Rodolfi e Hijos S.A.</x:v>
      </x:c>
      <x:c r="I69" s="46" t="str">
        <x:v>Compresores, instalaciones y servicio técnico industrial; agente Kaeser</x:v>
      </x:c>
      <x:c r="J69" s="46" t="str">
        <x:v>Equipos industriales / energía</x:v>
      </x:c>
      <x:c r="K69" s="46" t="str">
        <x:v>0351 473-8591 / 0351 471-4162</x:v>
      </x:c>
      <x:c r="L69" s="46" t="str">
        <x:v>OK</x:v>
      </x:c>
      <x:c r="M69" s="46" t="str">
        <x:v>service / instalaciones / logística</x:v>
      </x:c>
      <x:c r="N69" s="46" t="str">
        <x:v>Retiro, entrega e instalación de compresores y equipos industriales en plantas de clientes.</x:v>
      </x:c>
      <x:c r="O69" s="46" t="str">
        <x:v>Plataforma + malacate + coordinación de carga/descarga + seguro.</x:v>
      </x:c>
      <x:c r="P69" s="46" t="str">
        <x:v>Complementar instalaciones y service con traslado dedicado de equipos de mayor porte.</x:v>
      </x:c>
      <x:c r="Q69" s="46" t="str">
        <x:v>Contactar service/instalaciones y consultar pesos y frecuencia de equipos movilizados.</x:v>
      </x:c>
      <x:c r="R69" s="46"/>
      <x:c r="S69" s="46" t="str">
        <x:v>Av. Juan B. Justo 2609, Córdoba</x:v>
      </x:c>
      <x:c r="T69" s="46"/>
      <x:c r="U69" s="46"/>
      <x:c r="V69" s="46"/>
      <x:c r="W69" s="46"/>
      <x:c r="X69" s="46" t="str">
        <x:v>tel:03514738591</x:v>
      </x:c>
      <x:c r="Y69" s="46" t="str">
        <x:v>tel:03514738591</x:v>
      </x:c>
      <x:c r="Z69" s="46" t="str">
        <x:v>Confirmar decisor, frecuencia de movimientos, peso/dimensiones habituales y cómo resuelven hoy los traslados.</x:v>
      </x:c>
      <x:c r="AA69" s="46" t="str">
        <x:v>https://www.google.com/maps/search/?api=1&amp;query=Rodolfi+e+Hijos+S.A.+Av.+Juan+B.+Justo+2609%2C+C%C3%B3rdoba</x:v>
      </x:c>
      <x:c r="AB69" s="46" t="str">
        <x:v>Web oficial Rodolfi e Hijos</x:v>
      </x:c>
      <x:c r="AC69" s="46" t="str">
        <x:v>https://rodolfiehijos.com.ar/index.html</x:v>
      </x:c>
      <x:c r="AD69" s="46" t="str">
        <x:v>Agente y servicio de compresores industriales en Córdoba con instalaciones y mantenimiento.</x:v>
      </x:c>
      <x:c r="AE69" s="46" t="str">
        <x:v>Alta</x:v>
      </x:c>
      <x:c r="AF69" s="46" t="str">
        <x:v>Tercera pasada marcas + parques Córdoba Capital 2026-09-14</x:v>
      </x:c>
      <x:c r="AG69" s="46" t="str">
        <x:v>Plataforma + malacate + coordinación de carga/descarga + seguro.</x:v>
      </x:c>
      <x:c r="AH69" s="46" t="str">
        <x:v>compresores / servicio industrial</x:v>
      </x:c>
      <x:c r="AI69" s="46" t="str">
        <x:v>Sí</x:v>
      </x:c>
      <x:c r="AJ69" s="46" t="str">
        <x:v>A — prioridad alta</x:v>
      </x:c>
      <x:c r="AK69" s="46" t="str">
        <x:v>A condicionado a volumen de equipos movilizados.</x:v>
      </x:c>
      <x:c r="AL69" s="46" t="str">
        <x:v>Web oficial Rodolfi e Hijos</x:v>
      </x:c>
      <x:c r="AM69" s="46" t="str">
        <x:v>Alta nueva de tercera pasada; cruzada contra base maestra y rastrillaje previo para evitar duplicados.</x:v>
      </x:c>
    </x:row>
    <x:row r="70">
      <x:c r="A70" s="46" t="str">
        <x:v>CBA-069</x:v>
      </x:c>
      <x:c r="B70" s="46" t="str">
        <x:v>Pendiente</x:v>
      </x:c>
      <x:c r="C70" s="46" t="str">
        <x:v>Córdoba Capital</x:v>
      </x:c>
      <x:c r="D70" s="46" t="str">
        <x:v>Av. Colón / zona oeste</x:v>
      </x:c>
      <x:c r="E70" s="46" t="str">
        <x:v>Córdoba Capital</x:v>
      </x:c>
      <x:c r="F70" s="46" t="str">
        <x:v>A+</x:v>
      </x:c>
      <x:c r="G70" s="46" t="n">
        <x:v>94</x:v>
      </x:c>
      <x:c r="H70" s="46" t="str">
        <x:v>Maquinarias Los Tanos</x:v>
      </x:c>
      <x:c r="I70" s="46" t="str">
        <x:v>Alquiler y venta de autoelevadores, plataformas, apiladores y equipos de construcción</x:v>
      </x:c>
      <x:c r="J70" s="46" t="str">
        <x:v>Autoelevadores y elevación</x:v>
      </x:c>
      <x:c r="K70" s="46" t="str">
        <x:v>+54 351 403-9222 / 0351 486-7879</x:v>
      </x:c>
      <x:c r="L70" s="46" t="str">
        <x:v>OK</x:v>
      </x:c>
      <x:c r="M70" s="46" t="str">
        <x:v>alquileres / logística / Enio Macerata</x:v>
      </x:c>
      <x:c r="N70" s="46" t="str">
        <x:v>Entrega y retiro de autoelevadores, plataformas y equipos de manipulación/carga para contratos de alquiler y ventas.</x:v>
      </x:c>
      <x:c r="O70" s="46" t="str">
        <x:v>Plataforma + malacate + entregas/retiros programados + seguro.</x:v>
      </x:c>
      <x:c r="P70" s="46" t="str">
        <x:v>Capacidad adicional para rotación de flota y entregas fuera de Córdoba.</x:v>
      </x:c>
      <x:c r="Q70" s="46" t="str">
        <x:v>Contactar alquileres y preguntar cuántos equipos entregan/retiran por semana.</x:v>
      </x:c>
      <x:c r="R70" s="46"/>
      <x:c r="S70" s="46" t="str">
        <x:v>Av. Colón 5211, Córdoba</x:v>
      </x:c>
      <x:c r="T70" s="46"/>
      <x:c r="U70" s="46"/>
      <x:c r="V70" s="46"/>
      <x:c r="W70" s="46"/>
      <x:c r="X70" s="46" t="str">
        <x:v>tel:+543514039222</x:v>
      </x:c>
      <x:c r="Y70" s="46" t="str">
        <x:v>tel:+543514039222</x:v>
      </x:c>
      <x:c r="Z70" s="46" t="str">
        <x:v>Confirmar decisor, frecuencia de movimientos, peso/dimensiones habituales y cómo resuelven hoy los traslados.</x:v>
      </x:c>
      <x:c r="AA70" s="46" t="str">
        <x:v>https://www.google.com/maps/search/?api=1&amp;query=Maquinarias+Los+Tanos+Av.+Col%C3%B3n+5211%2C+C%C3%B3rdoba</x:v>
      </x:c>
      <x:c r="AB70" s="46" t="str">
        <x:v>Web/LinkedIn oficial Maquinarias Los Tanos</x:v>
      </x:c>
      <x:c r="AC70" s="46" t="str">
        <x:v>http://www.maquinariaslostanos.com.ar</x:v>
      </x:c>
      <x:c r="AD70" s="46" t="str">
        <x:v>Alquiler/venta de autoelevadores, plataformas y equipos; representante HELI/CHL y servicio postventa.</x:v>
      </x:c>
      <x:c r="AE70" s="46" t="str">
        <x:v>Alta</x:v>
      </x:c>
      <x:c r="AF70" s="46" t="str">
        <x:v>Tercera pasada marcas + parques Córdoba Capital 2026-09-14</x:v>
      </x:c>
      <x:c r="AG70" s="46" t="str">
        <x:v>Plataforma + malacate + entregas/retiros programados + seguro.</x:v>
      </x:c>
      <x:c r="AH70" s="46" t="str">
        <x:v>autoelevadores / plataformas / rental</x:v>
      </x:c>
      <x:c r="AI70" s="46" t="str">
        <x:v>Sí</x:v>
      </x:c>
      <x:c r="AJ70" s="46" t="str">
        <x:v>A+ — visita/llamada inmediata</x:v>
      </x:c>
      <x:c r="AK70" s="46" t="str">
        <x:v>A+ por alquiler y equipos de varias toneladas.</x:v>
      </x:c>
      <x:c r="AL70" s="46" t="str">
        <x:v>Web/LinkedIn oficial Maquinarias Los Tanos</x:v>
      </x:c>
      <x:c r="AM70" s="46" t="str">
        <x:v>Alta nueva de tercera pasada; cruzada contra base maestra y rastrillaje previo para evitar duplicados.</x:v>
      </x:c>
    </x:row>
    <x:row r="71">
      <x:c r="A71" s="46" t="str">
        <x:v>CBA-070</x:v>
      </x:c>
      <x:c r="B71" s="46" t="str">
        <x:v>Pendiente</x:v>
      </x:c>
      <x:c r="C71" s="46" t="str">
        <x:v>Córdoba Capital</x:v>
      </x:c>
      <x:c r="D71" s="46" t="str">
        <x:v>Juan B. Justo / zona norte</x:v>
      </x:c>
      <x:c r="E71" s="46" t="str">
        <x:v>Córdoba Capital</x:v>
      </x:c>
      <x:c r="F71" s="46" t="str">
        <x:v>A+</x:v>
      </x:c>
      <x:c r="G71" s="46" t="n">
        <x:v>94</x:v>
      </x:c>
      <x:c r="H71" s="46" t="str">
        <x:v>Maquinarias Eleva</x:v>
      </x:c>
      <x:c r="I71" s="46" t="str">
        <x:v>Alquiler y venta de plataformas elevadoras, autoelevadores, mástiles y manipuladores</x:v>
      </x:c>
      <x:c r="J71" s="46" t="str">
        <x:v>Autoelevadores y elevación</x:v>
      </x:c>
      <x:c r="K71" s="46" t="str">
        <x:v>+54 351 753-7683 / +54 351 850-2000</x:v>
      </x:c>
      <x:c r="L71" s="46" t="str">
        <x:v>OK</x:v>
      </x:c>
      <x:c r="M71" s="46" t="str">
        <x:v>alquileres / logística / operaciones</x:v>
      </x:c>
      <x:c r="N71" s="46" t="str">
        <x:v>Traslado de plataformas, autoelevadores de hasta 10 t y manipuladores telescópicos entre base y obras/clientes.</x:v>
      </x:c>
      <x:c r="O71" s="46" t="str">
        <x:v>Plataforma + malacate + logística de entrega/retiro + seguro.</x:v>
      </x:c>
      <x:c r="P71" s="46" t="str">
        <x:v>Aunque declara logística propia, PRESOL puede absorber picos y equipos/pesos fuera de capacidad.</x:v>
      </x:c>
      <x:c r="Q71" s="46" t="str">
        <x:v>Llamar a alquileres y ofrecer overflow para entregas urgentes o interurbanas.</x:v>
      </x:c>
      <x:c r="R71" s="46"/>
      <x:c r="S71" s="46" t="str">
        <x:v>Av. Juan B. Justo 4555, Córdoba</x:v>
      </x:c>
      <x:c r="T71" s="46"/>
      <x:c r="U71" s="46"/>
      <x:c r="V71" s="46"/>
      <x:c r="W71" s="46"/>
      <x:c r="X71" s="46" t="str">
        <x:v>tel:+543517537683</x:v>
      </x:c>
      <x:c r="Y71" s="46" t="str">
        <x:v>tel:+543517537683</x:v>
      </x:c>
      <x:c r="Z71" s="46" t="str">
        <x:v>Confirmar decisor, frecuencia de movimientos, peso/dimensiones habituales y cómo resuelven hoy los traslados.</x:v>
      </x:c>
      <x:c r="AA71" s="46" t="str">
        <x:v>https://www.google.com/maps/search/?api=1&amp;query=Maquinarias+Eleva+Av.+Juan+B.+Justo+4555%2C+C%C3%B3rdoba</x:v>
      </x:c>
      <x:c r="AB71" s="46" t="str">
        <x:v>Web oficial / perfil comercial Maquinarias Eleva</x:v>
      </x:c>
      <x:c r="AC71" s="46" t="str">
        <x:v>https://www.maquinariaseleva.com.ar/</x:v>
      </x:c>
      <x:c r="AD71" s="46" t="str">
        <x:v>Alquiler/venta de elevación; publica logística propia y equipos de carga de 1,8 a 10 t.</x:v>
      </x:c>
      <x:c r="AE71" s="46" t="str">
        <x:v>Alta</x:v>
      </x:c>
      <x:c r="AF71" s="46" t="str">
        <x:v>Tercera pasada marcas + parques Córdoba Capital 2026-09-14</x:v>
      </x:c>
      <x:c r="AG71" s="46" t="str">
        <x:v>Plataforma + malacate + logística de entrega/retiro + seguro.</x:v>
      </x:c>
      <x:c r="AH71" s="46" t="str">
        <x:v>plataformas / autoelevadores / rental</x:v>
      </x:c>
      <x:c r="AI71" s="46" t="str">
        <x:v>Sí</x:v>
      </x:c>
      <x:c r="AJ71" s="46" t="str">
        <x:v>A+ — visita/llamada inmediata</x:v>
      </x:c>
      <x:c r="AK71" s="46" t="str">
        <x:v>A+ aunque tenga logística propia: target de overflow.</x:v>
      </x:c>
      <x:c r="AL71" s="46" t="str">
        <x:v>Web oficial / perfil comercial Maquinarias Eleva</x:v>
      </x:c>
      <x:c r="AM71" s="46" t="str">
        <x:v>Alta nueva de tercera pasada; cruzada contra base maestra y rastrillaje previo para evitar duplicados.</x:v>
      </x:c>
    </x:row>
    <x:row r="72">
      <x:c r="A72" s="46" t="str">
        <x:v>CBA-071</x:v>
      </x:c>
      <x:c r="B72" s="46" t="str">
        <x:v>Pendiente</x:v>
      </x:c>
      <x:c r="C72" s="46" t="str">
        <x:v>Córdoba Capital</x:v>
      </x:c>
      <x:c r="D72" s="46" t="str">
        <x:v>Ruta 19 / zona este</x:v>
      </x:c>
      <x:c r="E72" s="46" t="str">
        <x:v>Córdoba Capital</x:v>
      </x:c>
      <x:c r="F72" s="46" t="str">
        <x:v>A+</x:v>
      </x:c>
      <x:c r="G72" s="46" t="n">
        <x:v>96</x:v>
      </x:c>
      <x:c r="H72" s="46" t="str">
        <x:v>TZR Bombas y Equipos para Hormigón</x:v>
      </x:c>
      <x:c r="I72" s="46" t="str">
        <x:v>Fabricación de bombas de hormigón, mixers, silos y plantas dosificadoras</x:v>
      </x:c>
      <x:c r="J72" s="46" t="str">
        <x:v>Maquinaria / equipos de construcción</x:v>
      </x:c>
      <x:c r="K72" s="46" t="str">
        <x:v>0351 496-7060 / 62 / +54 351 343-9081</x:v>
      </x:c>
      <x:c r="L72" s="46" t="str">
        <x:v>OK</x:v>
      </x:c>
      <x:c r="M72" s="46" t="str">
        <x:v>ventas / expedición / service / Federico Lingua</x:v>
      </x:c>
      <x:c r="N72" s="46" t="str">
        <x:v>Despacho y traslado de bombas sobre camión, bombas de arrastre, mixers, silos, plantas dosificadoras y equipos en reparación.</x:v>
      </x:c>
      <x:c r="O72" s="46" t="str">
        <x:v>Plataforma 20 tn + malacate + cargas especiales + coordinación de retiro/entrega.</x:v>
      </x:c>
      <x:c r="P72" s="46" t="str">
        <x:v>Transporte especializado para entregas de equipos terminados, exportaciones terrestres y service.</x:v>
      </x:c>
      <x:c r="Q72" s="46" t="str">
        <x:v>Llamada prioritaria a ventas/expedición; consultar próximos equipos a entregar o retirar.</x:v>
      </x:c>
      <x:c r="R72" s="46"/>
      <x:c r="S72" s="46" t="str">
        <x:v>Dr. Ricardo Balbín 7451, Ruta 19 km 329, Córdoba</x:v>
      </x:c>
      <x:c r="T72" s="46"/>
      <x:c r="U72" s="46"/>
      <x:c r="V72" s="46"/>
      <x:c r="W72" s="46"/>
      <x:c r="X72" s="46" t="str">
        <x:v>tel:03514967060</x:v>
      </x:c>
      <x:c r="Y72" s="46" t="str">
        <x:v>tel:03514967060</x:v>
      </x:c>
      <x:c r="Z72" s="46" t="str">
        <x:v>Confirmar decisor, frecuencia de movimientos, peso/dimensiones habituales y cómo resuelven hoy los traslados.</x:v>
      </x:c>
      <x:c r="AA72" s="46" t="str">
        <x:v>https://www.google.com/maps/search/?api=1&amp;query=TZR+Bombas+y+Equipos+para+Hormig%C3%B3n+Dr.+Ricardo+Balb%C3%ADn+7451%2C+Ruta+19+km+329%2C+C%C3%B3rdoba</x:v>
      </x:c>
      <x:c r="AB72" s="46" t="str">
        <x:v>Web oficial TZR</x:v>
      </x:c>
      <x:c r="AC72" s="46" t="str">
        <x:v>https://www.tzrbombas.com/es/Contacto-3</x:v>
      </x:c>
      <x:c r="AD72" s="46" t="str">
        <x:v>Fabrica en Córdoba bombas de hormigón, bombas sobre camión, mixers, silos y equipos para hormigón.</x:v>
      </x:c>
      <x:c r="AE72" s="46" t="str">
        <x:v>Alta</x:v>
      </x:c>
      <x:c r="AF72" s="46" t="str">
        <x:v>Tercera pasada marcas + parques Córdoba Capital 2026-09-14</x:v>
      </x:c>
      <x:c r="AG72" s="46" t="str">
        <x:v>Plataforma 20 tn + malacate + cargas especiales + coordinación de retiro/entrega.</x:v>
      </x:c>
      <x:c r="AH72" s="46" t="str">
        <x:v>equipos hormigón / fabricante</x:v>
      </x:c>
      <x:c r="AI72" s="46" t="str">
        <x:v>Sí</x:v>
      </x:c>
      <x:c r="AJ72" s="46" t="str">
        <x:v>A+ — visita/llamada inmediata</x:v>
      </x:c>
      <x:c r="AK72" s="46" t="str">
        <x:v>A+ por tamaño/peso y despachos de maquinaria terminada.</x:v>
      </x:c>
      <x:c r="AL72" s="46" t="str">
        <x:v>Web oficial TZR</x:v>
      </x:c>
      <x:c r="AM72" s="46" t="str">
        <x:v>Alta nueva de tercera pasada; cruzada contra base maestra y rastrillaje previo para evitar duplicados.</x:v>
      </x:c>
    </x:row>
    <x:row r="73">
      <x:c r="A73" s="46" t="str">
        <x:v>CBA-072</x:v>
      </x:c>
      <x:c r="B73" s="46" t="str">
        <x:v>Pendiente</x:v>
      </x:c>
      <x:c r="C73" s="46" t="str">
        <x:v>Córdoba Capital</x:v>
      </x:c>
      <x:c r="D73" s="46" t="str">
        <x:v>Ferreyra / Ruta 9 Sur</x:v>
      </x:c>
      <x:c r="E73" s="46" t="str">
        <x:v>Córdoba Capital</x:v>
      </x:c>
      <x:c r="F73" s="46" t="str">
        <x:v>A</x:v>
      </x:c>
      <x:c r="G73" s="46" t="n">
        <x:v>92</x:v>
      </x:c>
      <x:c r="H73" s="46" t="str">
        <x:v>Metalúrgica San Vicente S.R.L.</x:v>
      </x:c>
      <x:c r="I73" s="46" t="str">
        <x:v>Fabricación de puentes grúa, pórticos, semipórticos y equipos de izaje</x:v>
      </x:c>
      <x:c r="J73" s="46" t="str">
        <x:v>Metalúrgica y fabricación</x:v>
      </x:c>
      <x:c r="K73" s="46" t="str">
        <x:v>0351 450-2500</x:v>
      </x:c>
      <x:c r="L73" s="46" t="str">
        <x:v>OK</x:v>
      </x:c>
      <x:c r="M73" s="46" t="str">
        <x:v>producción / expedición / montajes</x:v>
      </x:c>
      <x:c r="N73" s="46" t="str">
        <x:v>Transporte de puentes grúa, vigas, pórticos y componentes de gran longitud/peso hacia plantas y montajes.</x:v>
      </x:c>
      <x:c r="O73" s="46" t="str">
        <x:v>Plataforma + cargas largas/especiales + coordinación de obra + seguro.</x:v>
      </x:c>
      <x:c r="P73" s="46" t="str">
        <x:v>Despachos de estructuras de izaje y apoyo en montajes con transporte dedicado.</x:v>
      </x:c>
      <x:c r="Q73" s="46" t="str">
        <x:v>Contactar expedición/montajes y relevar dimensiones máximas y viajes mensuales.</x:v>
      </x:c>
      <x:c r="R73" s="46"/>
      <x:c r="S73" s="46" t="str">
        <x:v>Ruta 9 Sur km 689, Ferreyra, Córdoba</x:v>
      </x:c>
      <x:c r="T73" s="46"/>
      <x:c r="U73" s="46"/>
      <x:c r="V73" s="46"/>
      <x:c r="W73" s="46"/>
      <x:c r="X73" s="46" t="str">
        <x:v>tel:03514502500</x:v>
      </x:c>
      <x:c r="Y73" s="46" t="str">
        <x:v>tel:03514502500</x:v>
      </x:c>
      <x:c r="Z73" s="46" t="str">
        <x:v>Confirmar decisor, frecuencia de movimientos, peso/dimensiones habituales y cómo resuelven hoy los traslados.</x:v>
      </x:c>
      <x:c r="AA73" s="46" t="str">
        <x:v>https://www.google.com/maps/search/?api=1&amp;query=Metal%C3%BArgica+San+Vicente+S.R.L.+Ruta+9+Sur+km+689%2C+Ferreyra%2C+C%C3%B3rdoba</x:v>
      </x:c>
      <x:c r="AB73" s="46" t="str">
        <x:v>Web oficial + CIMCC</x:v>
      </x:c>
      <x:c r="AC73" s="46" t="str">
        <x:v>https://www.metsanvicente.com.ar/</x:v>
      </x:c>
      <x:c r="AD73" s="46" t="str">
        <x:v>Metalúrgica cordobesa fabricante de puentes grúa y pórticos; ubicada en corredor industrial Ferreyra.</x:v>
      </x:c>
      <x:c r="AE73" s="46" t="str">
        <x:v>Alta</x:v>
      </x:c>
      <x:c r="AF73" s="46" t="str">
        <x:v>Tercera pasada marcas + parques Córdoba Capital 2026-09-14</x:v>
      </x:c>
      <x:c r="AG73" s="46" t="str">
        <x:v>Plataforma + cargas largas/especiales + coordinación de obra + seguro.</x:v>
      </x:c>
      <x:c r="AH73" s="46" t="str">
        <x:v>puentes grúa / estructuras pesadas</x:v>
      </x:c>
      <x:c r="AI73" s="46" t="str">
        <x:v>Sí</x:v>
      </x:c>
      <x:c r="AJ73" s="46" t="str">
        <x:v>A — prioridad alta</x:v>
      </x:c>
      <x:c r="AK73" s="46" t="str">
        <x:v>A alto por cargas largas y pesadas.</x:v>
      </x:c>
      <x:c r="AL73" s="46" t="str">
        <x:v>Web oficial + CIMCC</x:v>
      </x:c>
      <x:c r="AM73" s="46" t="str">
        <x:v>Alta nueva de tercera pasada; cruzada contra base maestra y rastrillaje previo para evitar duplicados.</x:v>
      </x:c>
    </x:row>
    <x:row r="74">
      <x:c r="A74" s="46" t="str">
        <x:v>CBA-073</x:v>
      </x:c>
      <x:c r="B74" s="46" t="str">
        <x:v>Pendiente</x:v>
      </x:c>
      <x:c r="C74" s="46" t="str">
        <x:v>Córdoba Capital</x:v>
      </x:c>
      <x:c r="D74" s="46" t="str">
        <x:v>Parque Industrial Ferreyra</x:v>
      </x:c>
      <x:c r="E74" s="46" t="str">
        <x:v>Córdoba Capital</x:v>
      </x:c>
      <x:c r="F74" s="46" t="str">
        <x:v>A</x:v>
      </x:c>
      <x:c r="G74" s="46" t="n">
        <x:v>85</x:v>
      </x:c>
      <x:c r="H74" s="46" t="str">
        <x:v>Sturam S.A.</x:v>
      </x:c>
      <x:c r="I74" s="46" t="str">
        <x:v>Fundición, mecanizado y fabricación de componentes industriales y automotrices</x:v>
      </x:c>
      <x:c r="J74" s="46" t="str">
        <x:v>Metalúrgica y fabricación</x:v>
      </x:c>
      <x:c r="K74" s="46" t="str">
        <x:v>0351 461-3434</x:v>
      </x:c>
      <x:c r="L74" s="46" t="str">
        <x:v>OK</x:v>
      </x:c>
      <x:c r="M74" s="46" t="str">
        <x:v>logística / planta / expedición / compras</x:v>
      </x:c>
      <x:c r="N74" s="46" t="str">
        <x:v>Movimientos de matrices, piezas fundidas, conjuntos mecanizados y equipos entre plantas/clientes.</x:v>
      </x:c>
      <x:c r="O74" s="46" t="str">
        <x:v>Plataforma + carga industrial pesada + seguro/GPS.</x:v>
      </x:c>
      <x:c r="P74" s="46" t="str">
        <x:v>Solución para cargas puntuales fuera de estándar y movimientos planta-cliente.</x:v>
      </x:c>
      <x:c r="Q74" s="46" t="str">
        <x:v>Contactar logística/expedición de Planta Ferreyra y relevar cargas especiales.</x:v>
      </x:c>
      <x:c r="R74" s="46"/>
      <x:c r="S74" s="46" t="str">
        <x:v>Av. Manuel Gral. Savio 4880, Parque Industrial Ferreyra, Córdoba</x:v>
      </x:c>
      <x:c r="T74" s="46"/>
      <x:c r="U74" s="46"/>
      <x:c r="V74" s="46"/>
      <x:c r="W74" s="46"/>
      <x:c r="X74" s="46" t="str">
        <x:v>tel:03514613434</x:v>
      </x:c>
      <x:c r="Y74" s="46" t="str">
        <x:v>tel:03514613434</x:v>
      </x:c>
      <x:c r="Z74" s="46" t="str">
        <x:v>Confirmar decisor, frecuencia de movimientos, peso/dimensiones habituales y cómo resuelven hoy los traslados.</x:v>
      </x:c>
      <x:c r="AA74" s="46" t="str">
        <x:v>https://www.google.com/maps/search/?api=1&amp;query=Sturam+S.A.+Av.+Manuel+Gral.+Savio+4880%2C+Parque+Industrial+Ferreyra%2C+C%C3%B3rdoba</x:v>
      </x:c>
      <x:c r="AB74" s="46" t="str">
        <x:v>Web oficial Sturam</x:v>
      </x:c>
      <x:c r="AC74" s="46" t="str">
        <x:v>https://www.sturamsa.com.ar/</x:v>
      </x:c>
      <x:c r="AD74" s="46" t="str">
        <x:v>Planta industrial en Ferreyra con fundición y mecanizado de componentes.</x:v>
      </x:c>
      <x:c r="AE74" s="46" t="str">
        <x:v>Alta</x:v>
      </x:c>
      <x:c r="AF74" s="46" t="str">
        <x:v>Tercera pasada marcas + parques Córdoba Capital 2026-09-14</x:v>
      </x:c>
      <x:c r="AG74" s="46" t="str">
        <x:v>Plataforma + carga industrial pesada + seguro/GPS.</x:v>
      </x:c>
      <x:c r="AH74" s="46" t="str">
        <x:v>metalúrgica / autopartes / fundición</x:v>
      </x:c>
      <x:c r="AI74" s="46" t="str">
        <x:v>Sí</x:v>
      </x:c>
      <x:c r="AJ74" s="46" t="str">
        <x:v>A — prioridad alta</x:v>
      </x:c>
      <x:c r="AK74" s="46" t="str">
        <x:v>A por entorno industrial; frecuencia especial a validar.</x:v>
      </x:c>
      <x:c r="AL74" s="46" t="str">
        <x:v>Web oficial Sturam</x:v>
      </x:c>
      <x:c r="AM74" s="46" t="str">
        <x:v>Alta nueva de tercera pasada; cruzada contra base maestra y rastrillaje previo para evitar duplicados.</x:v>
      </x:c>
    </x:row>
    <x:row r="75">
      <x:c r="A75" s="46" t="str">
        <x:v>CBA-074</x:v>
      </x:c>
      <x:c r="B75" s="46" t="str">
        <x:v>Pendiente</x:v>
      </x:c>
      <x:c r="C75" s="46" t="str">
        <x:v>Córdoba Capital</x:v>
      </x:c>
      <x:c r="D75" s="46" t="str">
        <x:v>Circunvalación / Camino Interfábricas</x:v>
      </x:c>
      <x:c r="E75" s="46" t="str">
        <x:v>Córdoba Capital</x:v>
      </x:c>
      <x:c r="F75" s="46" t="str">
        <x:v>A</x:v>
      </x:c>
      <x:c r="G75" s="46" t="n">
        <x:v>90</x:v>
      </x:c>
      <x:c r="H75" s="46" t="str">
        <x:v>Julio Donadio S.A.</x:v>
      </x:c>
      <x:c r="I75" s="46" t="str">
        <x:v>Centro de servicios siderúrgicos; corte, plegado, pilotes y distribución de acero</x:v>
      </x:c>
      <x:c r="J75" s="46" t="str">
        <x:v>Metalúrgica y fabricación</x:v>
      </x:c>
      <x:c r="K75" s="46" t="str">
        <x:v>0810-555-3662 / +54 351 891-0000</x:v>
      </x:c>
      <x:c r="L75" s="46" t="str">
        <x:v>OK</x:v>
      </x:c>
      <x:c r="M75" s="46" t="str">
        <x:v>logística / expedición / distribución</x:v>
      </x:c>
      <x:c r="N75" s="46" t="str">
        <x:v>Distribución de acero, piezas cortadas/plegadas, pilotes y cargas largas o pesadas hacia obras e industrias.</x:v>
      </x:c>
      <x:c r="O75" s="46" t="str">
        <x:v>Plataforma + cargas largas/pesadas + coordinación de entrega + seguro.</x:v>
      </x:c>
      <x:c r="P75" s="46" t="str">
        <x:v>Complemento para entregas de gran porte o destinos que requieren plataforma/carretones.</x:v>
      </x:c>
      <x:c r="Q75" s="46" t="str">
        <x:v>Contactar logística/expedición y consultar viajes que exceden flota convencional.</x:v>
      </x:c>
      <x:c r="R75" s="46"/>
      <x:c r="S75" s="46" t="str">
        <x:v>Av. Circunvalación esq. Camino Interfábricas, Córdoba</x:v>
      </x:c>
      <x:c r="T75" s="46"/>
      <x:c r="U75" s="46"/>
      <x:c r="V75" s="46"/>
      <x:c r="W75" s="46"/>
      <x:c r="X75" s="46" t="str">
        <x:v>tel:08105553662</x:v>
      </x:c>
      <x:c r="Y75" s="46" t="str">
        <x:v>tel:08105553662</x:v>
      </x:c>
      <x:c r="Z75" s="46" t="str">
        <x:v>Confirmar decisor, frecuencia de movimientos, peso/dimensiones habituales y cómo resuelven hoy los traslados.</x:v>
      </x:c>
      <x:c r="AA75" s="46" t="str">
        <x:v>https://www.google.com/maps/search/?api=1&amp;query=Julio+Donadio+S.A.+Av.+Circunvalaci%C3%B3n+esq.+Camino+Interf%C3%A1bricas%2C+C%C3%B3rdoba</x:v>
      </x:c>
      <x:c r="AB75" s="46" t="str">
        <x:v>Web oficial Julio Donadio</x:v>
      </x:c>
      <x:c r="AC75" s="46" t="str">
        <x:v>https://donadio-cba.com.ar/</x:v>
      </x:c>
      <x:c r="AD75" s="46" t="str">
        <x:v>Centro siderúrgico cordobés con servicios de acero y logística/entrega a clientes.</x:v>
      </x:c>
      <x:c r="AE75" s="46" t="str">
        <x:v>Alta</x:v>
      </x:c>
      <x:c r="AF75" s="46" t="str">
        <x:v>Tercera pasada marcas + parques Córdoba Capital 2026-09-14</x:v>
      </x:c>
      <x:c r="AG75" s="46" t="str">
        <x:v>Plataforma + cargas largas/pesadas + coordinación de entrega + seguro.</x:v>
      </x:c>
      <x:c r="AH75" s="46" t="str">
        <x:v>acero / cargas largas</x:v>
      </x:c>
      <x:c r="AI75" s="46" t="str">
        <x:v>Sí</x:v>
      </x:c>
      <x:c r="AJ75" s="46" t="str">
        <x:v>A — prioridad alta</x:v>
      </x:c>
      <x:c r="AK75" s="46" t="str">
        <x:v>A por peso/longitud y volumen logístico.</x:v>
      </x:c>
      <x:c r="AL75" s="46" t="str">
        <x:v>Web oficial Julio Donadio</x:v>
      </x:c>
      <x:c r="AM75" s="46" t="str">
        <x:v>Alta nueva de tercera pasada; cruzada contra base maestra y rastrillaje previo para evitar duplicados.</x:v>
      </x:c>
    </x:row>
    <x:row r="76">
      <x:c r="A76" s="46" t="str">
        <x:v>CBA-075</x:v>
      </x:c>
      <x:c r="B76" s="46" t="str">
        <x:v>Pendiente</x:v>
      </x:c>
      <x:c r="C76" s="46" t="str">
        <x:v>Córdoba Capital</x:v>
      </x:c>
      <x:c r="D76" s="46" t="str">
        <x:v>Zona sur industrial / Arteaga</x:v>
      </x:c>
      <x:c r="E76" s="46" t="str">
        <x:v>Córdoba Capital</x:v>
      </x:c>
      <x:c r="F76" s="46" t="str">
        <x:v>A</x:v>
      </x:c>
      <x:c r="G76" s="46" t="n">
        <x:v>88</x:v>
      </x:c>
      <x:c r="H76" s="46" t="str">
        <x:v>Pilmhor S.A.</x:v>
      </x:c>
      <x:c r="I76" s="46" t="str">
        <x:v>Fabricación de componentes hidráulicos para agro, vial, minería e industria</x:v>
      </x:c>
      <x:c r="J76" s="46" t="str">
        <x:v>Metalúrgica y fabricación</x:v>
      </x:c>
      <x:c r="K76" s="46" t="str">
        <x:v>0351 465-0012 / +54 9 351 345-5614</x:v>
      </x:c>
      <x:c r="L76" s="46" t="str">
        <x:v>OK</x:v>
      </x:c>
      <x:c r="M76" s="46" t="str">
        <x:v>producción / expedición / ingeniería</x:v>
      </x:c>
      <x:c r="N76" s="46" t="str">
        <x:v>Entrega de componentes hidráulicos, conjuntos y equipos; movimientos vinculados a hidrogrúas y maquinaria pesada.</x:v>
      </x:c>
      <x:c r="O76" s="46" t="str">
        <x:v>Plataforma + carga industrial + retiro/entrega + seguro.</x:v>
      </x:c>
      <x:c r="P76" s="46" t="str">
        <x:v>Servicio especializado para conjuntos de mayor porte y entregas a fabricantes/usuarios de maquinaria.</x:v>
      </x:c>
      <x:c r="Q76" s="46" t="str">
        <x:v>Contactar expedición/ingeniería y detectar cargas por encima de transporte liviano.</x:v>
      </x:c>
      <x:c r="R76" s="46"/>
      <x:c r="S76" s="46" t="str">
        <x:v>Francisco de Arteaga 2225, Córdoba</x:v>
      </x:c>
      <x:c r="T76" s="46"/>
      <x:c r="U76" s="46"/>
      <x:c r="V76" s="46"/>
      <x:c r="W76" s="46"/>
      <x:c r="X76" s="46" t="str">
        <x:v>tel:03514650012</x:v>
      </x:c>
      <x:c r="Y76" s="46" t="str">
        <x:v>tel:03514650012</x:v>
      </x:c>
      <x:c r="Z76" s="46" t="str">
        <x:v>Confirmar decisor, frecuencia de movimientos, peso/dimensiones habituales y cómo resuelven hoy los traslados.</x:v>
      </x:c>
      <x:c r="AA76" s="46" t="str">
        <x:v>https://www.google.com/maps/search/?api=1&amp;query=Pilmhor+S.A.+Francisco+de+Arteaga+2225%2C+C%C3%B3rdoba</x:v>
      </x:c>
      <x:c r="AB76" s="46" t="str">
        <x:v>Web oficial Pilmhor</x:v>
      </x:c>
      <x:c r="AC76" s="46" t="str">
        <x:v>https://www.pilmhor.com.ar/</x:v>
      </x:c>
      <x:c r="AD76" s="46" t="str">
        <x:v>Fabricante cordobés de hidráulica para sectores agro, vial, minería e industria.</x:v>
      </x:c>
      <x:c r="AE76" s="46" t="str">
        <x:v>Alta</x:v>
      </x:c>
      <x:c r="AF76" s="46" t="str">
        <x:v>Tercera pasada marcas + parques Córdoba Capital 2026-09-14</x:v>
      </x:c>
      <x:c r="AG76" s="46" t="str">
        <x:v>Plataforma + carga industrial + retiro/entrega + seguro.</x:v>
      </x:c>
      <x:c r="AH76" s="46" t="str">
        <x:v>hidráulica / maquinaria pesada</x:v>
      </x:c>
      <x:c r="AI76" s="46" t="str">
        <x:v>Sí</x:v>
      </x:c>
      <x:c r="AJ76" s="46" t="str">
        <x:v>A — prioridad alta</x:v>
      </x:c>
      <x:c r="AK76" s="46" t="str">
        <x:v>A por vinculación directa con equipos viales y pesados.</x:v>
      </x:c>
      <x:c r="AL76" s="46" t="str">
        <x:v>Web oficial Pilmhor</x:v>
      </x:c>
      <x:c r="AM76" s="46" t="str">
        <x:v>Alta nueva de tercera pasada; cruzada contra base maestra y rastrillaje previo para evitar duplicados.</x:v>
      </x:c>
    </x:row>
    <x:row r="77">
      <x:c r="A77" s="46" t="str">
        <x:v>CBA-076</x:v>
      </x:c>
      <x:c r="B77" s="46" t="str">
        <x:v>Pendiente</x:v>
      </x:c>
      <x:c r="C77" s="46" t="str">
        <x:v>Córdoba Capital</x:v>
      </x:c>
      <x:c r="D77" s="46" t="str">
        <x:v>Zona sur industrial / Arteaga</x:v>
      </x:c>
      <x:c r="E77" s="46" t="str">
        <x:v>Córdoba Capital</x:v>
      </x:c>
      <x:c r="F77" s="46" t="str">
        <x:v>A</x:v>
      </x:c>
      <x:c r="G77" s="46" t="n">
        <x:v>86</x:v>
      </x:c>
      <x:c r="H77" s="46" t="str">
        <x:v>Acerbon S.R.L.</x:v>
      </x:c>
      <x:c r="I77" s="46" t="str">
        <x:v>Centro de servicios metalúrgicos; láser, plasma, oxicorte, plegado, rolado y soldadura</x:v>
      </x:c>
      <x:c r="J77" s="46" t="str">
        <x:v>Metalúrgica y fabricación</x:v>
      </x:c>
      <x:c r="K77" s="46" t="str">
        <x:v>+54 351 626-5963 / 0351 466-1672</x:v>
      </x:c>
      <x:c r="L77" s="46" t="str">
        <x:v>OK</x:v>
      </x:c>
      <x:c r="M77" s="46" t="str">
        <x:v>expedición / logística / producción</x:v>
      </x:c>
      <x:c r="N77" s="46" t="str">
        <x:v>Despacho de chapas, piezas cortadas, estructuras y conjuntos soldados de gran dimensión/peso.</x:v>
      </x:c>
      <x:c r="O77" s="46" t="str">
        <x:v>Plataforma + cargas largas/pesadas + seguro/GPS.</x:v>
      </x:c>
      <x:c r="P77" s="46" t="str">
        <x:v>Tercerizar despachos especiales que no entran en transporte convencional.</x:v>
      </x:c>
      <x:c r="Q77" s="46" t="str">
        <x:v>Contactar expedición y consultar dimensiones/pesos máximos y frecuencia.</x:v>
      </x:c>
      <x:c r="R77" s="46"/>
      <x:c r="S77" s="46" t="str">
        <x:v>Francisco de Arteaga 2281, Córdoba</x:v>
      </x:c>
      <x:c r="T77" s="46"/>
      <x:c r="U77" s="46"/>
      <x:c r="V77" s="46"/>
      <x:c r="W77" s="46"/>
      <x:c r="X77" s="46" t="str">
        <x:v>tel:+543516265963</x:v>
      </x:c>
      <x:c r="Y77" s="46" t="str">
        <x:v>tel:+543516265963</x:v>
      </x:c>
      <x:c r="Z77" s="46" t="str">
        <x:v>Confirmar decisor, frecuencia de movimientos, peso/dimensiones habituales y cómo resuelven hoy los traslados.</x:v>
      </x:c>
      <x:c r="AA77" s="46" t="str">
        <x:v>https://www.google.com/maps/search/?api=1&amp;query=Acerbon+S.R.L.+Francisco+de+Arteaga+2281%2C+C%C3%B3rdoba</x:v>
      </x:c>
      <x:c r="AB77" s="46" t="str">
        <x:v>Web oficial Acerbon</x:v>
      </x:c>
      <x:c r="AC77" s="46" t="str">
        <x:v>https://acerbon.com.ar/</x:v>
      </x:c>
      <x:c r="AD77" s="46" t="str">
        <x:v>Servicios metalúrgicos de corte/plegado/rolado/soldadura con logística de piezas y estructuras.</x:v>
      </x:c>
      <x:c r="AE77" s="46" t="str">
        <x:v>Alta</x:v>
      </x:c>
      <x:c r="AF77" s="46" t="str">
        <x:v>Tercera pasada marcas + parques Córdoba Capital 2026-09-14</x:v>
      </x:c>
      <x:c r="AG77" s="46" t="str">
        <x:v>Plataforma + cargas largas/pesadas + seguro/GPS.</x:v>
      </x:c>
      <x:c r="AH77" s="46" t="str">
        <x:v>chapa / estructuras / corte</x:v>
      </x:c>
      <x:c r="AI77" s="46" t="str">
        <x:v>Sí</x:v>
      </x:c>
      <x:c r="AJ77" s="46" t="str">
        <x:v>A — prioridad alta</x:v>
      </x:c>
      <x:c r="AK77" s="46" t="str">
        <x:v>A por potencial de cargas voluminosas.</x:v>
      </x:c>
      <x:c r="AL77" s="46" t="str">
        <x:v>Web oficial Acerbon</x:v>
      </x:c>
      <x:c r="AM77" s="46" t="str">
        <x:v>Alta nueva de tercera pasada; cruzada contra base maestra y rastrillaje previo para evitar duplicados.</x:v>
      </x:c>
    </x:row>
    <x:row r="78">
      <x:c r="A78" s="46" t="str">
        <x:v>CBA-077</x:v>
      </x:c>
      <x:c r="B78" s="46" t="str">
        <x:v>Pendiente</x:v>
      </x:c>
      <x:c r="C78" s="46" t="str">
        <x:v>Córdoba Capital</x:v>
      </x:c>
      <x:c r="D78" s="46" t="str">
        <x:v>Sabattini / zona sudeste</x:v>
      </x:c>
      <x:c r="E78" s="46" t="str">
        <x:v>Córdoba Capital</x:v>
      </x:c>
      <x:c r="F78" s="46" t="str">
        <x:v>A</x:v>
      </x:c>
      <x:c r="G78" s="46" t="n">
        <x:v>86</x:v>
      </x:c>
      <x:c r="H78" s="46" t="str">
        <x:v>Rubol S.A.I.C.F.</x:v>
      </x:c>
      <x:c r="I78" s="46" t="str">
        <x:v>Forja pesada y mecanizado de componentes para automotriz, agro, oil &amp; gas e industria</x:v>
      </x:c>
      <x:c r="J78" s="46" t="str">
        <x:v>Metalúrgica y fabricación</x:v>
      </x:c>
      <x:c r="K78" s="46" t="str">
        <x:v>0351 570-3114</x:v>
      </x:c>
      <x:c r="L78" s="46" t="str">
        <x:v>OK</x:v>
      </x:c>
      <x:c r="M78" s="46" t="str">
        <x:v>logística / expedición / compras</x:v>
      </x:c>
      <x:c r="N78" s="46" t="str">
        <x:v>Movimiento de matrices, forjados y componentes metálicos pesados entre planta, clientes y proveedores.</x:v>
      </x:c>
      <x:c r="O78" s="46" t="str">
        <x:v>Plataforma + carga industrial pesada + seguro.</x:v>
      </x:c>
      <x:c r="P78" s="46" t="str">
        <x:v>Atender movimientos puntuales de matrices o piezas que requieran plataforma dedicada.</x:v>
      </x:c>
      <x:c r="Q78" s="46" t="str">
        <x:v>Contactar logística y preguntar por movimientos de matrices/equipos de gran peso.</x:v>
      </x:c>
      <x:c r="R78" s="46"/>
      <x:c r="S78" s="46" t="str">
        <x:v>Av. Amadeo Sabattini 5369, Córdoba</x:v>
      </x:c>
      <x:c r="T78" s="46"/>
      <x:c r="U78" s="46"/>
      <x:c r="V78" s="46"/>
      <x:c r="W78" s="46"/>
      <x:c r="X78" s="46" t="str">
        <x:v>tel:03515703114</x:v>
      </x:c>
      <x:c r="Y78" s="46" t="str">
        <x:v>tel:03515703114</x:v>
      </x:c>
      <x:c r="Z78" s="46" t="str">
        <x:v>Confirmar decisor, frecuencia de movimientos, peso/dimensiones habituales y cómo resuelven hoy los traslados.</x:v>
      </x:c>
      <x:c r="AA78" s="46" t="str">
        <x:v>https://www.google.com/maps/search/?api=1&amp;query=Rubol+S.A.I.C.F.+Av.+Amadeo+Sabattini+5369%2C+C%C3%B3rdoba</x:v>
      </x:c>
      <x:c r="AB78" s="46" t="str">
        <x:v>Web oficial Rubol</x:v>
      </x:c>
      <x:c r="AC78" s="46" t="str">
        <x:v>https://rubol.com.ar/</x:v>
      </x:c>
      <x:c r="AD78" s="46" t="str">
        <x:v>Planta metalmecánica de forja y mecanizado con prensas de gran capacidad.</x:v>
      </x:c>
      <x:c r="AE78" s="46" t="str">
        <x:v>Alta</x:v>
      </x:c>
      <x:c r="AF78" s="46" t="str">
        <x:v>Tercera pasada marcas + parques Córdoba Capital 2026-09-14</x:v>
      </x:c>
      <x:c r="AG78" s="46" t="str">
        <x:v>Plataforma + carga industrial pesada + seguro.</x:v>
      </x:c>
      <x:c r="AH78" s="46" t="str">
        <x:v>forja / matrices / piezas pesadas</x:v>
      </x:c>
      <x:c r="AI78" s="46" t="str">
        <x:v>Sí</x:v>
      </x:c>
      <x:c r="AJ78" s="46" t="str">
        <x:v>A — prioridad alta</x:v>
      </x:c>
      <x:c r="AK78" s="46" t="str">
        <x:v>A por densidad/peso de cargas industriales.</x:v>
      </x:c>
      <x:c r="AL78" s="46" t="str">
        <x:v>Web oficial Rubol</x:v>
      </x:c>
      <x:c r="AM78" s="46" t="str">
        <x:v>Alta nueva de tercera pasada; cruzada contra base maestra y rastrillaje previo para evitar duplicados.</x:v>
      </x:c>
    </x:row>
    <x:row r="79">
      <x:c r="A79" s="46" t="str">
        <x:v>CBA-078</x:v>
      </x:c>
      <x:c r="B79" s="46" t="str">
        <x:v>Pendiente</x:v>
      </x:c>
      <x:c r="C79" s="46" t="str">
        <x:v>Córdoba Capital</x:v>
      </x:c>
      <x:c r="D79" s="46" t="str">
        <x:v>Ferreyra / Savio</x:v>
      </x:c>
      <x:c r="E79" s="46" t="str">
        <x:v>Córdoba Capital</x:v>
      </x:c>
      <x:c r="F79" s="46" t="str">
        <x:v>A</x:v>
      </x:c>
      <x:c r="G79" s="46" t="n">
        <x:v>86</x:v>
      </x:c>
      <x:c r="H79" s="46" t="str">
        <x:v>Pellacani S.R.L.</x:v>
      </x:c>
      <x:c r="I79" s="46" t="str">
        <x:v>Mecanizado, ensamblaje y soluciones industriales para automotriz, agro, energía y construcción</x:v>
      </x:c>
      <x:c r="J79" s="46" t="str">
        <x:v>Metalúrgica y fabricación</x:v>
      </x:c>
      <x:c r="K79" s="46" t="str">
        <x:v>+54 9 351 417-3075</x:v>
      </x:c>
      <x:c r="L79" s="46" t="str">
        <x:v>OK</x:v>
      </x:c>
      <x:c r="M79" s="46" t="str">
        <x:v>logística / planta / expedición</x:v>
      </x:c>
      <x:c r="N79" s="46" t="str">
        <x:v>Traslado de conjuntos mecanizados, dispositivos, herramentales y componentes para vehículos/equipos pesados.</x:v>
      </x:c>
      <x:c r="O79" s="46" t="str">
        <x:v>Plataforma + carga industrial + seguro/GPS.</x:v>
      </x:c>
      <x:c r="P79" s="46" t="str">
        <x:v>Movimientos especiales entre planta, terminales y clientes cuando exceden transporte estándar.</x:v>
      </x:c>
      <x:c r="Q79" s="46" t="str">
        <x:v>Contactar logística/expedición de Ferreyra y relevar cargas especiales.</x:v>
      </x:c>
      <x:c r="R79" s="46"/>
      <x:c r="S79" s="46" t="str">
        <x:v>Gral. Manuel Savio 5110, Ferreyra, Córdoba</x:v>
      </x:c>
      <x:c r="T79" s="46"/>
      <x:c r="U79" s="46"/>
      <x:c r="V79" s="46"/>
      <x:c r="W79" s="46"/>
      <x:c r="X79" s="46" t="str">
        <x:v>tel:+5493514173075</x:v>
      </x:c>
      <x:c r="Y79" s="46" t="str">
        <x:v>tel:+5493514173075</x:v>
      </x:c>
      <x:c r="Z79" s="46" t="str">
        <x:v>Confirmar decisor, frecuencia de movimientos, peso/dimensiones habituales y cómo resuelven hoy los traslados.</x:v>
      </x:c>
      <x:c r="AA79" s="46" t="str">
        <x:v>https://www.google.com/maps/search/?api=1&amp;query=Pellacani+S.R.L.+Gral.+Manuel+Savio+5110%2C+Ferreyra%2C+C%C3%B3rdoba</x:v>
      </x:c>
      <x:c r="AB79" s="46" t="str">
        <x:v>Web oficial Pellacani</x:v>
      </x:c>
      <x:c r="AC79" s="46" t="str">
        <x:v>https://www.pellacani.com.ar/</x:v>
      </x:c>
      <x:c r="AD79" s="46" t="str">
        <x:v>Planta industrial en Ferreyra con mecanizado/ensamble para automotriz, agro, energía y construcción.</x:v>
      </x:c>
      <x:c r="AE79" s="46" t="str">
        <x:v>Alta</x:v>
      </x:c>
      <x:c r="AF79" s="46" t="str">
        <x:v>Tercera pasada marcas + parques Córdoba Capital 2026-09-14</x:v>
      </x:c>
      <x:c r="AG79" s="46" t="str">
        <x:v>Plataforma + carga industrial + seguro/GPS.</x:v>
      </x:c>
      <x:c r="AH79" s="46" t="str">
        <x:v>mecanizado / automotriz / agro</x:v>
      </x:c>
      <x:c r="AI79" s="46" t="str">
        <x:v>Sí</x:v>
      </x:c>
      <x:c r="AJ79" s="46" t="str">
        <x:v>A — prioridad alta</x:v>
      </x:c>
      <x:c r="AK79" s="46" t="str">
        <x:v>A por ubicación y cadena industrial pesada.</x:v>
      </x:c>
      <x:c r="AL79" s="46" t="str">
        <x:v>Web oficial Pellacani</x:v>
      </x:c>
      <x:c r="AM79" s="46" t="str">
        <x:v>Alta nueva de tercera pasada; cruzada contra base maestra y rastrillaje previo para evitar duplicados.</x:v>
      </x:c>
    </x:row>
    <x:row r="80">
      <x:c r="A80" s="46" t="str">
        <x:v>CBA-079</x:v>
      </x:c>
      <x:c r="B80" s="46" t="str">
        <x:v>Pendiente</x:v>
      </x:c>
      <x:c r="C80" s="46" t="str">
        <x:v>Córdoba Capital</x:v>
      </x:c>
      <x:c r="D80" s="46" t="str">
        <x:v>Zona sur industrial</x:v>
      </x:c>
      <x:c r="E80" s="46" t="str">
        <x:v>Córdoba Capital</x:v>
      </x:c>
      <x:c r="F80" s="46" t="str">
        <x:v>A</x:v>
      </x:c>
      <x:c r="G80" s="46" t="n">
        <x:v>82</x:v>
      </x:c>
      <x:c r="H80" s="46" t="str">
        <x:v>RVM Servicios Metalúrgicos</x:v>
      </x:c>
      <x:c r="I80" s="46" t="str">
        <x:v>Corte láser, tubo láser, plegado, soldadura y ensamblaje metalúrgico</x:v>
      </x:c>
      <x:c r="J80" s="46" t="str">
        <x:v>Metalúrgica y fabricación</x:v>
      </x:c>
      <x:c r="K80" s="46" t="str">
        <x:v>+54 351 876-0000</x:v>
      </x:c>
      <x:c r="L80" s="46" t="str">
        <x:v>OK</x:v>
      </x:c>
      <x:c r="M80" s="46" t="str">
        <x:v>logística / expedición / producción</x:v>
      </x:c>
      <x:c r="N80" s="46" t="str">
        <x:v>Despacho de estructuras, tubos, chapas y conjuntos soldados de dimensiones variables hacia clientes industriales.</x:v>
      </x:c>
      <x:c r="O80" s="46" t="str">
        <x:v>Plataforma + cargas especiales + seguro.</x:v>
      </x:c>
      <x:c r="P80" s="46" t="str">
        <x:v>Resolver lotes voluminosos o largos fuera de capacidad de reparto convencional.</x:v>
      </x:c>
      <x:c r="Q80" s="46" t="str">
        <x:v>Contactar expedición y validar pesos/dimensiones típicas.</x:v>
      </x:c>
      <x:c r="R80" s="46"/>
      <x:c r="S80" s="46" t="str">
        <x:v>Ana Riglos de Irigoyen 353, Córdoba</x:v>
      </x:c>
      <x:c r="T80" s="46"/>
      <x:c r="U80" s="46"/>
      <x:c r="V80" s="46"/>
      <x:c r="W80" s="46"/>
      <x:c r="X80" s="46" t="str">
        <x:v>tel:+543518760000</x:v>
      </x:c>
      <x:c r="Y80" s="46" t="str">
        <x:v>tel:+543518760000</x:v>
      </x:c>
      <x:c r="Z80" s="46" t="str">
        <x:v>Confirmar decisor, frecuencia de movimientos, peso/dimensiones habituales y cómo resuelven hoy los traslados.</x:v>
      </x:c>
      <x:c r="AA80" s="46" t="str">
        <x:v>https://www.google.com/maps/search/?api=1&amp;query=RVM+Servicios+Metal%C3%BArgicos+Ana+Riglos+de+Irigoyen+353%2C+C%C3%B3rdoba</x:v>
      </x:c>
      <x:c r="AB80" s="46" t="str">
        <x:v>Web oficial RVM</x:v>
      </x:c>
      <x:c r="AC80" s="46" t="str">
        <x:v>https://www.rvmserviciosmetalurgicos.com/</x:v>
      </x:c>
      <x:c r="AD80" s="46" t="str">
        <x:v>Planta metalúrgica con corte láser, plegado, soldadura y armado de conjuntos.</x:v>
      </x:c>
      <x:c r="AE80" s="46" t="str">
        <x:v>Alta</x:v>
      </x:c>
      <x:c r="AF80" s="46" t="str">
        <x:v>Tercera pasada marcas + parques Córdoba Capital 2026-09-14</x:v>
      </x:c>
      <x:c r="AG80" s="46" t="str">
        <x:v>Plataforma + cargas especiales + seguro.</x:v>
      </x:c>
      <x:c r="AH80" s="46" t="str">
        <x:v>estructuras / chapa / tubos</x:v>
      </x:c>
      <x:c r="AI80" s="46" t="str">
        <x:v>Sí</x:v>
      </x:c>
      <x:c r="AJ80" s="46" t="str">
        <x:v>A — prioridad alta</x:v>
      </x:c>
      <x:c r="AK80" s="46" t="str">
        <x:v>A por fabricación; frecuencia pesada a validar.</x:v>
      </x:c>
      <x:c r="AL80" s="46" t="str">
        <x:v>Web oficial RVM</x:v>
      </x:c>
      <x:c r="AM80" s="46" t="str">
        <x:v>Alta nueva de tercera pasada; cruzada contra base maestra y rastrillaje previo para evitar duplicados.</x:v>
      </x:c>
    </x:row>
    <x:row r="81">
      <x:c r="A81" s="46" t="str">
        <x:v>CBA-080</x:v>
      </x:c>
      <x:c r="B81" s="46" t="str">
        <x:v>Pendiente</x:v>
      </x:c>
      <x:c r="C81" s="46" t="str">
        <x:v>Córdoba Capital</x:v>
      </x:c>
      <x:c r="D81" s="46" t="str">
        <x:v>Sabattini / zona sudeste</x:v>
      </x:c>
      <x:c r="E81" s="46" t="str">
        <x:v>Córdoba Capital</x:v>
      </x:c>
      <x:c r="F81" s="46" t="str">
        <x:v>A</x:v>
      </x:c>
      <x:c r="G81" s="46" t="n">
        <x:v>86</x:v>
      </x:c>
      <x:c r="H81" s="46" t="str">
        <x:v>Pertrak S.A.</x:v>
      </x:c>
      <x:c r="I81" s="46" t="str">
        <x:v>Mecanizado y fabricación de componentes OEM para vehículos y maquinaria</x:v>
      </x:c>
      <x:c r="J81" s="46" t="str">
        <x:v>Metalúrgica y fabricación</x:v>
      </x:c>
      <x:c r="K81" s="46" t="str">
        <x:v>0351 420-5385</x:v>
      </x:c>
      <x:c r="L81" s="46" t="str">
        <x:v>OK</x:v>
      </x:c>
      <x:c r="M81" s="46" t="str">
        <x:v>logística / expedición / planta</x:v>
      </x:c>
      <x:c r="N81" s="46" t="str">
        <x:v>Movimientos de herramentales, piezas mecanizadas, conjuntos y cargas industriales entre planta y OEMs.</x:v>
      </x:c>
      <x:c r="O81" s="46" t="str">
        <x:v>Plataforma + carga industrial pesada + seguro/GPS.</x:v>
      </x:c>
      <x:c r="P81" s="46" t="str">
        <x:v>Soporte para cargas especiales y movimientos extraordinarios en cadena OEM.</x:v>
      </x:c>
      <x:c r="Q81" s="46" t="str">
        <x:v>Contactar logística/planta y consultar traslados fuera de estándar.</x:v>
      </x:c>
      <x:c r="R81" s="46"/>
      <x:c r="S81" s="46" t="str">
        <x:v>Av. Amadeo Sabattini 5301, Córdoba</x:v>
      </x:c>
      <x:c r="T81" s="46"/>
      <x:c r="U81" s="46"/>
      <x:c r="V81" s="46"/>
      <x:c r="W81" s="46"/>
      <x:c r="X81" s="46" t="str">
        <x:v>tel:03514205385</x:v>
      </x:c>
      <x:c r="Y81" s="46" t="str">
        <x:v>tel:03514205385</x:v>
      </x:c>
      <x:c r="Z81" s="46" t="str">
        <x:v>Confirmar decisor, frecuencia de movimientos, peso/dimensiones habituales y cómo resuelven hoy los traslados.</x:v>
      </x:c>
      <x:c r="AA81" s="46" t="str">
        <x:v>https://www.google.com/maps/search/?api=1&amp;query=Pertrak+S.A.+Av.+Amadeo+Sabattini+5301%2C+C%C3%B3rdoba</x:v>
      </x:c>
      <x:c r="AB81" s="46" t="str">
        <x:v>Web oficial Pertrak</x:v>
      </x:c>
      <x:c r="AC81" s="46" t="str">
        <x:v>https://pertrak.com.ar/</x:v>
      </x:c>
      <x:c r="AD81" s="46" t="str">
        <x:v>Planta industrial cordobesa de mecanizado OEM y componentes para vehículos/equipos.</x:v>
      </x:c>
      <x:c r="AE81" s="46" t="str">
        <x:v>Alta</x:v>
      </x:c>
      <x:c r="AF81" s="46" t="str">
        <x:v>Tercera pasada marcas + parques Córdoba Capital 2026-09-14</x:v>
      </x:c>
      <x:c r="AG81" s="46" t="str">
        <x:v>Plataforma + carga industrial pesada + seguro/GPS.</x:v>
      </x:c>
      <x:c r="AH81" s="46" t="str">
        <x:v>OEM / mecanizado / transporte pesado</x:v>
      </x:c>
      <x:c r="AI81" s="46" t="str">
        <x:v>Sí</x:v>
      </x:c>
      <x:c r="AJ81" s="46" t="str">
        <x:v>A — prioridad alta</x:v>
      </x:c>
      <x:c r="AK81" s="46" t="str">
        <x:v>A por cadena OEM y escala industrial.</x:v>
      </x:c>
      <x:c r="AL81" s="46" t="str">
        <x:v>Web oficial Pertrak</x:v>
      </x:c>
      <x:c r="AM81" s="46" t="str">
        <x:v>Alta nueva de tercera pasada; cruzada contra base maestra y rastrillaje previo para evitar duplicados.</x:v>
      </x:c>
    </x:row>
    <x:row r="82">
      <x:c r="A82" s="46" t="str">
        <x:v>CBA-081</x:v>
      </x:c>
      <x:c r="B82" s="46" t="str">
        <x:v>Pendiente</x:v>
      </x:c>
      <x:c r="C82" s="46" t="str">
        <x:v>Córdoba Capital</x:v>
      </x:c>
      <x:c r="D82" s="46" t="str">
        <x:v>Circunvalación Sudeste</x:v>
      </x:c>
      <x:c r="E82" s="46" t="str">
        <x:v>Córdoba Capital</x:v>
      </x:c>
      <x:c r="F82" s="46" t="str">
        <x:v>A</x:v>
      </x:c>
      <x:c r="G82" s="46" t="n">
        <x:v>86</x:v>
      </x:c>
      <x:c r="H82" s="46" t="str">
        <x:v>SOHIPREN S.A. / Livenza</x:v>
      </x:c>
      <x:c r="I82" s="46" t="str">
        <x:v>Fabricación de equipos y componentes hidráulicos para agro, vial e industria</x:v>
      </x:c>
      <x:c r="J82" s="46" t="str">
        <x:v>Metalúrgica y fabricación</x:v>
      </x:c>
      <x:c r="K82" s="46" t="str">
        <x:v>0351 493-7200</x:v>
      </x:c>
      <x:c r="L82" s="46" t="str">
        <x:v>OK</x:v>
      </x:c>
      <x:c r="M82" s="46" t="str">
        <x:v>logística / expedición / ventas</x:v>
      </x:c>
      <x:c r="N82" s="46" t="str">
        <x:v>Despacho de componentes hidráulicos, equipos y conjuntos destinados a maquinaria agrícola, vial e industrial.</x:v>
      </x:c>
      <x:c r="O82" s="46" t="str">
        <x:v>Plataforma + carga industrial + retiro/entrega + seguro.</x:v>
      </x:c>
      <x:c r="P82" s="46" t="str">
        <x:v>Transporte especial para equipos/conjuntos de mayor porte y entregas a fabricantes.</x:v>
      </x:c>
      <x:c r="Q82" s="46" t="str">
        <x:v>Contactar expedición/ventas y relevar pesos, dimensiones y destinos habituales.</x:v>
      </x:c>
      <x:c r="R82" s="46"/>
      <x:c r="S82" s="46" t="str">
        <x:v>Av. Circunvalación Sudeste 126, Córdoba</x:v>
      </x:c>
      <x:c r="T82" s="46"/>
      <x:c r="U82" s="46"/>
      <x:c r="V82" s="46"/>
      <x:c r="W82" s="46"/>
      <x:c r="X82" s="46" t="str">
        <x:v>tel:03514937200</x:v>
      </x:c>
      <x:c r="Y82" s="46" t="str">
        <x:v>tel:03514937200</x:v>
      </x:c>
      <x:c r="Z82" s="46" t="str">
        <x:v>Confirmar decisor, frecuencia de movimientos, peso/dimensiones habituales y cómo resuelven hoy los traslados.</x:v>
      </x:c>
      <x:c r="AA82" s="46" t="str">
        <x:v>https://www.google.com/maps/search/?api=1&amp;query=SOHIPREN+S.A.+%2F+Livenza+Av.+Circunvalaci%C3%B3n+Sudeste+126%2C+C%C3%B3rdoba</x:v>
      </x:c>
      <x:c r="AB82" s="46" t="str">
        <x:v>Web oficial SOHIPREN</x:v>
      </x:c>
      <x:c r="AC82" s="46" t="str">
        <x:v>https://sohipren.com/</x:v>
      </x:c>
      <x:c r="AD82" s="46" t="str">
        <x:v>Fabricante cordobés de soluciones hidráulicas para maquinaria agro, vial e industrial.</x:v>
      </x:c>
      <x:c r="AE82" s="46" t="str">
        <x:v>Alta</x:v>
      </x:c>
      <x:c r="AF82" s="46" t="str">
        <x:v>Tercera pasada marcas + parques Córdoba Capital 2026-09-14</x:v>
      </x:c>
      <x:c r="AG82" s="46" t="str">
        <x:v>Plataforma + carga industrial + retiro/entrega + seguro.</x:v>
      </x:c>
      <x:c r="AH82" s="46" t="str">
        <x:v>hidráulica / maquinaria</x:v>
      </x:c>
      <x:c r="AI82" s="46" t="str">
        <x:v>Sí</x:v>
      </x:c>
      <x:c r="AJ82" s="46" t="str">
        <x:v>A — prioridad alta</x:v>
      </x:c>
      <x:c r="AK82" s="46" t="str">
        <x:v>A por vínculo con maquinaria y clientes industriales.</x:v>
      </x:c>
      <x:c r="AL82" s="46" t="str">
        <x:v>Web oficial SOHIPREN</x:v>
      </x:c>
      <x:c r="AM82" s="46" t="str">
        <x:v>Alta nueva de tercera pasada; cruzada contra base maestra y rastrillaje previo para evitar duplicados.</x:v>
      </x:c>
    </x:row>
    <x:row r="83">
      <x:c r="A83" s="46" t="str">
        <x:v>CBA-082</x:v>
      </x:c>
      <x:c r="B83" s="46" t="str">
        <x:v>Pendiente</x:v>
      </x:c>
      <x:c r="C83" s="46" t="str">
        <x:v>Córdoba Capital</x:v>
      </x:c>
      <x:c r="D83" s="46" t="str">
        <x:v>Alta Córdoba</x:v>
      </x:c>
      <x:c r="E83" s="46" t="str">
        <x:v>Córdoba Capital</x:v>
      </x:c>
      <x:c r="F83" s="46" t="str">
        <x:v>B</x:v>
      </x:c>
      <x:c r="G83" s="46" t="n">
        <x:v>80</x:v>
      </x:c>
      <x:c r="H83" s="46" t="str">
        <x:v>Perlisa S.R.L.</x:v>
      </x:c>
      <x:c r="I83" s="46" t="str">
        <x:v>Corte láser, plegado y punzonado de chapa</x:v>
      </x:c>
      <x:c r="J83" s="46" t="str">
        <x:v>Metalúrgica y fabricación</x:v>
      </x:c>
      <x:c r="K83" s="46" t="str">
        <x:v>0351 470-3338</x:v>
      </x:c>
      <x:c r="L83" s="46" t="str">
        <x:v>OK</x:v>
      </x:c>
      <x:c r="M83" s="46" t="str">
        <x:v>expedición / producción / logística</x:v>
      </x:c>
      <x:c r="N83" s="46" t="str">
        <x:v>Entrega de chapas procesadas, piezas y conjuntos metálicos; ocasional necesidad de cargas largas o voluminosas.</x:v>
      </x:c>
      <x:c r="O83" s="46" t="str">
        <x:v>Plataforma + cargas especiales cuando excedan transporte convencional.</x:v>
      </x:c>
      <x:c r="P83" s="46" t="str">
        <x:v>Resolver despachos puntuales de gran formato sin mantener capacidad dedicada.</x:v>
      </x:c>
      <x:c r="Q83" s="46" t="str">
        <x:v>Llamar a expedición y validar si manejan cargas &gt; utilitario/camión liviano.</x:v>
      </x:c>
      <x:c r="R83" s="46"/>
      <x:c r="S83" s="46" t="str">
        <x:v>Rodríguez Peña 3247, Alta Córdoba, Córdoba</x:v>
      </x:c>
      <x:c r="T83" s="46"/>
      <x:c r="U83" s="46"/>
      <x:c r="V83" s="46"/>
      <x:c r="W83" s="46"/>
      <x:c r="X83" s="46" t="str">
        <x:v>tel:03514703338</x:v>
      </x:c>
      <x:c r="Y83" s="46" t="str">
        <x:v>tel:03514703338</x:v>
      </x:c>
      <x:c r="Z83" s="46" t="str">
        <x:v>Confirmar decisor, frecuencia de movimientos, peso/dimensiones habituales y cómo resuelven hoy los traslados.</x:v>
      </x:c>
      <x:c r="AA83" s="46" t="str">
        <x:v>https://www.google.com/maps/search/?api=1&amp;query=Perlisa+S.R.L.+Rodr%C3%ADguez+Pe%C3%B1a+3247%2C+Alta+C%C3%B3rdoba%2C+C%C3%B3rdoba</x:v>
      </x:c>
      <x:c r="AB83" s="46" t="str">
        <x:v>CIMCC / web de empresa</x:v>
      </x:c>
      <x:c r="AC83" s="46" t="str">
        <x:v>http://www.perlisa.com.ar</x:v>
      </x:c>
      <x:c r="AD83" s="46" t="str">
        <x:v>Empresa metalúrgica de corte láser, plegado y punzonado en Córdoba Capital.</x:v>
      </x:c>
      <x:c r="AE83" s="46" t="str">
        <x:v>Alta</x:v>
      </x:c>
      <x:c r="AF83" s="46" t="str">
        <x:v>Tercera pasada marcas + parques Córdoba Capital 2026-09-14</x:v>
      </x:c>
      <x:c r="AG83" s="46" t="str">
        <x:v>Plataforma + cargas especiales cuando excedan transporte convencional.</x:v>
      </x:c>
      <x:c r="AH83" s="46" t="str">
        <x:v>chapa / corte láser</x:v>
      </x:c>
      <x:c r="AI83" s="46" t="str">
        <x:v>Sí</x:v>
      </x:c>
      <x:c r="AJ83" s="46" t="str">
        <x:v>B — segunda pasada</x:v>
      </x:c>
      <x:c r="AK83" s="46" t="str">
        <x:v>B hasta confirmar tamaño/peso de despachos.</x:v>
      </x:c>
      <x:c r="AL83" s="46" t="str">
        <x:v>CIMCC / web de empresa</x:v>
      </x:c>
      <x:c r="AM83" s="46" t="str">
        <x:v>Alta nueva de tercera pasada; cruzada contra base maestra y rastrillaje previo para evitar duplicados.</x:v>
      </x:c>
    </x:row>
    <x:row r="84">
      <x:c r="A84" s="46" t="str">
        <x:v>CBA-083</x:v>
      </x:c>
      <x:c r="B84" s="46" t="str">
        <x:v>Pendiente</x:v>
      </x:c>
      <x:c r="C84" s="46" t="str">
        <x:v>Córdoba Capital</x:v>
      </x:c>
      <x:c r="D84" s="46" t="str">
        <x:v>Ferreyra / Ruta 9</x:v>
      </x:c>
      <x:c r="E84" s="46" t="str">
        <x:v>Córdoba Capital</x:v>
      </x:c>
      <x:c r="F84" s="46" t="str">
        <x:v>B</x:v>
      </x:c>
      <x:c r="G84" s="46" t="n">
        <x:v>78</x:v>
      </x:c>
      <x:c r="H84" s="46" t="str">
        <x:v>CAPEMI / A. Giacomelli S.A.</x:v>
      </x:c>
      <x:c r="I84" s="46" t="str">
        <x:v>Fabricación de componentes caucho-metal y autopartes</x:v>
      </x:c>
      <x:c r="J84" s="46" t="str">
        <x:v>Metalúrgica y fabricación</x:v>
      </x:c>
      <x:c r="K84" s="46" t="str">
        <x:v>0351 763-8712</x:v>
      </x:c>
      <x:c r="L84" s="46" t="str">
        <x:v>A verificar</x:v>
      </x:c>
      <x:c r="M84" s="46" t="str">
        <x:v>logística / expedición / compras</x:v>
      </x:c>
      <x:c r="N84" s="46" t="str">
        <x:v>Movimientos de componentes, matrices y cargas industriales entre planta y terminales/proveedores.</x:v>
      </x:c>
      <x:c r="O84" s="46" t="str">
        <x:v>Plataforma + carga industrial especial para movimientos puntuales.</x:v>
      </x:c>
      <x:c r="P84" s="46" t="str">
        <x:v>Apoyo en traslados extraordinarios de matrices/equipamiento o cargas fuera de estándar.</x:v>
      </x:c>
      <x:c r="Q84" s="46" t="str">
        <x:v>Contactar logística y validar si tercerizan movimientos de matrices o equipos.</x:v>
      </x:c>
      <x:c r="R84" s="46"/>
      <x:c r="S84" s="46" t="str">
        <x:v>Ruta 9 km 690, Ferreyra, Córdoba</x:v>
      </x:c>
      <x:c r="T84" s="46"/>
      <x:c r="U84" s="46"/>
      <x:c r="V84" s="46"/>
      <x:c r="W84" s="46"/>
      <x:c r="X84" s="46" t="str">
        <x:v>tel:03517638712</x:v>
      </x:c>
      <x:c r="Y84" s="46" t="str">
        <x:v>tel:03517638712</x:v>
      </x:c>
      <x:c r="Z84" s="46" t="str">
        <x:v>Confirmar decisor, frecuencia de movimientos, peso/dimensiones habituales y cómo resuelven hoy los traslados.</x:v>
      </x:c>
      <x:c r="AA84" s="46" t="str">
        <x:v>https://www.google.com/maps/search/?api=1&amp;query=CAPEMI+%2F+A.+Giacomelli+S.A.+Ruta+9+km+690%2C+Ferreyra%2C+C%C3%B3rdoba</x:v>
      </x:c>
      <x:c r="AB84" s="46" t="str">
        <x:v>Web oficial CAPEMI + CIMCC</x:v>
      </x:c>
      <x:c r="AC84" s="46" t="str">
        <x:v>https://www.capemi.com.ar/</x:v>
      </x:c>
      <x:c r="AD84" s="46" t="str">
        <x:v>Industria autopartista ubicada en corredor Ferreyra; potencial de movimientos de matrices/equipamiento.</x:v>
      </x:c>
      <x:c r="AE84" s="46" t="str">
        <x:v>Media</x:v>
      </x:c>
      <x:c r="AF84" s="46" t="str">
        <x:v>Tercera pasada marcas + parques Córdoba Capital 2026-09-14</x:v>
      </x:c>
      <x:c r="AG84" s="46" t="str">
        <x:v>Plataforma + carga industrial especial para movimientos puntuales.</x:v>
      </x:c>
      <x:c r="AH84" s="46" t="str">
        <x:v>autopartes / matrices</x:v>
      </x:c>
      <x:c r="AI84" s="46" t="str">
        <x:v>Sí</x:v>
      </x:c>
      <x:c r="AJ84" s="46" t="str">
        <x:v>B — segunda pasada</x:v>
      </x:c>
      <x:c r="AK84" s="46" t="str">
        <x:v>B: gran planta, pero necesidad de PRESOL debe validarse.</x:v>
      </x:c>
      <x:c r="AL84" s="46" t="str">
        <x:v>Web oficial CAPEMI + CIMCC</x:v>
      </x:c>
      <x:c r="AM84" s="46" t="str">
        <x:v>Alta nueva de tercera pasada; cruzada contra base maestra y rastrillaje previo para evitar duplicados.</x:v>
      </x:c>
    </x:row>
    <x:row r="85">
      <x:c r="A85" s="46" t="str">
        <x:v>CBA-084</x:v>
      </x:c>
      <x:c r="B85" s="46" t="str">
        <x:v>Pendiente</x:v>
      </x:c>
      <x:c r="C85" s="46" t="str">
        <x:v>Córdoba Capital</x:v>
      </x:c>
      <x:c r="D85" s="46" t="str">
        <x:v>Villa Aspacia / zona sur</x:v>
      </x:c>
      <x:c r="E85" s="46" t="str">
        <x:v>Córdoba Capital</x:v>
      </x:c>
      <x:c r="F85" s="46" t="str">
        <x:v>B</x:v>
      </x:c>
      <x:c r="G85" s="46" t="n">
        <x:v>80</x:v>
      </x:c>
      <x:c r="H85" s="46" t="str">
        <x:v>Cor Love S.R.L.</x:v>
      </x:c>
      <x:c r="I85" s="46" t="str">
        <x:v>Mecanizado CNC y fabricación de componentes para industria automotriz y metalmecánica</x:v>
      </x:c>
      <x:c r="J85" s="46" t="str">
        <x:v>Metalúrgica y fabricación</x:v>
      </x:c>
      <x:c r="K85" s="46" t="str">
        <x:v>0351 465-3894 / +54 351 615-0090</x:v>
      </x:c>
      <x:c r="L85" s="46" t="str">
        <x:v>OK</x:v>
      </x:c>
      <x:c r="M85" s="46" t="str">
        <x:v>logística / expedición / producción</x:v>
      </x:c>
      <x:c r="N85" s="46" t="str">
        <x:v>Traslado ocasional de herramentales, dispositivos, piezas y conjuntos entre planta y clientes industriales.</x:v>
      </x:c>
      <x:c r="O85" s="46" t="str">
        <x:v>Plataforma + carga industrial para movimientos especiales.</x:v>
      </x:c>
      <x:c r="P85" s="46" t="str">
        <x:v>Resolver movimientos extraordinarios de herramentales o equipos sin contratar capacidad fija.</x:v>
      </x:c>
      <x:c r="Q85" s="46" t="str">
        <x:v>Contactar expedición y validar cargas que excedan transporte convencional.</x:v>
      </x:c>
      <x:c r="R85" s="46"/>
      <x:c r="S85" s="46" t="str">
        <x:v>Leopoldo Casavega 2935, Villa Aspacia, Córdoba</x:v>
      </x:c>
      <x:c r="T85" s="46"/>
      <x:c r="U85" s="46"/>
      <x:c r="V85" s="46"/>
      <x:c r="W85" s="46"/>
      <x:c r="X85" s="46" t="str">
        <x:v>tel:03514653894</x:v>
      </x:c>
      <x:c r="Y85" s="46" t="str">
        <x:v>tel:03514653894</x:v>
      </x:c>
      <x:c r="Z85" s="46" t="str">
        <x:v>Confirmar decisor, frecuencia de movimientos, peso/dimensiones habituales y cómo resuelven hoy los traslados.</x:v>
      </x:c>
      <x:c r="AA85" s="46" t="str">
        <x:v>https://www.google.com/maps/search/?api=1&amp;query=Cor+Love+S.R.L.+Leopoldo+Casavega+2935%2C+Villa+Aspacia%2C+C%C3%B3rdoba</x:v>
      </x:c>
      <x:c r="AB85" s="46" t="str">
        <x:v>Web oficial Cor Love</x:v>
      </x:c>
      <x:c r="AC85" s="46" t="str">
        <x:v>https://corlovesrl.com.ar/</x:v>
      </x:c>
      <x:c r="AD85" s="46" t="str">
        <x:v>Mecanizado CNC y fabricación para clientes industriales/automotrices en Córdoba.</x:v>
      </x:c>
      <x:c r="AE85" s="46" t="str">
        <x:v>Alta</x:v>
      </x:c>
      <x:c r="AF85" s="46" t="str">
        <x:v>Tercera pasada marcas + parques Córdoba Capital 2026-09-14</x:v>
      </x:c>
      <x:c r="AG85" s="46" t="str">
        <x:v>Plataforma + carga industrial para movimientos especiales.</x:v>
      </x:c>
      <x:c r="AH85" s="46" t="str">
        <x:v>mecanizado / autopartes</x:v>
      </x:c>
      <x:c r="AI85" s="46" t="str">
        <x:v>Sí</x:v>
      </x:c>
      <x:c r="AJ85" s="46" t="str">
        <x:v>B — segunda pasada</x:v>
      </x:c>
      <x:c r="AK85" s="46" t="str">
        <x:v>B hasta detectar necesidad concreta de transporte pesado.</x:v>
      </x:c>
      <x:c r="AL85" s="46" t="str">
        <x:v>Web oficial Cor Love</x:v>
      </x:c>
      <x:c r="AM85" s="46" t="str">
        <x:v>Alta nueva de tercera pasada; cruzada contra base maestra y rastrillaje previo para evitar duplicados.</x:v>
      </x:c>
    </x:row>
  </x:sheetData>
  <x:conditionalFormatting sqref="F2:F26">
    <x:cfRule type="expression" dxfId="0" priority="1">
      <x:formula>F2="A"</x:formula>
    </x:cfRule>
    <x:cfRule type="expression" dxfId="1" priority="2">
      <x:formula>F2="B"</x:formula>
    </x:cfRule>
  </x:conditionalFormatting>
  <x:conditionalFormatting sqref="F2:F60">
    <x:cfRule type="expression" dxfId="2" priority="3">
      <x:formula>F2="A+"</x:formula>
    </x:cfRule>
    <x:cfRule type="expression" dxfId="3" priority="4">
      <x:formula>F2="A"</x:formula>
    </x:cfRule>
    <x:cfRule type="expression" dxfId="4" priority="5">
      <x:formula>F2="B"</x:formula>
    </x:cfRule>
  </x:conditionalFormatting>
  <x:conditionalFormatting sqref="G2:G60">
    <x:cfRule type="dataBar" priority="6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{8AB8757D-E4C7-F574-FC2D-9CBC6357F937}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8AB8757D-E4C7-F574-FC2D-9CBC6357F937}">
            <x14:dataBar gradient="1">
              <x14:cfvo type="min"/>
              <x14:cfvo type="max"/>
              <x14:fillColor rgb="FFA02B93"/>
            </x14:dataBar>
          </x14:cfRule>
          <xm:sqref>G2:G60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24" hidden="0" customWidth="1"/>
    <x:col min="8" max="8" width="30" hidden="0" customWidth="1"/>
    <x:col min="9" max="9" width="12" hidden="0" customWidth="1"/>
    <x:col min="10" max="10" width="12" hidden="0" customWidth="1"/>
  </x:cols>
  <x:sheetData>
    <x:row r="1" ht="28" customHeight="1">
      <x:c r="A1" s="73" t="str">
        <x:v>PRESOL — Indicadores | Córdoba Capital · Marcas + parques industriales</x:v>
      </x:c>
      <x:c r="B1" s="73"/>
      <x:c r="C1" s="73"/>
      <x:c r="D1" s="73"/>
      <x:c r="E1" s="73"/>
      <x:c r="F1" s="73"/>
      <x:c r="G1" s="73"/>
      <x:c r="H1" s="73"/>
      <x:c r="I1" s="73"/>
      <x:c r="J1" s="73"/>
    </x:row>
    <x:row r="2">
      <x:c r="A2" s="46"/>
      <x:c r="B2" s="46"/>
      <x:c r="C2" s="46"/>
      <x:c r="D2" s="46"/>
      <x:c r="E2" s="46"/>
      <x:c r="F2" s="46"/>
      <x:c r="G2" s="46"/>
      <x:c r="H2" s="46"/>
      <x:c r="I2" s="46"/>
      <x:c r="J2" s="46"/>
    </x:row>
    <x:row r="3">
      <x:c r="A3" s="74" t="str">
        <x:v>Clase</x:v>
      </x:c>
      <x:c r="B3" s="74" t="str">
        <x:v>Prospectos</x:v>
      </x:c>
      <x:c r="C3" s="74" t="str">
        <x:v>% de base</x:v>
      </x:c>
      <x:c r="D3" s="74" t="str">
        <x:v>Criterio</x:v>
      </x:c>
      <x:c r="E3" s="75"/>
      <x:c r="F3" s="75"/>
      <x:c r="G3" s="75"/>
      <x:c r="H3" s="74" t="str">
        <x:v>Categoría comercial</x:v>
      </x:c>
      <x:c r="I3" s="74" t="str">
        <x:v>Prospectos</x:v>
      </x:c>
      <x:c r="J3" s="74" t="str">
        <x:v>% de base</x:v>
      </x:c>
    </x:row>
    <x:row r="4">
      <x:c r="A4" s="46" t="str">
        <x:v>A+</x:v>
      </x:c>
      <x:c r="B4" s="46" t="n">
        <x:f>COUNTIF(Prospectos!F2:F200,"A+")</x:f>
        <x:v>35</x:v>
      </x:c>
      <x:c r="C4" s="76" t="n">
        <x:f>B4/$B$8</x:f>
        <x:v>0.4166666666666667</x:v>
      </x:c>
      <x:c r="D4" s="46" t="str">
        <x:v>Visita/llamada inmediata</x:v>
      </x:c>
      <x:c r="E4" s="46"/>
      <x:c r="F4" s="46"/>
      <x:c r="G4" s="46"/>
      <x:c r="H4" s="46" t="str">
        <x:v>Metalúrgica y fabricación</x:v>
      </x:c>
      <x:c r="I4" s="46" t="n">
        <x:f>COUNTIF(Prospectos!J2:J200,"Metalúrgica y fabricación")</x:f>
        <x:v>22</x:v>
      </x:c>
      <x:c r="J4" s="76" t="n">
        <x:f>I4/$B$8</x:f>
        <x:v>0.2619047619047619</x:v>
      </x:c>
    </x:row>
    <x:row r="5">
      <x:c r="A5" s="46" t="str">
        <x:v>A</x:v>
      </x:c>
      <x:c r="B5" s="46" t="n">
        <x:f>COUNTIF(Prospectos!F2:F200,"A")</x:f>
        <x:v>36</x:v>
      </x:c>
      <x:c r="C5" s="76" t="n">
        <x:f>B5/$B$8</x:f>
        <x:v>0.42857142857142855</x:v>
      </x:c>
      <x:c r="D5" s="46" t="str">
        <x:v>Prioridad alta</x:v>
      </x:c>
      <x:c r="E5" s="46"/>
      <x:c r="F5" s="46"/>
      <x:c r="G5" s="46"/>
      <x:c r="H5" s="46" t="str">
        <x:v>Construcción vial / movimiento de suelo</x:v>
      </x:c>
      <x:c r="I5" s="46" t="n">
        <x:f>COUNTIF(Prospectos!J2:J200,"Construcción vial / movimiento de suelo")</x:f>
        <x:v>13</x:v>
      </x:c>
      <x:c r="J5" s="76" t="n">
        <x:f>I5/$B$8</x:f>
        <x:v>0.15476190476190477</x:v>
      </x:c>
    </x:row>
    <x:row r="6">
      <x:c r="A6" s="46" t="str">
        <x:v>B</x:v>
      </x:c>
      <x:c r="B6" s="46" t="n">
        <x:f>COUNTIF(Prospectos!F2:F200,"B")</x:f>
        <x:v>13</x:v>
      </x:c>
      <x:c r="C6" s="76" t="n">
        <x:f>B6/$B$8</x:f>
        <x:v>0.15476190476190477</x:v>
      </x:c>
      <x:c r="D6" s="46" t="str">
        <x:v>Segunda pasada</x:v>
      </x:c>
      <x:c r="E6" s="46"/>
      <x:c r="F6" s="46"/>
      <x:c r="G6" s="46"/>
      <x:c r="H6" s="46" t="str">
        <x:v>Autoelevadores y elevación</x:v>
      </x:c>
      <x:c r="I6" s="46" t="n">
        <x:f>COUNTIF(Prospectos!J2:J200,"Autoelevadores y elevación")</x:f>
        <x:v>11</x:v>
      </x:c>
      <x:c r="J6" s="76" t="n">
        <x:f>I6/$B$8</x:f>
        <x:v>0.13095238095238096</x:v>
      </x:c>
    </x:row>
    <x:row r="7">
      <x:c r="A7" s="46" t="str">
        <x:v>C</x:v>
      </x:c>
      <x:c r="B7" s="46" t="n">
        <x:f>COUNTIF(Prospectos!F2:F200,"C")</x:f>
        <x:v>0</x:v>
      </x:c>
      <x:c r="C7" s="76" t="n">
        <x:f>B7/$B$8</x:f>
        <x:v>0</x:v>
      </x:c>
      <x:c r="D7" s="46" t="str">
        <x:v>Reserva</x:v>
      </x:c>
      <x:c r="E7" s="46"/>
      <x:c r="F7" s="46"/>
      <x:c r="G7" s="46"/>
      <x:c r="H7" s="46" t="str">
        <x:v>Alquiler / dealer maquinaria pesada</x:v>
      </x:c>
      <x:c r="I7" s="46" t="n">
        <x:f>COUNTIF(Prospectos!J2:J200,"Alquiler / dealer maquinaria pesada")</x:f>
        <x:v>10</x:v>
      </x:c>
      <x:c r="J7" s="76" t="n">
        <x:f>I7/$B$8</x:f>
        <x:v>0.11904761904761904</x:v>
      </x:c>
    </x:row>
    <x:row r="8">
      <x:c r="A8" s="46" t="str">
        <x:v>Total</x:v>
      </x:c>
      <x:c r="B8" s="46" t="n">
        <x:f>COUNTA(Prospectos!A2:A200)</x:f>
        <x:v>84</x:v>
      </x:c>
      <x:c r="C8" s="76" t="n">
        <x:f>1</x:f>
        <x:v>1</x:v>
      </x:c>
      <x:c r="D8" s="46" t="str">
        <x:v>Solo altas nuevas</x:v>
      </x:c>
      <x:c r="E8" s="46"/>
      <x:c r="F8" s="46"/>
      <x:c r="G8" s="46"/>
      <x:c r="H8" s="46" t="str">
        <x:v>Equipos industriales / energía</x:v>
      </x:c>
      <x:c r="I8" s="46" t="n">
        <x:f>COUNTIF(Prospectos!J2:J200,"Equipos industriales / energía")</x:f>
        <x:v>8</x:v>
      </x:c>
      <x:c r="J8" s="76" t="n">
        <x:f>I8/$B$8</x:f>
        <x:v>0.09523809523809523</x:v>
      </x:c>
    </x:row>
    <x:row r="9">
      <x:c r="A9" s="46"/>
      <x:c r="B9" s="46"/>
      <x:c r="C9" s="76"/>
      <x:c r="D9" s="46"/>
      <x:c r="E9" s="46"/>
      <x:c r="F9" s="46"/>
      <x:c r="G9" s="46"/>
      <x:c r="H9" s="46" t="str">
        <x:v>Hormigón, áridos y materiales</x:v>
      </x:c>
      <x:c r="I9" s="46" t="n">
        <x:f>COUNTIF(Prospectos!J2:J200,"Hormigón, áridos y materiales")</x:f>
        <x:v>8</x:v>
      </x:c>
      <x:c r="J9" s="76" t="n">
        <x:f>I9/$B$8</x:f>
        <x:v>0.09523809523809523</x:v>
      </x:c>
    </x:row>
    <x:row r="10">
      <x:c r="A10" s="46"/>
      <x:c r="B10" s="46"/>
      <x:c r="C10" s="76"/>
      <x:c r="D10" s="46"/>
      <x:c r="E10" s="46"/>
      <x:c r="F10" s="46"/>
      <x:c r="G10" s="46"/>
      <x:c r="H10" s="46" t="str">
        <x:v>Construcción y obra vial</x:v>
      </x:c>
      <x:c r="I10" s="46" t="n">
        <x:f>COUNTIF(Prospectos!J2:J200,"Construcción y obra vial")</x:f>
        <x:v>5</x:v>
      </x:c>
      <x:c r="J10" s="76" t="n">
        <x:f>I10/$B$8</x:f>
        <x:v>0.05952380952380952</x:v>
      </x:c>
    </x:row>
    <x:row r="11">
      <x:c r="A11" s="46"/>
      <x:c r="B11" s="46"/>
      <x:c r="C11" s="76"/>
      <x:c r="D11" s="46"/>
      <x:c r="E11" s="46"/>
      <x:c r="F11" s="46"/>
      <x:c r="G11" s="46"/>
      <x:c r="H11" s="46" t="str">
        <x:v>Maquinaria agrícola</x:v>
      </x:c>
      <x:c r="I11" s="46" t="n">
        <x:f>COUNTIF(Prospectos!J2:J200,"Maquinaria agrícola")</x:f>
        <x:v>5</x:v>
      </x:c>
      <x:c r="J11" s="76" t="n">
        <x:f>I11/$B$8</x:f>
        <x:v>0.05952380952380952</x:v>
      </x:c>
    </x:row>
    <x:row r="12">
      <x:c r="A12" s="46"/>
      <x:c r="B12" s="46"/>
      <x:c r="C12" s="76"/>
      <x:c r="D12" s="46"/>
      <x:c r="E12" s="46"/>
      <x:c r="F12" s="46"/>
      <x:c r="G12" s="46"/>
      <x:c r="H12" s="46" t="str">
        <x:v>Maquinaria / equipos de construcción</x:v>
      </x:c>
      <x:c r="I12" s="46" t="n">
        <x:f>COUNTIF(Prospectos!J2:J200,"Maquinaria / equipos de construcción")</x:f>
        <x:v>1</x:v>
      </x:c>
      <x:c r="J12" s="76" t="n">
        <x:f>I12/$B$8</x:f>
        <x:v>0.011904761904761904</x:v>
      </x:c>
    </x:row>
    <x:row r="13">
      <x:c r="H13" t="str">
        <x:v>Transporte / izajes / alianza</x:v>
      </x:c>
      <x:c r="I13" t="n">
        <x:f>COUNTIF(Prospectos!J2:J200,"Transporte / izajes / alianza")</x:f>
        <x:v>1</x:v>
      </x:c>
      <x:c r="J13" t="n">
        <x:f>I13/$B$8</x:f>
        <x:v>0.011904761904761904</x:v>
      </x:c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8" hidden="0" customWidth="1"/>
    <x:col min="4" max="4" width="30" hidden="0" customWidth="1"/>
    <x:col min="5" max="5" width="34" hidden="0" customWidth="1"/>
    <x:col min="6" max="6" width="20" hidden="0" customWidth="1"/>
    <x:col min="7" max="7" width="16" hidden="0" customWidth="1"/>
    <x:col min="8" max="8" width="26" hidden="0" customWidth="1"/>
    <x:col min="9" max="9" width="42" hidden="0" customWidth="1"/>
    <x:col min="10" max="10" width="44" hidden="0" customWidth="1"/>
  </x:cols>
  <x:sheetData>
    <x:row r="1">
      <x:c r="A1" s="69" t="str">
        <x:v>PRESOL — Cola Comercial | Córdoba Capital · Marcas + parques industriales</x:v>
      </x:c>
      <x:c r="B1" s="69"/>
      <x:c r="C1" s="69"/>
      <x:c r="D1" s="69"/>
      <x:c r="E1" s="69"/>
      <x:c r="F1" s="69"/>
      <x:c r="G1" s="69"/>
      <x:c r="H1" s="69"/>
      <x:c r="I1" s="69"/>
      <x:c r="J1" s="69"/>
    </x:row>
    <x:row r="2">
      <x:c r="A2" t="str">
        <x:v>Ordenada por puntaje. Validar decisor, frecuencia, pesos/dimensiones y logística actual antes de cotizar.</x:v>
      </x:c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s="67" t="str">
        <x:v>ID</x:v>
      </x:c>
      <x:c r="B4" s="67" t="str">
        <x:v>Ciudad</x:v>
      </x:c>
      <x:c r="C4" s="67" t="str">
        <x:v>Clase</x:v>
      </x:c>
      <x:c r="D4" s="67" t="str">
        <x:v>Empresa</x:v>
      </x:c>
      <x:c r="E4" s="67" t="str">
        <x:v>Sector</x:v>
      </x:c>
      <x:c r="F4" s="67" t="str">
        <x:v>Teléfonos</x:v>
      </x:c>
      <x:c r="G4" s="67" t="str">
        <x:v>Calidad del teléfono</x:v>
      </x:c>
      <x:c r="H4" s="67" t="str">
        <x:v>Preguntar por</x:v>
      </x:c>
      <x:c r="I4" s="67" t="str">
        <x:v>Dato pendiente</x:v>
      </x:c>
      <x:c r="J4" s="67" t="str">
        <x:v>Google Maps</x:v>
      </x:c>
    </x:row>
    <x:row r="5" ht="36" customHeight="1">
      <x:c r="A5" s="14" t="str">
        <x:v>CBA-027</x:v>
      </x:c>
      <x:c r="B5" s="14" t="str">
        <x:v>Córdoba Capital</x:v>
      </x:c>
      <x:c r="C5" s="14" t="str">
        <x:v>A+</x:v>
      </x:c>
      <x:c r="D5" s="14" t="str">
        <x:v>Finning Cat - Sucursal Córdoba y Cat Rental Store</x:v>
      </x:c>
      <x:c r="E5" s="14" t="str">
        <x:v>Venta, alquiler, repuestos y servicio de maquinaria Caterpillar para construcción y minería</x:v>
      </x:c>
      <x:c r="F5" s="14" t="str">
        <x:v>+54 351 4101150</x:v>
      </x:c>
      <x:c r="G5" s="14" t="str">
        <x:v>OK</x:v>
      </x:c>
      <x:c r="H5" s="14" t="str">
        <x:v>Cat Rental Store / logística / usados / servicio</x:v>
      </x:c>
      <x:c r="I5" s="14" t="str">
        <x:v>Confirmar decisor, frecuencia de movimientos, peso/dimensiones habituales y cómo resuelven hoy los traslados.</x:v>
      </x:c>
      <x:c r="J5" s="14" t="str">
        <x:v>https://www.google.com/maps/search/?api=1&amp;query=Finning+Cat+-+Sucursal+C%C3%B3rdoba+y+Cat+Rental+Store+Av.+de+Circunvalaci%C3%B3n+Agust%C3%ADn+Tosco+1950%2C+C%C3%B3rdoba</x:v>
      </x:c>
    </x:row>
    <x:row r="6" ht="36" customHeight="1">
      <x:c r="A6" s="14" t="str">
        <x:v>CBA-066</x:v>
      </x:c>
      <x:c r="B6" s="14" t="str">
        <x:v>Córdoba Capital</x:v>
      </x:c>
      <x:c r="C6" s="14" t="str">
        <x:v>A+</x:v>
      </x:c>
      <x:c r="D6" s="14" t="str">
        <x:v>GRUMAQ - Sucursal Córdoba</x:v>
      </x:c>
      <x:c r="E6" s="14" t="str">
        <x:v>Representante CASE Construction y FPT; venta, rental, servicio y repuestos de maquinaria vial</x:v>
      </x:c>
      <x:c r="F6" s="14" t="str">
        <x:v>0810-555-4767</x:v>
      </x:c>
      <x:c r="G6" s="14" t="str">
        <x:v>OK</x:v>
      </x:c>
      <x:c r="H6" s="14" t="str">
        <x:v>Rental / sucursal Córdoba / logística / service</x:v>
      </x:c>
      <x:c r="I6" s="14" t="str">
        <x:v>Confirmar decisor, frecuencia de movimientos, peso/dimensiones habituales y cómo resuelven hoy los traslados.</x:v>
      </x:c>
      <x:c r="J6" s="14" t="str">
        <x:v>https://www.google.com/maps/search/?api=1&amp;query=GRUMAQ+-+Sucursal+C%C3%B3rdoba+Av.+Circunvalaci%C3%B3n+Colectora+Norte+s%2Fn%2C+entre+Rancagua+y+Capdevila%2C+C%C3%B3rdoba</x:v>
      </x:c>
    </x:row>
    <x:row r="7" ht="36" customHeight="1">
      <x:c r="A7" s="14" t="str">
        <x:v>CBA-060</x:v>
      </x:c>
      <x:c r="B7" s="14" t="str">
        <x:v>Córdoba Capital</x:v>
      </x:c>
      <x:c r="C7" s="14" t="str">
        <x:v>A+</x:v>
      </x:c>
      <x:c r="D7" s="14" t="str">
        <x:v>Igarreta Máquinas S.A. - Sucursal Centro (Komatsu)</x:v>
      </x:c>
      <x:c r="E7" s="14" t="str">
        <x:v>Representante Komatsu; venta, alquiler, repuestos y servicio de maquinaria pesada</x:v>
      </x:c>
      <x:c r="F7" s="14" t="str">
        <x:v>0351 236-3110</x:v>
      </x:c>
      <x:c r="G7" s="14" t="str">
        <x:v>OK</x:v>
      </x:c>
      <x:c r="H7" s="14" t="str">
        <x:v>rental / logística / posventa / usados</x:v>
      </x:c>
      <x:c r="I7" s="14" t="str">
        <x:v>Confirmar decisor, frecuencia de movimientos, peso/dimensiones habituales y cómo resuelven hoy los traslados.</x:v>
      </x:c>
      <x:c r="J7" s="14" t="str">
        <x:v>https://www.google.com/maps/search/?api=1&amp;query=Igarreta+M%C3%A1quinas+S.A.+-+Sucursal+Centro+%28Komatsu%29+Av.+Juan+B.+Justo+6400%2C+C%C3%B3rdoba</x:v>
      </x:c>
    </x:row>
    <x:row r="8" ht="36" customHeight="1">
      <x:c r="A8" s="14" t="str">
        <x:v>CBA-040</x:v>
      </x:c>
      <x:c r="B8" s="14" t="str">
        <x:v>Córdoba Capital</x:v>
      </x:c>
      <x:c r="C8" s="14" t="str">
        <x:v>A+</x:v>
      </x:c>
      <x:c r="D8" s="14" t="str">
        <x:v>Industrias MG - JMV</x:v>
      </x:c>
      <x:c r="E8" s="14" t="str">
        <x:v>Venta y alquiler de maquinaria vial, industrial y agrícola; autoelevadores y plataformas</x:v>
      </x:c>
      <x:c r="F8" s="14" t="str">
        <x:v>+54 351 4704400 / +54 351 4704404</x:v>
      </x:c>
      <x:c r="G8" s="14" t="str">
        <x:v>OK</x:v>
      </x:c>
      <x:c r="H8" s="14" t="str">
        <x:v>alquileres / logística / usados / servicio</x:v>
      </x:c>
      <x:c r="I8" s="14" t="str">
        <x:v>Confirmar decisor, frecuencia de movimientos, peso/dimensiones habituales y cómo resuelven hoy los traslados.</x:v>
      </x:c>
      <x:c r="J8" s="14" t="str">
        <x:v>https://www.google.com/maps/search/?api=1&amp;query=Industrias+MG+-+JMV+Av.+Juan+B.+Justo+4730%2C+C%C3%B3rdoba%3B+Polo+52%2C+Autopista+C%C3%B3rdoba-Rosario</x:v>
      </x:c>
    </x:row>
    <x:row r="9" ht="36" customHeight="1">
      <x:c r="A9" s="14" t="str">
        <x:v>CBA-001</x:v>
      </x:c>
      <x:c r="B9" s="14" t="str">
        <x:v>Córdoba Capital</x:v>
      </x:c>
      <x:c r="C9" s="14" t="str">
        <x:v>A+</x:v>
      </x:c>
      <x:c r="D9" s="14" t="str">
        <x:v>Industrias Moreno</x:v>
      </x:c>
      <x:c r="E9" s="14" t="str">
        <x:v>Fabricación metalúrgica; corte láser, plegado, mecanizado CNC y estructuras</x:v>
      </x:c>
      <x:c r="F9" s="14" t="str">
        <x:v>+54 9 351 819 7432</x:v>
      </x:c>
      <x:c r="G9" s="14" t="str">
        <x:v>OK</x:v>
      </x:c>
      <x:c r="H9" s="14" t="str">
        <x:v>producción / logística / expedición</x:v>
      </x:c>
      <x:c r="I9" s="14" t="str">
        <x:v>Confirmar decisor y frecuencia de movimientos antes de cotizar.</x:v>
      </x:c>
      <x:c r="J9" s="14" t="str">
        <x:v>https://www.google.com/maps/search/?api=1&amp;query=Industrias+Moreno+Av+Sabattini+5337+Cordoba</x:v>
      </x:c>
    </x:row>
    <x:row r="10" ht="36" customHeight="1">
      <x:c r="A10" s="14" t="str">
        <x:v>CBA-026</x:v>
      </x:c>
      <x:c r="B10" s="14" t="str">
        <x:v>Córdoba Capital</x:v>
      </x:c>
      <x:c r="C10" s="14" t="str">
        <x:v>A+</x:v>
      </x:c>
      <x:c r="D10" s="14" t="str">
        <x:v>Sullair Argentina</x:v>
      </x:c>
      <x:c r="E10" s="14" t="str">
        <x:v>Alquiler de maquinaria pesada, movimiento de tierra, plataformas, manipuladores, compresores y generación</x:v>
      </x:c>
      <x:c r="F10" s="14" t="str">
        <x:v>0810 777 0707 / 0351 2474826</x:v>
      </x:c>
      <x:c r="G10" s="14" t="str">
        <x:v>OK</x:v>
      </x:c>
      <x:c r="H10" s="14" t="str">
        <x:v>jefe de alquileres / logística / operaciones</x:v>
      </x:c>
      <x:c r="I10" s="14" t="str">
        <x:v>Confirmar decisor, frecuencia de movimientos, peso/dimensiones habituales y cómo resuelven hoy los traslados.</x:v>
      </x:c>
      <x:c r="J10" s="14" t="str">
        <x:v>https://www.google.com/maps/search/?api=1&amp;query=Sullair+Argentina+Av.+Circunvalaci%C3%B3n+s%2FN%C2%B0+Colectora+Sur+entre+Camino+San+Carlos+y+Camino+San+Antonio%2C+C%C3%B3rdoba</x:v>
      </x:c>
    </x:row>
    <x:row r="11" ht="36" customHeight="1">
      <x:c r="A11" s="14" t="str">
        <x:v>CBA-062</x:v>
      </x:c>
      <x:c r="B11" s="14" t="str">
        <x:v>Córdoba Capital</x:v>
      </x:c>
      <x:c r="C11" s="14" t="str">
        <x:v>A+</x:v>
      </x:c>
      <x:c r="D11" s="14" t="str">
        <x:v>Autoelevadores Centro Motor Toyota</x:v>
      </x:c>
      <x:c r="E11" s="14" t="str">
        <x:v>Venta, alquiler y posventa de autoelevadores Toyota Material Handling</x:v>
      </x:c>
      <x:c r="F11" s="14" t="str">
        <x:v>0351 484-9400 / 0351 485-8484</x:v>
      </x:c>
      <x:c r="G11" s="14" t="str">
        <x:v>OK</x:v>
      </x:c>
      <x:c r="H11" s="14" t="str">
        <x:v>alquileres / logística / posventa</x:v>
      </x:c>
      <x:c r="I11" s="14" t="str">
        <x:v>Confirmar decisor, frecuencia de movimientos, peso/dimensiones habituales y cómo resuelven hoy los traslados.</x:v>
      </x:c>
      <x:c r="J11" s="14" t="str">
        <x:v>https://www.google.com/maps/search/?api=1&amp;query=Autoelevadores+Centro+Motor+Toyota+Av.+Col%C3%B3n+5077%2C+C%C3%B3rdoba</x:v>
      </x:c>
    </x:row>
    <x:row r="12" ht="36" customHeight="1">
      <x:c r="A12" s="14" t="str">
        <x:v>CBA-061</x:v>
      </x:c>
      <x:c r="B12" s="14" t="str">
        <x:v>Córdoba Capital</x:v>
      </x:c>
      <x:c r="C12" s="14" t="str">
        <x:v>A+</x:v>
      </x:c>
      <x:c r="D12" s="14" t="str">
        <x:v>Frasinelli Máquinas y Repuestos S.A.</x:v>
      </x:c>
      <x:c r="E12" s="14" t="str">
        <x:v>Venta, repuestos y servicio de maquinaria vial, construcción, agro y minería</x:v>
      </x:c>
      <x:c r="F12" s="14" t="str">
        <x:v>+54 9 351 403-3567 / 0351 470-2260</x:v>
      </x:c>
      <x:c r="G12" s="14" t="str">
        <x:v>OK</x:v>
      </x:c>
      <x:c r="H12" s="14" t="str">
        <x:v>ventas / posventa / logística / taller</x:v>
      </x:c>
      <x:c r="I12" s="14" t="str">
        <x:v>Confirmar decisor, frecuencia de movimientos, peso/dimensiones habituales y cómo resuelven hoy los traslados.</x:v>
      </x:c>
      <x:c r="J12" s="14" t="str">
        <x:v>https://www.google.com/maps/search/?api=1&amp;query=Frasinelli+M%C3%A1quinas+y+Repuestos+S.A.+Av.+Juan+B.+Justo+5008%2C+C%C3%B3rdoba</x:v>
      </x:c>
    </x:row>
    <x:row r="13" ht="36" customHeight="1">
      <x:c r="A13" s="14" t="str">
        <x:v>CBA-028</x:v>
      </x:c>
      <x:c r="B13" s="14" t="str">
        <x:v>Córdoba Capital</x:v>
      </x:c>
      <x:c r="C13" s="14" t="str">
        <x:v>A+</x:v>
      </x:c>
      <x:c r="D13" s="14" t="str">
        <x:v>Grupo Pomiglio / Hangcha</x:v>
      </x:c>
      <x:c r="E13" s="14" t="str">
        <x:v>Representante oficial Hangcha; venta, alquiler y servicio de autoelevadores, plataformas y manipuladores</x:v>
      </x:c>
      <x:c r="F13" s="14" t="str">
        <x:v>+54 9 351 58551317</x:v>
      </x:c>
      <x:c r="G13" s="14" t="str">
        <x:v>OK</x:v>
      </x:c>
      <x:c r="H13" s="14" t="str">
        <x:v>alquileres / logística / servicio técnico</x:v>
      </x:c>
      <x:c r="I13" s="14" t="str">
        <x:v>Confirmar decisor, frecuencia de movimientos, peso/dimensiones habituales y cómo resuelven hoy los traslados.</x:v>
      </x:c>
      <x:c r="J13" s="14" t="str">
        <x:v>https://www.google.com/maps/search/?api=1&amp;query=Grupo+Pomiglio+%2F+Hangcha+Gral.+Manuel+Savio+4960%2C+C%C3%B3rdoba</x:v>
      </x:c>
    </x:row>
    <x:row r="14" ht="36" customHeight="1">
      <x:c r="A14" s="14" t="str">
        <x:v>CBA-063</x:v>
      </x:c>
      <x:c r="B14" s="14" t="str">
        <x:v>Córdoba Capital</x:v>
      </x:c>
      <x:c r="C14" s="14" t="str">
        <x:v>A+</x:v>
      </x:c>
      <x:c r="D14" s="14" t="str">
        <x:v>Horizon High Reach Limited - Haulotte Group</x:v>
      </x:c>
      <x:c r="E14" s="14" t="str">
        <x:v>Alquiler y comercialización de plataformas y equipos de trabajo en altura</x:v>
      </x:c>
      <x:c r="F14" s="14" t="str">
        <x:v>0351 700-0302</x:v>
      </x:c>
      <x:c r="G14" s="14" t="str">
        <x:v>OK</x:v>
      </x:c>
      <x:c r="H14" s="14" t="str">
        <x:v>alquileres / operaciones / logística</x:v>
      </x:c>
      <x:c r="I14" s="14" t="str">
        <x:v>Confirmar decisor, frecuencia de movimientos, peso/dimensiones habituales y cómo resuelven hoy los traslados.</x:v>
      </x:c>
      <x:c r="J14" s="14" t="str">
        <x:v>https://www.google.com/maps/search/?api=1&amp;query=Horizon+High+Reach+Limited+-+Haulotte+Group+Av.+Jap%C3%B3n+1010%2C+Gui%C3%B1az%C3%BA%2C+C%C3%B3rdoba</x:v>
      </x:c>
    </x:row>
    <x:row r="15" ht="36" customHeight="1">
      <x:c r="A15" s="14" t="str">
        <x:v>CBA-035</x:v>
      </x:c>
      <x:c r="B15" s="14" t="str">
        <x:v>Córdoba Capital</x:v>
      </x:c>
      <x:c r="C15" s="14" t="str">
        <x:v>A+</x:v>
      </x:c>
      <x:c r="D15" s="14" t="str">
        <x:v>Maquinarias Córdoba S.A. / Demoliciones Córdoba</x:v>
      </x:c>
      <x:c r="E15" s="14" t="str">
        <x:v>Alquiler de maquinaria pesada, demoliciones, movimiento de suelos y retiro de materiales</x:v>
      </x:c>
      <x:c r="F15" s="14" t="str">
        <x:v>+54 351 5517574</x:v>
      </x:c>
      <x:c r="G15" s="14" t="str">
        <x:v>OK</x:v>
      </x:c>
      <x:c r="H15" s="14" t="str">
        <x:v>operaciones / alquileres / logística</x:v>
      </x:c>
      <x:c r="I15" s="14" t="str">
        <x:v>Confirmar decisor, frecuencia de movimientos, peso/dimensiones habituales y cómo resuelven hoy los traslados.</x:v>
      </x:c>
      <x:c r="J15" s="14" t="str">
        <x:v>https://www.google.com/maps/search/?api=1&amp;query=Maquinarias+C%C3%B3rdoba+S.A.+%2F+Demoliciones+C%C3%B3rdoba+Jos%C3%A9+Font+4450%2C+C%C3%B3rdoba</x:v>
      </x:c>
    </x:row>
    <x:row r="16" ht="36" customHeight="1">
      <x:c r="A16" s="14" t="str">
        <x:v>CBA-041</x:v>
      </x:c>
      <x:c r="B16" s="14" t="str">
        <x:v>Córdoba Capital</x:v>
      </x:c>
      <x:c r="C16" s="14" t="str">
        <x:v>A+</x:v>
      </x:c>
      <x:c r="D16" s="14" t="str">
        <x:v>LiuGong Córdoba</x:v>
      </x:c>
      <x:c r="E16" s="14" t="str">
        <x:v>Comercialización y posventa de maquinaria pesada para movimiento de suelos, construcción y logística</x:v>
      </x:c>
      <x:c r="F16" s="14" t="str">
        <x:v>+54 351 8863031</x:v>
      </x:c>
      <x:c r="G16" s="14" t="str">
        <x:v>OK</x:v>
      </x:c>
      <x:c r="H16" s="14" t="str">
        <x:v>gerencia Córdoba / ventas / posventa / logística</x:v>
      </x:c>
      <x:c r="I16" s="14" t="str">
        <x:v>Confirmar decisor, frecuencia de movimientos, peso/dimensiones habituales y cómo resuelven hoy los traslados.</x:v>
      </x:c>
      <x:c r="J16" s="14" t="str">
        <x:v>https://www.google.com/maps/search/?api=1&amp;query=LiuGong+C%C3%B3rdoba+Av.+Jap%C3%B3n+950%2C+C%C3%B3rdoba</x:v>
      </x:c>
    </x:row>
    <x:row r="17" ht="36" customHeight="1">
      <x:c r="A17" s="14" t="str">
        <x:v>CBA-034</x:v>
      </x:c>
      <x:c r="B17" s="14" t="str">
        <x:v>Córdoba Capital</x:v>
      </x:c>
      <x:c r="C17" s="14" t="str">
        <x:v>A+</x:v>
      </x:c>
      <x:c r="D17" s="14" t="str">
        <x:v>Mancor</x:v>
      </x:c>
      <x:c r="E17" s="14" t="str">
        <x:v>Construcción, obras y alquiler de maquinaria vial con flota propia</x:v>
      </x:c>
      <x:c r="F17" s="14" t="str">
        <x:v>+54 351 4896191 / +54 9 351 3837592</x:v>
      </x:c>
      <x:c r="G17" s="14" t="str">
        <x:v>OK</x:v>
      </x:c>
      <x:c r="H17" s="14" t="str">
        <x:v>alquiler maquinaria / operaciones / jefe de obra</x:v>
      </x:c>
      <x:c r="I17" s="14" t="str">
        <x:v>Confirmar decisor, frecuencia de movimientos, peso/dimensiones habituales y cómo resuelven hoy los traslados.</x:v>
      </x:c>
      <x:c r="J17" s="14" t="str">
        <x:v>https://www.google.com/maps/search/?api=1&amp;query=Mancor+Dr.+Pedro+Chutro+1335%2C+C%C3%B3rdoba</x:v>
      </x:c>
    </x:row>
    <x:row r="18" ht="36" customHeight="1">
      <x:c r="A18" s="14" t="str">
        <x:v>CBA-029</x:v>
      </x:c>
      <x:c r="B18" s="14" t="str">
        <x:v>Córdoba Capital</x:v>
      </x:c>
      <x:c r="C18" s="14" t="str">
        <x:v>A+</x:v>
      </x:c>
      <x:c r="D18" s="14" t="str">
        <x:v>Maquinarias Centro</x:v>
      </x:c>
      <x:c r="E18" s="14" t="str">
        <x:v>Alquiler de autoelevadores y plataformas; servicio técnico y repuestos</x:v>
      </x:c>
      <x:c r="F18" s="14" t="str">
        <x:v>+54 9 351 2289661</x:v>
      </x:c>
      <x:c r="G18" s="14" t="str">
        <x:v>OK</x:v>
      </x:c>
      <x:c r="H18" s="14" t="str">
        <x:v>alquileres / logística / servicio técnico</x:v>
      </x:c>
      <x:c r="I18" s="14" t="str">
        <x:v>Confirmar decisor, frecuencia de movimientos, peso/dimensiones habituales y cómo resuelven hoy los traslados.</x:v>
      </x:c>
      <x:c r="J18" s="14" t="str">
        <x:v>https://www.google.com/maps/search/?api=1&amp;query=Maquinarias+Centro+Gabino+Coria+Pe%C3%B1aloza+3015%2C+C%C3%B3rdoba</x:v>
      </x:c>
    </x:row>
    <x:row r="19" ht="36" customHeight="1">
      <x:c r="A19" s="14" t="str">
        <x:v>CBA-033</x:v>
      </x:c>
      <x:c r="B19" s="14" t="str">
        <x:v>Córdoba Capital</x:v>
      </x:c>
      <x:c r="C19" s="14" t="str">
        <x:v>A+</x:v>
      </x:c>
      <x:c r="D19" s="14" t="str">
        <x:v>Pro Fast SRL</x:v>
      </x:c>
      <x:c r="E19" s="14" t="str">
        <x:v>Alquiler y venta de plataformas elevadoras Haulotte y JLG</x:v>
      </x:c>
      <x:c r="F19" s="14" t="str">
        <x:v>+54 9 351 7444888 / +54 351 3190664</x:v>
      </x:c>
      <x:c r="G19" s="14" t="str">
        <x:v>OK</x:v>
      </x:c>
      <x:c r="H19" s="14" t="str">
        <x:v>alquileres / logística / operaciones</x:v>
      </x:c>
      <x:c r="I19" s="14" t="str">
        <x:v>Confirmar decisor, frecuencia de movimientos, peso/dimensiones habituales y cómo resuelven hoy los traslados.</x:v>
      </x:c>
      <x:c r="J19" s="14" t="str">
        <x:v>https://www.google.com/maps/search/?api=1&amp;query=Pro+Fast+SRL+Las+Toscas+1224%2C+Villa+Esqui%C3%BA%2C+C%C3%B3rdoba</x:v>
      </x:c>
    </x:row>
    <x:row r="20" ht="36" customHeight="1">
      <x:c r="A20" s="14" t="str">
        <x:v>CBA-071</x:v>
      </x:c>
      <x:c r="B20" s="14" t="str">
        <x:v>Córdoba Capital</x:v>
      </x:c>
      <x:c r="C20" s="14" t="str">
        <x:v>A+</x:v>
      </x:c>
      <x:c r="D20" s="14" t="str">
        <x:v>TZR Bombas y Equipos para Hormigón</x:v>
      </x:c>
      <x:c r="E20" s="14" t="str">
        <x:v>Fabricación de bombas de hormigón, mixers, silos y plantas dosificadoras</x:v>
      </x:c>
      <x:c r="F20" s="14" t="str">
        <x:v>0351 496-7060 / 62 / +54 351 343-9081</x:v>
      </x:c>
      <x:c r="G20" s="14" t="str">
        <x:v>OK</x:v>
      </x:c>
      <x:c r="H20" s="14" t="str">
        <x:v>ventas / expedición / service / Federico Lingua</x:v>
      </x:c>
      <x:c r="I20" s="14" t="str">
        <x:v>Confirmar decisor, frecuencia de movimientos, peso/dimensiones habituales y cómo resuelven hoy los traslados.</x:v>
      </x:c>
      <x:c r="J20" s="14" t="str">
        <x:v>https://www.google.com/maps/search/?api=1&amp;query=TZR+Bombas+y+Equipos+para+Hormig%C3%B3n+Dr.+Ricardo+Balb%C3%ADn+7451%2C+Ruta+19+km+329%2C+C%C3%B3rdoba</x:v>
      </x:c>
    </x:row>
    <x:row r="21" ht="36" customHeight="1">
      <x:c r="A21" s="14" t="str">
        <x:v>CBA-037</x:v>
      </x:c>
      <x:c r="B21" s="14" t="str">
        <x:v>Córdoba Capital</x:v>
      </x:c>
      <x:c r="C21" s="14" t="str">
        <x:v>A+</x:v>
      </x:c>
      <x:c r="D21" s="14" t="str">
        <x:v>Vial RG S.A.</x:v>
      </x:c>
      <x:c r="E21" s="14" t="str">
        <x:v>Infraestructura vial, civil e hidráulica; pavimentación y puentes</x:v>
      </x:c>
      <x:c r="F21" s="14" t="str">
        <x:v>+54 9 351 7375164</x:v>
      </x:c>
      <x:c r="G21" s="14" t="str">
        <x:v>OK</x:v>
      </x:c>
      <x:c r="H21" s="14" t="str">
        <x:v>taller central / equipos / logística / jefe de obra</x:v>
      </x:c>
      <x:c r="I21" s="14" t="str">
        <x:v>Confirmar decisor, frecuencia de movimientos, peso/dimensiones habituales y cómo resuelven hoy los traslados.</x:v>
      </x:c>
      <x:c r="J21" s="14" t="str">
        <x:v>https://www.google.com/maps/search/?api=1&amp;query=Vial+RG+S.A.+Montevideo+616%2C+C%C3%B3rdoba+Capital%3B+Taller%3A+Julio+Arboleda+5550%2C+C%C3%B3rdoba</x:v>
      </x:c>
    </x:row>
    <x:row r="22" ht="36" customHeight="1">
      <x:c r="A22" s="14" t="str">
        <x:v>CBA-030</x:v>
      </x:c>
      <x:c r="B22" s="14" t="str">
        <x:v>Córdoba Capital</x:v>
      </x:c>
      <x:c r="C22" s="14" t="str">
        <x:v>A+</x:v>
      </x:c>
      <x:c r="D22" s="14" t="str">
        <x:v>Zamping SRL</x:v>
      </x:c>
      <x:c r="E22" s="14" t="str">
        <x:v>Venta y alquiler de autoelevadores, plataformas de tijera y camiones hidroelevadores</x:v>
      </x:c>
      <x:c r="F22" s="14" t="str">
        <x:v>+54 9 351 6001761</x:v>
      </x:c>
      <x:c r="G22" s="14" t="str">
        <x:v>OK</x:v>
      </x:c>
      <x:c r="H22" s="14" t="str">
        <x:v>alquileres / logística / taller</x:v>
      </x:c>
      <x:c r="I22" s="14" t="str">
        <x:v>Confirmar decisor, frecuencia de movimientos, peso/dimensiones habituales y cómo resuelven hoy los traslados.</x:v>
      </x:c>
      <x:c r="J22" s="14" t="str">
        <x:v>https://www.google.com/maps/search/?api=1&amp;query=Zamping+SRL+C%C3%B3rdoba+Capital%2C+C%C3%B3rdoba</x:v>
      </x:c>
    </x:row>
    <x:row r="23" ht="36" customHeight="1">
      <x:c r="A23" s="14" t="str">
        <x:v>CBA-003</x:v>
      </x:c>
      <x:c r="B23" s="14" t="str">
        <x:v>Córdoba Capital</x:v>
      </x:c>
      <x:c r="C23" s="14" t="str">
        <x:v>A+</x:v>
      </x:c>
      <x:c r="D23" s="14" t="str">
        <x:v>Armoy Construcciones Metálicas</x:v>
      </x:c>
      <x:c r="E23" s="14" t="str">
        <x:v>Fabricación y montaje de estructuras metálicas; calderería y silos</x:v>
      </x:c>
      <x:c r="F23" s="14" t="str">
        <x:v>351 3859321 / 351 5060369</x:v>
      </x:c>
      <x:c r="G23" s="14" t="str">
        <x:v>OK</x:v>
      </x:c>
      <x:c r="H23" s="14" t="str">
        <x:v>logística / producción / montaje</x:v>
      </x:c>
      <x:c r="I23" s="14" t="str">
        <x:v>Confirmar decisor y frecuencia de movimientos antes de cotizar.</x:v>
      </x:c>
      <x:c r="J23" s="14" t="str">
        <x:v>https://www.google.com/maps/search/?api=1&amp;query=Armoy+Blvd+Los+Alemanes+3284+Cordoba</x:v>
      </x:c>
    </x:row>
    <x:row r="24" ht="36" customHeight="1">
      <x:c r="A24" s="14" t="str">
        <x:v>CBA-038</x:v>
      </x:c>
      <x:c r="B24" s="14" t="str">
        <x:v>Córdoba Capital</x:v>
      </x:c>
      <x:c r="C24" s="14" t="str">
        <x:v>A+</x:v>
      </x:c>
      <x:c r="D24" s="14" t="str">
        <x:v>Benito Roggio e Hijos S.A.</x:v>
      </x:c>
      <x:c r="E24" s="14" t="str">
        <x:v>Grandes obras de infraestructura e ingeniería</x:v>
      </x:c>
      <x:c r="F24" s="14" t="str">
        <x:v>+54 351 6380045 / +54 351 4759345</x:v>
      </x:c>
      <x:c r="G24" s="14" t="str">
        <x:v>OK</x:v>
      </x:c>
      <x:c r="H24" s="14" t="str">
        <x:v>equipos / logística / compras / jefe de obra</x:v>
      </x:c>
      <x:c r="I24" s="14" t="str">
        <x:v>Confirmar decisor, frecuencia de movimientos, peso/dimensiones habituales y cómo resuelven hoy los traslados.</x:v>
      </x:c>
      <x:c r="J24" s="14" t="str">
        <x:v>https://www.google.com/maps/search/?api=1&amp;query=Benito+Roggio+e+Hijos+S.A.+Vito+Remo+Roggio+3531%2C+C%C3%B3rdoba</x:v>
      </x:c>
    </x:row>
    <x:row r="25" ht="36" customHeight="1">
      <x:c r="A25" s="14" t="str">
        <x:v>CBA-042</x:v>
      </x:c>
      <x:c r="B25" s="14" t="str">
        <x:v>Córdoba Capital</x:v>
      </x:c>
      <x:c r="C25" s="14" t="str">
        <x:v>A+</x:v>
      </x:c>
      <x:c r="D25" s="14" t="str">
        <x:v>Centro Vial / ROMECO Córdoba</x:v>
      </x:c>
      <x:c r="E25" s="14" t="str">
        <x:v>Maquinaria de construcción, taller y posventa</x:v>
      </x:c>
      <x:c r="F25" s="14" t="str">
        <x:v>+54 9 351 3090000</x:v>
      </x:c>
      <x:c r="G25" s="14" t="str">
        <x:v>OK</x:v>
      </x:c>
      <x:c r="H25" s="14" t="str">
        <x:v>ventas / taller / logística / usados</x:v>
      </x:c>
      <x:c r="I25" s="14" t="str">
        <x:v>Confirmar decisor, frecuencia de movimientos, peso/dimensiones habituales y cómo resuelven hoy los traslados.</x:v>
      </x:c>
      <x:c r="J25" s="14" t="str">
        <x:v>https://www.google.com/maps/search/?api=1&amp;query=Centro+Vial+%2F+ROMECO+C%C3%B3rdoba+Av.+Circunvalaci%C3%B3n+1180%2C+Colectora+Sur%2C+X5014+C%C3%B3rdoba</x:v>
      </x:c>
    </x:row>
    <x:row r="26" ht="36" customHeight="1">
      <x:c r="A26" s="14" t="str">
        <x:v>CBA-043</x:v>
      </x:c>
      <x:c r="B26" s="14" t="str">
        <x:v>Córdoba Capital</x:v>
      </x:c>
      <x:c r="C26" s="14" t="str">
        <x:v>A+</x:v>
      </x:c>
      <x:c r="D26" s="14" t="str">
        <x:v>DI LUCA | Constructora</x:v>
      </x:c>
      <x:c r="E26" s="14" t="str">
        <x:v>Movimiento de suelos, excavaciones, demoliciones, compactación vial y obra civil</x:v>
      </x:c>
      <x:c r="F26" s="14" t="str">
        <x:v>+54 9 351 9037342 / +54 351 2339136</x:v>
      </x:c>
      <x:c r="G26" s="14" t="str">
        <x:v>OK</x:v>
      </x:c>
      <x:c r="H26" s="14" t="str">
        <x:v>operaciones / equipos / jefe de obra</x:v>
      </x:c>
      <x:c r="I26" s="14" t="str">
        <x:v>Confirmar decisor, frecuencia de movimientos, peso/dimensiones habituales y cómo resuelven hoy los traslados.</x:v>
      </x:c>
      <x:c r="J26" s="14" t="str">
        <x:v>https://www.google.com/maps/search/?api=1&amp;query=DI+LUCA+%7C+Constructora+Rufino+Cuervo+1085%2C+C%C3%B3rdoba</x:v>
      </x:c>
    </x:row>
    <x:row r="27" ht="36" customHeight="1">
      <x:c r="A27" s="14" t="str">
        <x:v>CBA-049</x:v>
      </x:c>
      <x:c r="B27" s="14" t="str">
        <x:v>Córdoba Capital</x:v>
      </x:c>
      <x:c r="C27" s="14" t="str">
        <x:v>A+</x:v>
      </x:c>
      <x:c r="D27" s="14" t="str">
        <x:v>Demoliciones Brasca</x:v>
      </x:c>
      <x:c r="E27" s="14" t="str">
        <x:v>Demoliciones y movimiento de materiales/equipos</x:v>
      </x:c>
      <x:c r="F27" s="14" t="str">
        <x:v>+54 351 4510341</x:v>
      </x:c>
      <x:c r="G27" s="14" t="str">
        <x:v>OK</x:v>
      </x:c>
      <x:c r="H27" s="14" t="str">
        <x:v>operaciones / equipos / logística</x:v>
      </x:c>
      <x:c r="I27" s="14" t="str">
        <x:v>Confirmar decisor, frecuencia de movimientos, peso/dimensiones habituales y cómo resuelven hoy los traslados.</x:v>
      </x:c>
      <x:c r="J27" s="14" t="str">
        <x:v>https://www.google.com/maps/search/?api=1&amp;query=Demoliciones+Brasca+M%C3%A9jico+155%2C+X5004+C%C3%B3rdoba</x:v>
      </x:c>
    </x:row>
    <x:row r="28" ht="36" customHeight="1">
      <x:c r="A28" s="14" t="str">
        <x:v>CBA-047</x:v>
      </x:c>
      <x:c r="B28" s="14" t="str">
        <x:v>Córdoba Capital</x:v>
      </x:c>
      <x:c r="C28" s="14" t="str">
        <x:v>A+</x:v>
      </x:c>
      <x:c r="D28" s="14" t="str">
        <x:v>Demoliciones y Excavaciones Signorini S.A.</x:v>
      </x:c>
      <x:c r="E28" s="14" t="str">
        <x:v>Demoliciones, excavaciones y movimientos de suelo</x:v>
      </x:c>
      <x:c r="F28" s="14" t="str">
        <x:v>+54 351 6134084</x:v>
      </x:c>
      <x:c r="G28" s="14" t="str">
        <x:v>OK</x:v>
      </x:c>
      <x:c r="H28" s="14" t="str">
        <x:v>operaciones / equipos</x:v>
      </x:c>
      <x:c r="I28" s="14" t="str">
        <x:v>Confirmar decisor, frecuencia de movimientos, peso/dimensiones habituales y cómo resuelven hoy los traslados.</x:v>
      </x:c>
      <x:c r="J28" s="14" t="str">
        <x:v>https://www.google.com/maps/search/?api=1&amp;query=Demoliciones+y+Excavaciones+Signorini+S.A.+Tte.+Gral.+Donato+Alvarez+7812%2C+C%C3%B3rdoba</x:v>
      </x:c>
    </x:row>
    <x:row r="29" ht="36" customHeight="1">
      <x:c r="A29" s="14" t="str">
        <x:v>CBA-065</x:v>
      </x:c>
      <x:c r="B29" s="14" t="str">
        <x:v>Córdoba Capital</x:v>
      </x:c>
      <x:c r="C29" s="14" t="str">
        <x:v>A+</x:v>
      </x:c>
      <x:c r="D29" s="14" t="str">
        <x:v>Grúas San Blas - Córdoba</x:v>
      </x:c>
      <x:c r="E29" s="14" t="str">
        <x:v>Venta, alquiler y servicio de maquinaria para construcción, industria e izaje</x:v>
      </x:c>
      <x:c r="F29" s="14" t="str">
        <x:v>0351 475-9001</x:v>
      </x:c>
      <x:c r="G29" s="14" t="str">
        <x:v>OK</x:v>
      </x:c>
      <x:c r="H29" s="14" t="str">
        <x:v>rental / logística / sucursal Córdoba</x:v>
      </x:c>
      <x:c r="I29" s="14" t="str">
        <x:v>Confirmar decisor, frecuencia de movimientos, peso/dimensiones habituales y cómo resuelven hoy los traslados.</x:v>
      </x:c>
      <x:c r="J29" s="14" t="str">
        <x:v>https://www.google.com/maps/search/?api=1&amp;query=Gr%C3%BAas+San+Blas+-+C%C3%B3rdoba+Bv.+de+los+Alemanes+2815%2C+C%C3%B3rdoba</x:v>
      </x:c>
    </x:row>
    <x:row r="30" ht="36" customHeight="1">
      <x:c r="A30" s="14" t="str">
        <x:v>CBA-004</x:v>
      </x:c>
      <x:c r="B30" s="14" t="str">
        <x:v>Córdoba Capital</x:v>
      </x:c>
      <x:c r="C30" s="14" t="str">
        <x:v>A+</x:v>
      </x:c>
      <x:c r="D30" s="14" t="str">
        <x:v>H30 Estructuras</x:v>
      </x:c>
      <x:c r="E30" s="14" t="str">
        <x:v>Naves industriales, puentes grúa, pisos industriales y montaje</x:v>
      </x:c>
      <x:c r="F30" s="14" t="str">
        <x:v>+54 9 351 7566817</x:v>
      </x:c>
      <x:c r="G30" s="14" t="str">
        <x:v>OK</x:v>
      </x:c>
      <x:c r="H30" s="14" t="str">
        <x:v>obras / logística / montaje</x:v>
      </x:c>
      <x:c r="I30" s="14" t="str">
        <x:v>Confirmar decisor y frecuencia de movimientos antes de cotizar.</x:v>
      </x:c>
      <x:c r="J30" s="14" t="str">
        <x:v>https://www.google.com/maps/search/?api=1&amp;query=H30+Estructuras+Ruta+19+km+327+Cordoba</x:v>
      </x:c>
    </x:row>
    <x:row r="31" ht="36" customHeight="1">
      <x:c r="A31" s="14" t="str">
        <x:v>CBA-032</x:v>
      </x:c>
      <x:c r="B31" s="14" t="str">
        <x:v>Córdoba Capital</x:v>
      </x:c>
      <x:c r="C31" s="14" t="str">
        <x:v>A+</x:v>
      </x:c>
      <x:c r="D31" s="14" t="str">
        <x:v>Maquinaria Lista / Alquiler Plataformas Elevadoras</x:v>
      </x:c>
      <x:c r="E31" s="14" t="str">
        <x:v>Alquiler de maquinaria y equipos industriales / plataformas elevadoras</x:v>
      </x:c>
      <x:c r="F31" s="14" t="str">
        <x:v>+54 351 8123145</x:v>
      </x:c>
      <x:c r="G31" s="14" t="str">
        <x:v>OK</x:v>
      </x:c>
      <x:c r="H31" s="14" t="str">
        <x:v>alquileres / logística</x:v>
      </x:c>
      <x:c r="I31" s="14" t="str">
        <x:v>Confirmar decisor, frecuencia de movimientos, peso/dimensiones habituales y cómo resuelven hoy los traslados.</x:v>
      </x:c>
      <x:c r="J31" s="14" t="str">
        <x:v>https://www.google.com/maps/search/?api=1&amp;query=Maquinaria+Lista+%2F+Alquiler+Plataformas+Elevadoras+Bartolom%C3%A9+Hidalgo+590%2C+X5019+C%C3%B3rdoba</x:v>
      </x:c>
    </x:row>
    <x:row r="32" ht="36" customHeight="1">
      <x:c r="A32" s="14" t="str">
        <x:v>CBA-046</x:v>
      </x:c>
      <x:c r="B32" s="14" t="str">
        <x:v>Córdoba Capital</x:v>
      </x:c>
      <x:c r="C32" s="14" t="str">
        <x:v>A+</x:v>
      </x:c>
      <x:c r="D32" s="14" t="str">
        <x:v>Mendiolaza Demoliciones S.R.L.</x:v>
      </x:c>
      <x:c r="E32" s="14" t="str">
        <x:v>Demoliciones y logística de obra</x:v>
      </x:c>
      <x:c r="F32" s="14" t="str">
        <x:v>+54 351 3781565 / +54 9 351 4038917</x:v>
      </x:c>
      <x:c r="G32" s="14" t="str">
        <x:v>OK</x:v>
      </x:c>
      <x:c r="H32" s="14" t="str">
        <x:v>operaciones / logística / jefe de obra</x:v>
      </x:c>
      <x:c r="I32" s="14" t="str">
        <x:v>Confirmar decisor, frecuencia de movimientos, peso/dimensiones habituales y cómo resuelven hoy los traslados.</x:v>
      </x:c>
      <x:c r="J32" s="14" t="str">
        <x:v>https://www.google.com/maps/search/?api=1&amp;query=Mendiolaza+Demoliciones+S.R.L.+Juan+de+Santiso+y+Moscoso+2560%2C+X5012+C%C3%B3rdoba</x:v>
      </x:c>
    </x:row>
    <x:row r="33" ht="36" customHeight="1">
      <x:c r="A33" s="14" t="str">
        <x:v>CBA-005</x:v>
      </x:c>
      <x:c r="B33" s="14" t="str">
        <x:v>Córdoba Capital</x:v>
      </x:c>
      <x:c r="C33" s="14" t="str">
        <x:v>A+</x:v>
      </x:c>
      <x:c r="D33" s="14" t="str">
        <x:v>Metalica Construcciones y Montajes S.A.</x:v>
      </x:c>
      <x:c r="E33" s="14" t="str">
        <x:v>Construcciones y montajes industriales</x:v>
      </x:c>
      <x:c r="F33" s="14" t="str">
        <x:v>0351 3063757</x:v>
      </x:c>
      <x:c r="G33" s="14" t="str">
        <x:v>OK</x:v>
      </x:c>
      <x:c r="H33" s="14" t="str">
        <x:v>operaciones / jefe de obra / logística</x:v>
      </x:c>
      <x:c r="I33" s="14" t="str">
        <x:v>Confirmar decisor y frecuencia de movimientos antes de cotizar.</x:v>
      </x:c>
      <x:c r="J33" s="14" t="str">
        <x:v>https://www.google.com/maps/search/?api=1&amp;query=Metalica+Construcciones+y+Montajes+Cochabamba+2328+Cordoba</x:v>
      </x:c>
    </x:row>
    <x:row r="34" ht="36" customHeight="1">
      <x:c r="A34" s="14" t="str">
        <x:v>CBA-002</x:v>
      </x:c>
      <x:c r="B34" s="14" t="str">
        <x:v>Córdoba Capital</x:v>
      </x:c>
      <x:c r="C34" s="14" t="str">
        <x:v>A+</x:v>
      </x:c>
      <x:c r="D34" s="14" t="str">
        <x:v>Metalúrgica AS</x:v>
      </x:c>
      <x:c r="E34" s="14" t="str">
        <x:v>Mecanizado; autopartes, agropartes y construcción</x:v>
      </x:c>
      <x:c r="F34" s="14" t="str">
        <x:v>0351 6002097</x:v>
      </x:c>
      <x:c r="G34" s="14" t="str">
        <x:v>OK</x:v>
      </x:c>
      <x:c r="H34" s="14" t="str">
        <x:v>producción / expedición / compras</x:v>
      </x:c>
      <x:c r="I34" s="14" t="str">
        <x:v>Confirmar decisor y frecuencia de movimientos antes de cotizar.</x:v>
      </x:c>
      <x:c r="J34" s="14" t="str">
        <x:v>https://www.google.com/maps/search/?api=1&amp;query=Metalurgica+AS+Carlos+Gervasoni+2545+Cordoba</x:v>
      </x:c>
    </x:row>
    <x:row r="35" ht="36" customHeight="1">
      <x:c r="A35" s="14" t="str">
        <x:v>CBA-031</x:v>
      </x:c>
      <x:c r="B35" s="14" t="str">
        <x:v>Córdoba Capital</x:v>
      </x:c>
      <x:c r="C35" s="14" t="str">
        <x:v>A+</x:v>
      </x:c>
      <x:c r="D35" s="14" t="str">
        <x:v>Norte - Alquiler de Autoelevadores y Plataformas Elevadoras</x:v>
      </x:c>
      <x:c r="E35" s="14" t="str">
        <x:v>Alquiler de autoelevadores y plataformas elevadoras</x:v>
      </x:c>
      <x:c r="F35" s="14" t="str">
        <x:v>+54 351 7404333</x:v>
      </x:c>
      <x:c r="G35" s="14" t="str">
        <x:v>OK</x:v>
      </x:c>
      <x:c r="H35" s="14" t="str">
        <x:v>alquileres / operaciones</x:v>
      </x:c>
      <x:c r="I35" s="14" t="str">
        <x:v>Confirmar decisor, frecuencia de movimientos, peso/dimensiones habituales y cómo resuelven hoy los traslados.</x:v>
      </x:c>
      <x:c r="J35" s="14" t="str">
        <x:v>https://www.google.com/maps/search/?api=1&amp;query=Norte+-+Alquiler+de+Autoelevadores+y+Plataformas+Elevadoras+X5101+C%C3%B3rdoba%2C+Argentina</x:v>
      </x:c>
    </x:row>
    <x:row r="36" ht="36" customHeight="1">
      <x:c r="A36" s="14" t="str">
        <x:v>CBA-048</x:v>
      </x:c>
      <x:c r="B36" s="14" t="str">
        <x:v>Córdoba Capital</x:v>
      </x:c>
      <x:c r="C36" s="14" t="str">
        <x:v>A+</x:v>
      </x:c>
      <x:c r="D36" s="14" t="str">
        <x:v>Olmos Demoliciones - Olmos Vial</x:v>
      </x:c>
      <x:c r="E36" s="14" t="str">
        <x:v>Demoliciones y servicios viales</x:v>
      </x:c>
      <x:c r="F36" s="14" t="str">
        <x:v>+54 9 351 3615566</x:v>
      </x:c>
      <x:c r="G36" s="14" t="str">
        <x:v>OK</x:v>
      </x:c>
      <x:c r="H36" s="14" t="str">
        <x:v>operaciones / equipos / logística</x:v>
      </x:c>
      <x:c r="I36" s="14" t="str">
        <x:v>Confirmar decisor, frecuencia de movimientos, peso/dimensiones habituales y cómo resuelven hoy los traslados.</x:v>
      </x:c>
      <x:c r="J36" s="14" t="str">
        <x:v>https://www.google.com/maps/search/?api=1&amp;query=Olmos+Demoliciones+-+Olmos+Vial+Palpa+5446%2C+X5003+C%C3%B3rdoba</x:v>
      </x:c>
    </x:row>
    <x:row r="37" ht="36" customHeight="1">
      <x:c r="A37" s="14" t="str">
        <x:v>CBA-064</x:v>
      </x:c>
      <x:c r="B37" s="14" t="str">
        <x:v>Córdoba Capital</x:v>
      </x:c>
      <x:c r="C37" s="14" t="str">
        <x:v>A+</x:v>
      </x:c>
      <x:c r="D37" s="14" t="str">
        <x:v>X MAQ - Venta y Alquiler de Maquinaria Vial</x:v>
      </x:c>
      <x:c r="E37" s="14" t="str">
        <x:v>Venta y alquiler de maquinaria vial y equipos de construcción</x:v>
      </x:c>
      <x:c r="F37" s="14" t="str">
        <x:v>+54 351 393-0075</x:v>
      </x:c>
      <x:c r="G37" s="14" t="str">
        <x:v>A verificar</x:v>
      </x:c>
      <x:c r="H37" s="14" t="str">
        <x:v>alquileres / operaciones / logística</x:v>
      </x:c>
      <x:c r="I37" s="14" t="str">
        <x:v>Confirmar decisor, frecuencia de movimientos, peso/dimensiones habituales y cómo resuelven hoy los traslados.</x:v>
      </x:c>
      <x:c r="J37" s="14" t="str">
        <x:v>https://www.google.com/maps/search/?api=1&amp;query=X+MAQ+-+Venta+y+Alquiler+de+Maquinaria+Vial+Av.+Rafael+N%C3%BA%C3%B1ez+3578%2C+Of.+8%2C+C%C3%B3rdoba</x:v>
      </x:c>
    </x:row>
    <x:row r="38" ht="36" customHeight="1">
      <x:c r="A38" s="14" t="str">
        <x:v>CBA-070</x:v>
      </x:c>
      <x:c r="B38" s="14" t="str">
        <x:v>Córdoba Capital</x:v>
      </x:c>
      <x:c r="C38" s="14" t="str">
        <x:v>A+</x:v>
      </x:c>
      <x:c r="D38" s="14" t="str">
        <x:v>Maquinarias Eleva</x:v>
      </x:c>
      <x:c r="E38" s="14" t="str">
        <x:v>Alquiler y venta de plataformas elevadoras, autoelevadores, mástiles y manipuladores</x:v>
      </x:c>
      <x:c r="F38" s="14" t="str">
        <x:v>+54 351 753-7683 / +54 351 850-2000</x:v>
      </x:c>
      <x:c r="G38" s="14" t="str">
        <x:v>OK</x:v>
      </x:c>
      <x:c r="H38" s="14" t="str">
        <x:v>alquileres / logística / operaciones</x:v>
      </x:c>
      <x:c r="I38" s="14" t="str">
        <x:v>Confirmar decisor, frecuencia de movimientos, peso/dimensiones habituales y cómo resuelven hoy los traslados.</x:v>
      </x:c>
      <x:c r="J38" s="14" t="str">
        <x:v>https://www.google.com/maps/search/?api=1&amp;query=Maquinarias+Eleva+Av.+Juan+B.+Justo+4555%2C+C%C3%B3rdoba</x:v>
      </x:c>
    </x:row>
    <x:row r="39" ht="36" customHeight="1">
      <x:c r="A39" s="14" t="str">
        <x:v>CBA-069</x:v>
      </x:c>
      <x:c r="B39" s="14" t="str">
        <x:v>Córdoba Capital</x:v>
      </x:c>
      <x:c r="C39" s="14" t="str">
        <x:v>A+</x:v>
      </x:c>
      <x:c r="D39" s="14" t="str">
        <x:v>Maquinarias Los Tanos</x:v>
      </x:c>
      <x:c r="E39" s="14" t="str">
        <x:v>Alquiler y venta de autoelevadores, plataformas, apiladores y equipos de construcción</x:v>
      </x:c>
      <x:c r="F39" s="14" t="str">
        <x:v>+54 351 403-9222 / 0351 486-7879</x:v>
      </x:c>
      <x:c r="G39" s="14" t="str">
        <x:v>OK</x:v>
      </x:c>
      <x:c r="H39" s="14" t="str">
        <x:v>alquileres / logística / Enio Macerata</x:v>
      </x:c>
      <x:c r="I39" s="14" t="str">
        <x:v>Confirmar decisor, frecuencia de movimientos, peso/dimensiones habituales y cómo resuelven hoy los traslados.</x:v>
      </x:c>
      <x:c r="J39" s="14" t="str">
        <x:v>https://www.google.com/maps/search/?api=1&amp;query=Maquinarias+Los+Tanos+Av.+Col%C3%B3n+5211%2C+C%C3%B3rdoba</x:v>
      </x:c>
    </x:row>
    <x:row r="40" ht="36" customHeight="1">
      <x:c r="A40" s="14" t="str">
        <x:v>CBA-036</x:v>
      </x:c>
      <x:c r="B40" s="14" t="str">
        <x:v>Córdoba Capital</x:v>
      </x:c>
      <x:c r="C40" s="14" t="str">
        <x:v>A</x:v>
      </x:c>
      <x:c r="D40" s="14" t="str">
        <x:v>Dromos S.A. | Movimiento de Suelos</x:v>
      </x:c>
      <x:c r="E40" s="14" t="str">
        <x:v>Movimiento de suelos y construcción</x:v>
      </x:c>
      <x:c r="F40" s="14" t="str">
        <x:v>+54 351 3783771</x:v>
      </x:c>
      <x:c r="G40" s="14" t="str">
        <x:v>OK</x:v>
      </x:c>
      <x:c r="H40" s="14" t="str">
        <x:v>operaciones / jefe de obra / logística</x:v>
      </x:c>
      <x:c r="I40" s="14" t="str">
        <x:v>Confirmar decisor, frecuencia de movimientos, peso/dimensiones habituales y cómo resuelven hoy los traslados.</x:v>
      </x:c>
      <x:c r="J40" s="14" t="str">
        <x:v>https://www.google.com/maps/search/?api=1&amp;query=Dromos+S.A.+%7C+Movimiento+de+Suelos+Jos%C3%A9+Barros+Pazos+3300%2C+X5009+C%C3%B3rdoba</x:v>
      </x:c>
    </x:row>
    <x:row r="41" ht="36" customHeight="1">
      <x:c r="A41" s="14" t="str">
        <x:v>CBA-072</x:v>
      </x:c>
      <x:c r="B41" s="14" t="str">
        <x:v>Córdoba Capital</x:v>
      </x:c>
      <x:c r="C41" s="14" t="str">
        <x:v>A</x:v>
      </x:c>
      <x:c r="D41" s="14" t="str">
        <x:v>Metalúrgica San Vicente S.R.L.</x:v>
      </x:c>
      <x:c r="E41" s="14" t="str">
        <x:v>Fabricación de puentes grúa, pórticos, semipórticos y equipos de izaje</x:v>
      </x:c>
      <x:c r="F41" s="14" t="str">
        <x:v>0351 450-2500</x:v>
      </x:c>
      <x:c r="G41" s="14" t="str">
        <x:v>OK</x:v>
      </x:c>
      <x:c r="H41" s="14" t="str">
        <x:v>producción / expedición / montajes</x:v>
      </x:c>
      <x:c r="I41" s="14" t="str">
        <x:v>Confirmar decisor, frecuencia de movimientos, peso/dimensiones habituales y cómo resuelven hoy los traslados.</x:v>
      </x:c>
      <x:c r="J41" s="14" t="str">
        <x:v>https://www.google.com/maps/search/?api=1&amp;query=Metal%C3%BArgica+San+Vicente+S.R.L.+Ruta+9+Sur+km+689%2C+Ferreyra%2C+C%C3%B3rdoba</x:v>
      </x:c>
    </x:row>
    <x:row r="42" ht="36" customHeight="1">
      <x:c r="A42" s="14" t="str">
        <x:v>CBA-012</x:v>
      </x:c>
      <x:c r="B42" s="14" t="str">
        <x:v>Córdoba Capital</x:v>
      </x:c>
      <x:c r="C42" s="14" t="str">
        <x:v>A</x:v>
      </x:c>
      <x:c r="D42" s="14" t="str">
        <x:v>American Vial Córdoba</x:v>
      </x:c>
      <x:c r="E42" s="14" t="str">
        <x:v>Proveedor de maquinaria de construcción y vial</x:v>
      </x:c>
      <x:c r="F42" s="14" t="str">
        <x:v>0351 3919600</x:v>
      </x:c>
      <x:c r="G42" s="14" t="str">
        <x:v>OK</x:v>
      </x:c>
      <x:c r="H42" s="14" t="str">
        <x:v>ventas / logística / service</x:v>
      </x:c>
      <x:c r="I42" s="14" t="str">
        <x:v>Confirmar decisor y frecuencia de movimientos antes de cotizar.</x:v>
      </x:c>
      <x:c r="J42" s="14" t="str">
        <x:v>https://www.google.com/maps/search/?api=1&amp;query=American+Vial+Cordoba+Circunvalacion+6551</x:v>
      </x:c>
    </x:row>
    <x:row r="43" ht="36" customHeight="1">
      <x:c r="A43" s="14" t="str">
        <x:v>CBA-057</x:v>
      </x:c>
      <x:c r="B43" s="14" t="str">
        <x:v>Córdoba Capital</x:v>
      </x:c>
      <x:c r="C43" s="14" t="str">
        <x:v>A</x:v>
      </x:c>
      <x:c r="D43" s="14" t="str">
        <x:v>Autoelevadores El Yorch</x:v>
      </x:c>
      <x:c r="E43" s="14" t="str">
        <x:v>Alquiler de autoelevadores</x:v>
      </x:c>
      <x:c r="F43" s="14" t="str">
        <x:v>+54 351 3853075</x:v>
      </x:c>
      <x:c r="G43" s="14" t="str">
        <x:v>OK</x:v>
      </x:c>
      <x:c r="H43" s="14" t="str">
        <x:v>alquileres / operaciones</x:v>
      </x:c>
      <x:c r="I43" s="14" t="str">
        <x:v>Confirmar decisor, frecuencia de movimientos, peso/dimensiones habituales y cómo resuelven hoy los traslados.</x:v>
      </x:c>
      <x:c r="J43" s="14" t="str">
        <x:v>https://www.google.com/maps/search/?api=1&amp;query=Autoelevadores+El+Yorch+Pasaje+General+Antranik+1224%2C+X5004+C%C3%B3rdoba</x:v>
      </x:c>
    </x:row>
    <x:row r="44" ht="36" customHeight="1">
      <x:c r="A44" s="14" t="str">
        <x:v>CBA-051</x:v>
      </x:c>
      <x:c r="B44" s="14" t="str">
        <x:v>Córdoba Capital</x:v>
      </x:c>
      <x:c r="C44" s="14" t="str">
        <x:v>A</x:v>
      </x:c>
      <x:c r="D44" s="14" t="str">
        <x:v>Calderas Industriales Cal Marq Córdoba</x:v>
      </x:c>
      <x:c r="E44" s="14" t="str">
        <x:v>Fabricación de calderas industriales</x:v>
      </x:c>
      <x:c r="F44" s="14" t="str">
        <x:v>+54 351 3324444</x:v>
      </x:c>
      <x:c r="G44" s="14" t="str">
        <x:v>OK</x:v>
      </x:c>
      <x:c r="H44" s="14" t="str">
        <x:v>producción / expedición / montaje</x:v>
      </x:c>
      <x:c r="I44" s="14" t="str">
        <x:v>Confirmar decisor, frecuencia de movimientos, peso/dimensiones habituales y cómo resuelven hoy los traslados.</x:v>
      </x:c>
      <x:c r="J44" s="14" t="str">
        <x:v>https://www.google.com/maps/search/?api=1&amp;query=Calderas+Industriales+Cal+Marq+C%C3%B3rdoba+Salvador+D%C3%ADaz+Miron+65%2C+X5000+C%C3%B3rdoba</x:v>
      </x:c>
    </x:row>
    <x:row r="45" ht="36" customHeight="1">
      <x:c r="A45" s="14" t="str">
        <x:v>CBA-039</x:v>
      </x:c>
      <x:c r="B45" s="14" t="str">
        <x:v>Córdoba Capital</x:v>
      </x:c>
      <x:c r="C45" s="14" t="str">
        <x:v>A</x:v>
      </x:c>
      <x:c r="D45" s="14" t="str">
        <x:v>Chediack - Operación Córdoba RN36</x:v>
      </x:c>
      <x:c r="E45" s="14" t="str">
        <x:v>Grandes obras viales e infraestructura</x:v>
      </x:c>
      <x:c r="F45" s="14" t="str">
        <x:v>+54 351 2430578</x:v>
      </x:c>
      <x:c r="G45" s="14" t="str">
        <x:v>OK</x:v>
      </x:c>
      <x:c r="H45" s="14" t="str">
        <x:v>jefe de obra / equipos / logística</x:v>
      </x:c>
      <x:c r="I45" s="14" t="str">
        <x:v>Confirmar decisor, frecuencia de movimientos, peso/dimensiones habituales y cómo resuelven hoy los traslados.</x:v>
      </x:c>
      <x:c r="J45" s="14" t="str">
        <x:v>https://www.google.com/maps/search/?api=1&amp;query=Chediack+-+Operaci%C3%B3n+C%C3%B3rdoba+RN36+Mirizi%2C+X5016+C%C3%B3rdoba</x:v>
      </x:c>
    </x:row>
    <x:row r="46" ht="36" customHeight="1">
      <x:c r="A46" s="14" t="str">
        <x:v>CBA-007</x:v>
      </x:c>
      <x:c r="B46" s="14" t="str">
        <x:v>Córdoba Capital</x:v>
      </x:c>
      <x:c r="C46" s="14" t="str">
        <x:v>A</x:v>
      </x:c>
      <x:c r="D46" s="14" t="str">
        <x:v>Estructuras Mosconi SRL</x:v>
      </x:c>
      <x:c r="E46" s="14" t="str">
        <x:v>Estructuras metálicas</x:v>
      </x:c>
      <x:c r="F46" s="14" t="str">
        <x:v>0351 7715226</x:v>
      </x:c>
      <x:c r="G46" s="14" t="str">
        <x:v>OK</x:v>
      </x:c>
      <x:c r="H46" s="14" t="str">
        <x:v>producción / montaje / logística</x:v>
      </x:c>
      <x:c r="I46" s="14" t="str">
        <x:v>Confirmar decisor y frecuencia de movimientos antes de cotizar.</x:v>
      </x:c>
      <x:c r="J46" s="14" t="str">
        <x:v>https://www.google.com/maps/search/?api=1&amp;query=Estructuras+Mosconi+Francisco+del+Prado+3385+Cordoba</x:v>
      </x:c>
    </x:row>
    <x:row r="47" ht="36" customHeight="1">
      <x:c r="A47" s="14" t="str">
        <x:v>CBA-013</x:v>
      </x:c>
      <x:c r="B47" s="14" t="str">
        <x:v>Córdoba Capital</x:v>
      </x:c>
      <x:c r="C47" s="14" t="str">
        <x:v>A</x:v>
      </x:c>
      <x:c r="D47" s="14" t="str">
        <x:v>FUNES AGROCENTRO</x:v>
      </x:c>
      <x:c r="E47" s="14" t="str">
        <x:v>Proveedor de equipos agrícolas</x:v>
      </x:c>
      <x:c r="F47" s="14" t="str">
        <x:v>0351 6640837</x:v>
      </x:c>
      <x:c r="G47" s="14" t="str">
        <x:v>OK</x:v>
      </x:c>
      <x:c r="H47" s="14" t="str">
        <x:v>ventas / entregas / postventa</x:v>
      </x:c>
      <x:c r="I47" s="14" t="str">
        <x:v>Confirmar decisor y frecuencia de movimientos antes de cotizar.</x:v>
      </x:c>
      <x:c r="J47" s="14" t="str">
        <x:v>https://www.google.com/maps/search/?api=1&amp;query=Funes+Agrocentro+Juan+B+Justo+10200+Cordoba</x:v>
      </x:c>
    </x:row>
    <x:row r="48" ht="36" customHeight="1">
      <x:c r="A48" s="14" t="str">
        <x:v>CBA-008</x:v>
      </x:c>
      <x:c r="B48" s="14" t="str">
        <x:v>Córdoba Capital</x:v>
      </x:c>
      <x:c r="C48" s="14" t="str">
        <x:v>A</x:v>
      </x:c>
      <x:c r="D48" s="14" t="str">
        <x:v>Gallará - Fábrica de premoldeados de hormigón</x:v>
      </x:c>
      <x:c r="E48" s="14" t="str">
        <x:v>Fabricación de premoldeados de hormigón</x:v>
      </x:c>
      <x:c r="F48" s="14" t="str">
        <x:v>+54 9 351 2417000</x:v>
      </x:c>
      <x:c r="G48" s="14" t="str">
        <x:v>OK</x:v>
      </x:c>
      <x:c r="H48" s="14" t="str">
        <x:v>despacho / logística / ventas</x:v>
      </x:c>
      <x:c r="I48" s="14" t="str">
        <x:v>Confirmar decisor y frecuencia de movimientos antes de cotizar.</x:v>
      </x:c>
      <x:c r="J48" s="14" t="str">
        <x:v>https://www.google.com/maps/search/?api=1&amp;query=Gallara+Premoldeados+Blvd+Rivadavia+4379+Cordoba</x:v>
      </x:c>
    </x:row>
    <x:row r="49" ht="36" customHeight="1">
      <x:c r="A49" s="14" t="str">
        <x:v>CBA-050</x:v>
      </x:c>
      <x:c r="B49" s="14" t="str">
        <x:v>Córdoba Capital</x:v>
      </x:c>
      <x:c r="C49" s="14" t="str">
        <x:v>A</x:v>
      </x:c>
      <x:c r="D49" s="14" t="str">
        <x:v>Grupo Kilowatt</x:v>
      </x:c>
      <x:c r="E49" s="14" t="str">
        <x:v>Fabricación de grupos electrógenos y equipos eléctricos</x:v>
      </x:c>
      <x:c r="F49" s="14" t="str">
        <x:v>+54 351 5693902</x:v>
      </x:c>
      <x:c r="G49" s="14" t="str">
        <x:v>OK</x:v>
      </x:c>
      <x:c r="H49" s="14" t="str">
        <x:v>ventas / logística / expedición</x:v>
      </x:c>
      <x:c r="I49" s="14" t="str">
        <x:v>Confirmar decisor, frecuencia de movimientos, peso/dimensiones habituales y cómo resuelven hoy los traslados.</x:v>
      </x:c>
      <x:c r="J49" s="14" t="str">
        <x:v>https://www.google.com/maps/search/?api=1&amp;query=Grupo+Kilowatt+Parque+Industrial+Polo+52%2C+Manzana+48+Lote+19%2C+C%C3%B3rdoba</x:v>
      </x:c>
    </x:row>
    <x:row r="50" ht="36" customHeight="1">
      <x:c r="A50" s="14" t="str">
        <x:v>CBA-074</x:v>
      </x:c>
      <x:c r="B50" s="14" t="str">
        <x:v>Córdoba Capital</x:v>
      </x:c>
      <x:c r="C50" s="14" t="str">
        <x:v>A</x:v>
      </x:c>
      <x:c r="D50" s="14" t="str">
        <x:v>Julio Donadio S.A.</x:v>
      </x:c>
      <x:c r="E50" s="14" t="str">
        <x:v>Centro de servicios siderúrgicos; corte, plegado, pilotes y distribución de acero</x:v>
      </x:c>
      <x:c r="F50" s="14" t="str">
        <x:v>0810-555-3662 / +54 351 891-0000</x:v>
      </x:c>
      <x:c r="G50" s="14" t="str">
        <x:v>OK</x:v>
      </x:c>
      <x:c r="H50" s="14" t="str">
        <x:v>logística / expedición / distribución</x:v>
      </x:c>
      <x:c r="I50" s="14" t="str">
        <x:v>Confirmar decisor, frecuencia de movimientos, peso/dimensiones habituales y cómo resuelven hoy los traslados.</x:v>
      </x:c>
      <x:c r="J50" s="14" t="str">
        <x:v>https://www.google.com/maps/search/?api=1&amp;query=Julio+Donadio+S.A.+Av.+Circunvalaci%C3%B3n+esq.+Camino+Interf%C3%A1bricas%2C+C%C3%B3rdoba</x:v>
      </x:c>
    </x:row>
    <x:row r="51" ht="36" customHeight="1">
      <x:c r="A51" s="14" t="str">
        <x:v>CBA-054</x:v>
      </x:c>
      <x:c r="B51" s="14" t="str">
        <x:v>Córdoba Capital</x:v>
      </x:c>
      <x:c r="C51" s="14" t="str">
        <x:v>A</x:v>
      </x:c>
      <x:c r="D51" s="14" t="str">
        <x:v>L.A Generadores</x:v>
      </x:c>
      <x:c r="E51" s="14" t="str">
        <x:v>Alquiler de grupos electrógenos y equipos industriales</x:v>
      </x:c>
      <x:c r="F51" s="14" t="str">
        <x:v>+54 351 2375780</x:v>
      </x:c>
      <x:c r="G51" s="14" t="str">
        <x:v>OK</x:v>
      </x:c>
      <x:c r="H51" s="14" t="str">
        <x:v>alquileres / operaciones</x:v>
      </x:c>
      <x:c r="I51" s="14" t="str">
        <x:v>Confirmar decisor, frecuencia de movimientos, peso/dimensiones habituales y cómo resuelven hoy los traslados.</x:v>
      </x:c>
      <x:c r="J51" s="14" t="str">
        <x:v>https://www.google.com/maps/search/?api=1&amp;query=L.A+Generadores+C%C3%B3rdoba+Capital%2C+C%C3%B3rdoba</x:v>
      </x:c>
    </x:row>
    <x:row r="52" ht="36" customHeight="1">
      <x:c r="A52" s="14" t="str">
        <x:v>CBA-006</x:v>
      </x:c>
      <x:c r="B52" s="14" t="str">
        <x:v>Córdoba Capital</x:v>
      </x:c>
      <x:c r="C52" s="14" t="str">
        <x:v>A</x:v>
      </x:c>
      <x:c r="D52" s="14" t="str">
        <x:v>MMETAL</x:v>
      </x:c>
      <x:c r="E52" s="14" t="str">
        <x:v>Soluciones metalúrgicas industriales</x:v>
      </x:c>
      <x:c r="F52" s="14" t="str">
        <x:v>+54 9 351 2644081</x:v>
      </x:c>
      <x:c r="G52" s="14" t="str">
        <x:v>OK</x:v>
      </x:c>
      <x:c r="H52" s="14" t="str">
        <x:v>producción / logística</x:v>
      </x:c>
      <x:c r="I52" s="14" t="str">
        <x:v>Confirmar decisor y frecuencia de movimientos antes de cotizar.</x:v>
      </x:c>
      <x:c r="J52" s="14" t="str">
        <x:v>https://www.google.com/maps/search/?api=1&amp;query=MMETAL+De+los+Latinos+7339+Cordoba</x:v>
      </x:c>
    </x:row>
    <x:row r="53" ht="36" customHeight="1">
      <x:c r="A53" s="14" t="str">
        <x:v>CBA-052</x:v>
      </x:c>
      <x:c r="B53" s="14" t="str">
        <x:v>Córdoba Capital</x:v>
      </x:c>
      <x:c r="C53" s="14" t="str">
        <x:v>A</x:v>
      </x:c>
      <x:c r="D53" s="14" t="str">
        <x:v>Montajes Industriales SRL</x:v>
      </x:c>
      <x:c r="E53" s="14" t="str">
        <x:v>Fabricación de estructuras metálicas y montajes</x:v>
      </x:c>
      <x:c r="F53" s="14" t="str">
        <x:v>+54 351 6697355</x:v>
      </x:c>
      <x:c r="G53" s="14" t="str">
        <x:v>OK</x:v>
      </x:c>
      <x:c r="H53" s="14" t="str">
        <x:v>producción / montaje / logística</x:v>
      </x:c>
      <x:c r="I53" s="14" t="str">
        <x:v>Confirmar decisor, frecuencia de movimientos, peso/dimensiones habituales y cómo resuelven hoy los traslados.</x:v>
      </x:c>
      <x:c r="J53" s="14" t="str">
        <x:v>https://www.google.com/maps/search/?api=1&amp;query=Montajes+Industriales+SRL+San+Fernando+1477%2C+X5000+C%C3%B3rdoba</x:v>
      </x:c>
    </x:row>
    <x:row r="54" ht="36" customHeight="1">
      <x:c r="A54" s="14" t="str">
        <x:v>CBA-044</x:v>
      </x:c>
      <x:c r="B54" s="14" t="str">
        <x:v>Córdoba Capital</x:v>
      </x:c>
      <x:c r="C54" s="14" t="str">
        <x:v>A</x:v>
      </x:c>
      <x:c r="D54" s="14" t="str">
        <x:v>Pellicer Movimientos de Suelo</x:v>
      </x:c>
      <x:c r="E54" s="14" t="str">
        <x:v>Movimiento de suelos</x:v>
      </x:c>
      <x:c r="F54" s="14" t="str">
        <x:v>+54 9 351 4033476</x:v>
      </x:c>
      <x:c r="G54" s="14" t="str">
        <x:v>OK</x:v>
      </x:c>
      <x:c r="H54" s="14" t="str">
        <x:v>operaciones / equipos</x:v>
      </x:c>
      <x:c r="I54" s="14" t="str">
        <x:v>Confirmar decisor, frecuencia de movimientos, peso/dimensiones habituales y cómo resuelven hoy los traslados.</x:v>
      </x:c>
      <x:c r="J54" s="14" t="str">
        <x:v>https://www.google.com/maps/search/?api=1&amp;query=Pellicer+Movimientos+de+Suelo+Cruz+Alta+8348%2C+C%C3%B3rdoba</x:v>
      </x:c>
    </x:row>
    <x:row r="55" ht="36" customHeight="1">
      <x:c r="A55" s="14" t="str">
        <x:v>CBA-009</x:v>
      </x:c>
      <x:c r="B55" s="14" t="str">
        <x:v>Córdoba Capital</x:v>
      </x:c>
      <x:c r="C55" s="14" t="str">
        <x:v>A</x:v>
      </x:c>
      <x:c r="D55" s="14" t="str">
        <x:v>Premoldeados Rivadavia SRL</x:v>
      </x:c>
      <x:c r="E55" s="14" t="str">
        <x:v>Fabricación mayorista de premoldeados de hormigón vibroprensado</x:v>
      </x:c>
      <x:c r="F55" s="14" t="str">
        <x:v>+54 9 351 3750459</x:v>
      </x:c>
      <x:c r="G55" s="14" t="str">
        <x:v>OK</x:v>
      </x:c>
      <x:c r="H55" s="14" t="str">
        <x:v>despacho / logística / administración</x:v>
      </x:c>
      <x:c r="I55" s="14" t="str">
        <x:v>Confirmar decisor y frecuencia de movimientos antes de cotizar.</x:v>
      </x:c>
      <x:c r="J55" s="14" t="str">
        <x:v>https://www.google.com/maps/search/?api=1&amp;query=Premoldeados+Rivadavia+Bv+Rivadavia+3624+Cordoba</x:v>
      </x:c>
    </x:row>
    <x:row r="56" ht="36" customHeight="1">
      <x:c r="A56" s="14" t="str">
        <x:v>CBA-045</x:v>
      </x:c>
      <x:c r="B56" s="14" t="str">
        <x:v>Córdoba Capital</x:v>
      </x:c>
      <x:c r="C56" s="14" t="str">
        <x:v>A</x:v>
      </x:c>
      <x:c r="D56" s="14" t="str">
        <x:v>Redcons S.R.L.</x:v>
      </x:c>
      <x:c r="E56" s="14" t="str">
        <x:v>Excavaciones y obras</x:v>
      </x:c>
      <x:c r="F56" s="14" t="str">
        <x:v>+54 351 5158731</x:v>
      </x:c>
      <x:c r="G56" s="14" t="str">
        <x:v>OK</x:v>
      </x:c>
      <x:c r="H56" s="14" t="str">
        <x:v>operaciones / equipos / jefe de obra</x:v>
      </x:c>
      <x:c r="I56" s="14" t="str">
        <x:v>Confirmar decisor, frecuencia de movimientos, peso/dimensiones habituales y cómo resuelven hoy los traslados.</x:v>
      </x:c>
      <x:c r="J56" s="14" t="str">
        <x:v>https://www.google.com/maps/search/?api=1&amp;query=Redcons+S.R.L.+Antonio+Nores+5423%2C+X5021+C%C3%B3rdoba</x:v>
      </x:c>
    </x:row>
    <x:row r="57" ht="36" customHeight="1">
      <x:c r="A57" s="14" t="str">
        <x:v>CBA-010</x:v>
      </x:c>
      <x:c r="B57" s="14" t="str">
        <x:v>Córdoba Capital</x:v>
      </x:c>
      <x:c r="C57" s="14" t="str">
        <x:v>A</x:v>
      </x:c>
      <x:c r="D57" s="14" t="str">
        <x:v>Stumpf Premoldeados</x:v>
      </x:c>
      <x:c r="E57" s="14" t="str">
        <x:v>Fabricación de hormigón y premoldeados</x:v>
      </x:c>
      <x:c r="F57" s="14" t="str">
        <x:v>0351 7273027</x:v>
      </x:c>
      <x:c r="G57" s="14" t="str">
        <x:v>OK</x:v>
      </x:c>
      <x:c r="H57" s="14" t="str">
        <x:v>despacho / logística</x:v>
      </x:c>
      <x:c r="I57" s="14" t="str">
        <x:v>Confirmar decisor y frecuencia de movimientos antes de cotizar.</x:v>
      </x:c>
      <x:c r="J57" s="14" t="str">
        <x:v>https://www.google.com/maps/search/?api=1&amp;query=Stumpf+Premoldeados+De+los+Sicilianos+6368+Cordoba</x:v>
      </x:c>
    </x:row>
    <x:row r="58" ht="36" customHeight="1">
      <x:c r="A58" s="14" t="str">
        <x:v>CBA-011</x:v>
      </x:c>
      <x:c r="B58" s="14" t="str">
        <x:v>Córdoba Capital</x:v>
      </x:c>
      <x:c r="C58" s="14" t="str">
        <x:v>A</x:v>
      </x:c>
      <x:c r="D58" s="14" t="str">
        <x:v>Tecmaq SRL</x:v>
      </x:c>
      <x:c r="E58" s="14" t="str">
        <x:v>Fabricación de maquinarias y equipos</x:v>
      </x:c>
      <x:c r="F58" s="14" t="str">
        <x:v>0351 4998277</x:v>
      </x:c>
      <x:c r="G58" s="14" t="str">
        <x:v>OK</x:v>
      </x:c>
      <x:c r="H58" s="14" t="str">
        <x:v>ventas / expedición / postventa</x:v>
      </x:c>
      <x:c r="I58" s="14" t="str">
        <x:v>Confirmar decisor y frecuencia de movimientos antes de cotizar.</x:v>
      </x:c>
      <x:c r="J58" s="14" t="str">
        <x:v>https://www.google.com/maps/search/?api=1&amp;query=Tecmaq+Av+Juan+B+Justo+8645+Cordoba</x:v>
      </x:c>
    </x:row>
    <x:row r="59" ht="36" customHeight="1">
      <x:c r="A59" s="14" t="str">
        <x:v>CBA-075</x:v>
      </x:c>
      <x:c r="B59" s="14" t="str">
        <x:v>Córdoba Capital</x:v>
      </x:c>
      <x:c r="C59" s="14" t="str">
        <x:v>A</x:v>
      </x:c>
      <x:c r="D59" s="14" t="str">
        <x:v>Pilmhor S.A.</x:v>
      </x:c>
      <x:c r="E59" s="14" t="str">
        <x:v>Fabricación de componentes hidráulicos para agro, vial, minería e industria</x:v>
      </x:c>
      <x:c r="F59" s="14" t="str">
        <x:v>0351 465-0012 / +54 9 351 345-5614</x:v>
      </x:c>
      <x:c r="G59" s="14" t="str">
        <x:v>OK</x:v>
      </x:c>
      <x:c r="H59" s="14" t="str">
        <x:v>producción / expedición / ingeniería</x:v>
      </x:c>
      <x:c r="I59" s="14" t="str">
        <x:v>Confirmar decisor, frecuencia de movimientos, peso/dimensiones habituales y cómo resuelven hoy los traslados.</x:v>
      </x:c>
      <x:c r="J59" s="14" t="str">
        <x:v>https://www.google.com/maps/search/?api=1&amp;query=Pilmhor+S.A.+Francisco+de+Arteaga+2225%2C+C%C3%B3rdoba</x:v>
      </x:c>
    </x:row>
    <x:row r="60" ht="36" customHeight="1">
      <x:c r="A60" s="14" t="str">
        <x:v>CBA-076</x:v>
      </x:c>
      <x:c r="B60" s="14" t="str">
        <x:v>Córdoba Capital</x:v>
      </x:c>
      <x:c r="C60" s="14" t="str">
        <x:v>A</x:v>
      </x:c>
      <x:c r="D60" s="14" t="str">
        <x:v>Acerbon S.R.L.</x:v>
      </x:c>
      <x:c r="E60" s="14" t="str">
        <x:v>Centro de servicios metalúrgicos; láser, plasma, oxicorte, plegado, rolado y soldadura</x:v>
      </x:c>
      <x:c r="F60" s="14" t="str">
        <x:v>+54 351 626-5963 / 0351 466-1672</x:v>
      </x:c>
      <x:c r="G60" s="14" t="str">
        <x:v>OK</x:v>
      </x:c>
      <x:c r="H60" s="14" t="str">
        <x:v>expedición / logística / producción</x:v>
      </x:c>
      <x:c r="I60" s="14" t="str">
        <x:v>Confirmar decisor, frecuencia de movimientos, peso/dimensiones habituales y cómo resuelven hoy los traslados.</x:v>
      </x:c>
      <x:c r="J60" s="14" t="str">
        <x:v>https://www.google.com/maps/search/?api=1&amp;query=Acerbon+S.R.L.+Francisco+de+Arteaga+2281%2C+C%C3%B3rdoba</x:v>
      </x:c>
    </x:row>
    <x:row r="61" ht="36" customHeight="1">
      <x:c r="A61" s="14" t="str">
        <x:v>CBA-078</x:v>
      </x:c>
      <x:c r="B61" s="14" t="str">
        <x:v>Córdoba Capital</x:v>
      </x:c>
      <x:c r="C61" s="14" t="str">
        <x:v>A</x:v>
      </x:c>
      <x:c r="D61" s="14" t="str">
        <x:v>Pellacani S.R.L.</x:v>
      </x:c>
      <x:c r="E61" s="14" t="str">
        <x:v>Mecanizado, ensamblaje y soluciones industriales para automotriz, agro, energía y construcción</x:v>
      </x:c>
      <x:c r="F61" s="14" t="str">
        <x:v>+54 9 351 417-3075</x:v>
      </x:c>
      <x:c r="G61" s="14" t="str">
        <x:v>OK</x:v>
      </x:c>
      <x:c r="H61" s="14" t="str">
        <x:v>logística / planta / expedición</x:v>
      </x:c>
      <x:c r="I61" s="14" t="str">
        <x:v>Confirmar decisor, frecuencia de movimientos, peso/dimensiones habituales y cómo resuelven hoy los traslados.</x:v>
      </x:c>
      <x:c r="J61" s="14" t="str">
        <x:v>https://www.google.com/maps/search/?api=1&amp;query=Pellacani+S.R.L.+Gral.+Manuel+Savio+5110%2C+Ferreyra%2C+C%C3%B3rdoba</x:v>
      </x:c>
    </x:row>
    <x:row r="62" ht="36" customHeight="1">
      <x:c r="A62" s="14" t="str">
        <x:v>CBA-080</x:v>
      </x:c>
      <x:c r="B62" s="14" t="str">
        <x:v>Córdoba Capital</x:v>
      </x:c>
      <x:c r="C62" s="14" t="str">
        <x:v>A</x:v>
      </x:c>
      <x:c r="D62" s="14" t="str">
        <x:v>Pertrak S.A.</x:v>
      </x:c>
      <x:c r="E62" s="14" t="str">
        <x:v>Mecanizado y fabricación de componentes OEM para vehículos y maquinaria</x:v>
      </x:c>
      <x:c r="F62" s="14" t="str">
        <x:v>0351 420-5385</x:v>
      </x:c>
      <x:c r="G62" s="14" t="str">
        <x:v>OK</x:v>
      </x:c>
      <x:c r="H62" s="14" t="str">
        <x:v>logística / expedición / planta</x:v>
      </x:c>
      <x:c r="I62" s="14" t="str">
        <x:v>Confirmar decisor, frecuencia de movimientos, peso/dimensiones habituales y cómo resuelven hoy los traslados.</x:v>
      </x:c>
      <x:c r="J62" s="14" t="str">
        <x:v>https://www.google.com/maps/search/?api=1&amp;query=Pertrak+S.A.+Av.+Amadeo+Sabattini+5301%2C+C%C3%B3rdoba</x:v>
      </x:c>
    </x:row>
    <x:row r="63" ht="36" customHeight="1">
      <x:c r="A63" s="14" t="str">
        <x:v>CBA-077</x:v>
      </x:c>
      <x:c r="B63" s="14" t="str">
        <x:v>Córdoba Capital</x:v>
      </x:c>
      <x:c r="C63" s="14" t="str">
        <x:v>A</x:v>
      </x:c>
      <x:c r="D63" s="14" t="str">
        <x:v>Rubol S.A.I.C.F.</x:v>
      </x:c>
      <x:c r="E63" s="14" t="str">
        <x:v>Forja pesada y mecanizado de componentes para automotriz, agro, oil &amp; gas e industria</x:v>
      </x:c>
      <x:c r="F63" s="14" t="str">
        <x:v>0351 570-3114</x:v>
      </x:c>
      <x:c r="G63" s="14" t="str">
        <x:v>OK</x:v>
      </x:c>
      <x:c r="H63" s="14" t="str">
        <x:v>logística / expedición / compras</x:v>
      </x:c>
      <x:c r="I63" s="14" t="str">
        <x:v>Confirmar decisor, frecuencia de movimientos, peso/dimensiones habituales y cómo resuelven hoy los traslados.</x:v>
      </x:c>
      <x:c r="J63" s="14" t="str">
        <x:v>https://www.google.com/maps/search/?api=1&amp;query=Rubol+S.A.I.C.F.+Av.+Amadeo+Sabattini+5369%2C+C%C3%B3rdoba</x:v>
      </x:c>
    </x:row>
    <x:row r="64">
      <x:c r="A64" t="str">
        <x:v>CBA-081</x:v>
      </x:c>
      <x:c r="B64" t="str">
        <x:v>Córdoba Capital</x:v>
      </x:c>
      <x:c r="C64" t="str">
        <x:v>A</x:v>
      </x:c>
      <x:c r="D64" t="str">
        <x:v>SOHIPREN S.A. / Livenza</x:v>
      </x:c>
      <x:c r="E64" t="str">
        <x:v>Fabricación de equipos y componentes hidráulicos para agro, vial e industria</x:v>
      </x:c>
      <x:c r="F64" t="str">
        <x:v>0351 493-7200</x:v>
      </x:c>
      <x:c r="G64" t="str">
        <x:v>OK</x:v>
      </x:c>
      <x:c r="H64" t="str">
        <x:v>logística / expedición / ventas</x:v>
      </x:c>
      <x:c r="I64" t="str">
        <x:v>Confirmar decisor, frecuencia de movimientos, peso/dimensiones habituales y cómo resuelven hoy los traslados.</x:v>
      </x:c>
      <x:c r="J64" t="str">
        <x:v>https://www.google.com/maps/search/?api=1&amp;query=SOHIPREN+S.A.+%2F+Livenza+Av.+Circunvalaci%C3%B3n+Sudeste+126%2C+C%C3%B3rdoba</x:v>
      </x:c>
    </x:row>
    <x:row r="65">
      <x:c r="A65" t="str">
        <x:v>CBA-055</x:v>
      </x:c>
      <x:c r="B65" t="str">
        <x:v>Córdoba Capital</x:v>
      </x:c>
      <x:c r="C65" t="str">
        <x:v>A</x:v>
      </x:c>
      <x:c r="D65" t="str">
        <x:v>SOLIND - Comercialización de Máquinas Industriales</x:v>
      </x:c>
      <x:c r="E65" t="str">
        <x:v>Comercialización y taller de máquinas industriales</x:v>
      </x:c>
      <x:c r="F65" t="str">
        <x:v>+54 9 351 6304033</x:v>
      </x:c>
      <x:c r="G65" t="str">
        <x:v>OK</x:v>
      </x:c>
      <x:c r="H65" t="str">
        <x:v>ventas / taller / logística</x:v>
      </x:c>
      <x:c r="I65" t="str">
        <x:v>Confirmar decisor, frecuencia de movimientos, peso/dimensiones habituales y cómo resuelven hoy los traslados.</x:v>
      </x:c>
      <x:c r="J65" t="str">
        <x:v>https://www.google.com/maps/search/?api=1&amp;query=SOLIND+-+Comercializaci%C3%B3n+de+M%C3%A1quinas+Industriales+Jap%C3%B3n+400%2C+X5000+C%C3%B3rdoba</x:v>
      </x:c>
    </x:row>
    <x:row r="66">
      <x:c r="A66" t="str">
        <x:v>CBA-014</x:v>
      </x:c>
      <x:c r="B66" t="str">
        <x:v>Córdoba Capital</x:v>
      </x:c>
      <x:c r="C66" t="str">
        <x:v>A</x:v>
      </x:c>
      <x:c r="D66" t="str">
        <x:v>Agroservice Córdoba</x:v>
      </x:c>
      <x:c r="E66" t="str">
        <x:v>Reparación y servicio de maquinaria agrícola</x:v>
      </x:c>
      <x:c r="F66" t="str">
        <x:v>0351 7286689</x:v>
      </x:c>
      <x:c r="G66" t="str">
        <x:v>OK</x:v>
      </x:c>
      <x:c r="H66" t="str">
        <x:v>service / taller / logística</x:v>
      </x:c>
      <x:c r="I66" t="str">
        <x:v>Confirmar decisor y frecuencia de movimientos antes de cotizar.</x:v>
      </x:c>
      <x:c r="J66" t="str">
        <x:v>https://www.google.com/maps/search/?api=1&amp;query=Agroservice+Cordoba+Leandro+N+Alem+1838</x:v>
      </x:c>
    </x:row>
    <x:row r="67">
      <x:c r="A67" t="str">
        <x:v>CBA-015</x:v>
      </x:c>
      <x:c r="B67" t="str">
        <x:v>Córdoba Capital</x:v>
      </x:c>
      <x:c r="C67" t="str">
        <x:v>A</x:v>
      </x:c>
      <x:c r="D67" t="str">
        <x:v>BOMBACOR - Hormigón Elaborado</x:v>
      </x:c>
      <x:c r="E67" t="str">
        <x:v>Hormigón elaborado</x:v>
      </x:c>
      <x:c r="F67" t="str">
        <x:v>0351 3398668</x:v>
      </x:c>
      <x:c r="G67" t="str">
        <x:v>OK</x:v>
      </x:c>
      <x:c r="H67" t="str">
        <x:v>planta / logística / compras</x:v>
      </x:c>
      <x:c r="I67" t="str">
        <x:v>Confirmar decisor y frecuencia de movimientos antes de cotizar.</x:v>
      </x:c>
      <x:c r="J67" t="str">
        <x:v>https://www.google.com/maps/search/?api=1&amp;query=Bombacor+Hormigon+Pablo+Cabrera+5040+Cordoba</x:v>
      </x:c>
    </x:row>
    <x:row r="68">
      <x:c r="A68" t="str">
        <x:v>CBA-017</x:v>
      </x:c>
      <x:c r="B68" t="str">
        <x:v>Córdoba Capital</x:v>
      </x:c>
      <x:c r="C68" t="str">
        <x:v>A</x:v>
      </x:c>
      <x:c r="D68" t="str">
        <x:v>Empresa Constructora Córdoba</x:v>
      </x:c>
      <x:c r="E68" t="str">
        <x:v>Galpones, estructuras metálicas y obra industrial</x:v>
      </x:c>
      <x:c r="F68" t="str">
        <x:v>+54 9 351 7594473</x:v>
      </x:c>
      <x:c r="G68" t="str">
        <x:v>OK</x:v>
      </x:c>
      <x:c r="H68" t="str">
        <x:v>jefe de obra / operaciones</x:v>
      </x:c>
      <x:c r="I68" t="str">
        <x:v>Confirmar decisor y frecuencia de movimientos antes de cotizar.</x:v>
      </x:c>
      <x:c r="J68" t="str">
        <x:v>https://www.google.com/maps/search/?api=1&amp;query=Empresa+Constructora+Cordoba+Wenceslao+Paunero+2555</x:v>
      </x:c>
    </x:row>
    <x:row r="69">
      <x:c r="A69" t="str">
        <x:v>CBA-053</x:v>
      </x:c>
      <x:c r="B69" t="str">
        <x:v>Córdoba Capital</x:v>
      </x:c>
      <x:c r="C69" t="str">
        <x:v>A</x:v>
      </x:c>
      <x:c r="D69" t="str">
        <x:v>Hormigones Alberdi SRL</x:v>
      </x:c>
      <x:c r="E69" t="str">
        <x:v>Hormigón elaborado</x:v>
      </x:c>
      <x:c r="F69" t="str">
        <x:v>+54 351 6564188</x:v>
      </x:c>
      <x:c r="G69" t="str">
        <x:v>OK</x:v>
      </x:c>
      <x:c r="H69" t="str">
        <x:v>planta / mantenimiento / logística</x:v>
      </x:c>
      <x:c r="I69" t="str">
        <x:v>Confirmar decisor, frecuencia de movimientos, peso/dimensiones habituales y cómo resuelven hoy los traslados.</x:v>
      </x:c>
      <x:c r="J69" t="str">
        <x:v>https://www.google.com/maps/search/?api=1&amp;query=Hormigones+Alberdi+SRL+Av.+Jap%C3%B3n%2C+C%C3%B3rdoba</x:v>
      </x:c>
    </x:row>
    <x:row r="70">
      <x:c r="A70" t="str">
        <x:v>CBA-018</x:v>
      </x:c>
      <x:c r="B70" t="str">
        <x:v>Córdoba Capital</x:v>
      </x:c>
      <x:c r="C70" t="str">
        <x:v>A</x:v>
      </x:c>
      <x:c r="D70" t="str">
        <x:v>ITEM Construcciones S.A.</x:v>
      </x:c>
      <x:c r="E70" t="str">
        <x:v>Empresa constructora</x:v>
      </x:c>
      <x:c r="F70" t="str">
        <x:v>0351 4804844</x:v>
      </x:c>
      <x:c r="G70" t="str">
        <x:v>OK</x:v>
      </x:c>
      <x:c r="H70" t="str">
        <x:v>operaciones / jefe de obra / compras</x:v>
      </x:c>
      <x:c r="I70" t="str">
        <x:v>Confirmar decisor y frecuencia de movimientos antes de cotizar.</x:v>
      </x:c>
      <x:c r="J70" t="str">
        <x:v>https://www.google.com/maps/search/?api=1&amp;query=ITEM+Construcciones+Pedro+Chutro+952+Cordoba</x:v>
      </x:c>
    </x:row>
    <x:row r="71">
      <x:c r="A71" t="str">
        <x:v>CBA-073</x:v>
      </x:c>
      <x:c r="B71" t="str">
        <x:v>Córdoba Capital</x:v>
      </x:c>
      <x:c r="C71" t="str">
        <x:v>A</x:v>
      </x:c>
      <x:c r="D71" t="str">
        <x:v>Sturam S.A.</x:v>
      </x:c>
      <x:c r="E71" t="str">
        <x:v>Fundición, mecanizado y fabricación de componentes industriales y automotrices</x:v>
      </x:c>
      <x:c r="F71" t="str">
        <x:v>0351 461-3434</x:v>
      </x:c>
      <x:c r="G71" t="str">
        <x:v>OK</x:v>
      </x:c>
      <x:c r="H71" t="str">
        <x:v>logística / planta / expedición / compras</x:v>
      </x:c>
      <x:c r="I71" t="str">
        <x:v>Confirmar decisor, frecuencia de movimientos, peso/dimensiones habituales y cómo resuelven hoy los traslados.</x:v>
      </x:c>
      <x:c r="J71" t="str">
        <x:v>https://www.google.com/maps/search/?api=1&amp;query=Sturam+S.A.+Av.+Manuel+Gral.+Savio+4880%2C+Parque+Industrial+Ferreyra%2C+C%C3%B3rdoba</x:v>
      </x:c>
    </x:row>
    <x:row r="72">
      <x:c r="A72" t="str">
        <x:v>CBA-016</x:v>
      </x:c>
      <x:c r="B72" t="str">
        <x:v>Córdoba Capital</x:v>
      </x:c>
      <x:c r="C72" t="str">
        <x:v>A</x:v>
      </x:c>
      <x:c r="D72" t="str">
        <x:v>Tecmigon S.A.</x:v>
      </x:c>
      <x:c r="E72" t="str">
        <x:v>Hormigón elaborado</x:v>
      </x:c>
      <x:c r="F72" t="str">
        <x:v>+54 9 351 8650528</x:v>
      </x:c>
      <x:c r="G72" t="str">
        <x:v>OK</x:v>
      </x:c>
      <x:c r="H72" t="str">
        <x:v>planta / mantenimiento / logística</x:v>
      </x:c>
      <x:c r="I72" t="str">
        <x:v>Confirmar decisor y frecuencia de movimientos antes de cotizar.</x:v>
      </x:c>
      <x:c r="J72" t="str">
        <x:v>https://www.google.com/maps/search/?api=1&amp;query=Tecmigon+Pablo+Cabrera+5024+Cordoba</x:v>
      </x:c>
    </x:row>
    <x:row r="73">
      <x:c r="A73" t="str">
        <x:v>CBA-067</x:v>
      </x:c>
      <x:c r="B73" t="str">
        <x:v>Córdoba Capital</x:v>
      </x:c>
      <x:c r="C73" t="str">
        <x:v>A</x:v>
      </x:c>
      <x:c r="D73" t="str">
        <x:v>Kaeser Compresores de Argentina - Sucursal Córdoba</x:v>
      </x:c>
      <x:c r="E73" t="str">
        <x:v>Compresores industriales y móviles; venta, servicio y soluciones de aire comprimido</x:v>
      </x:c>
      <x:c r="F73" t="str">
        <x:v>+54 9 351 324-9876</x:v>
      </x:c>
      <x:c r="G73" t="str">
        <x:v>OK</x:v>
      </x:c>
      <x:c r="H73" t="str">
        <x:v>service / logística / sucursal Córdoba</x:v>
      </x:c>
      <x:c r="I73" t="str">
        <x:v>Confirmar decisor, frecuencia de movimientos, peso/dimensiones habituales y cómo resuelven hoy los traslados.</x:v>
      </x:c>
      <x:c r="J73" t="str">
        <x:v>https://www.google.com/maps/search/?api=1&amp;query=Kaeser+Compresores+de+Argentina+-+Sucursal+C%C3%B3rdoba+Bv.+de+los+Alemanes+3200%2C+Local+2%2C+C%C3%B3rdoba</x:v>
      </x:c>
    </x:row>
    <x:row r="74">
      <x:c r="A74" t="str">
        <x:v>CBA-079</x:v>
      </x:c>
      <x:c r="B74" t="str">
        <x:v>Córdoba Capital</x:v>
      </x:c>
      <x:c r="C74" t="str">
        <x:v>A</x:v>
      </x:c>
      <x:c r="D74" t="str">
        <x:v>RVM Servicios Metalúrgicos</x:v>
      </x:c>
      <x:c r="E74" t="str">
        <x:v>Corte láser, tubo láser, plegado, soldadura y ensamblaje metalúrgico</x:v>
      </x:c>
      <x:c r="F74" t="str">
        <x:v>+54 351 876-0000</x:v>
      </x:c>
      <x:c r="G74" t="str">
        <x:v>OK</x:v>
      </x:c>
      <x:c r="H74" t="str">
        <x:v>logística / expedición / producción</x:v>
      </x:c>
      <x:c r="I74" t="str">
        <x:v>Confirmar decisor, frecuencia de movimientos, peso/dimensiones habituales y cómo resuelven hoy los traslados.</x:v>
      </x:c>
      <x:c r="J74" t="str">
        <x:v>https://www.google.com/maps/search/?api=1&amp;query=RVM+Servicios+Metal%C3%BArgicos+Ana+Riglos+de+Irigoyen+353%2C+C%C3%B3rdoba</x:v>
      </x:c>
    </x:row>
    <x:row r="75">
      <x:c r="A75" t="str">
        <x:v>CBA-068</x:v>
      </x:c>
      <x:c r="B75" t="str">
        <x:v>Córdoba Capital</x:v>
      </x:c>
      <x:c r="C75" t="str">
        <x:v>A</x:v>
      </x:c>
      <x:c r="D75" t="str">
        <x:v>Rodolfi e Hijos S.A.</x:v>
      </x:c>
      <x:c r="E75" t="str">
        <x:v>Compresores, instalaciones y servicio técnico industrial; agente Kaeser</x:v>
      </x:c>
      <x:c r="F75" t="str">
        <x:v>0351 473-8591 / 0351 471-4162</x:v>
      </x:c>
      <x:c r="G75" t="str">
        <x:v>OK</x:v>
      </x:c>
      <x:c r="H75" t="str">
        <x:v>service / instalaciones / logística</x:v>
      </x:c>
      <x:c r="I75" t="str">
        <x:v>Confirmar decisor, frecuencia de movimientos, peso/dimensiones habituales y cómo resuelven hoy los traslados.</x:v>
      </x:c>
      <x:c r="J75" t="str">
        <x:v>https://www.google.com/maps/search/?api=1&amp;query=Rodolfi+e+Hijos+S.A.+Av.+Juan+B.+Justo+2609%2C+C%C3%B3rdoba</x:v>
      </x:c>
    </x:row>
    <x:row r="76">
      <x:c r="A76" t="str">
        <x:v>CBA-021</x:v>
      </x:c>
      <x:c r="B76" t="str">
        <x:v>Córdoba Capital</x:v>
      </x:c>
      <x:c r="C76" t="str">
        <x:v>B</x:v>
      </x:c>
      <x:c r="D76" t="str">
        <x:v>Adoquinar</x:v>
      </x:c>
      <x:c r="E76" t="str">
        <x:v>Adoquines y premoldeados de hormigón</x:v>
      </x:c>
      <x:c r="F76" t="str">
        <x:v>351 2253836</x:v>
      </x:c>
      <x:c r="G76" t="str">
        <x:v>OK</x:v>
      </x:c>
      <x:c r="H76" t="str">
        <x:v>ventas / despacho</x:v>
      </x:c>
      <x:c r="I76" t="str">
        <x:v>Confirmar decisor y frecuencia de movimientos antes de cotizar.</x:v>
      </x:c>
      <x:c r="J76" t="str">
        <x:v>https://www.google.com/maps/search/?api=1&amp;query=Adoquinar+Premoldeados+Cordoba+Capital</x:v>
      </x:c>
    </x:row>
    <x:row r="77">
      <x:c r="A77" t="str">
        <x:v>CBA-020</x:v>
      </x:c>
      <x:c r="B77" t="str">
        <x:v>Córdoba Capital</x:v>
      </x:c>
      <x:c r="C77" t="str">
        <x:v>B</x:v>
      </x:c>
      <x:c r="D77" t="str">
        <x:v>Cerramientos y Estructuras S.A.</x:v>
      </x:c>
      <x:c r="E77" t="str">
        <x:v>Carpintería de obra y estructuras metálicas</x:v>
      </x:c>
      <x:c r="F77" t="str">
        <x:v>0351 4679292</x:v>
      </x:c>
      <x:c r="G77" t="str">
        <x:v>OK</x:v>
      </x:c>
      <x:c r="H77" t="str">
        <x:v>producción / obras / expedición</x:v>
      </x:c>
      <x:c r="I77" t="str">
        <x:v>Confirmar decisor y frecuencia de movimientos antes de cotizar.</x:v>
      </x:c>
      <x:c r="J77" t="str">
        <x:v>https://www.google.com/maps/search/?api=1&amp;query=Cerramientos+y+Estructuras+O%27Higgins+2710+Cordoba</x:v>
      </x:c>
    </x:row>
    <x:row r="78">
      <x:c r="A78" t="str">
        <x:v>CBA-084</x:v>
      </x:c>
      <x:c r="B78" t="str">
        <x:v>Córdoba Capital</x:v>
      </x:c>
      <x:c r="C78" t="str">
        <x:v>B</x:v>
      </x:c>
      <x:c r="D78" t="str">
        <x:v>Cor Love S.R.L.</x:v>
      </x:c>
      <x:c r="E78" t="str">
        <x:v>Mecanizado CNC y fabricación de componentes para industria automotriz y metalmecánica</x:v>
      </x:c>
      <x:c r="F78" t="str">
        <x:v>0351 465-3894 / +54 351 615-0090</x:v>
      </x:c>
      <x:c r="G78" t="str">
        <x:v>OK</x:v>
      </x:c>
      <x:c r="H78" t="str">
        <x:v>logística / expedición / producción</x:v>
      </x:c>
      <x:c r="I78" t="str">
        <x:v>Confirmar decisor, frecuencia de movimientos, peso/dimensiones habituales y cómo resuelven hoy los traslados.</x:v>
      </x:c>
      <x:c r="J78" t="str">
        <x:v>https://www.google.com/maps/search/?api=1&amp;query=Cor+Love+S.R.L.+Leopoldo+Casavega+2935%2C+Villa+Aspacia%2C+C%C3%B3rdoba</x:v>
      </x:c>
    </x:row>
    <x:row r="79">
      <x:c r="A79" t="str">
        <x:v>CBA-019</x:v>
      </x:c>
      <x:c r="B79" t="str">
        <x:v>Córdoba Capital</x:v>
      </x:c>
      <x:c r="C79" t="str">
        <x:v>B</x:v>
      </x:c>
      <x:c r="D79" t="str">
        <x:v>Empresa Constructora Base SRL</x:v>
      </x:c>
      <x:c r="E79" t="str">
        <x:v>Empresa constructora</x:v>
      </x:c>
      <x:c r="F79" t="str">
        <x:v>0351 4644462</x:v>
      </x:c>
      <x:c r="G79" t="str">
        <x:v>OK</x:v>
      </x:c>
      <x:c r="H79" t="str">
        <x:v>operaciones / obras / compras</x:v>
      </x:c>
      <x:c r="I79" t="str">
        <x:v>Confirmar decisor y frecuencia de movimientos antes de cotizar.</x:v>
      </x:c>
      <x:c r="J79" t="str">
        <x:v>https://www.google.com/maps/search/?api=1&amp;query=Empresa+Constructora+Base+De+la+Industria+797+Cordoba</x:v>
      </x:c>
    </x:row>
    <x:row r="80">
      <x:c r="A80" t="str">
        <x:v>CBA-022</x:v>
      </x:c>
      <x:c r="B80" t="str">
        <x:v>Córdoba Capital</x:v>
      </x:c>
      <x:c r="C80" t="str">
        <x:v>B</x:v>
      </x:c>
      <x:c r="D80" t="str">
        <x:v>LT Materiales Corralón Mayorista</x:v>
      </x:c>
      <x:c r="E80" t="str">
        <x:v>Materiales para la construcción</x:v>
      </x:c>
      <x:c r="F80" t="str">
        <x:v>0351 7517028</x:v>
      </x:c>
      <x:c r="G80" t="str">
        <x:v>OK</x:v>
      </x:c>
      <x:c r="H80" t="str">
        <x:v>logística / despacho / compras</x:v>
      </x:c>
      <x:c r="I80" t="str">
        <x:v>Confirmar decisor y frecuencia de movimientos antes de cotizar.</x:v>
      </x:c>
      <x:c r="J80" t="str">
        <x:v>https://www.google.com/maps/search/?api=1&amp;query=LT+Materiales+Ricardo+Balbin+3800+Cordoba</x:v>
      </x:c>
    </x:row>
    <x:row r="81">
      <x:c r="A81" t="str">
        <x:v>CBA-023</x:v>
      </x:c>
      <x:c r="B81" t="str">
        <x:v>Córdoba Capital</x:v>
      </x:c>
      <x:c r="C81" t="str">
        <x:v>B</x:v>
      </x:c>
      <x:c r="D81" t="str">
        <x:v>Metalúrgica Roma S.A.</x:v>
      </x:c>
      <x:c r="E81" t="str">
        <x:v>Fabricación metalúrgica</x:v>
      </x:c>
      <x:c r="F81" t="str">
        <x:v>0351 4563539</x:v>
      </x:c>
      <x:c r="G81" t="str">
        <x:v>OK</x:v>
      </x:c>
      <x:c r="H81" t="str">
        <x:v>producción / expedición</x:v>
      </x:c>
      <x:c r="I81" t="str">
        <x:v>Confirmar decisor y frecuencia de movimientos antes de cotizar.</x:v>
      </x:c>
      <x:c r="J81" t="str">
        <x:v>https://www.google.com/maps/search/?api=1&amp;query=Metalurgica+Roma+Simbolar+2254+Cordoba</x:v>
      </x:c>
    </x:row>
    <x:row r="82">
      <x:c r="A82" t="str">
        <x:v>CBA-056</x:v>
      </x:c>
      <x:c r="B82" t="str">
        <x:v>Córdoba Capital</x:v>
      </x:c>
      <x:c r="C82" t="str">
        <x:v>B</x:v>
      </x:c>
      <x:c r="D82" t="str">
        <x:v>Ocampo Compresores</x:v>
      </x:c>
      <x:c r="E82" t="str">
        <x:v>Servicio y reparación de compresores de aire</x:v>
      </x:c>
      <x:c r="F82" t="str">
        <x:v>+54 351 7321333</x:v>
      </x:c>
      <x:c r="G82" t="str">
        <x:v>OK</x:v>
      </x:c>
      <x:c r="H82" t="str">
        <x:v>servicio técnico / logística</x:v>
      </x:c>
      <x:c r="I82" t="str">
        <x:v>Confirmar decisor, frecuencia de movimientos, peso/dimensiones habituales y cómo resuelven hoy los traslados.</x:v>
      </x:c>
      <x:c r="J82" t="str">
        <x:v>https://www.google.com/maps/search/?api=1&amp;query=Ocampo+Compresores+Dr.+Mariano+Castex+270%2C+X5003+C%C3%B3rdoba</x:v>
      </x:c>
    </x:row>
    <x:row r="83">
      <x:c r="A83" t="str">
        <x:v>CBA-082</x:v>
      </x:c>
      <x:c r="B83" t="str">
        <x:v>Córdoba Capital</x:v>
      </x:c>
      <x:c r="C83" t="str">
        <x:v>B</x:v>
      </x:c>
      <x:c r="D83" t="str">
        <x:v>Perlisa S.R.L.</x:v>
      </x:c>
      <x:c r="E83" t="str">
        <x:v>Corte láser, plegado y punzonado de chapa</x:v>
      </x:c>
      <x:c r="F83" t="str">
        <x:v>0351 470-3338</x:v>
      </x:c>
      <x:c r="G83" t="str">
        <x:v>OK</x:v>
      </x:c>
      <x:c r="H83" t="str">
        <x:v>expedición / producción / logística</x:v>
      </x:c>
      <x:c r="I83" t="str">
        <x:v>Confirmar decisor, frecuencia de movimientos, peso/dimensiones habituales y cómo resuelven hoy los traslados.</x:v>
      </x:c>
      <x:c r="J83" t="str">
        <x:v>https://www.google.com/maps/search/?api=1&amp;query=Perlisa+S.R.L.+Rodr%C3%ADguez+Pe%C3%B1a+3247%2C+Alta+C%C3%B3rdoba%2C+C%C3%B3rdoba</x:v>
      </x:c>
    </x:row>
    <x:row r="84">
      <x:c r="A84" t="str">
        <x:v>CBA-058</x:v>
      </x:c>
      <x:c r="B84" t="str">
        <x:v>Córdoba Capital</x:v>
      </x:c>
      <x:c r="C84" t="str">
        <x:v>B</x:v>
      </x:c>
      <x:c r="D84" t="str">
        <x:v>Alquilo Todo Córdoba</x:v>
      </x:c>
      <x:c r="E84" t="str">
        <x:v>Alquiler de herramientas y equipos</x:v>
      </x:c>
      <x:c r="F84" t="str">
        <x:v>+54 351 7292451</x:v>
      </x:c>
      <x:c r="G84" t="str">
        <x:v>OK</x:v>
      </x:c>
      <x:c r="H84" t="str">
        <x:v>alquileres / logística</x:v>
      </x:c>
      <x:c r="I84" t="str">
        <x:v>Confirmar decisor, frecuencia de movimientos, peso/dimensiones habituales y cómo resuelven hoy los traslados.</x:v>
      </x:c>
      <x:c r="J84" t="str">
        <x:v>https://www.google.com/maps/search/?api=1&amp;query=Alquilo+Todo+C%C3%B3rdoba+Av.+Col%C3%B3n+5212%2C+X5003+C%C3%B3rdoba</x:v>
      </x:c>
    </x:row>
    <x:row r="85">
      <x:c r="A85" t="str">
        <x:v>CBA-083</x:v>
      </x:c>
      <x:c r="B85" t="str">
        <x:v>Córdoba Capital</x:v>
      </x:c>
      <x:c r="C85" t="str">
        <x:v>B</x:v>
      </x:c>
      <x:c r="D85" t="str">
        <x:v>CAPEMI / A. Giacomelli S.A.</x:v>
      </x:c>
      <x:c r="E85" t="str">
        <x:v>Fabricación de componentes caucho-metal y autopartes</x:v>
      </x:c>
      <x:c r="F85" t="str">
        <x:v>0351 763-8712</x:v>
      </x:c>
      <x:c r="G85" t="str">
        <x:v>A verificar</x:v>
      </x:c>
      <x:c r="H85" t="str">
        <x:v>logística / expedición / compras</x:v>
      </x:c>
      <x:c r="I85" t="str">
        <x:v>Confirmar decisor, frecuencia de movimientos, peso/dimensiones habituales y cómo resuelven hoy los traslados.</x:v>
      </x:c>
      <x:c r="J85" t="str">
        <x:v>https://www.google.com/maps/search/?api=1&amp;query=CAPEMI+%2F+A.+Giacomelli+S.A.+Ruta+9+km+690%2C+Ferreyra%2C+C%C3%B3rdoba</x:v>
      </x:c>
    </x:row>
    <x:row r="86">
      <x:c r="A86" t="str">
        <x:v>CBA-059</x:v>
      </x:c>
      <x:c r="B86" t="str">
        <x:v>Córdoba Capital</x:v>
      </x:c>
      <x:c r="C86" t="str">
        <x:v>B</x:v>
      </x:c>
      <x:c r="D86" t="str">
        <x:v>Grúas Martin S.A.</x:v>
      </x:c>
      <x:c r="E86" t="str">
        <x:v>Grúas, izajes y transporte por camión</x:v>
      </x:c>
      <x:c r="F86" t="str">
        <x:v>+54 9 351 3910572</x:v>
      </x:c>
      <x:c r="G86" t="str">
        <x:v>OK</x:v>
      </x:c>
      <x:c r="H86" t="str">
        <x:v>operaciones / tráfico / comercial</x:v>
      </x:c>
      <x:c r="I86" t="str">
        <x:v>Confirmar decisor, frecuencia de movimientos, peso/dimensiones habituales y cómo resuelven hoy los traslados.</x:v>
      </x:c>
      <x:c r="J86" t="str">
        <x:v>https://www.google.com/maps/search/?api=1&amp;query=Gr%C3%BAas+Martin+S.A.+De+las+Artesan%C3%ADas+4250%2C+X5012+C%C3%B3rdoba</x:v>
      </x:c>
    </x:row>
    <x:row r="87">
      <x:c r="A87" t="str">
        <x:v>CBA-025</x:v>
      </x:c>
      <x:c r="B87" t="str">
        <x:v>Córdoba Capital</x:v>
      </x:c>
      <x:c r="C87" t="str">
        <x:v>B</x:v>
      </x:c>
      <x:c r="D87" t="str">
        <x:v>Córdoba Machines</x:v>
      </x:c>
      <x:c r="E87" t="str">
        <x:v>Fabricación de maquinaria</x:v>
      </x:c>
      <x:c r="F87" t="str">
        <x:v>+54 9 351 5906666</x:v>
      </x:c>
      <x:c r="G87" t="str">
        <x:v>OK</x:v>
      </x:c>
      <x:c r="H87" t="str">
        <x:v>ventas / producción / logística</x:v>
      </x:c>
      <x:c r="I87" t="str">
        <x:v>Confirmar decisor y frecuencia de movimientos antes de cotizar.</x:v>
      </x:c>
      <x:c r="J87" t="str">
        <x:v>https://www.google.com/maps/search/?api=1&amp;query=Cordoba+Machines+Diaz+Colodrero+3210</x:v>
      </x:c>
    </x:row>
    <x:row r="88">
      <x:c r="A88" t="str">
        <x:v>CBA-024</x:v>
      </x:c>
      <x:c r="B88" t="str">
        <x:v>Córdoba Capital</x:v>
      </x:c>
      <x:c r="C88" t="str">
        <x:v>B</x:v>
      </x:c>
      <x:c r="D88" t="str">
        <x:v>Metalúrgica Degiorgis S.A.</x:v>
      </x:c>
      <x:c r="E88" t="str">
        <x:v>Fabricación metalúrgica</x:v>
      </x:c>
      <x:c r="F88" t="str">
        <x:v>0351 4800331</x:v>
      </x:c>
      <x:c r="G88" t="str">
        <x:v>OK</x:v>
      </x:c>
      <x:c r="H88" t="str">
        <x:v>producción / expedición</x:v>
      </x:c>
      <x:c r="I88" t="str">
        <x:v>Confirmar decisor y frecuencia de movimientos antes de cotizar.</x:v>
      </x:c>
      <x:c r="J88" t="str">
        <x:v>https://www.google.com/maps/search/?api=1&amp;query=Metalurgica+Degiorgis+Duarte+Quiros+3717+Cordoba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48" hidden="0" customWidth="1"/>
    <x:col min="4" max="4" width="58" hidden="0" customWidth="1"/>
  </x:cols>
  <x:sheetData>
    <x:row r="1">
      <x:c r="A1" s="73" t="str">
        <x:v>PRESOL — Servicios y Argumentos | Córdoba Capital · Rastrillaje profundo</x:v>
      </x:c>
      <x:c r="B1" s="73"/>
      <x:c r="C1" s="73"/>
      <x:c r="D1" s="73"/>
    </x:row>
    <x:row r="2">
      <x:c r="A2" s="46"/>
      <x:c r="B2" s="46"/>
      <x:c r="C2" s="46"/>
      <x:c r="D2" s="46"/>
    </x:row>
    <x:row r="3">
      <x:c r="A3" s="66" t="str">
        <x:v>Servicio</x:v>
      </x:c>
      <x:c r="B3" s="66" t="str">
        <x:v>Prospectos</x:v>
      </x:c>
      <x:c r="C3" s="66" t="str">
        <x:v>Uso comercial</x:v>
      </x:c>
      <x:c r="D3" s="66" t="str">
        <x:v>Primeros a llamar</x:v>
      </x:c>
    </x:row>
    <x:row r="4" ht="42" customHeight="1">
      <x:c r="A4" s="47" t="str">
        <x:v>Plataforma 20 tn</x:v>
      </x:c>
      <x:c r="B4" s="47" t="n">
        <x:v>56</x:v>
      </x:c>
      <x:c r="C4" s="47" t="str">
        <x:v>Maquinaria, estructuras, equipos, premoldeados y cargas especiales.</x:v>
      </x:c>
      <x:c r="D4" s="47" t="str">
        <x:v>Finning Cat - Sucursal Córdoba y Cat Rental Store; Industrias MG - JMV; Industrias Moreno; Sullair Argentina; Grupo Pomiglio / Hangcha; Maquinarias Córdoba S.A. / Demoliciones Córdoba; LiuGong Córdoba</x:v>
      </x:c>
    </x:row>
    <x:row r="5" ht="42" customHeight="1">
      <x:c r="A5" s="47" t="str">
        <x:v>Hidrogrúa</x:v>
      </x:c>
      <x:c r="B5" s="47" t="n">
        <x:v>29</x:v>
      </x:c>
      <x:c r="C5" s="47" t="str">
        <x:v>Carga/descarga asistida para equipos, estructuras, calderas, grupos y premoldeados.</x:v>
      </x:c>
      <x:c r="D5" s="47" t="str">
        <x:v>Industrias Moreno; Armoy Construcciones Metálicas; H30 Estructuras; Metalica Construcciones y Montajes S.A.; Metalúrgica AS; Calderas Industriales Cal Marq Córdoba; Estructuras Mosconi SRL</x:v>
      </x:c>
    </x:row>
    <x:row r="6" ht="42" customHeight="1">
      <x:c r="A6" s="47" t="str">
        <x:v>Percha para pallets</x:v>
      </x:c>
      <x:c r="B6" s="47" t="n">
        <x:v>14</x:v>
      </x:c>
      <x:c r="C6" s="47" t="str">
        <x:v>Adoquines, materiales, insumos y piezas palletizadas.</x:v>
      </x:c>
      <x:c r="D6" s="47" t="str">
        <x:v>Metalica Construcciones y Montajes S.A.; Metalúrgica AS; Premoldeados Rivadavia SRL; Agroservice Córdoba; BOMBACOR - Hormigón Elaborado; Empresa Constructora Córdoba; ITEM Construcciones S.A.</x:v>
      </x:c>
    </x:row>
    <x:row r="7" ht="42" customHeight="1">
      <x:c r="A7" s="47" t="str">
        <x:v>Malacate</x:v>
      </x:c>
      <x:c r="B7" s="47" t="n">
        <x:v>36</x:v>
      </x:c>
      <x:c r="C7" s="47" t="str">
        <x:v>Carga de maquinaria/equipos sin medios propios de ascenso.</x:v>
      </x:c>
      <x:c r="D7" s="47" t="str">
        <x:v>Finning Cat - Sucursal Córdoba y Cat Rental Store; Industrias MG - JMV; Industrias Moreno; Sullair Argentina; Grupo Pomiglio / Hangcha; Maquinarias Córdoba S.A. / Demoliciones Córdoba; LiuGong Córdoba</x:v>
      </x:c>
    </x:row>
    <x:row r="8" ht="42" customHeight="1">
      <x:c r="A8" s="46" t="str">
        <x:v>Entrega / retiro de equipos</x:v>
      </x:c>
      <x:c r="B8" s="46" t="n">
        <x:v>23</x:v>
      </x:c>
      <x:c r="C8" s="46" t="str">
        <x:v>Alquileres y dealers: rotación entre depósito/taller y cliente/obra.</x:v>
      </x:c>
      <x:c r="D8" s="46" t="str">
        <x:v>Finning Cat - Sucursal Córdoba y Cat Rental Store; Industrias MG - JMV; Sullair Argentina; Grupo Pomiglio / Hangcha; Maquinarias Córdoba S.A. / Demoliciones Córdoba; LiuGong Córdoba; Pro Fast SRL</x:v>
      </x:c>
    </x:row>
    <x:row r="9" ht="42" customHeight="1">
      <x:c r="A9" s="46" t="str">
        <x:v>Traslados interobra</x:v>
      </x:c>
      <x:c r="B9" s="46" t="n">
        <x:v>12</x:v>
      </x:c>
      <x:c r="C9" s="46" t="str">
        <x:v>Constructoras, movimiento de suelo y demoliciones con múltiples frentes.</x:v>
      </x:c>
      <x:c r="D9" s="46" t="str">
        <x:v>Sullair Argentina; Maquinarias Córdoba S.A. / Demoliciones Córdoba; Mancor; Vial RG S.A.; Demoliciones Brasca; Demoliciones y Excavaciones Signorini S.A.; DI LUCA | Constructora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2" hidden="0" customWidth="1"/>
    <x:col min="4" max="4" width="54" hidden="0" customWidth="1"/>
  </x:cols>
  <x:sheetData>
    <x:row r="1">
      <x:c r="A1" s="73" t="str">
        <x:v>PRESOL — Guía de uso | Córdoba Capital enriquecido</x:v>
      </x:c>
      <x:c r="B1" s="73"/>
      <x:c r="C1" s="73"/>
      <x:c r="D1" s="73"/>
    </x:row>
    <x:row r="2">
      <x:c r="A2" s="46"/>
      <x:c r="B2" s="46"/>
      <x:c r="C2" s="46"/>
      <x:c r="D2" s="46"/>
    </x:row>
    <x:row r="3">
      <x:c r="A3" s="66" t="str">
        <x:v>Sección</x:v>
      </x:c>
      <x:c r="B3" s="66" t="str">
        <x:v>Para qué sirve</x:v>
      </x:c>
      <x:c r="C3" s="66" t="str">
        <x:v>Qué se edita</x:v>
      </x:c>
      <x:c r="D3" s="66" t="str">
        <x:v>Regla operativa</x:v>
      </x:c>
    </x:row>
    <x:row r="4">
      <x:c r="A4" s="47" t="str">
        <x:v>Prospectos Resumen</x:v>
      </x:c>
      <x:c r="B4" s="47" t="str">
        <x:v>Vista ejecutiva ordenada por puntaje de todas las altas nuevas.</x:v>
      </x:c>
      <x:c r="C4" s="47" t="str">
        <x:v>Nota Dirección.</x:v>
      </x:c>
      <x:c r="D4" s="47" t="str">
        <x:v>No contiene registros preexistentes de la base maestra.</x:v>
      </x:c>
    </x:row>
    <x:row r="5">
      <x:c r="A5" s="47" t="str">
        <x:v>Prospectos</x:v>
      </x:c>
      <x:c r="B5" s="47" t="str">
        <x:v>Base detallada de Córdoba Capital.</x:v>
      </x:c>
      <x:c r="C5" s="47" t="str">
        <x:v>Sí.</x:v>
      </x:c>
      <x:c r="D5" s="47" t="str">
        <x:v>Registrar contacto, responsable, resultado y próximo paso.</x:v>
      </x:c>
    </x:row>
    <x:row r="6">
      <x:c r="A6" s="47" t="str">
        <x:v>Indicadores</x:v>
      </x:c>
      <x:c r="B6" s="47" t="str">
        <x:v>Cobertura por clase y categoría.</x:v>
      </x:c>
      <x:c r="C6" s="47" t="str">
        <x:v>No.</x:v>
      </x:c>
      <x:c r="D6" s="47" t="str">
        <x:v>Se calcula desde Prospectos.</x:v>
      </x:c>
    </x:row>
    <x:row r="7">
      <x:c r="A7" s="47" t="str">
        <x:v>Contactos a verificar</x:v>
      </x:c>
      <x:c r="B7" s="47" t="str">
        <x:v>Cola priorizada para validar decisor y necesidad real.</x:v>
      </x:c>
      <x:c r="C7" s="47" t="str">
        <x:v>No.</x:v>
      </x:c>
      <x:c r="D7" s="47" t="str">
        <x:v>Confirmar frecuencia, peso y modalidad de traslado antes de cotizar.</x:v>
      </x:c>
    </x:row>
    <x:row r="8">
      <x:c r="A8" s="47" t="str">
        <x:v>Servicios PRESOL</x:v>
      </x:c>
      <x:c r="B8" s="47" t="str">
        <x:v>Mapa rápido de encaje servicio-prospecto.</x:v>
      </x:c>
      <x:c r="C8" s="47" t="str">
        <x:v>No.</x:v>
      </x:c>
      <x:c r="D8" s="47" t="str">
        <x:v>Usar como guía para el primer speech comercial.</x:v>
      </x:c>
    </x:row>
    <x:row r="9">
      <x:c r="A9" s="46" t="str">
        <x:v>Rastrillaje profundo</x:v>
      </x:c>
      <x:c r="B9" s="46" t="str">
        <x:v>Muestra únicamente las altas agregadas en esta segunda investigación.</x:v>
      </x:c>
      <x:c r="C9" s="46" t="str">
        <x:v>No.</x:v>
      </x:c>
      <x:c r="D9" s="46" t="str">
        <x:v>Sirve para auditar qué se incorporó y por qué.</x:v>
      </x:c>
    </x:row>
    <x:row r="10">
      <x:c r="A10" s="46" t="str">
        <x:v>Marcas y parques</x:v>
      </x:c>
      <x:c r="B10" s="46" t="str">
        <x:v>Altas exclusivas de la tercera pasada por dealers, rental, marcas y polos industriales.</x:v>
      </x:c>
      <x:c r="C10" s="46" t="str">
        <x:v>No.</x:v>
      </x:c>
      <x:c r="D10" s="46" t="str">
        <x:v>Priorizar A+/A y usar la URL fuente para preparar el contacto.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9" hidden="0" customWidth="1"/>
    <x:col min="4" max="4" width="30" hidden="0" customWidth="1"/>
    <x:col min="5" max="5" width="28" hidden="0" customWidth="1"/>
    <x:col min="6" max="6" width="22" hidden="0" customWidth="1"/>
    <x:col min="7" max="7" width="35" hidden="0" customWidth="1"/>
    <x:col min="8" max="8" width="48" hidden="0" customWidth="1"/>
    <x:col min="9" max="9" width="40" hidden="0" customWidth="1"/>
    <x:col min="10" max="10" width="24" hidden="0" customWidth="1"/>
    <x:col min="11" max="11" width="42" hidden="0" customWidth="1"/>
  </x:cols>
  <x:sheetData>
    <x:row r="1">
      <x:c r="A1" s="82" t="str">
        <x:v>ID</x:v>
      </x:c>
      <x:c r="B1" s="82" t="str">
        <x:v>Clase</x:v>
      </x:c>
      <x:c r="C1" s="82" t="str">
        <x:v>Score</x:v>
      </x:c>
      <x:c r="D1" s="82" t="str">
        <x:v>Empresa</x:v>
      </x:c>
      <x:c r="E1" s="82" t="str">
        <x:v>Segmento</x:v>
      </x:c>
      <x:c r="F1" s="82" t="str">
        <x:v>Teléfonos</x:v>
      </x:c>
      <x:c r="G1" s="82" t="str">
        <x:v>Dirección</x:v>
      </x:c>
      <x:c r="H1" s="82" t="str">
        <x:v>Necesidad probable</x:v>
      </x:c>
      <x:c r="I1" s="82" t="str">
        <x:v>Acción sugerida</x:v>
      </x:c>
      <x:c r="J1" s="82" t="str">
        <x:v>Fuente</x:v>
      </x:c>
      <x:c r="K1" s="82" t="str">
        <x:v>URL fuente</x:v>
      </x:c>
    </x:row>
    <x:row r="2" ht="42" customHeight="1">
      <x:c r="A2" s="14" t="str">
        <x:v>CBA-027</x:v>
      </x:c>
      <x:c r="B2" s="14" t="str">
        <x:v>A+</x:v>
      </x:c>
      <x:c r="C2" s="14" t="n">
        <x:v>100</x:v>
      </x:c>
      <x:c r="D2" s="14" t="str">
        <x:v>Finning Cat - Sucursal Córdoba y Cat Rental Store</x:v>
      </x:c>
      <x:c r="E2" s="14" t="str">
        <x:v>Cat Rental / maquinaria pesada</x:v>
      </x:c>
      <x:c r="F2" s="14" t="str">
        <x:v>+54 351 4101150</x:v>
      </x:c>
      <x:c r="G2" s="14" t="str">
        <x:v>Av. de Circunvalación Agustín Tosco 1950, Córdoba</x:v>
      </x:c>
      <x:c r="H2" s="14" t="str">
        <x:v>Entrega y retiro de excavadoras, cargadores, retroexcavadoras, motoniveladoras, minicargadores y equipos Cat de alquiler/venta.</x:v>
      </x:c>
      <x:c r="I2" s="14" t="str">
        <x:v>Contactar Cat Rental Store Córdoba y preguntar por transportistas tercerizados y picos de demanda.</x:v>
      </x:c>
      <x:c r="J2" s="14" t="str">
        <x:v>Web oficial Finning + Google Maps</x:v>
      </x:c>
      <x:c r="K2" s="14" t="str">
        <x:v>https://www.finning.com/es_AR/contact/all-branches.html/1000</x:v>
      </x:c>
    </x:row>
    <x:row r="3" ht="42" customHeight="1">
      <x:c r="A3" s="14" t="str">
        <x:v>CBA-040</x:v>
      </x:c>
      <x:c r="B3" s="14" t="str">
        <x:v>A+</x:v>
      </x:c>
      <x:c r="C3" s="14" t="n">
        <x:v>100</x:v>
      </x:c>
      <x:c r="D3" s="14" t="str">
        <x:v>Industrias MG - JMV</x:v>
      </x:c>
      <x:c r="E3" s="14" t="str">
        <x:v>dealer y alquiler maquinaria vial</x:v>
      </x:c>
      <x:c r="F3" s="14" t="str">
        <x:v>+54 351 4704400 / +54 351 4704404</x:v>
      </x:c>
      <x:c r="G3" s="14" t="str">
        <x:v>Av. Juan B. Justo 4730, Córdoba; Polo 52, Autopista Córdoba-Rosario</x:v>
      </x:c>
      <x:c r="H3" s="14" t="str">
        <x:v>Movimiento de palas, retroexcavadoras, excavadoras, minicargadoras, autoelevadores y plataformas entre sucursales/clientes.</x:v>
      </x:c>
      <x:c r="I3" s="14" t="str">
        <x:v>Llamada inmediata; pedir por alquileres y consultar volumen mensual de entregas/retiros.</x:v>
      </x:c>
      <x:c r="J3" s="14" t="str">
        <x:v>Web oficial Industrias MG</x:v>
      </x:c>
      <x:c r="K3" s="14" t="str">
        <x:v>https://industrias-mg.com.ar/alquiler-de-equipos-2/</x:v>
      </x:c>
    </x:row>
    <x:row r="4" ht="42" customHeight="1">
      <x:c r="A4" s="14" t="str">
        <x:v>CBA-026</x:v>
      </x:c>
      <x:c r="B4" s="14" t="str">
        <x:v>A+</x:v>
      </x:c>
      <x:c r="C4" s="14" t="n">
        <x:v>100</x:v>
      </x:c>
      <x:c r="D4" s="14" t="str">
        <x:v>Sullair Argentina</x:v>
      </x:c>
      <x:c r="E4" s="14" t="str">
        <x:v>alquiler maquinaria pesada / movimiento de suelo</x:v>
      </x:c>
      <x:c r="F4" s="14" t="str">
        <x:v>0810 777 0707 / 0351 2474826</x:v>
      </x:c>
      <x:c r="G4" s="14" t="str">
        <x:v>Av. Circunvalación s/N° Colectora Sur entre Camino San Carlos y Camino San Antonio, Córdoba</x:v>
      </x:c>
      <x:c r="H4" s="14" t="str">
        <x:v>Movilización frecuente de excavadoras, cargadoras, motoniveladoras, plataformas, manipuladores, compresores y grupos electrógenos entre sucursal y obras.</x:v>
      </x:c>
      <x:c r="I4" s="14" t="str">
        <x:v>Llamada prioritaria; pedir por alquileres/logística y consultar cómo tercerizan hoy entregas y retiros de equipos.</x:v>
      </x:c>
      <x:c r="J4" s="14" t="str">
        <x:v>Web oficial Sullair + Google Maps</x:v>
      </x:c>
      <x:c r="K4" s="14" t="str">
        <x:v>https://www.sullairargentina.com/contacto/</x:v>
      </x:c>
    </x:row>
    <x:row r="5" ht="42" customHeight="1">
      <x:c r="A5" s="14" t="str">
        <x:v>CBA-028</x:v>
      </x:c>
      <x:c r="B5" s="14" t="str">
        <x:v>A+</x:v>
      </x:c>
      <x:c r="C5" s="14" t="n">
        <x:v>98</x:v>
      </x:c>
      <x:c r="D5" s="14" t="str">
        <x:v>Grupo Pomiglio / Hangcha</x:v>
      </x:c>
      <x:c r="E5" s="14" t="str">
        <x:v>autoelevadores / manipulación / alquiler</x:v>
      </x:c>
      <x:c r="F5" s="14" t="str">
        <x:v>+54 9 351 58551317</x:v>
      </x:c>
      <x:c r="G5" s="14" t="str">
        <x:v>Gral. Manuel Savio 4960, Córdoba</x:v>
      </x:c>
      <x:c r="H5" s="14" t="str">
        <x:v>Movimiento de autoelevadores, apiladores, plataformas, palas cargadoras y manipuladores entre showroom, taller y clientes.</x:v>
      </x:c>
      <x:c r="I5" s="14" t="str">
        <x:v>Pedir por alquileres y consultar frecuencia de altas/bajas de contratos y entregas mensuales.</x:v>
      </x:c>
      <x:c r="J5" s="14" t="str">
        <x:v>Web oficial Grupo Pomiglio</x:v>
      </x:c>
      <x:c r="K5" s="14" t="str">
        <x:v>https://www.grupopomiglio.com/es/alquileres</x:v>
      </x:c>
    </x:row>
    <x:row r="6" ht="42" customHeight="1">
      <x:c r="A6" s="14" t="str">
        <x:v>CBA-035</x:v>
      </x:c>
      <x:c r="B6" s="14" t="str">
        <x:v>A+</x:v>
      </x:c>
      <x:c r="C6" s="14" t="n">
        <x:v>98</x:v>
      </x:c>
      <x:c r="D6" s="14" t="str">
        <x:v>Maquinarias Córdoba S.A. / Demoliciones Córdoba</x:v>
      </x:c>
      <x:c r="E6" s="14" t="str">
        <x:v>demoliciones / alquiler maquinaria pesada</x:v>
      </x:c>
      <x:c r="F6" s="14" t="str">
        <x:v>+54 351 5517574</x:v>
      </x:c>
      <x:c r="G6" s="14" t="str">
        <x:v>José Font 4450, Córdoba</x:v>
      </x:c>
      <x:c r="H6" s="14" t="str">
        <x:v>Traslado de maquinaria pesada propia a obras, demoliciones y servicios de movimiento de suelo.</x:v>
      </x:c>
      <x:c r="I6" s="14" t="str">
        <x:v>Contactar gerencia operativa y preguntar por tercerización de movilizaciones.</x:v>
      </x:c>
      <x:c r="J6" s="14" t="str">
        <x:v>Web oficial Demoliciones Córdoba / Maquinarias Córdoba</x:v>
      </x:c>
      <x:c r="K6" s="14" t="str">
        <x:v>https://www.demolicionescordoba.com.ar/</x:v>
      </x:c>
    </x:row>
    <x:row r="7" ht="42" customHeight="1">
      <x:c r="A7" s="14" t="str">
        <x:v>CBA-041</x:v>
      </x:c>
      <x:c r="B7" s="14" t="str">
        <x:v>A+</x:v>
      </x:c>
      <x:c r="C7" s="14" t="n">
        <x:v>96</x:v>
      </x:c>
      <x:c r="D7" s="14" t="str">
        <x:v>LiuGong Córdoba</x:v>
      </x:c>
      <x:c r="E7" s="14" t="str">
        <x:v>dealer maquinaria pesada</x:v>
      </x:c>
      <x:c r="F7" s="14" t="str">
        <x:v>+54 351 8863031</x:v>
      </x:c>
      <x:c r="G7" s="14" t="str">
        <x:v>Av. Japón 950, Córdoba</x:v>
      </x:c>
      <x:c r="H7" s="14" t="str">
        <x:v>Entrega/retiro de cargadoras, excavadoras, autoelevadores y otros equipos pesados.</x:v>
      </x:c>
      <x:c r="I7" s="14" t="str">
        <x:v>Contactar gerencia Córdoba y preguntar cómo resuelven traslados de equipos de la sucursal.</x:v>
      </x:c>
      <x:c r="J7" s="14" t="str">
        <x:v>Web oficial LiuGong Córdoba</x:v>
      </x:c>
      <x:c r="K7" s="14" t="str">
        <x:v>https://liugongcordoba.com.ar/</x:v>
      </x:c>
    </x:row>
    <x:row r="8" ht="42" customHeight="1">
      <x:c r="A8" s="14" t="str">
        <x:v>CBA-034</x:v>
      </x:c>
      <x:c r="B8" s="14" t="str">
        <x:v>A+</x:v>
      </x:c>
      <x:c r="C8" s="14" t="n">
        <x:v>96</x:v>
      </x:c>
      <x:c r="D8" s="14" t="str">
        <x:v>Mancor</x:v>
      </x:c>
      <x:c r="E8" s="14" t="str">
        <x:v>maquinaria vial / movimiento de suelo</x:v>
      </x:c>
      <x:c r="F8" s="14" t="str">
        <x:v>+54 351 4896191 / +54 9 351 3837592</x:v>
      </x:c>
      <x:c r="G8" s="14" t="str">
        <x:v>Dr. Pedro Chutro 1335, Córdoba</x:v>
      </x:c>
      <x:c r="H8" s="14" t="str">
        <x:v>Movilización de retroexcavadoras, motoniveladoras, rodillos y otros equipos entre obras y clientes de alquiler.</x:v>
      </x:c>
      <x:c r="I8" s="14" t="str">
        <x:v>Pedir por alquiler de maquinaria vial y detectar próximo traslado concreto.</x:v>
      </x:c>
      <x:c r="J8" s="14" t="str">
        <x:v>Web oficial Mancor</x:v>
      </x:c>
      <x:c r="K8" s="14" t="str">
        <x:v>https://www.mancor.com.ar/contacto/</x:v>
      </x:c>
    </x:row>
    <x:row r="9" ht="42" customHeight="1">
      <x:c r="A9" s="14" t="str">
        <x:v>CBA-029</x:v>
      </x:c>
      <x:c r="B9" s="14" t="str">
        <x:v>A+</x:v>
      </x:c>
      <x:c r="C9" s="14" t="n">
        <x:v>96</x:v>
      </x:c>
      <x:c r="D9" s="14" t="str">
        <x:v>Maquinarias Centro</x:v>
      </x:c>
      <x:c r="E9" s="14" t="str">
        <x:v>autoelevadores / plataformas</x:v>
      </x:c>
      <x:c r="F9" s="14" t="str">
        <x:v>+54 9 351 2289661</x:v>
      </x:c>
      <x:c r="G9" s="14" t="str">
        <x:v>Gabino Coria Peñaloza 3015, Córdoba</x:v>
      </x:c>
      <x:c r="H9" s="14" t="str">
        <x:v>Traslado de autoelevadores de 2,5 a 5 t y plataformas de elevación entre depósito, clientes y taller.</x:v>
      </x:c>
      <x:c r="I9" s="14" t="str">
        <x:v>Llamar a alquileres y relevar cantidad de movimientos mensuales y radio actual.</x:v>
      </x:c>
      <x:c r="J9" s="14" t="str">
        <x:v>Web oficial Maquinarias Centro</x:v>
      </x:c>
      <x:c r="K9" s="14" t="str">
        <x:v>https://maquinariascentro.com.ar/</x:v>
      </x:c>
    </x:row>
    <x:row r="10" ht="42" customHeight="1">
      <x:c r="A10" s="14" t="str">
        <x:v>CBA-033</x:v>
      </x:c>
      <x:c r="B10" s="14" t="str">
        <x:v>A+</x:v>
      </x:c>
      <x:c r="C10" s="14" t="n">
        <x:v>96</x:v>
      </x:c>
      <x:c r="D10" s="14" t="str">
        <x:v>Pro Fast SRL</x:v>
      </x:c>
      <x:c r="E10" s="14" t="str">
        <x:v>plataformas elevadoras</x:v>
      </x:c>
      <x:c r="F10" s="14" t="str">
        <x:v>+54 9 351 7444888 / +54 351 3190664</x:v>
      </x:c>
      <x:c r="G10" s="14" t="str">
        <x:v>Las Toscas 1224, Villa Esquiú, Córdoba</x:v>
      </x:c>
      <x:c r="H10" s="14" t="str">
        <x:v>Entrega y retiro de plataformas tijera y brazos articulados de hasta 20,6 m de altura de trabajo.</x:v>
      </x:c>
      <x:c r="I10" s="14" t="str">
        <x:v>Contactar alquileres; consultar quién moviliza hoy la flota y qué equipos exigen transporte especial.</x:v>
      </x:c>
      <x:c r="J10" s="14" t="str">
        <x:v>Web oficial Pro Fast</x:v>
      </x:c>
      <x:c r="K10" s="14" t="str">
        <x:v>https://profastsrl.com.ar/</x:v>
      </x:c>
    </x:row>
    <x:row r="11" ht="42" customHeight="1">
      <x:c r="A11" s="14" t="str">
        <x:v>CBA-037</x:v>
      </x:c>
      <x:c r="B11" s="14" t="str">
        <x:v>A+</x:v>
      </x:c>
      <x:c r="C11" s="14" t="n">
        <x:v>96</x:v>
      </x:c>
      <x:c r="D11" s="14" t="str">
        <x:v>Vial RG S.A.</x:v>
      </x:c>
      <x:c r="E11" s="14" t="str">
        <x:v>constructora vial / flota pesada</x:v>
      </x:c>
      <x:c r="F11" s="14" t="str">
        <x:v>+54 9 351 7375164</x:v>
      </x:c>
      <x:c r="G11" s="14" t="str">
        <x:v>Montevideo 616, Córdoba Capital; Taller: Julio Arboleda 5550, Córdoba</x:v>
      </x:c>
      <x:c r="H11" s="14" t="str">
        <x:v>Traslado de maquinaria pesada entre taller central y obras viales en Córdoba/provincia.</x:v>
      </x:c>
      <x:c r="I11" s="14" t="str">
        <x:v>Contactar taller central/logística y preguntar por próximas movilizaciones de maquinaria.</x:v>
      </x:c>
      <x:c r="J11" s="14" t="str">
        <x:v>Web oficial Vial RG</x:v>
      </x:c>
      <x:c r="K11" s="14" t="str">
        <x:v>https://www.vialrg.com/</x:v>
      </x:c>
    </x:row>
    <x:row r="12" ht="42" customHeight="1">
      <x:c r="A12" s="14" t="str">
        <x:v>CBA-030</x:v>
      </x:c>
      <x:c r="B12" s="14" t="str">
        <x:v>A+</x:v>
      </x:c>
      <x:c r="C12" s="14" t="n">
        <x:v>96</x:v>
      </x:c>
      <x:c r="D12" s="14" t="str">
        <x:v>Zamping SRL</x:v>
      </x:c>
      <x:c r="E12" s="14" t="str">
        <x:v>autoelevadores / plataformas</x:v>
      </x:c>
      <x:c r="F12" s="14" t="str">
        <x:v>+54 9 351 6001761</x:v>
      </x:c>
      <x:c r="G12" s="14" t="str">
        <x:v>Córdoba Capital, Córdoba</x:v>
      </x:c>
      <x:c r="H12" s="14" t="str">
        <x:v>Entregas y retiros de autoelevadores, plataformas y equipos de elevación por hora, día, semana o mes.</x:v>
      </x:c>
      <x:c r="I12" s="14" t="str">
        <x:v>Contactar alquileres; preguntar cuántos equipos rotan por semana y si tercerizan picos.</x:v>
      </x:c>
      <x:c r="J12" s="14" t="str">
        <x:v>Web oficial Zamping</x:v>
      </x:c>
      <x:c r="K12" s="14" t="str">
        <x:v>https://www.zampingsrl.com/</x:v>
      </x:c>
    </x:row>
    <x:row r="13" ht="42" customHeight="1">
      <x:c r="A13" s="14" t="str">
        <x:v>CBA-038</x:v>
      </x:c>
      <x:c r="B13" s="14" t="str">
        <x:v>A+</x:v>
      </x:c>
      <x:c r="C13" s="14" t="n">
        <x:v>95</x:v>
      </x:c>
      <x:c r="D13" s="14" t="str">
        <x:v>Benito Roggio e Hijos S.A.</x:v>
      </x:c>
      <x:c r="E13" s="14" t="str">
        <x:v>grandes obras / infraestructura</x:v>
      </x:c>
      <x:c r="F13" s="14" t="str">
        <x:v>+54 351 6380045 / +54 351 4759345</x:v>
      </x:c>
      <x:c r="G13" s="14" t="str">
        <x:v>Vito Remo Roggio 3531, Córdoba</x:v>
      </x:c>
      <x:c r="H13" s="14" t="str">
        <x:v>Movilización de maquinaria, obradores, equipos y componentes entre grandes obras.</x:v>
      </x:c>
      <x:c r="I13" s="14" t="str">
        <x:v>Contactar compras/logística y consultar homologación de transportistas/proveedores.</x:v>
      </x:c>
      <x:c r="J13" s="14" t="str">
        <x:v>Web oficial Benito Roggio</x:v>
      </x:c>
      <x:c r="K13" s="14" t="str">
        <x:v>https://www.broggio.com.ar/</x:v>
      </x:c>
    </x:row>
    <x:row r="14" ht="42" customHeight="1">
      <x:c r="A14" s="14" t="str">
        <x:v>CBA-042</x:v>
      </x:c>
      <x:c r="B14" s="14" t="str">
        <x:v>A+</x:v>
      </x:c>
      <x:c r="C14" s="14" t="n">
        <x:v>95</x:v>
      </x:c>
      <x:c r="D14" s="14" t="str">
        <x:v>Centro Vial / ROMECO Córdoba</x:v>
      </x:c>
      <x:c r="E14" s="14" t="str">
        <x:v>dealer / taller maquinaria pesada</x:v>
      </x:c>
      <x:c r="F14" s="14" t="str">
        <x:v>+54 9 351 3090000</x:v>
      </x:c>
      <x:c r="G14" s="14" t="str">
        <x:v>Av. Circunvalación 1180, Colectora Sur, X5014 Córdoba</x:v>
      </x:c>
      <x:c r="H14" s="14" t="str">
        <x:v>Movimiento de equipos de construcción entre taller, clientes y obras.</x:v>
      </x:c>
      <x:c r="I14" s="14" t="str">
        <x:v>Validar marca/unidad de negocio y pedir por logística o taller.</x:v>
      </x:c>
      <x:c r="J14" s="14" t="str">
        <x:v>Google Maps / ficha comercial</x:v>
      </x:c>
      <x:c r="K14" s="14" t="str">
        <x:v>https://www.google.com/maps/search/?api=1&amp;query=ROMECO+C%C3%B3rdoba+Av+Circunvalaci%C3%B3n+1180+C%C3%B3rdoba</x:v>
      </x:c>
    </x:row>
    <x:row r="15" ht="42" customHeight="1">
      <x:c r="A15" s="14" t="str">
        <x:v>CBA-049</x:v>
      </x:c>
      <x:c r="B15" s="14" t="str">
        <x:v>A+</x:v>
      </x:c>
      <x:c r="C15" s="14" t="n">
        <x:v>95</x:v>
      </x:c>
      <x:c r="D15" s="14" t="str">
        <x:v>Demoliciones Brasca</x:v>
      </x:c>
      <x:c r="E15" s="14" t="str">
        <x:v>demoliciones</x:v>
      </x:c>
      <x:c r="F15" s="14" t="str">
        <x:v>+54 351 4510341</x:v>
      </x:c>
      <x:c r="G15" s="14" t="str">
        <x:v>Méjico 155, X5004 Córdoba</x:v>
      </x:c>
      <x:c r="H15" s="14" t="str">
        <x:v>Movilización de equipos de demolición y maquinaria entre trabajos.</x:v>
      </x:c>
      <x:c r="I15" s="14" t="str">
        <x:v>Llamar a operaciones y preguntar por próximo movimiento.</x:v>
      </x:c>
      <x:c r="J15" s="14" t="str">
        <x:v>Google Maps / ficha comercial</x:v>
      </x:c>
      <x:c r="K15" s="14" t="str">
        <x:v>https://www.google.com/maps/search/?api=1&amp;query=Demoliciones+Brasca+M%C3%A9jico+155+C%C3%B3rdoba</x:v>
      </x:c>
    </x:row>
    <x:row r="16" ht="42" customHeight="1">
      <x:c r="A16" s="14" t="str">
        <x:v>CBA-047</x:v>
      </x:c>
      <x:c r="B16" s="14" t="str">
        <x:v>A+</x:v>
      </x:c>
      <x:c r="C16" s="14" t="n">
        <x:v>95</x:v>
      </x:c>
      <x:c r="D16" s="14" t="str">
        <x:v>Demoliciones y Excavaciones Signorini S.A.</x:v>
      </x:c>
      <x:c r="E16" s="14" t="str">
        <x:v>demoliciones / excavaciones</x:v>
      </x:c>
      <x:c r="F16" s="14" t="str">
        <x:v>+54 351 6134084</x:v>
      </x:c>
      <x:c r="G16" s="14" t="str">
        <x:v>Tte. Gral. Donato Alvarez 7812, Córdoba</x:v>
      </x:c>
      <x:c r="H16" s="14" t="str">
        <x:v>Movimientos de grandes equipos de demolición/excavación entre obras.</x:v>
      </x:c>
      <x:c r="I16" s="14" t="str">
        <x:v>Contactar operaciones y detectar próximos traslados.</x:v>
      </x:c>
      <x:c r="J16" s="14" t="str">
        <x:v>Google Maps / directorio comercial</x:v>
      </x:c>
      <x:c r="K16" s="14" t="str">
        <x:v>https://www.google.com/maps/search/?api=1&amp;query=Demoliciones+y+Excavaciones+Signorini+SA+Donato+Alvarez+7812+C%C3%B3rdoba</x:v>
      </x:c>
    </x:row>
    <x:row r="17" ht="42" customHeight="1">
      <x:c r="A17" s="14" t="str">
        <x:v>CBA-043</x:v>
      </x:c>
      <x:c r="B17" s="14" t="str">
        <x:v>A+</x:v>
      </x:c>
      <x:c r="C17" s="14" t="n">
        <x:v>95</x:v>
      </x:c>
      <x:c r="D17" s="14" t="str">
        <x:v>DI LUCA | Constructora</x:v>
      </x:c>
      <x:c r="E17" s="14" t="str">
        <x:v>movimiento de suelos / excavaciones</x:v>
      </x:c>
      <x:c r="F17" s="14" t="str">
        <x:v>+54 9 351 9037342 / +54 351 2339136</x:v>
      </x:c>
      <x:c r="G17" s="14" t="str">
        <x:v>Rufino Cuervo 1085, Córdoba</x:v>
      </x:c>
      <x:c r="H17" s="14" t="str">
        <x:v>Traslado de excavadoras, equipos de compactación y maquinaria entre frentes de obra.</x:v>
      </x:c>
      <x:c r="I17" s="14" t="str">
        <x:v>Contactar operaciones y pedir próximo movimiento de maquinaria.</x:v>
      </x:c>
      <x:c r="J17" s="14" t="str">
        <x:v>Web/LinkedIn DI LUCA</x:v>
      </x:c>
      <x:c r="K17" s="14" t="str">
        <x:v>https://www.dilucaconstructora.com/</x:v>
      </x:c>
    </x:row>
    <x:row r="18" ht="42" customHeight="1">
      <x:c r="A18" s="14" t="str">
        <x:v>CBA-032</x:v>
      </x:c>
      <x:c r="B18" s="14" t="str">
        <x:v>A+</x:v>
      </x:c>
      <x:c r="C18" s="14" t="n">
        <x:v>95</x:v>
      </x:c>
      <x:c r="D18" s="14" t="str">
        <x:v>Maquinaria Lista / Alquiler Plataformas Elevadoras</x:v>
      </x:c>
      <x:c r="E18" s="14" t="str">
        <x:v>plataformas / equipos industriales</x:v>
      </x:c>
      <x:c r="F18" s="14" t="str">
        <x:v>+54 351 8123145</x:v>
      </x:c>
      <x:c r="G18" s="14" t="str">
        <x:v>Bartolomé Hidalgo 590, X5019 Córdoba</x:v>
      </x:c>
      <x:c r="H18" s="14" t="str">
        <x:v>Movimientos periódicos de plataformas y equipos industriales a obra/planta.</x:v>
      </x:c>
      <x:c r="I18" s="14" t="str">
        <x:v>Llamar y relevar modelos/pesos de equipos y radio de servicio.</x:v>
      </x:c>
      <x:c r="J18" s="14" t="str">
        <x:v>Google Maps / ficha comercial</x:v>
      </x:c>
      <x:c r="K18" s="14" t="str">
        <x:v>https://www.google.com/maps/search/?api=1&amp;query=Maquinaria+Lista+Alquiler+Plataformas+Elevadoras+Bartolom%C3%A9+Hidalgo+590+C%C3%B3rdoba</x:v>
      </x:c>
    </x:row>
    <x:row r="19" ht="42" customHeight="1">
      <x:c r="A19" s="14" t="str">
        <x:v>CBA-046</x:v>
      </x:c>
      <x:c r="B19" s="14" t="str">
        <x:v>A+</x:v>
      </x:c>
      <x:c r="C19" s="14" t="n">
        <x:v>95</x:v>
      </x:c>
      <x:c r="D19" s="14" t="str">
        <x:v>Mendiolaza Demoliciones S.R.L.</x:v>
      </x:c>
      <x:c r="E19" s="14" t="str">
        <x:v>demoliciones / maquinaria pesada</x:v>
      </x:c>
      <x:c r="F19" s="14" t="str">
        <x:v>+54 351 3781565 / +54 9 351 4038917</x:v>
      </x:c>
      <x:c r="G19" s="14" t="str">
        <x:v>Juan de Santiso y Moscoso 2560, X5012 Córdoba</x:v>
      </x:c>
      <x:c r="H19" s="14" t="str">
        <x:v>Movilización de excavadoras/equipos de demolición y apoyo entre obras.</x:v>
      </x:c>
      <x:c r="I19" s="14" t="str">
        <x:v>Pedir por operaciones y próximo frente de demolición.</x:v>
      </x:c>
      <x:c r="J19" s="14" t="str">
        <x:v>Web oficial + Google Maps</x:v>
      </x:c>
      <x:c r="K19" s="14" t="str">
        <x:v>https://mendiolazademoliciones.com/</x:v>
      </x:c>
    </x:row>
    <x:row r="20" ht="42" customHeight="1">
      <x:c r="A20" s="14" t="str">
        <x:v>CBA-031</x:v>
      </x:c>
      <x:c r="B20" s="14" t="str">
        <x:v>A+</x:v>
      </x:c>
      <x:c r="C20" s="14" t="n">
        <x:v>95</x:v>
      </x:c>
      <x:c r="D20" s="14" t="str">
        <x:v>Norte - Alquiler de Autoelevadores y Plataformas Elevadoras</x:v>
      </x:c>
      <x:c r="E20" s="14" t="str">
        <x:v>autoelevadores / plataformas</x:v>
      </x:c>
      <x:c r="F20" s="14" t="str">
        <x:v>+54 351 7404333</x:v>
      </x:c>
      <x:c r="G20" s="14" t="str">
        <x:v>X5101 Córdoba, Argentina</x:v>
      </x:c>
      <x:c r="H20" s="14" t="str">
        <x:v>Entrega y retiro de autoelevadores y plataformas entre base y clientes industriales.</x:v>
      </x:c>
      <x:c r="I20" s="14" t="str">
        <x:v>Validar decisor y flota; consultar frecuencia de entregas/retiros.</x:v>
      </x:c>
      <x:c r="J20" s="14" t="str">
        <x:v>Google Maps / ficha comercial</x:v>
      </x:c>
      <x:c r="K20" s="14" t="str">
        <x:v>https://www.google.com/maps/search/?api=1&amp;query=Norte+Alquiler+de+Autoelevadores+y+Plataformas+Elevadoras+C%C3%B3rdoba</x:v>
      </x:c>
    </x:row>
    <x:row r="21" ht="42" customHeight="1">
      <x:c r="A21" s="14" t="str">
        <x:v>CBA-048</x:v>
      </x:c>
      <x:c r="B21" s="14" t="str">
        <x:v>A+</x:v>
      </x:c>
      <x:c r="C21" s="14" t="n">
        <x:v>95</x:v>
      </x:c>
      <x:c r="D21" s="14" t="str">
        <x:v>Olmos Demoliciones - Olmos Vial</x:v>
      </x:c>
      <x:c r="E21" s="14" t="str">
        <x:v>demoliciones / vial</x:v>
      </x:c>
      <x:c r="F21" s="14" t="str">
        <x:v>+54 9 351 3615566</x:v>
      </x:c>
      <x:c r="G21" s="14" t="str">
        <x:v>Palpa 5446, X5003 Córdoba</x:v>
      </x:c>
      <x:c r="H21" s="14" t="str">
        <x:v>Traslado de maquinaria de demolición y vial entre obras.</x:v>
      </x:c>
      <x:c r="I21" s="14" t="str">
        <x:v>Pedir por operaciones y validar parque actual.</x:v>
      </x:c>
      <x:c r="J21" s="14" t="str">
        <x:v>Google Maps / ficha comercial</x:v>
      </x:c>
      <x:c r="K21" s="14" t="str">
        <x:v>https://www.google.com/maps/search/?api=1&amp;query=Olmos+Demoliciones+Olmos+Vial+Palpa+5446+C%C3%B3rdoba</x:v>
      </x:c>
    </x:row>
    <x:row r="22" ht="42" customHeight="1">
      <x:c r="A22" s="14" t="str">
        <x:v>CBA-036</x:v>
      </x:c>
      <x:c r="B22" s="14" t="str">
        <x:v>A</x:v>
      </x:c>
      <x:c r="C22" s="14" t="n">
        <x:v>94</x:v>
      </x:c>
      <x:c r="D22" s="14" t="str">
        <x:v>Dromos S.A. | Movimiento de Suelos</x:v>
      </x:c>
      <x:c r="E22" s="14" t="str">
        <x:v>movimiento de suelos</x:v>
      </x:c>
      <x:c r="F22" s="14" t="str">
        <x:v>+54 351 3783771</x:v>
      </x:c>
      <x:c r="G22" s="14" t="str">
        <x:v>José Barros Pazos 3300, X5009 Córdoba</x:v>
      </x:c>
      <x:c r="H22" s="14" t="str">
        <x:v>Movimiento de equipos entre frentes de obra y obras de suelo.</x:v>
      </x:c>
      <x:c r="I22" s="14" t="str">
        <x:v>Llamar y pedir próximo movimiento de equipo o frente activo.</x:v>
      </x:c>
      <x:c r="J22" s="14" t="str">
        <x:v>Google Maps / ficha comercial</x:v>
      </x:c>
      <x:c r="K22" s="14" t="str">
        <x:v>https://www.google.com/maps/search/?api=1&amp;query=Dromos+SA+Movimiento+de+Suelos+Jos%C3%A9+Barros+Pazos+3300+C%C3%B3rdoba</x:v>
      </x:c>
    </x:row>
    <x:row r="23" ht="42" customHeight="1">
      <x:c r="A23" s="14" t="str">
        <x:v>CBA-057</x:v>
      </x:c>
      <x:c r="B23" s="14" t="str">
        <x:v>A</x:v>
      </x:c>
      <x:c r="C23" s="14" t="n">
        <x:v>90</x:v>
      </x:c>
      <x:c r="D23" s="14" t="str">
        <x:v>Autoelevadores El Yorch</x:v>
      </x:c>
      <x:c r="E23" s="14" t="str">
        <x:v>autoelevadores / alquiler</x:v>
      </x:c>
      <x:c r="F23" s="14" t="str">
        <x:v>+54 351 3853075</x:v>
      </x:c>
      <x:c r="G23" s="14" t="str">
        <x:v>Pasaje General Antranik 1224, X5004 Córdoba</x:v>
      </x:c>
      <x:c r="H23" s="14" t="str">
        <x:v>Entrega y retiro de autoelevadores entre clientes y base.</x:v>
      </x:c>
      <x:c r="I23" s="14" t="str">
        <x:v>Llamar y preguntar frecuencia de alquileres y traslado actual.</x:v>
      </x:c>
      <x:c r="J23" s="14" t="str">
        <x:v>Google Maps / ficha comercial</x:v>
      </x:c>
      <x:c r="K23" s="14" t="str">
        <x:v>https://www.google.com/maps/search/?api=1&amp;query=Autoelevadores+El+Yorch+Pasaje+General+Antranik+1224+C%C3%B3rdoba</x:v>
      </x:c>
    </x:row>
    <x:row r="24" ht="42" customHeight="1">
      <x:c r="A24" s="14" t="str">
        <x:v>CBA-051</x:v>
      </x:c>
      <x:c r="B24" s="14" t="str">
        <x:v>A</x:v>
      </x:c>
      <x:c r="C24" s="14" t="n">
        <x:v>90</x:v>
      </x:c>
      <x:c r="D24" s="14" t="str">
        <x:v>Calderas Industriales Cal Marq Córdoba</x:v>
      </x:c>
      <x:c r="E24" s="14" t="str">
        <x:v>calderas / equipos industriales</x:v>
      </x:c>
      <x:c r="F24" s="14" t="str">
        <x:v>+54 351 3324444</x:v>
      </x:c>
      <x:c r="G24" s="14" t="str">
        <x:v>Salvador Díaz Miron 65, X5000 Córdoba</x:v>
      </x:c>
      <x:c r="H24" s="14" t="str">
        <x:v>Despacho de calderas y equipos térmicos de gran peso/volumen a plantas.</x:v>
      </x:c>
      <x:c r="I24" s="14" t="str">
        <x:v>Llamar a producción/expedición y preguntar tamaños/pesos habituales.</x:v>
      </x:c>
      <x:c r="J24" s="14" t="str">
        <x:v>Google Maps / ficha comercial</x:v>
      </x:c>
      <x:c r="K24" s="14" t="str">
        <x:v>https://www.google.com/maps/search/?api=1&amp;query=Calderas+Industriales+Cal+Marq+Salvador+Diaz+Miron+65+C%C3%B3rdoba</x:v>
      </x:c>
    </x:row>
    <x:row r="25" ht="42" customHeight="1">
      <x:c r="A25" s="14" t="str">
        <x:v>CBA-039</x:v>
      </x:c>
      <x:c r="B25" s="14" t="str">
        <x:v>A</x:v>
      </x:c>
      <x:c r="C25" s="14" t="n">
        <x:v>90</x:v>
      </x:c>
      <x:c r="D25" s="14" t="str">
        <x:v>Chediack - Operación Córdoba RN36</x:v>
      </x:c>
      <x:c r="E25" s="14" t="str">
        <x:v>constructora vial / grandes obras</x:v>
      </x:c>
      <x:c r="F25" s="14" t="str">
        <x:v>+54 351 2430578</x:v>
      </x:c>
      <x:c r="G25" s="14" t="str">
        <x:v>Mirizi, X5016 Córdoba</x:v>
      </x:c>
      <x:c r="H25" s="14" t="str">
        <x:v>Movilización de maquinaria y equipos vinculados a frentes de obra vial en Córdoba.</x:v>
      </x:c>
      <x:c r="I25" s="14" t="str">
        <x:v>Validar oficina/obra activa y pedir contacto de equipos/logística.</x:v>
      </x:c>
      <x:c r="J25" s="14" t="str">
        <x:v>Google Maps + evidencia de obra RN36</x:v>
      </x:c>
      <x:c r="K25" s="14" t="str">
        <x:v>https://www.google.com/maps/search/?api=1&amp;query=CHEDIACK+Altonivel+RN36+Mirizi+C%C3%B3rdoba</x:v>
      </x:c>
    </x:row>
    <x:row r="26" ht="42" customHeight="1">
      <x:c r="A26" s="14" t="str">
        <x:v>CBA-050</x:v>
      </x:c>
      <x:c r="B26" s="14" t="str">
        <x:v>A</x:v>
      </x:c>
      <x:c r="C26" s="14" t="n">
        <x:v>90</x:v>
      </x:c>
      <x:c r="D26" s="14" t="str">
        <x:v>Grupo Kilowatt</x:v>
      </x:c>
      <x:c r="E26" s="14" t="str">
        <x:v>grupos electrógenos / energía</x:v>
      </x:c>
      <x:c r="F26" s="14" t="str">
        <x:v>+54 351 5693902</x:v>
      </x:c>
      <x:c r="G26" s="14" t="str">
        <x:v>Parque Industrial Polo 52, Manzana 48 Lote 19, Córdoba</x:v>
      </x:c>
      <x:c r="H26" s="14" t="str">
        <x:v>Entrega de grupos electrógenos y equipos de generación a obras, industrias y eventos.</x:v>
      </x:c>
      <x:c r="I26" s="14" t="str">
        <x:v>Contactar ventas/logística y relevar pesos de grupos más vendidos.</x:v>
      </x:c>
      <x:c r="J26" s="14" t="str">
        <x:v>Google Maps / ficha comercial</x:v>
      </x:c>
      <x:c r="K26" s="14" t="str">
        <x:v>https://www.google.com/maps/search/?api=1&amp;query=Grupo+Kilowatt+Polo+52+C%C3%B3rdoba</x:v>
      </x:c>
    </x:row>
    <x:row r="27" ht="42" customHeight="1">
      <x:c r="A27" s="14" t="str">
        <x:v>CBA-054</x:v>
      </x:c>
      <x:c r="B27" s="14" t="str">
        <x:v>A</x:v>
      </x:c>
      <x:c r="C27" s="14" t="n">
        <x:v>90</x:v>
      </x:c>
      <x:c r="D27" s="14" t="str">
        <x:v>L.A Generadores</x:v>
      </x:c>
      <x:c r="E27" s="14" t="str">
        <x:v>generadores / alquiler</x:v>
      </x:c>
      <x:c r="F27" s="14" t="str">
        <x:v>+54 351 2375780</x:v>
      </x:c>
      <x:c r="G27" s="14" t="str">
        <x:v>Córdoba Capital, Córdoba</x:v>
      </x:c>
      <x:c r="H27" s="14" t="str">
        <x:v>Entrega y retiro de grupos electrógenos en obras/eventos/industrias.</x:v>
      </x:c>
      <x:c r="I27" s="14" t="str">
        <x:v>Llamar y consultar potencias/pesos de equipos y frecuencia de alquiler.</x:v>
      </x:c>
      <x:c r="J27" s="14" t="str">
        <x:v>Google Maps / ficha comercial</x:v>
      </x:c>
      <x:c r="K27" s="14" t="str">
        <x:v>https://www.google.com/maps/search/?api=1&amp;query=L.A+Generadores+C%C3%B3rdoba+Capital</x:v>
      </x:c>
    </x:row>
    <x:row r="28" ht="42" customHeight="1">
      <x:c r="A28" s="14" t="str">
        <x:v>CBA-052</x:v>
      </x:c>
      <x:c r="B28" s="14" t="str">
        <x:v>A</x:v>
      </x:c>
      <x:c r="C28" s="14" t="n">
        <x:v>90</x:v>
      </x:c>
      <x:c r="D28" s="14" t="str">
        <x:v>Montajes Industriales SRL</x:v>
      </x:c>
      <x:c r="E28" s="14" t="str">
        <x:v>estructuras / montajes</x:v>
      </x:c>
      <x:c r="F28" s="14" t="str">
        <x:v>+54 351 6697355</x:v>
      </x:c>
      <x:c r="G28" s="14" t="str">
        <x:v>San Fernando 1477, X5000 Córdoba</x:v>
      </x:c>
      <x:c r="H28" s="14" t="str">
        <x:v>Traslado de estructuras, conjuntos metálicos y equipos hacia obra/planta.</x:v>
      </x:c>
      <x:c r="I28" s="14" t="str">
        <x:v>Contactar montaje/logística y preguntar por obras activas.</x:v>
      </x:c>
      <x:c r="J28" s="14" t="str">
        <x:v>Google Maps / ficha comercial</x:v>
      </x:c>
      <x:c r="K28" s="14" t="str">
        <x:v>https://www.google.com/maps/search/?api=1&amp;query=Montajes+Industriales+SRL+San+Fernando+1477+C%C3%B3rdoba</x:v>
      </x:c>
    </x:row>
    <x:row r="29" ht="42" customHeight="1">
      <x:c r="A29" s="14" t="str">
        <x:v>CBA-044</x:v>
      </x:c>
      <x:c r="B29" s="14" t="str">
        <x:v>A</x:v>
      </x:c>
      <x:c r="C29" s="14" t="n">
        <x:v>90</x:v>
      </x:c>
      <x:c r="D29" s="14" t="str">
        <x:v>Pellicer Movimientos de Suelo</x:v>
      </x:c>
      <x:c r="E29" s="14" t="str">
        <x:v>movimiento de suelos</x:v>
      </x:c>
      <x:c r="F29" s="14" t="str">
        <x:v>+54 9 351 4033476</x:v>
      </x:c>
      <x:c r="G29" s="14" t="str">
        <x:v>Cruz Alta 8348, Córdoba</x:v>
      </x:c>
      <x:c r="H29" s="14" t="str">
        <x:v>Movilización de maquinaria de movimiento de suelos entre obras.</x:v>
      </x:c>
      <x:c r="I29" s="14" t="str">
        <x:v>Validar parque de máquinas y frecuencia de movimientos.</x:v>
      </x:c>
      <x:c r="J29" s="14" t="str">
        <x:v>Directorio comercial + Google Maps</x:v>
      </x:c>
      <x:c r="K29" s="14" t="str">
        <x:v>https://www.cylex.com.ar/cordoba/pellicer-movimientos-de-suelo-11415825.html</x:v>
      </x:c>
    </x:row>
    <x:row r="30" ht="42" customHeight="1">
      <x:c r="A30" s="14" t="str">
        <x:v>CBA-045</x:v>
      </x:c>
      <x:c r="B30" s="14" t="str">
        <x:v>A</x:v>
      </x:c>
      <x:c r="C30" s="14" t="n">
        <x:v>90</x:v>
      </x:c>
      <x:c r="D30" s="14" t="str">
        <x:v>Redcons S.R.L.</x:v>
      </x:c>
      <x:c r="E30" s="14" t="str">
        <x:v>excavaciones / movimiento de suelo</x:v>
      </x:c>
      <x:c r="F30" s="14" t="str">
        <x:v>+54 351 5158731</x:v>
      </x:c>
      <x:c r="G30" s="14" t="str">
        <x:v>Antonio Nores 5423, X5021 Córdoba</x:v>
      </x:c>
      <x:c r="H30" s="14" t="str">
        <x:v>Traslado de excavadoras y maquinaria a distintos frentes.</x:v>
      </x:c>
      <x:c r="I30" s="14" t="str">
        <x:v>Llamar y validar flota/obras actuales.</x:v>
      </x:c>
      <x:c r="J30" s="14" t="str">
        <x:v>Google Maps / ficha comercial</x:v>
      </x:c>
      <x:c r="K30" s="14" t="str">
        <x:v>https://www.google.com/maps/search/?api=1&amp;query=Redcons+SRL+Antonio+Nores+5423+C%C3%B3rdoba</x:v>
      </x:c>
    </x:row>
    <x:row r="31" ht="42" customHeight="1">
      <x:c r="A31" s="14" t="str">
        <x:v>CBA-055</x:v>
      </x:c>
      <x:c r="B31" s="14" t="str">
        <x:v>A</x:v>
      </x:c>
      <x:c r="C31" s="14" t="n">
        <x:v>86</x:v>
      </x:c>
      <x:c r="D31" s="14" t="str">
        <x:v>SOLIND - Comercialización de Máquinas Industriales</x:v>
      </x:c>
      <x:c r="E31" s="14" t="str">
        <x:v>maquinaria industrial</x:v>
      </x:c>
      <x:c r="F31" s="14" t="str">
        <x:v>+54 9 351 6304033</x:v>
      </x:c>
      <x:c r="G31" s="14" t="str">
        <x:v>Japón 400, X5000 Córdoba</x:v>
      </x:c>
      <x:c r="H31" s="14" t="str">
        <x:v>Entrega y retiro de maquinaria industrial nueva/usada y equipos de taller.</x:v>
      </x:c>
      <x:c r="I31" s="14" t="str">
        <x:v>Validar tipos/pesos de equipos y volumen de entregas.</x:v>
      </x:c>
      <x:c r="J31" s="14" t="str">
        <x:v>Google Maps / ficha comercial</x:v>
      </x:c>
      <x:c r="K31" s="14" t="str">
        <x:v>https://www.google.com/maps/search/?api=1&amp;query=SOLIND+Comercializaci%C3%B3n+de+M%C3%A1quinas+Industriales+Japon+400+C%C3%B3rdoba</x:v>
      </x:c>
    </x:row>
    <x:row r="32" ht="42" customHeight="1">
      <x:c r="A32" s="14" t="str">
        <x:v>CBA-053</x:v>
      </x:c>
      <x:c r="B32" s="14" t="str">
        <x:v>A</x:v>
      </x:c>
      <x:c r="C32" s="14" t="n">
        <x:v>85</x:v>
      </x:c>
      <x:c r="D32" s="14" t="str">
        <x:v>Hormigones Alberdi SRL</x:v>
      </x:c>
      <x:c r="E32" s="14" t="str">
        <x:v>hormigón / equipos de planta</x:v>
      </x:c>
      <x:c r="F32" s="14" t="str">
        <x:v>+54 351 6564188</x:v>
      </x:c>
      <x:c r="G32" s="14" t="str">
        <x:v>Av. Japón, Córdoba</x:v>
      </x:c>
      <x:c r="H32" s="14" t="str">
        <x:v>Traslado eventual de equipos de planta, moldes, bombas y maquinaria auxiliar; apoyo a obras especiales.</x:v>
      </x:c>
      <x:c r="I32" s="14" t="str">
        <x:v>Contactar planta/mantenimiento y relevar movimientos no cubiertos por su flota.</x:v>
      </x:c>
      <x:c r="J32" s="14" t="str">
        <x:v>Google Maps / ficha comercial</x:v>
      </x:c>
      <x:c r="K32" s="14" t="str">
        <x:v>https://www.google.com/maps/search/?api=1&amp;query=Hormigones+Alberdi+SRL+Av+Jap%C3%B3n+C%C3%B3rdoba</x:v>
      </x:c>
    </x:row>
    <x:row r="33" ht="42" customHeight="1">
      <x:c r="A33" s="14" t="str">
        <x:v>CBA-056</x:v>
      </x:c>
      <x:c r="B33" s="14" t="str">
        <x:v>B</x:v>
      </x:c>
      <x:c r="C33" s="14" t="n">
        <x:v>80</x:v>
      </x:c>
      <x:c r="D33" s="14" t="str">
        <x:v>Ocampo Compresores</x:v>
      </x:c>
      <x:c r="E33" s="14" t="str">
        <x:v>compresores / servicio técnico</x:v>
      </x:c>
      <x:c r="F33" s="14" t="str">
        <x:v>+54 351 7321333</x:v>
      </x:c>
      <x:c r="G33" s="14" t="str">
        <x:v>Dr. Mariano Castex 270, X5003 Córdoba</x:v>
      </x:c>
      <x:c r="H33" s="14" t="str">
        <x:v>Retiro y entrega de compresores industriales para reparación y mantenimiento.</x:v>
      </x:c>
      <x:c r="I33" s="14" t="str">
        <x:v>Llamar y relevar rango de peso de compresores atendidos.</x:v>
      </x:c>
      <x:c r="J33" s="14" t="str">
        <x:v>Google Maps / ficha comercial</x:v>
      </x:c>
      <x:c r="K33" s="14" t="str">
        <x:v>https://www.google.com/maps/search/?api=1&amp;query=Ocampo+Compresores+Mariano+Castex+270+C%C3%B3rdoba</x:v>
      </x:c>
    </x:row>
    <x:row r="34" ht="42" customHeight="1">
      <x:c r="A34" s="14" t="str">
        <x:v>CBA-058</x:v>
      </x:c>
      <x:c r="B34" s="14" t="str">
        <x:v>B</x:v>
      </x:c>
      <x:c r="C34" s="14" t="n">
        <x:v>78</x:v>
      </x:c>
      <x:c r="D34" s="14" t="str">
        <x:v>Alquilo Todo Córdoba</x:v>
      </x:c>
      <x:c r="E34" s="14" t="str">
        <x:v>alquiler equipos</x:v>
      </x:c>
      <x:c r="F34" s="14" t="str">
        <x:v>+54 351 7292451</x:v>
      </x:c>
      <x:c r="G34" s="14" t="str">
        <x:v>Av. Colón 5212, X5003 Córdoba</x:v>
      </x:c>
      <x:c r="H34" s="14" t="str">
        <x:v>Algunos equipos de alquiler requieren entrega/retiro; potencial para cargas que excedan utilitarios.</x:v>
      </x:c>
      <x:c r="I34" s="14" t="str">
        <x:v>Validar cartera de equipos pesados antes de priorizar visita.</x:v>
      </x:c>
      <x:c r="J34" s="14" t="str">
        <x:v>Google Maps / ficha comercial</x:v>
      </x:c>
      <x:c r="K34" s="14" t="str">
        <x:v>https://www.google.com/maps/search/?api=1&amp;query=Alquilo+Todo+C%C3%B3rdoba+Av+Colon+5212+C%C3%B3rdoba</x:v>
      </x:c>
    </x:row>
    <x:row r="35" ht="42" customHeight="1">
      <x:c r="A35" s="14" t="str">
        <x:v>CBA-059</x:v>
      </x:c>
      <x:c r="B35" s="14" t="str">
        <x:v>B</x:v>
      </x:c>
      <x:c r="C35" s="14" t="n">
        <x:v>78</x:v>
      </x:c>
      <x:c r="D35" s="14" t="str">
        <x:v>Grúas Martin S.A.</x:v>
      </x:c>
      <x:c r="E35" s="14" t="str">
        <x:v>alianza / izajes / transporte</x:v>
      </x:c>
      <x:c r="F35" s="14" t="str">
        <x:v>+54 9 351 3910572</x:v>
      </x:c>
      <x:c r="G35" s="14" t="str">
        <x:v>De las Artesanías 4250, X5012 Córdoba</x:v>
      </x:c>
      <x:c r="H35" s="14" t="str">
        <x:v>Puede requerir subcontratación de plataforma/carretones en picos o servicios combinados de izaje + transporte.</x:v>
      </x:c>
      <x:c r="I35" s="14" t="str">
        <x:v>Contactar operaciones/comercial y validar interés en subcontratación recíproca.</x:v>
      </x:c>
      <x:c r="J35" s="14" t="str">
        <x:v>Google Maps / ficha comercial</x:v>
      </x:c>
      <x:c r="K35" s="14" t="str">
        <x:v>https://www.google.com/maps/search/?api=1&amp;query=Gruas+Martin+SA+De+las+Artesanias+4250+C%C3%B3rdoba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9" hidden="0" customWidth="1"/>
    <x:col min="4" max="4" width="36" hidden="0" customWidth="1"/>
    <x:col min="5" max="5" width="30" hidden="0" customWidth="1"/>
    <x:col min="6" max="6" width="25" hidden="0" customWidth="1"/>
    <x:col min="7" max="7" width="40" hidden="0" customWidth="1"/>
    <x:col min="8" max="8" width="48" hidden="0" customWidth="1"/>
    <x:col min="9" max="9" width="44" hidden="0" customWidth="1"/>
    <x:col min="10" max="10" width="30" hidden="0" customWidth="1"/>
    <x:col min="11" max="11" width="50" hidden="0" customWidth="1"/>
  </x:cols>
  <x:sheetData>
    <x:row r="1" ht="28" customHeight="1">
      <x:c r="A1" s="89" t="str">
        <x:v>ID</x:v>
      </x:c>
      <x:c r="B1" s="90" t="str">
        <x:v>Clase</x:v>
      </x:c>
      <x:c r="C1" s="90" t="str">
        <x:v>Score</x:v>
      </x:c>
      <x:c r="D1" s="90" t="str">
        <x:v>Empresa</x:v>
      </x:c>
      <x:c r="E1" s="90" t="str">
        <x:v>Segmento</x:v>
      </x:c>
      <x:c r="F1" s="90" t="str">
        <x:v>Teléfonos</x:v>
      </x:c>
      <x:c r="G1" s="90" t="str">
        <x:v>Dirección</x:v>
      </x:c>
      <x:c r="H1" s="90" t="str">
        <x:v>Necesidad probable</x:v>
      </x:c>
      <x:c r="I1" s="90" t="str">
        <x:v>Acción sugerida</x:v>
      </x:c>
      <x:c r="J1" s="90" t="str">
        <x:v>Fuente</x:v>
      </x:c>
      <x:c r="K1" s="91" t="str">
        <x:v>URL fuente</x:v>
      </x:c>
    </x:row>
    <x:row r="2" ht="58" customHeight="1">
      <x:c r="A2" s="107" t="str">
        <x:v>CBA-060</x:v>
      </x:c>
      <x:c r="B2" s="104" t="str">
        <x:v>A+</x:v>
      </x:c>
      <x:c r="C2" s="104" t="n">
        <x:v>100</x:v>
      </x:c>
      <x:c r="D2" s="99" t="str">
        <x:v>Igarreta Máquinas S.A. - Sucursal Centro (Komatsu)</x:v>
      </x:c>
      <x:c r="E2" s="99" t="str">
        <x:v>Komatsu / rental maquinaria pesada</x:v>
      </x:c>
      <x:c r="F2" s="99" t="str">
        <x:v>0351 236-3110</x:v>
      </x:c>
      <x:c r="G2" s="99" t="str">
        <x:v>Av. Juan B. Justo 6400, Córdoba</x:v>
      </x:c>
      <x:c r="H2" s="99" t="str">
        <x:v>Entrega y retiro de excavadoras, cargadoras, topadoras, motoniveladoras y compactadores Komatsu entre sucursal, clientes y obras.</x:v>
      </x:c>
      <x:c r="I2" s="99" t="str">
        <x:v>Llamada y visita prioritaria; pedir por Rental/Logística y relevar frecuencia mensual de movimientos.</x:v>
      </x:c>
      <x:c r="J2" s="99" t="str">
        <x:v>Web oficial Igarreta Máquinas</x:v>
      </x:c>
      <x:c r="K2" s="100" t="str">
        <x:v>https://www.igarretamaquinas.com.ar/contactenos/CONT%C3%81CTENOS</x:v>
      </x:c>
    </x:row>
    <x:row r="3" ht="58" customHeight="1">
      <x:c r="A3" s="108" t="str">
        <x:v>CBA-061</x:v>
      </x:c>
      <x:c r="B3" s="105" t="str">
        <x:v>A+</x:v>
      </x:c>
      <x:c r="C3" s="105" t="n">
        <x:v>98</x:v>
      </x:c>
      <x:c r="D3" s="93" t="str">
        <x:v>Frasinelli Máquinas y Repuestos S.A.</x:v>
      </x:c>
      <x:c r="E3" s="93" t="str">
        <x:v>maquinaria vial / posventa</x:v>
      </x:c>
      <x:c r="F3" s="93" t="str">
        <x:v>+54 9 351 403-3567 / 0351 470-2260</x:v>
      </x:c>
      <x:c r="G3" s="93" t="str">
        <x:v>Av. Juan B. Justo 5008, Córdoba</x:v>
      </x:c>
      <x:c r="H3" s="93" t="str">
        <x:v>Movimiento de maquinaria vial y de construcción para entregas, retiros, service y equipos usados.</x:v>
      </x:c>
      <x:c r="I3" s="93" t="str">
        <x:v>Contactar ventas/posventa y consultar cómo resuelven hoy el transporte de equipos.</x:v>
      </x:c>
      <x:c r="J3" s="93" t="str">
        <x:v>Web oficial Frasinelli</x:v>
      </x:c>
      <x:c r="K3" s="94" t="str">
        <x:v>https://www.frasinelli.com.ar/contacto/</x:v>
      </x:c>
    </x:row>
    <x:row r="4" ht="58" customHeight="1">
      <x:c r="A4" s="107" t="str">
        <x:v>CBA-062</x:v>
      </x:c>
      <x:c r="B4" s="104" t="str">
        <x:v>A+</x:v>
      </x:c>
      <x:c r="C4" s="104" t="n">
        <x:v>98</x:v>
      </x:c>
      <x:c r="D4" s="99" t="str">
        <x:v>Autoelevadores Centro Motor Toyota</x:v>
      </x:c>
      <x:c r="E4" s="99" t="str">
        <x:v>Toyota Material Handling / alquiler</x:v>
      </x:c>
      <x:c r="F4" s="99" t="str">
        <x:v>0351 484-9400 / 0351 485-8484</x:v>
      </x:c>
      <x:c r="G4" s="99" t="str">
        <x:v>Av. Colón 5077, Córdoba</x:v>
      </x:c>
      <x:c r="H4" s="99" t="str">
        <x:v>Entrega, retiro y traslado de autoelevadores entre sucursal, clientes y servicio técnico.</x:v>
      </x:c>
      <x:c r="I4" s="99" t="str">
        <x:v>Pedir por alquileres/logística y relevar cantidad de movimientos mensuales.</x:v>
      </x:c>
      <x:c r="J4" s="99" t="str">
        <x:v>Web oficial Autoelevadores Centro Motor / Toyota</x:v>
      </x:c>
      <x:c r="K4" s="100" t="str">
        <x:v>https://www.autoelevadorescentromotor.com/</x:v>
      </x:c>
    </x:row>
    <x:row r="5" ht="58" customHeight="1">
      <x:c r="A5" s="108" t="str">
        <x:v>CBA-063</x:v>
      </x:c>
      <x:c r="B5" s="105" t="str">
        <x:v>A+</x:v>
      </x:c>
      <x:c r="C5" s="105" t="n">
        <x:v>98</x:v>
      </x:c>
      <x:c r="D5" s="93" t="str">
        <x:v>Horizon High Reach Limited - Haulotte Group</x:v>
      </x:c>
      <x:c r="E5" s="93" t="str">
        <x:v>Haulotte / plataformas</x:v>
      </x:c>
      <x:c r="F5" s="93" t="str">
        <x:v>0351 700-0302</x:v>
      </x:c>
      <x:c r="G5" s="93" t="str">
        <x:v>Av. Japón 1010, Guiñazú, Córdoba</x:v>
      </x:c>
      <x:c r="H5" s="93" t="str">
        <x:v>Entrega y retiro de plataformas elevadoras, brazos y equipos de altura entre base y obras.</x:v>
      </x:c>
      <x:c r="I5" s="93" t="str">
        <x:v>Contactar operaciones/alquileres y consultar flota tercerizada y radio de cobertura.</x:v>
      </x:c>
      <x:c r="J5" s="93" t="str">
        <x:v>Web oficial Horizon Sudamérica</x:v>
      </x:c>
      <x:c r="K5" s="94" t="str">
        <x:v>https://horizonsudamerica.com/quienes-somos/</x:v>
      </x:c>
    </x:row>
    <x:row r="6" ht="58" customHeight="1">
      <x:c r="A6" s="107" t="str">
        <x:v>CBA-064</x:v>
      </x:c>
      <x:c r="B6" s="104" t="str">
        <x:v>A+</x:v>
      </x:c>
      <x:c r="C6" s="104" t="n">
        <x:v>95</x:v>
      </x:c>
      <x:c r="D6" s="99" t="str">
        <x:v>X MAQ - Venta y Alquiler de Maquinaria Vial</x:v>
      </x:c>
      <x:c r="E6" s="99" t="str">
        <x:v>maquinaria vial / alquiler</x:v>
      </x:c>
      <x:c r="F6" s="99" t="str">
        <x:v>+54 351 393-0075</x:v>
      </x:c>
      <x:c r="G6" s="99" t="str">
        <x:v>Av. Rafael Núñez 3578, Of. 8, Córdoba</x:v>
      </x:c>
      <x:c r="H6" s="99" t="str">
        <x:v>Movilización de maquinaria vial alquilada o vendida hacia obras y clientes.</x:v>
      </x:c>
      <x:c r="I6" s="99" t="str">
        <x:v>Llamar a alquileres y consultar próximos movimientos y pesos habituales.</x:v>
      </x:c>
      <x:c r="J6" s="99" t="str">
        <x:v>Google Business Profile</x:v>
      </x:c>
      <x:c r="K6" s="100" t="str">
        <x:v>https://www.google.com/maps/search/?api=1&amp;query=X+MAQ+Venta+y+Alquiler+de+Maquinaria+Vial+Cordoba</x:v>
      </x:c>
    </x:row>
    <x:row r="7" ht="58" customHeight="1">
      <x:c r="A7" s="108" t="str">
        <x:v>CBA-065</x:v>
      </x:c>
      <x:c r="B7" s="105" t="str">
        <x:v>A+</x:v>
      </x:c>
      <x:c r="C7" s="105" t="n">
        <x:v>95</x:v>
      </x:c>
      <x:c r="D7" s="93" t="str">
        <x:v>Grúas San Blas - Córdoba</x:v>
      </x:c>
      <x:c r="E7" s="93" t="str">
        <x:v>rental / maquinaria / izaje</x:v>
      </x:c>
      <x:c r="F7" s="93" t="str">
        <x:v>0351 475-9001</x:v>
      </x:c>
      <x:c r="G7" s="93" t="str">
        <x:v>Bv. de los Alemanes 2815, Córdoba</x:v>
      </x:c>
      <x:c r="H7" s="93" t="str">
        <x:v>Traslado de equipos de construcción, manipuladores, minicargadores y maquinaria de alquiler/venta.</x:v>
      </x:c>
      <x:c r="I7" s="93" t="str">
        <x:v>Pedir por Rental/Logística de Córdoba y ofrecer capacidad overflow.</x:v>
      </x:c>
      <x:c r="J7" s="93" t="str">
        <x:v>Web oficial Grúas San Blas + Google Business</x:v>
      </x:c>
      <x:c r="K7" s="94" t="str">
        <x:v>https://www.gsb.com.ar/</x:v>
      </x:c>
    </x:row>
    <x:row r="8" ht="58" customHeight="1">
      <x:c r="A8" s="107" t="str">
        <x:v>CBA-066</x:v>
      </x:c>
      <x:c r="B8" s="104" t="str">
        <x:v>A+</x:v>
      </x:c>
      <x:c r="C8" s="104" t="n">
        <x:v>100</x:v>
      </x:c>
      <x:c r="D8" s="99" t="str">
        <x:v>GRUMAQ - Sucursal Córdoba</x:v>
      </x:c>
      <x:c r="E8" s="99" t="str">
        <x:v>CASE Construction / rental</x:v>
      </x:c>
      <x:c r="F8" s="99" t="str">
        <x:v>0810-555-4767</x:v>
      </x:c>
      <x:c r="G8" s="99" t="str">
        <x:v>Av. Circunvalación Colectora Norte s/n, entre Rancagua y Capdevila, Córdoba</x:v>
      </x:c>
      <x:c r="H8" s="99" t="str">
        <x:v>Entrega y retiro de excavadoras, cargadoras, retroexcavadoras, motoniveladoras y minicargadoras CASE, además de usados y equipos de service.</x:v>
      </x:c>
      <x:c r="I8" s="99" t="str">
        <x:v>Llamada inmediata a sucursal Córdoba; pedir por Rental y logística.</x:v>
      </x:c>
      <x:c r="J8" s="99" t="str">
        <x:v>Web oficial GRUMAQ</x:v>
      </x:c>
      <x:c r="K8" s="100" t="str">
        <x:v>https://grumaq.com.ar/</x:v>
      </x:c>
    </x:row>
    <x:row r="9" ht="58" customHeight="1">
      <x:c r="A9" s="108" t="str">
        <x:v>CBA-067</x:v>
      </x:c>
      <x:c r="B9" s="105" t="str">
        <x:v>A</x:v>
      </x:c>
      <x:c r="C9" s="105" t="n">
        <x:v>84</x:v>
      </x:c>
      <x:c r="D9" s="93" t="str">
        <x:v>Kaeser Compresores de Argentina - Sucursal Córdoba</x:v>
      </x:c>
      <x:c r="E9" s="93" t="str">
        <x:v>compresores móviles / industrial</x:v>
      </x:c>
      <x:c r="F9" s="93" t="str">
        <x:v>+54 9 351 324-9876</x:v>
      </x:c>
      <x:c r="G9" s="93" t="str">
        <x:v>Bv. de los Alemanes 3200, Local 2, Córdoba</x:v>
      </x:c>
      <x:c r="H9" s="93" t="str">
        <x:v>Entrega y retiro de compresores móviles e industriales para clientes, obras, minería y servicio técnico.</x:v>
      </x:c>
      <x:c r="I9" s="93" t="str">
        <x:v>Contactar service/logística y relevar movimientos de compresores móviles.</x:v>
      </x:c>
      <x:c r="J9" s="93" t="str">
        <x:v>Web/Red oficial Kaeser</x:v>
      </x:c>
      <x:c r="K9" s="94" t="str">
        <x:v>https://ar.kaeser.com/</x:v>
      </x:c>
    </x:row>
    <x:row r="10" ht="58" customHeight="1">
      <x:c r="A10" s="107" t="str">
        <x:v>CBA-068</x:v>
      </x:c>
      <x:c r="B10" s="104" t="str">
        <x:v>A</x:v>
      </x:c>
      <x:c r="C10" s="104" t="n">
        <x:v>82</x:v>
      </x:c>
      <x:c r="D10" s="99" t="str">
        <x:v>Rodolfi e Hijos S.A.</x:v>
      </x:c>
      <x:c r="E10" s="99" t="str">
        <x:v>compresores / servicio industrial</x:v>
      </x:c>
      <x:c r="F10" s="99" t="str">
        <x:v>0351 473-8591 / 0351 471-4162</x:v>
      </x:c>
      <x:c r="G10" s="99" t="str">
        <x:v>Av. Juan B. Justo 2609, Córdoba</x:v>
      </x:c>
      <x:c r="H10" s="99" t="str">
        <x:v>Retiro, entrega e instalación de compresores y equipos industriales en plantas de clientes.</x:v>
      </x:c>
      <x:c r="I10" s="99" t="str">
        <x:v>Contactar service/instalaciones y consultar pesos y frecuencia de equipos movilizados.</x:v>
      </x:c>
      <x:c r="J10" s="99" t="str">
        <x:v>Web oficial Rodolfi e Hijos</x:v>
      </x:c>
      <x:c r="K10" s="100" t="str">
        <x:v>https://rodolfiehijos.com.ar/index.html</x:v>
      </x:c>
    </x:row>
    <x:row r="11" ht="58" customHeight="1">
      <x:c r="A11" s="108" t="str">
        <x:v>CBA-069</x:v>
      </x:c>
      <x:c r="B11" s="105" t="str">
        <x:v>A+</x:v>
      </x:c>
      <x:c r="C11" s="105" t="n">
        <x:v>94</x:v>
      </x:c>
      <x:c r="D11" s="93" t="str">
        <x:v>Maquinarias Los Tanos</x:v>
      </x:c>
      <x:c r="E11" s="93" t="str">
        <x:v>autoelevadores / plataformas / rental</x:v>
      </x:c>
      <x:c r="F11" s="93" t="str">
        <x:v>+54 351 403-9222 / 0351 486-7879</x:v>
      </x:c>
      <x:c r="G11" s="93" t="str">
        <x:v>Av. Colón 5211, Córdoba</x:v>
      </x:c>
      <x:c r="H11" s="93" t="str">
        <x:v>Entrega y retiro de autoelevadores, plataformas y equipos de manipulación/carga para contratos de alquiler y ventas.</x:v>
      </x:c>
      <x:c r="I11" s="93" t="str">
        <x:v>Contactar alquileres y preguntar cuántos equipos entregan/retiran por semana.</x:v>
      </x:c>
      <x:c r="J11" s="93" t="str">
        <x:v>Web/LinkedIn oficial Maquinarias Los Tanos</x:v>
      </x:c>
      <x:c r="K11" s="94" t="str">
        <x:v>http://www.maquinariaslostanos.com.ar</x:v>
      </x:c>
    </x:row>
    <x:row r="12" ht="58" customHeight="1">
      <x:c r="A12" s="107" t="str">
        <x:v>CBA-070</x:v>
      </x:c>
      <x:c r="B12" s="104" t="str">
        <x:v>A+</x:v>
      </x:c>
      <x:c r="C12" s="104" t="n">
        <x:v>94</x:v>
      </x:c>
      <x:c r="D12" s="99" t="str">
        <x:v>Maquinarias Eleva</x:v>
      </x:c>
      <x:c r="E12" s="99" t="str">
        <x:v>plataformas / autoelevadores / rental</x:v>
      </x:c>
      <x:c r="F12" s="99" t="str">
        <x:v>+54 351 753-7683 / +54 351 850-2000</x:v>
      </x:c>
      <x:c r="G12" s="99" t="str">
        <x:v>Av. Juan B. Justo 4555, Córdoba</x:v>
      </x:c>
      <x:c r="H12" s="99" t="str">
        <x:v>Traslado de plataformas, autoelevadores de hasta 10 t y manipuladores telescópicos entre base y obras/clientes.</x:v>
      </x:c>
      <x:c r="I12" s="99" t="str">
        <x:v>Llamar a alquileres y ofrecer overflow para entregas urgentes o interurbanas.</x:v>
      </x:c>
      <x:c r="J12" s="99" t="str">
        <x:v>Web oficial / perfil comercial Maquinarias Eleva</x:v>
      </x:c>
      <x:c r="K12" s="100" t="str">
        <x:v>https://www.maquinariaseleva.com.ar/</x:v>
      </x:c>
    </x:row>
    <x:row r="13" ht="58" customHeight="1">
      <x:c r="A13" s="108" t="str">
        <x:v>CBA-071</x:v>
      </x:c>
      <x:c r="B13" s="105" t="str">
        <x:v>A+</x:v>
      </x:c>
      <x:c r="C13" s="105" t="n">
        <x:v>96</x:v>
      </x:c>
      <x:c r="D13" s="93" t="str">
        <x:v>TZR Bombas y Equipos para Hormigón</x:v>
      </x:c>
      <x:c r="E13" s="93" t="str">
        <x:v>equipos hormigón / fabricante</x:v>
      </x:c>
      <x:c r="F13" s="93" t="str">
        <x:v>0351 496-7060 / 62 / +54 351 343-9081</x:v>
      </x:c>
      <x:c r="G13" s="93" t="str">
        <x:v>Dr. Ricardo Balbín 7451, Ruta 19 km 329, Córdoba</x:v>
      </x:c>
      <x:c r="H13" s="93" t="str">
        <x:v>Despacho y traslado de bombas sobre camión, bombas de arrastre, mixers, silos, plantas dosificadoras y equipos en reparación.</x:v>
      </x:c>
      <x:c r="I13" s="93" t="str">
        <x:v>Llamada prioritaria a ventas/expedición; consultar próximos equipos a entregar o retirar.</x:v>
      </x:c>
      <x:c r="J13" s="93" t="str">
        <x:v>Web oficial TZR</x:v>
      </x:c>
      <x:c r="K13" s="94" t="str">
        <x:v>https://www.tzrbombas.com/es/Contacto-3</x:v>
      </x:c>
    </x:row>
    <x:row r="14" ht="58" customHeight="1">
      <x:c r="A14" s="107" t="str">
        <x:v>CBA-072</x:v>
      </x:c>
      <x:c r="B14" s="104" t="str">
        <x:v>A</x:v>
      </x:c>
      <x:c r="C14" s="104" t="n">
        <x:v>92</x:v>
      </x:c>
      <x:c r="D14" s="99" t="str">
        <x:v>Metalúrgica San Vicente S.R.L.</x:v>
      </x:c>
      <x:c r="E14" s="99" t="str">
        <x:v>puentes grúa / estructuras pesadas</x:v>
      </x:c>
      <x:c r="F14" s="99" t="str">
        <x:v>0351 450-2500</x:v>
      </x:c>
      <x:c r="G14" s="99" t="str">
        <x:v>Ruta 9 Sur km 689, Ferreyra, Córdoba</x:v>
      </x:c>
      <x:c r="H14" s="99" t="str">
        <x:v>Transporte de puentes grúa, vigas, pórticos y componentes de gran longitud/peso hacia plantas y montajes.</x:v>
      </x:c>
      <x:c r="I14" s="99" t="str">
        <x:v>Contactar expedición/montajes y relevar dimensiones máximas y viajes mensuales.</x:v>
      </x:c>
      <x:c r="J14" s="99" t="str">
        <x:v>Web oficial + CIMCC</x:v>
      </x:c>
      <x:c r="K14" s="100" t="str">
        <x:v>https://www.metsanvicente.com.ar/</x:v>
      </x:c>
    </x:row>
    <x:row r="15" ht="58" customHeight="1">
      <x:c r="A15" s="108" t="str">
        <x:v>CBA-073</x:v>
      </x:c>
      <x:c r="B15" s="105" t="str">
        <x:v>A</x:v>
      </x:c>
      <x:c r="C15" s="105" t="n">
        <x:v>85</x:v>
      </x:c>
      <x:c r="D15" s="93" t="str">
        <x:v>Sturam S.A.</x:v>
      </x:c>
      <x:c r="E15" s="93" t="str">
        <x:v>metalúrgica / autopartes / fundición</x:v>
      </x:c>
      <x:c r="F15" s="93" t="str">
        <x:v>0351 461-3434</x:v>
      </x:c>
      <x:c r="G15" s="93" t="str">
        <x:v>Av. Manuel Gral. Savio 4880, Parque Industrial Ferreyra, Córdoba</x:v>
      </x:c>
      <x:c r="H15" s="93" t="str">
        <x:v>Movimientos de matrices, piezas fundidas, conjuntos mecanizados y equipos entre plantas/clientes.</x:v>
      </x:c>
      <x:c r="I15" s="93" t="str">
        <x:v>Contactar logística/expedición de Planta Ferreyra y relevar cargas especiales.</x:v>
      </x:c>
      <x:c r="J15" s="93" t="str">
        <x:v>Web oficial Sturam</x:v>
      </x:c>
      <x:c r="K15" s="94" t="str">
        <x:v>https://www.sturamsa.com.ar/</x:v>
      </x:c>
    </x:row>
    <x:row r="16" ht="58" customHeight="1">
      <x:c r="A16" s="107" t="str">
        <x:v>CBA-074</x:v>
      </x:c>
      <x:c r="B16" s="104" t="str">
        <x:v>A</x:v>
      </x:c>
      <x:c r="C16" s="104" t="n">
        <x:v>90</x:v>
      </x:c>
      <x:c r="D16" s="99" t="str">
        <x:v>Julio Donadio S.A.</x:v>
      </x:c>
      <x:c r="E16" s="99" t="str">
        <x:v>acero / cargas largas</x:v>
      </x:c>
      <x:c r="F16" s="99" t="str">
        <x:v>0810-555-3662 / +54 351 891-0000</x:v>
      </x:c>
      <x:c r="G16" s="99" t="str">
        <x:v>Av. Circunvalación esq. Camino Interfábricas, Córdoba</x:v>
      </x:c>
      <x:c r="H16" s="99" t="str">
        <x:v>Distribución de acero, piezas cortadas/plegadas, pilotes y cargas largas o pesadas hacia obras e industrias.</x:v>
      </x:c>
      <x:c r="I16" s="99" t="str">
        <x:v>Contactar logística/expedición y consultar viajes que exceden flota convencional.</x:v>
      </x:c>
      <x:c r="J16" s="99" t="str">
        <x:v>Web oficial Julio Donadio</x:v>
      </x:c>
      <x:c r="K16" s="100" t="str">
        <x:v>https://donadio-cba.com.ar/</x:v>
      </x:c>
    </x:row>
    <x:row r="17" ht="58" customHeight="1">
      <x:c r="A17" s="108" t="str">
        <x:v>CBA-075</x:v>
      </x:c>
      <x:c r="B17" s="105" t="str">
        <x:v>A</x:v>
      </x:c>
      <x:c r="C17" s="105" t="n">
        <x:v>88</x:v>
      </x:c>
      <x:c r="D17" s="93" t="str">
        <x:v>Pilmhor S.A.</x:v>
      </x:c>
      <x:c r="E17" s="93" t="str">
        <x:v>hidráulica / maquinaria pesada</x:v>
      </x:c>
      <x:c r="F17" s="93" t="str">
        <x:v>0351 465-0012 / +54 9 351 345-5614</x:v>
      </x:c>
      <x:c r="G17" s="93" t="str">
        <x:v>Francisco de Arteaga 2225, Córdoba</x:v>
      </x:c>
      <x:c r="H17" s="93" t="str">
        <x:v>Entrega de componentes hidráulicos, conjuntos y equipos; movimientos vinculados a hidrogrúas y maquinaria pesada.</x:v>
      </x:c>
      <x:c r="I17" s="93" t="str">
        <x:v>Contactar expedición/ingeniería y detectar cargas por encima de transporte liviano.</x:v>
      </x:c>
      <x:c r="J17" s="93" t="str">
        <x:v>Web oficial Pilmhor</x:v>
      </x:c>
      <x:c r="K17" s="94" t="str">
        <x:v>https://www.pilmhor.com.ar/</x:v>
      </x:c>
    </x:row>
    <x:row r="18" ht="58" customHeight="1">
      <x:c r="A18" s="107" t="str">
        <x:v>CBA-076</x:v>
      </x:c>
      <x:c r="B18" s="104" t="str">
        <x:v>A</x:v>
      </x:c>
      <x:c r="C18" s="104" t="n">
        <x:v>86</x:v>
      </x:c>
      <x:c r="D18" s="99" t="str">
        <x:v>Acerbon S.R.L.</x:v>
      </x:c>
      <x:c r="E18" s="99" t="str">
        <x:v>chapa / estructuras / corte</x:v>
      </x:c>
      <x:c r="F18" s="99" t="str">
        <x:v>+54 351 626-5963 / 0351 466-1672</x:v>
      </x:c>
      <x:c r="G18" s="99" t="str">
        <x:v>Francisco de Arteaga 2281, Córdoba</x:v>
      </x:c>
      <x:c r="H18" s="99" t="str">
        <x:v>Despacho de chapas, piezas cortadas, estructuras y conjuntos soldados de gran dimensión/peso.</x:v>
      </x:c>
      <x:c r="I18" s="99" t="str">
        <x:v>Contactar expedición y consultar dimensiones/pesos máximos y frecuencia.</x:v>
      </x:c>
      <x:c r="J18" s="99" t="str">
        <x:v>Web oficial Acerbon</x:v>
      </x:c>
      <x:c r="K18" s="100" t="str">
        <x:v>https://acerbon.com.ar/</x:v>
      </x:c>
    </x:row>
    <x:row r="19" ht="58" customHeight="1">
      <x:c r="A19" s="108" t="str">
        <x:v>CBA-077</x:v>
      </x:c>
      <x:c r="B19" s="105" t="str">
        <x:v>A</x:v>
      </x:c>
      <x:c r="C19" s="105" t="n">
        <x:v>86</x:v>
      </x:c>
      <x:c r="D19" s="93" t="str">
        <x:v>Rubol S.A.I.C.F.</x:v>
      </x:c>
      <x:c r="E19" s="93" t="str">
        <x:v>forja / matrices / piezas pesadas</x:v>
      </x:c>
      <x:c r="F19" s="93" t="str">
        <x:v>0351 570-3114</x:v>
      </x:c>
      <x:c r="G19" s="93" t="str">
        <x:v>Av. Amadeo Sabattini 5369, Córdoba</x:v>
      </x:c>
      <x:c r="H19" s="93" t="str">
        <x:v>Movimiento de matrices, forjados y componentes metálicos pesados entre planta, clientes y proveedores.</x:v>
      </x:c>
      <x:c r="I19" s="93" t="str">
        <x:v>Contactar logística y preguntar por movimientos de matrices/equipos de gran peso.</x:v>
      </x:c>
      <x:c r="J19" s="93" t="str">
        <x:v>Web oficial Rubol</x:v>
      </x:c>
      <x:c r="K19" s="94" t="str">
        <x:v>https://rubol.com.ar/</x:v>
      </x:c>
    </x:row>
    <x:row r="20" ht="58" customHeight="1">
      <x:c r="A20" s="107" t="str">
        <x:v>CBA-078</x:v>
      </x:c>
      <x:c r="B20" s="104" t="str">
        <x:v>A</x:v>
      </x:c>
      <x:c r="C20" s="104" t="n">
        <x:v>86</x:v>
      </x:c>
      <x:c r="D20" s="99" t="str">
        <x:v>Pellacani S.R.L.</x:v>
      </x:c>
      <x:c r="E20" s="99" t="str">
        <x:v>mecanizado / automotriz / agro</x:v>
      </x:c>
      <x:c r="F20" s="99" t="str">
        <x:v>+54 9 351 417-3075</x:v>
      </x:c>
      <x:c r="G20" s="99" t="str">
        <x:v>Gral. Manuel Savio 5110, Ferreyra, Córdoba</x:v>
      </x:c>
      <x:c r="H20" s="99" t="str">
        <x:v>Traslado de conjuntos mecanizados, dispositivos, herramentales y componentes para vehículos/equipos pesados.</x:v>
      </x:c>
      <x:c r="I20" s="99" t="str">
        <x:v>Contactar logística/expedición de Ferreyra y relevar cargas especiales.</x:v>
      </x:c>
      <x:c r="J20" s="99" t="str">
        <x:v>Web oficial Pellacani</x:v>
      </x:c>
      <x:c r="K20" s="100" t="str">
        <x:v>https://www.pellacani.com.ar/</x:v>
      </x:c>
    </x:row>
    <x:row r="21" ht="58" customHeight="1">
      <x:c r="A21" s="108" t="str">
        <x:v>CBA-079</x:v>
      </x:c>
      <x:c r="B21" s="105" t="str">
        <x:v>A</x:v>
      </x:c>
      <x:c r="C21" s="105" t="n">
        <x:v>82</x:v>
      </x:c>
      <x:c r="D21" s="93" t="str">
        <x:v>RVM Servicios Metalúrgicos</x:v>
      </x:c>
      <x:c r="E21" s="93" t="str">
        <x:v>estructuras / chapa / tubos</x:v>
      </x:c>
      <x:c r="F21" s="93" t="str">
        <x:v>+54 351 876-0000</x:v>
      </x:c>
      <x:c r="G21" s="93" t="str">
        <x:v>Ana Riglos de Irigoyen 353, Córdoba</x:v>
      </x:c>
      <x:c r="H21" s="93" t="str">
        <x:v>Despacho de estructuras, tubos, chapas y conjuntos soldados de dimensiones variables hacia clientes industriales.</x:v>
      </x:c>
      <x:c r="I21" s="93" t="str">
        <x:v>Contactar expedición y validar pesos/dimensiones típicas.</x:v>
      </x:c>
      <x:c r="J21" s="93" t="str">
        <x:v>Web oficial RVM</x:v>
      </x:c>
      <x:c r="K21" s="94" t="str">
        <x:v>https://www.rvmserviciosmetalurgicos.com/</x:v>
      </x:c>
    </x:row>
    <x:row r="22" ht="58" customHeight="1">
      <x:c r="A22" s="107" t="str">
        <x:v>CBA-080</x:v>
      </x:c>
      <x:c r="B22" s="104" t="str">
        <x:v>A</x:v>
      </x:c>
      <x:c r="C22" s="104" t="n">
        <x:v>86</x:v>
      </x:c>
      <x:c r="D22" s="99" t="str">
        <x:v>Pertrak S.A.</x:v>
      </x:c>
      <x:c r="E22" s="99" t="str">
        <x:v>OEM / mecanizado / transporte pesado</x:v>
      </x:c>
      <x:c r="F22" s="99" t="str">
        <x:v>0351 420-5385</x:v>
      </x:c>
      <x:c r="G22" s="99" t="str">
        <x:v>Av. Amadeo Sabattini 5301, Córdoba</x:v>
      </x:c>
      <x:c r="H22" s="99" t="str">
        <x:v>Movimientos de herramentales, piezas mecanizadas, conjuntos y cargas industriales entre planta y OEMs.</x:v>
      </x:c>
      <x:c r="I22" s="99" t="str">
        <x:v>Contactar logística/planta y consultar traslados fuera de estándar.</x:v>
      </x:c>
      <x:c r="J22" s="99" t="str">
        <x:v>Web oficial Pertrak</x:v>
      </x:c>
      <x:c r="K22" s="100" t="str">
        <x:v>https://pertrak.com.ar/</x:v>
      </x:c>
    </x:row>
    <x:row r="23" ht="58" customHeight="1">
      <x:c r="A23" s="108" t="str">
        <x:v>CBA-081</x:v>
      </x:c>
      <x:c r="B23" s="105" t="str">
        <x:v>A</x:v>
      </x:c>
      <x:c r="C23" s="105" t="n">
        <x:v>86</x:v>
      </x:c>
      <x:c r="D23" s="93" t="str">
        <x:v>SOHIPREN S.A. / Livenza</x:v>
      </x:c>
      <x:c r="E23" s="93" t="str">
        <x:v>hidráulica / maquinaria</x:v>
      </x:c>
      <x:c r="F23" s="93" t="str">
        <x:v>0351 493-7200</x:v>
      </x:c>
      <x:c r="G23" s="93" t="str">
        <x:v>Av. Circunvalación Sudeste 126, Córdoba</x:v>
      </x:c>
      <x:c r="H23" s="93" t="str">
        <x:v>Despacho de componentes hidráulicos, equipos y conjuntos destinados a maquinaria agrícola, vial e industrial.</x:v>
      </x:c>
      <x:c r="I23" s="93" t="str">
        <x:v>Contactar expedición/ventas y relevar pesos, dimensiones y destinos habituales.</x:v>
      </x:c>
      <x:c r="J23" s="93" t="str">
        <x:v>Web oficial SOHIPREN</x:v>
      </x:c>
      <x:c r="K23" s="94" t="str">
        <x:v>https://sohipren.com/</x:v>
      </x:c>
    </x:row>
    <x:row r="24" ht="58" customHeight="1">
      <x:c r="A24" s="107" t="str">
        <x:v>CBA-082</x:v>
      </x:c>
      <x:c r="B24" s="104" t="str">
        <x:v>B</x:v>
      </x:c>
      <x:c r="C24" s="104" t="n">
        <x:v>80</x:v>
      </x:c>
      <x:c r="D24" s="99" t="str">
        <x:v>Perlisa S.R.L.</x:v>
      </x:c>
      <x:c r="E24" s="99" t="str">
        <x:v>chapa / corte láser</x:v>
      </x:c>
      <x:c r="F24" s="99" t="str">
        <x:v>0351 470-3338</x:v>
      </x:c>
      <x:c r="G24" s="99" t="str">
        <x:v>Rodríguez Peña 3247, Alta Córdoba, Córdoba</x:v>
      </x:c>
      <x:c r="H24" s="99" t="str">
        <x:v>Entrega de chapas procesadas, piezas y conjuntos metálicos; ocasional necesidad de cargas largas o voluminosas.</x:v>
      </x:c>
      <x:c r="I24" s="99" t="str">
        <x:v>Llamar a expedición y validar si manejan cargas &gt; utilitario/camión liviano.</x:v>
      </x:c>
      <x:c r="J24" s="99" t="str">
        <x:v>CIMCC / web de empresa</x:v>
      </x:c>
      <x:c r="K24" s="100" t="str">
        <x:v>http://www.perlisa.com.ar</x:v>
      </x:c>
    </x:row>
    <x:row r="25" ht="58" customHeight="1">
      <x:c r="A25" s="108" t="str">
        <x:v>CBA-083</x:v>
      </x:c>
      <x:c r="B25" s="105" t="str">
        <x:v>B</x:v>
      </x:c>
      <x:c r="C25" s="105" t="n">
        <x:v>78</x:v>
      </x:c>
      <x:c r="D25" s="93" t="str">
        <x:v>CAPEMI / A. Giacomelli S.A.</x:v>
      </x:c>
      <x:c r="E25" s="93" t="str">
        <x:v>autopartes / matrices</x:v>
      </x:c>
      <x:c r="F25" s="93" t="str">
        <x:v>0351 763-8712</x:v>
      </x:c>
      <x:c r="G25" s="93" t="str">
        <x:v>Ruta 9 km 690, Ferreyra, Córdoba</x:v>
      </x:c>
      <x:c r="H25" s="93" t="str">
        <x:v>Movimientos de componentes, matrices y cargas industriales entre planta y terminales/proveedores.</x:v>
      </x:c>
      <x:c r="I25" s="93" t="str">
        <x:v>Contactar logística y validar si tercerizan movimientos de matrices o equipos.</x:v>
      </x:c>
      <x:c r="J25" s="93" t="str">
        <x:v>Web oficial CAPEMI + CIMCC</x:v>
      </x:c>
      <x:c r="K25" s="94" t="str">
        <x:v>https://www.capemi.com.ar/</x:v>
      </x:c>
    </x:row>
    <x:row r="26" ht="58" customHeight="1">
      <x:c r="A26" s="109" t="str">
        <x:v>CBA-084</x:v>
      </x:c>
      <x:c r="B26" s="106" t="str">
        <x:v>B</x:v>
      </x:c>
      <x:c r="C26" s="106" t="n">
        <x:v>80</x:v>
      </x:c>
      <x:c r="D26" s="102" t="str">
        <x:v>Cor Love S.R.L.</x:v>
      </x:c>
      <x:c r="E26" s="102" t="str">
        <x:v>mecanizado / autopartes</x:v>
      </x:c>
      <x:c r="F26" s="102" t="str">
        <x:v>0351 465-3894 / +54 351 615-0090</x:v>
      </x:c>
      <x:c r="G26" s="102" t="str">
        <x:v>Leopoldo Casavega 2935, Villa Aspacia, Córdoba</x:v>
      </x:c>
      <x:c r="H26" s="102" t="str">
        <x:v>Traslado ocasional de herramentales, dispositivos, piezas y conjuntos entre planta y clientes industriales.</x:v>
      </x:c>
      <x:c r="I26" s="102" t="str">
        <x:v>Contactar expedición y validar cargas que excedan transporte convencional.</x:v>
      </x:c>
      <x:c r="J26" s="102" t="str">
        <x:v>Web oficial Cor Love</x:v>
      </x:c>
      <x:c r="K26" s="103" t="str">
        <x:v>https://corlovesrl.com.ar/</x:v>
      </x:c>
    </x:row>
  </x:sheetData>
  <x:conditionalFormatting sqref="C2:C26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{BE032A83-ED56-B52D-FBED-3ADAF0919D0C}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E032A83-ED56-B52D-FBED-3ADAF0919D0C}">
            <x14:dataBar gradient="1">
              <x14:cfvo type="min"/>
              <x14:cfvo type="max"/>
              <x14:fillColor rgb="FF156082"/>
            </x14:dataBar>
          </x14:cfRule>
          <xm:sqref>C2:C26</xm:sqref>
        </x14:conditionalFormatting>
      </x14:conditionalFormattings>
    </x:ext>
  </x:extLst>
</x:worksheet>
</file>