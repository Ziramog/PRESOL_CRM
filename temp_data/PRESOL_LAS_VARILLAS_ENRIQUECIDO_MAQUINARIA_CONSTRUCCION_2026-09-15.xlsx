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00d4a086f347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spectos Resumen" sheetId="1" r:id="R3edeb880e66e42a4"/>
    <x:sheet xmlns:r="http://schemas.openxmlformats.org/officeDocument/2006/relationships" name="Prospectos" sheetId="2" r:id="R297b05f698184ab7"/>
    <x:sheet xmlns:r="http://schemas.openxmlformats.org/officeDocument/2006/relationships" name="Indicadores" sheetId="3" r:id="R5b176b48d7c4414d"/>
    <x:sheet xmlns:r="http://schemas.openxmlformats.org/officeDocument/2006/relationships" name="Foco A+" sheetId="4" r:id="R4de2d13a3eed41e9"/>
    <x:sheet xmlns:r="http://schemas.openxmlformats.org/officeDocument/2006/relationships" name="Zona ampliada" sheetId="5" r:id="Rc596afc8e53c474e"/>
    <x:sheet xmlns:r="http://schemas.openxmlformats.org/officeDocument/2006/relationships" name="Contactos a verificar" sheetId="6" r:id="Rb2bf296fe14b4248"/>
    <x:sheet xmlns:r="http://schemas.openxmlformats.org/officeDocument/2006/relationships" name="Servicios PRESOL" sheetId="7" r:id="R1a1123ef196f47a1"/>
    <x:sheet xmlns:r="http://schemas.openxmlformats.org/officeDocument/2006/relationships" name="Guía de uso" sheetId="8" r:id="R59a8eeae2412416c"/>
    <x:sheet xmlns:r="http://schemas.openxmlformats.org/officeDocument/2006/relationships" name="Refinamiento alto valor" sheetId="9" r:id="R090a95b365d44c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7">
    <x:font>
      <x:sz val="11"/>
      <x:name val="Carlito"/>
    </x:font>
    <x:font>
      <x:b/>
      <x:sz val="10"/>
      <x:color rgb="FFFFFFFF"/>
      <x:name val="Carlito"/>
    </x:font>
    <x:font>
      <x:b/>
      <x:sz val="18"/>
      <x:color rgb="FFFFFFFF"/>
      <x:name val="Carlito"/>
    </x:font>
    <x:font>
      <x:i/>
      <x:sz val="11"/>
      <x:color rgb="FF5B6573"/>
      <x:name val="Carlito"/>
    </x:font>
    <x:font>
      <x:b/>
      <x:sz val="11"/>
      <x:color rgb="FF12263A"/>
      <x:name val="Carlito"/>
    </x:font>
    <x:font>
      <x:b/>
      <x:sz val="14"/>
      <x:color rgb="FF12263A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2263A"/>
      </x:patternFill>
    </x:fill>
    <x:fill>
      <x:patternFill patternType="solid">
        <x:fgColor rgb="FFEAF0F6"/>
      </x:patternFill>
    </x:fill>
    <x:fill>
      <x:patternFill patternType="solid">
        <x:fgColor rgb="FF12263A"/>
      </x:patternFill>
    </x:fill>
    <x:fill>
      <x:patternFill patternType="solid">
        <x:fgColor rgb="FFEAF0F6"/>
      </x:patternFill>
    </x:fill>
  </x:fills>
  <x:borders count="2">
    <x:border/>
    <x:border/>
  </x:borders>
  <x:cellStyleXfs count="1">
    <x:xf numFmtId="0" fontId="0" fillId="0" borderId="0"/>
  </x:cellStyleXfs>
  <x:cellXfs count="4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horizontal="center"/>
    </x:xf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8">
    <x:dxf>
      <x:font>
        <x:b/>
        <x:color rgb="FF166534"/>
      </x:font>
      <x:fill>
        <x:patternFill>
          <x:bgColor rgb="FFDDF4E4"/>
        </x:patternFill>
      </x:fill>
    </x:dxf>
    <x:dxf>
      <x:font>
        <x:b/>
        <x:color rgb="FF7C5B00"/>
      </x:font>
      <x:fill>
        <x:patternFill>
          <x:bgColor rgb="FFFFF2CC"/>
        </x:patternFill>
      </x:fill>
    </x:dxf>
    <x:dxf>
      <x:fill>
        <x:patternFill>
          <x:bgColor rgb="FFE8EDF3"/>
        </x:patternFill>
      </x:fill>
    </x:dxf>
    <x:dxf>
      <x:font>
        <x:b/>
        <x:color rgb="FFB91C1C"/>
      </x:font>
      <x:fill>
        <x:patternFill>
          <x:bgColor rgb="FFFDE2E2"/>
        </x:patternFill>
      </x:fill>
    </x:dxf>
    <x:dxf>
      <x:font>
        <x:b/>
        <x:color rgb="FF166534"/>
      </x:font>
      <x:fill>
        <x:patternFill>
          <x:bgColor rgb="FFDDF4E4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8EDF3"/>
        </x:patternFill>
      </x:fill>
    </x:dxf>
    <x:dxf>
      <x:font>
        <x:b/>
        <x:color rgb="FF166534"/>
      </x:font>
      <x:fill>
        <x:patternFill patternType="solid">
          <x:bgColor rgb="FFDDF4E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ec09a966dc4d71" /><Relationship Type="http://schemas.openxmlformats.org/officeDocument/2006/relationships/theme" Target="/xl/theme/theme1.xml" Id="Rc7de5a9e6b9e48be" /><Relationship Type="http://schemas.openxmlformats.org/officeDocument/2006/relationships/sharedStrings" Target="/xl/sharedStrings.xml" Id="R8269316fcce34b71" /><Relationship Type="http://schemas.openxmlformats.org/officeDocument/2006/relationships/worksheet" Target="/xl/worksheets/sheet1.xml" Id="R3edeb880e66e42a4" /><Relationship Type="http://schemas.openxmlformats.org/officeDocument/2006/relationships/worksheet" Target="/xl/worksheets/sheet2.xml" Id="R297b05f698184ab7" /><Relationship Type="http://schemas.openxmlformats.org/officeDocument/2006/relationships/worksheet" Target="/xl/worksheets/sheet3.xml" Id="R5b176b48d7c4414d" /><Relationship Type="http://schemas.openxmlformats.org/officeDocument/2006/relationships/worksheet" Target="/xl/worksheets/sheet4.xml" Id="R4de2d13a3eed41e9" /><Relationship Type="http://schemas.openxmlformats.org/officeDocument/2006/relationships/worksheet" Target="/xl/worksheets/sheet5.xml" Id="Rc596afc8e53c474e" /><Relationship Type="http://schemas.openxmlformats.org/officeDocument/2006/relationships/worksheet" Target="/xl/worksheets/sheet6.xml" Id="Rb2bf296fe14b4248" /><Relationship Type="http://schemas.openxmlformats.org/officeDocument/2006/relationships/worksheet" Target="/xl/worksheets/sheet7.xml" Id="R1a1123ef196f47a1" /><Relationship Type="http://schemas.openxmlformats.org/officeDocument/2006/relationships/worksheet" Target="/xl/worksheets/sheet8.xml" Id="R59a8eeae2412416c" /><Relationship Type="http://schemas.openxmlformats.org/officeDocument/2006/relationships/worksheet" Target="/xl/worksheets/sheet9.xml" Id="R090a95b365d44c2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63e231fc56a4c2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Prospectos por prioridad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Prospectos</c:v>
          </c:tx>
          <c:cat>
            <c:strRef>
              <c:f>'Indicadores'!$A$4:$A$6</c:f>
              <c:strCache>
                <c:ptCount val="0"/>
              </c:strCache>
            </c:strRef>
          </c:cat>
          <c:val>
            <c:numRef>
              <c:f>'Indicadores'!$B$4:$B$6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9</xdr:row>
      <xdr:rowOff>0</xdr:rowOff>
    </xdr:from>
    <xdr:to>
      <xdr:col>8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63e231fc56a4c24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2" name="ResumenLasVarillas" displayName="ResumenLasVarillas" ref="A13:L85" headerRowCount="1" totalsRowCount="0" totalsRowShown="0">
  <x:tableColumns count="12">
    <x:tableColumn id="1" name="ID"/>
    <x:tableColumn id="2" name="Área"/>
    <x:tableColumn id="3" name="Localidad"/>
    <x:tableColumn id="4" name="Clase"/>
    <x:tableColumn id="5" name="Score"/>
    <x:tableColumn id="6" name="Empresa"/>
    <x:tableColumn id="7" name="Categoría"/>
    <x:tableColumn id="8" name="Teléfonos"/>
    <x:tableColumn id="9" name="Microzona"/>
    <x:tableColumn id="10" name="Acción sugerida"/>
    <x:tableColumn id="11" name="Google Maps"/>
    <x:tableColumn id="12" name="Estado/verificació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ProspectosLasVarillas" displayName="ProspectosLasVarillas" ref="A1:AF73" headerRowCount="1" totalsRowCount="0" totalsRowShown="0">
  <x:tableColumns count="32">
    <x:tableColumn id="1" name="ID"/>
    <x:tableColumn id="2" name="Estado de contacto"/>
    <x:tableColumn id="3" name="Área"/>
    <x:tableColumn id="4" name="Localidad"/>
    <x:tableColumn id="5" name="Microzona / corredor"/>
    <x:tableColumn id="6" name="Clase"/>
    <x:tableColumn id="7" name="Score"/>
    <x:tableColumn id="8" name="Empresa"/>
    <x:tableColumn id="9" name="Categoría"/>
    <x:tableColumn id="10" name="Teléfonos"/>
    <x:tableColumn id="11" name="Calidad teléfono"/>
    <x:tableColumn id="12" name="Preguntar por"/>
    <x:tableColumn id="13" name="Necesidad probable"/>
    <x:tableColumn id="14" name="Oferta PRESOL"/>
    <x:tableColumn id="15" name="Gancho comercial"/>
    <x:tableColumn id="16" name="Acción sugerida"/>
    <x:tableColumn id="17" name="Responsable"/>
    <x:tableColumn id="18" name="Dirección"/>
    <x:tableColumn id="19" name="Resultado"/>
    <x:tableColumn id="20" name="Fecha visita"/>
    <x:tableColumn id="21" name="Próximo paso"/>
    <x:tableColumn id="22" name="Notas de campo"/>
    <x:tableColumn id="23" name="Teléfono principal"/>
    <x:tableColumn id="24" name="Google Maps"/>
    <x:tableColumn id="25" name="Fuente"/>
    <x:tableColumn id="26" name="URL fuente"/>
    <x:tableColumn id="27" name="Evidencia"/>
    <x:tableColumn id="28" name="Calidad del dato"/>
    <x:tableColumn id="29" name="Estado/verificación"/>
    <x:tableColumn id="30" name="Origen"/>
    <x:tableColumn id="31" name="Servicios PRESOL"/>
    <x:tableColumn id="32" name="Prioridad sugerida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ocoAPlusLasVarillas" displayName="FocoAPlusLasVarillas" ref="A3:L35" headerRowCount="1" totalsRowCount="0" totalsRowShown="0">
  <x:tableColumns count="12">
    <x:tableColumn id="1" name="Orden"/>
    <x:tableColumn id="2" name="Área"/>
    <x:tableColumn id="3" name="Localidad"/>
    <x:tableColumn id="4" name="Empresa"/>
    <x:tableColumn id="5" name="Score"/>
    <x:tableColumn id="6" name="Categoría"/>
    <x:tableColumn id="7" name="Teléfono"/>
    <x:tableColumn id="8" name="Dirección"/>
    <x:tableColumn id="9" name="Preguntar por"/>
    <x:tableColumn id="10" name="Necesidad"/>
    <x:tableColumn id="11" name="Acción"/>
    <x:tableColumn id="12" name="Google Map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ZonaAmpliadaLasVarillas" displayName="ZonaAmpliadaLasVarillas" ref="A4:L17" headerRowCount="1" totalsRowCount="0" totalsRowShown="0">
  <x:tableColumns count="12">
    <x:tableColumn id="1" name="ID"/>
    <x:tableColumn id="2" name="Localidad"/>
    <x:tableColumn id="3" name="Clase"/>
    <x:tableColumn id="4" name="Score"/>
    <x:tableColumn id="5" name="Empresa"/>
    <x:tableColumn id="6" name="Categoría"/>
    <x:tableColumn id="7" name="Teléfono"/>
    <x:tableColumn id="8" name="Dirección"/>
    <x:tableColumn id="9" name="Preguntar por"/>
    <x:tableColumn id="10" name="Acción"/>
    <x:tableColumn id="11" name="Fuente"/>
    <x:tableColumn id="12" name="Google Map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ontactosVerificarLV" displayName="ContactosVerificarLV" ref="A1:J14" headerRowCount="1" totalsRowCount="0" totalsRowShown="0">
  <x:tableColumns count="10">
    <x:tableColumn id="1" name="ID"/>
    <x:tableColumn id="2" name="Clase"/>
    <x:tableColumn id="3" name="Empresa"/>
    <x:tableColumn id="4" name="Localidad"/>
    <x:tableColumn id="5" name="Teléfono"/>
    <x:tableColumn id="6" name="Estado"/>
    <x:tableColumn id="7" name="Preguntar por"/>
    <x:tableColumn id="8" name="Dirección"/>
    <x:tableColumn id="9" name="Fuente"/>
    <x:tableColumn id="10" name="URL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RefinamientoLasVarillas" displayName="RefinamientoLasVarillas" ref="A4:K10" headerRowCount="1" totalsRowCount="0" totalsRowShown="0">
  <x:tableColumns count="11">
    <x:tableColumn id="1" name="Tipo"/>
    <x:tableColumn id="2" name="ID"/>
    <x:tableColumn id="3" name="Clase"/>
    <x:tableColumn id="4" name="Score"/>
    <x:tableColumn id="5" name="Empresa"/>
    <x:tableColumn id="6" name="Rubro"/>
    <x:tableColumn id="7" name="Teléfono"/>
    <x:tableColumn id="8" name="Dirección"/>
    <x:tableColumn id="9" name="Preguntar por"/>
    <x:tableColumn id="10" name="Por qué interesa a PRESOL"/>
    <x:tableColumn id="11" name="Fuen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741711a3d494fc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1588ed4c72a4a7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e21060a76684428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7ae510b92c240e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ee658f45cf64f1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b0f8cce064a413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6.xml" Id="R84f28aa0bb0a489e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4" hidden="0" customWidth="1"/>
    <x:col min="3" max="3" width="20" hidden="0" customWidth="1"/>
    <x:col min="4" max="4" width="8" hidden="0" customWidth="1"/>
    <x:col min="5" max="5" width="8" hidden="0" customWidth="1"/>
    <x:col min="6" max="6" width="34" hidden="0" customWidth="1"/>
    <x:col min="7" max="7" width="36" hidden="0" customWidth="1"/>
    <x:col min="8" max="8" width="24" hidden="0" customWidth="1"/>
    <x:col min="9" max="9" width="24" hidden="0" customWidth="1"/>
    <x:col min="10" max="10" width="42" hidden="0" customWidth="1"/>
    <x:col min="11" max="11" width="40" hidden="0" customWidth="1"/>
    <x:col min="12" max="12" width="34" hidden="0" customWidth="1"/>
  </x:cols>
  <x:sheetData>
    <x:row r="1">
      <x:c r="A1" s="17" t="str">
        <x:v>PRESOL · ZONA LAS VARILLAS · PROSPECTOS</x:v>
      </x:c>
      <x:c r="B1" s="17"/>
      <x:c r="C1" s="17"/>
      <x:c r="D1" s="17"/>
      <x:c r="E1" s="17"/>
      <x:c r="F1" s="17"/>
      <x:c r="G1" s="17"/>
      <x:c r="H1" s="17"/>
      <x:c r="I1" s="17"/>
      <x:c r="J1" s="17"/>
      <x:c r="K1" s="17"/>
      <x:c r="L1" s="17"/>
    </x:row>
    <x:row r="2">
      <x:c r="A2" s="21" t="str">
        <x:v>Rastrillaje integral: Las Varillas núcleo + área ampliada (Alicia, El Arañado, Saturnino M. Laspiur y Sacanta) · 15/09/2026</x:v>
      </x:c>
      <x:c r="B2" s="21"/>
      <x:c r="C2" s="21"/>
      <x:c r="D2" s="21"/>
      <x:c r="E2" s="21"/>
      <x:c r="F2" s="21"/>
      <x:c r="G2" s="21"/>
      <x:c r="H2" s="21"/>
      <x:c r="I2" s="21"/>
      <x:c r="J2" s="21"/>
      <x:c r="K2" s="21"/>
      <x:c r="L2" s="21"/>
    </x:row>
    <x:row r="4">
      <x:c r="A4" s="24" t="str">
        <x:v>TOTAL</x:v>
      </x:c>
      <x:c r="B4" s="27" t="n">
        <x:f>COUNTA(Prospectos!H:H)-1</x:f>
        <x:v>72</x:v>
      </x:c>
    </x:row>
    <x:row r="5">
      <x:c r="A5" s="24" t="str">
        <x:v>NÚCLEO LAS VARILLAS</x:v>
      </x:c>
      <x:c r="B5" s="27" t="n">
        <x:f>COUNTIF(Prospectos!C:C,"Núcleo")</x:f>
        <x:v>59</x:v>
      </x:c>
    </x:row>
    <x:row r="6">
      <x:c r="A6" s="24" t="str">
        <x:v>ZONA AMPLIADA</x:v>
      </x:c>
      <x:c r="B6" s="27" t="n">
        <x:f>COUNTIF(Prospectos!C:C,"Zona ampliada")</x:f>
        <x:v>13</x:v>
      </x:c>
    </x:row>
    <x:row r="7">
      <x:c r="A7" s="24" t="str">
        <x:v>A+</x:v>
      </x:c>
      <x:c r="B7" s="27" t="n">
        <x:f>COUNTIF(Prospectos!F:F,"A+")</x:f>
        <x:v>32</x:v>
      </x:c>
    </x:row>
    <x:row r="8">
      <x:c r="A8" s="24" t="str">
        <x:v>A</x:v>
      </x:c>
      <x:c r="B8" s="27" t="n">
        <x:f>COUNTIF(Prospectos!F:F,"A")</x:f>
        <x:v>24</x:v>
      </x:c>
    </x:row>
    <x:row r="9">
      <x:c r="A9" s="24" t="str">
        <x:v>B</x:v>
      </x:c>
      <x:c r="B9" s="27" t="n">
        <x:f>COUNTIF(Prospectos!F:F,"B")</x:f>
        <x:v>16</x:v>
      </x:c>
    </x:row>
    <x:row r="10">
      <x:c r="A10" s="24" t="str">
        <x:v>TELÉFONOS OK</x:v>
      </x:c>
      <x:c r="B10" s="27" t="n">
        <x:f>COUNTIF(Prospectos!K:K,"OK")</x:f>
        <x:v>63</x:v>
      </x:c>
    </x:row>
    <x:row r="13">
      <x:c r="A13" s="6" t="str">
        <x:v>ID</x:v>
      </x:c>
      <x:c r="B13" s="6" t="str">
        <x:v>Área</x:v>
      </x:c>
      <x:c r="C13" s="6" t="str">
        <x:v>Localidad</x:v>
      </x:c>
      <x:c r="D13" s="6" t="str">
        <x:v>Clase</x:v>
      </x:c>
      <x:c r="E13" s="6" t="str">
        <x:v>Score</x:v>
      </x:c>
      <x:c r="F13" s="6" t="str">
        <x:v>Empresa</x:v>
      </x:c>
      <x:c r="G13" s="6" t="str">
        <x:v>Categoría</x:v>
      </x:c>
      <x:c r="H13" s="6" t="str">
        <x:v>Teléfonos</x:v>
      </x:c>
      <x:c r="I13" s="6" t="str">
        <x:v>Microzona</x:v>
      </x:c>
      <x:c r="J13" s="6" t="str">
        <x:v>Acción sugerida</x:v>
      </x:c>
      <x:c r="K13" s="6" t="str">
        <x:v>Google Maps</x:v>
      </x:c>
      <x:c r="L13" s="6" t="str">
        <x:v>Estado/verificación</x:v>
      </x:c>
    </x:row>
    <x:row r="14">
      <x:c r="A14" s="12" t="str">
        <x:v>LV-001</x:v>
      </x:c>
      <x:c r="B14" s="12" t="str">
        <x:v>Núcleo</x:v>
      </x:c>
      <x:c r="C14" s="12" t="str">
        <x:v>Las Varillas</x:v>
      </x:c>
      <x:c r="D14" s="12" t="str">
        <x:v>A+</x:v>
      </x:c>
      <x:c r="E14" s="12" t="n">
        <x:v>100</x:v>
      </x:c>
      <x:c r="F14" s="12" t="str">
        <x:v>CMZ S.A. - Zanello</x:v>
      </x:c>
      <x:c r="G14" s="12" t="str">
        <x:v>Fábrica de tractores y maquinaria vial</x:v>
      </x:c>
      <x:c r="H14" s="12" t="str">
        <x:v>+54 3533 681523</x:v>
      </x:c>
      <x:c r="I14" s="12" t="str">
        <x:v>Centro industrial</x:v>
      </x:c>
      <x:c r="J14" s="12" t="str">
        <x:v>Pedir logística/expedición/posventa y relevar cantidad de movimientos mensuales.</x:v>
      </x:c>
      <x:c r="K14" s="12" t="str">
        <x:v>https://www.google.com/maps/search/?api=1&amp;query=CMZ+S.A.+-+Zanello%2C+Buenos+Aires+582%2C+Las+Varillas%2C+C%C3%B3rdoba</x:v>
      </x:c>
      <x:c r="L14" s="12" t="str">
        <x:v>Operativo / verificar antes de visita</x:v>
      </x:c>
    </x:row>
    <x:row r="15">
      <x:c r="A15" s="12" t="str">
        <x:v>LV-002</x:v>
      </x:c>
      <x:c r="B15" s="12" t="str">
        <x:v>Núcleo</x:v>
      </x:c>
      <x:c r="C15" s="12" t="str">
        <x:v>Las Varillas</x:v>
      </x:c>
      <x:c r="D15" s="12" t="str">
        <x:v>A+</x:v>
      </x:c>
      <x:c r="E15" s="12" t="n">
        <x:v>100</x:v>
      </x:c>
      <x:c r="F15" s="12" t="str">
        <x:v>LRV Agro S.A.S.</x:v>
      </x:c>
      <x:c r="G15" s="12" t="str">
        <x:v>Concesionario integral de maquinaria agrícola</x:v>
      </x:c>
      <x:c r="H15" s="12" t="str">
        <x:v>A verificar</x:v>
      </x:c>
      <x:c r="I15" s="12" t="str">
        <x:v>Irazusta</x:v>
      </x:c>
      <x:c r="J15" s="12" t="str">
        <x:v>Pedir logística/expedición/posventa y relevar cantidad de movimientos mensuales.</x:v>
      </x:c>
      <x:c r="K15" s="12" t="str">
        <x:v>https://www.google.com/maps/search/?api=1&amp;query=LRV+Agro+S.A.S.%2C+Av.+Int.+Jos%C3%A9+Irazusta+423%2C+Las+Varillas%2C+C%C3%B3rdoba</x:v>
      </x:c>
      <x:c r="L15" s="12" t="str">
        <x:v>Operativo / verificar antes de visita</x:v>
      </x:c>
    </x:row>
    <x:row r="16">
      <x:c r="A16" s="12" t="str">
        <x:v>LV-003</x:v>
      </x:c>
      <x:c r="B16" s="12" t="str">
        <x:v>Núcleo</x:v>
      </x:c>
      <x:c r="C16" s="12" t="str">
        <x:v>Las Varillas</x:v>
      </x:c>
      <x:c r="D16" s="12" t="str">
        <x:v>A+</x:v>
      </x:c>
      <x:c r="E16" s="12" t="n">
        <x:v>100</x:v>
      </x:c>
      <x:c r="F16" s="12" t="str">
        <x:v>LUCAAL S.R.L.</x:v>
      </x:c>
      <x:c r="G16" s="12" t="str">
        <x:v>Fábrica de plantas asfálticas y equipos viales</x:v>
      </x:c>
      <x:c r="H16" s="12" t="str">
        <x:v>03533 420682</x:v>
      </x:c>
      <x:c r="I16" s="12" t="str">
        <x:v>Malvinas</x:v>
      </x:c>
      <x:c r="J16" s="12" t="str">
        <x:v>Pedir expedición/logística/producción y consultar pesos/dimensiones máximas.</x:v>
      </x:c>
      <x:c r="K16" s="12" t="str">
        <x:v>https://www.google.com/maps/search/?api=1&amp;query=LUCAAL+S.R.L.%2C+Malvinas+340%2C+Las+Varillas%2C+C%C3%B3rdoba</x:v>
      </x:c>
      <x:c r="L16" s="12" t="str">
        <x:v>Operativo / verificar antes de visita</x:v>
      </x:c>
    </x:row>
    <x:row r="17">
      <x:c r="A17" s="12" t="str">
        <x:v>LV-004</x:v>
      </x:c>
      <x:c r="B17" s="12" t="str">
        <x:v>Núcleo</x:v>
      </x:c>
      <x:c r="C17" s="12" t="str">
        <x:v>Las Varillas</x:v>
      </x:c>
      <x:c r="D17" s="12" t="str">
        <x:v>A+</x:v>
      </x:c>
      <x:c r="E17" s="12" t="n">
        <x:v>100</x:v>
      </x:c>
      <x:c r="F17" s="12" t="str">
        <x:v>Pauny S.A.</x:v>
      </x:c>
      <x:c r="G17" s="12" t="str">
        <x:v>Fábrica de tractores y maquinaria agrícola/vial</x:v>
      </x:c>
      <x:c r="H17" s="12" t="str">
        <x:v>+54 3533 423609</x:v>
      </x:c>
      <x:c r="I17" s="12" t="str">
        <x:v>Centro industrial / Maipú</x:v>
      </x:c>
      <x:c r="J17" s="12" t="str">
        <x:v>Pedir logística/expedición/posventa y relevar cantidad de movimientos mensuales.</x:v>
      </x:c>
      <x:c r="K17" s="12" t="str">
        <x:v>https://www.google.com/maps/search/?api=1&amp;query=Pauny+S.A.%2C+Maip%C3%BA+494%2C+Las+Varillas%2C+C%C3%B3rdoba</x:v>
      </x:c>
      <x:c r="L17" s="12" t="str">
        <x:v>Operativo / verificar antes de visita</x:v>
      </x:c>
    </x:row>
    <x:row r="18">
      <x:c r="A18" s="12" t="str">
        <x:v>LV-005</x:v>
      </x:c>
      <x:c r="B18" s="12" t="str">
        <x:v>Núcleo</x:v>
      </x:c>
      <x:c r="C18" s="12" t="str">
        <x:v>Las Varillas</x:v>
      </x:c>
      <x:c r="D18" s="12" t="str">
        <x:v>A+</x:v>
      </x:c>
      <x:c r="E18" s="12" t="n">
        <x:v>100</x:v>
      </x:c>
      <x:c r="F18" s="12" t="str">
        <x:v>Serviagro</x:v>
      </x:c>
      <x:c r="G18" s="12" t="str">
        <x:v>Servicios agro / picado / transporte de maquinaria</x:v>
      </x:c>
      <x:c r="H18" s="12" t="str">
        <x:v>+54 9 3533 686024 / 443139 / 685161</x:v>
      </x:c>
      <x:c r="I18" s="12" t="str">
        <x:v>Paraná</x:v>
      </x:c>
      <x:c r="J18" s="12" t="str">
        <x:v>Pedir operaciones/tráfico y ofrecer acuerdo de derivaciones.</x:v>
      </x:c>
      <x:c r="K18" s="12" t="str">
        <x:v>https://www.google.com/maps/search/?api=1&amp;query=Serviagro%2C+Paran%C3%A1+100%2C+Las+Varillas%2C+C%C3%B3rdoba</x:v>
      </x:c>
      <x:c r="L18" s="12" t="str">
        <x:v>Operativo / verificar antes de visita</x:v>
      </x:c>
    </x:row>
    <x:row r="19">
      <x:c r="A19" s="12" t="str">
        <x:v>LV-006</x:v>
      </x:c>
      <x:c r="B19" s="12" t="str">
        <x:v>Núcleo</x:v>
      </x:c>
      <x:c r="C19" s="12" t="str">
        <x:v>Las Varillas</x:v>
      </x:c>
      <x:c r="D19" s="12" t="str">
        <x:v>A+</x:v>
      </x:c>
      <x:c r="E19" s="12" t="n">
        <x:v>100</x:v>
      </x:c>
      <x:c r="F19" s="12" t="str">
        <x:v>TBeH Equipos Agro Viales S.A.</x:v>
      </x:c>
      <x:c r="G19" s="12" t="str">
        <x:v>Fábrica de maquinaria agrícola y vial</x:v>
      </x:c>
      <x:c r="H19" s="12" t="str">
        <x:v>03533 421281</x:v>
      </x:c>
      <x:c r="I19" s="12" t="str">
        <x:v>Irazusta</x:v>
      </x:c>
      <x:c r="J19" s="12" t="str">
        <x:v>Pedir logística/expedición/posventa y relevar cantidad de movimientos mensuales.</x:v>
      </x:c>
      <x:c r="K19" s="12" t="str">
        <x:v>https://www.google.com/maps/search/?api=1&amp;query=TBeH+Equipos+Agro+Viales+S.A.%2C+Irazuzta+260%2C+Las+Varillas%2C+C%C3%B3rdoba</x:v>
      </x:c>
      <x:c r="L19" s="12" t="str">
        <x:v>Operativo / verificar antes de visita</x:v>
      </x:c>
    </x:row>
    <x:row r="20">
      <x:c r="A20" s="12" t="str">
        <x:v>LV-007</x:v>
      </x:c>
      <x:c r="B20" s="12" t="str">
        <x:v>Núcleo</x:v>
      </x:c>
      <x:c r="C20" s="12" t="str">
        <x:v>Las Varillas</x:v>
      </x:c>
      <x:c r="D20" s="12" t="str">
        <x:v>A+</x:v>
      </x:c>
      <x:c r="E20" s="12" t="n">
        <x:v>100</x:v>
      </x:c>
      <x:c r="F20" s="12" t="str">
        <x:v>TRAMACO S.A.</x:v>
      </x:c>
      <x:c r="G20" s="12" t="str">
        <x:v>Concesionario maquinaria agrícola</x:v>
      </x:c>
      <x:c r="H20" s="12" t="str">
        <x:v>3533 686240 / 3516 211426</x:v>
      </x:c>
      <x:c r="I20" s="12" t="str">
        <x:v>RP13 km 121–124</x:v>
      </x:c>
      <x:c r="J20" s="12" t="str">
        <x:v>Pedir logística/expedición/posventa y relevar cantidad de movimientos mensuales.</x:v>
      </x:c>
      <x:c r="K20" s="12" t="str">
        <x:v>https://www.google.com/maps/search/?api=1&amp;query=TRAMACO+S.A.%2C+RP13+km+121%2C1%2C+Las+Varillas%2C+C%C3%B3rdoba</x:v>
      </x:c>
      <x:c r="L20" s="12" t="str">
        <x:v>Operativo / verificar antes de visita</x:v>
      </x:c>
    </x:row>
    <x:row r="21">
      <x:c r="A21" s="12" t="str">
        <x:v>LV-008</x:v>
      </x:c>
      <x:c r="B21" s="12" t="str">
        <x:v>Núcleo</x:v>
      </x:c>
      <x:c r="C21" s="12" t="str">
        <x:v>Las Varillas</x:v>
      </x:c>
      <x:c r="D21" s="12" t="str">
        <x:v>A+</x:v>
      </x:c>
      <x:c r="E21" s="12" t="n">
        <x:v>99</x:v>
      </x:c>
      <x:c r="F21" s="12" t="str">
        <x:v>Dachsa S.A. / Cerutti</x:v>
      </x:c>
      <x:c r="G21" s="12" t="str">
        <x:v>Fábrica de sembradoras, tolvas y equipos agrícolas</x:v>
      </x:c>
      <x:c r="H21" s="12" t="str">
        <x:v>03533 421363</x:v>
      </x:c>
      <x:c r="I21" s="12" t="str">
        <x:v>Mitre / industrial</x:v>
      </x:c>
      <x:c r="J21" s="12" t="str">
        <x:v>Contactar logística/operaciones y relevar necesidad real.</x:v>
      </x:c>
      <x:c r="K21" s="12" t="str">
        <x:v>https://www.google.com/maps/search/?api=1&amp;query=Dachsa+S.A.+%2F+Cerutti%2C+Bv.+Mitre+1050%2C+Las+Varillas%2C+C%C3%B3rdoba</x:v>
      </x:c>
      <x:c r="L21" s="12" t="str">
        <x:v>Operativo / verificar antes de visita</x:v>
      </x:c>
    </x:row>
    <x:row r="22">
      <x:c r="A22" s="12" t="str">
        <x:v>LV-009</x:v>
      </x:c>
      <x:c r="B22" s="12" t="str">
        <x:v>Núcleo</x:v>
      </x:c>
      <x:c r="C22" s="12" t="str">
        <x:v>Las Varillas</x:v>
      </x:c>
      <x:c r="D22" s="12" t="str">
        <x:v>A+</x:v>
      </x:c>
      <x:c r="E22" s="12" t="n">
        <x:v>99</x:v>
      </x:c>
      <x:c r="F22" s="12" t="str">
        <x:v>Ferrari Maquinarias</x:v>
      </x:c>
      <x:c r="G22" s="12" t="str">
        <x:v>Concesionario maquinaria agrícola nueva/usada</x:v>
      </x:c>
      <x:c r="H22" s="12" t="str">
        <x:v>03533 686174</x:v>
      </x:c>
      <x:c r="I22" s="12" t="str">
        <x:v>Av. Martín Fierro</x:v>
      </x:c>
      <x:c r="J22" s="12" t="str">
        <x:v>Pedir logística/expedición/posventa y relevar cantidad de movimientos mensuales.</x:v>
      </x:c>
      <x:c r="K22" s="12" t="str">
        <x:v>https://www.google.com/maps/search/?api=1&amp;query=Ferrari+Maquinarias%2C+Av.+Mart%C3%ADn+Fierro+98%2C+Las+Varillas%2C+C%C3%B3rdoba</x:v>
      </x:c>
      <x:c r="L22" s="12" t="str">
        <x:v>Operativo / verificar antes de visita</x:v>
      </x:c>
    </x:row>
    <x:row r="23">
      <x:c r="A23" s="12" t="str">
        <x:v>LV-010</x:v>
      </x:c>
      <x:c r="B23" s="12" t="str">
        <x:v>Núcleo</x:v>
      </x:c>
      <x:c r="C23" s="12" t="str">
        <x:v>Las Varillas</x:v>
      </x:c>
      <x:c r="D23" s="12" t="str">
        <x:v>A+</x:v>
      </x:c>
      <x:c r="E23" s="12" t="n">
        <x:v>99</x:v>
      </x:c>
      <x:c r="F23" s="12" t="str">
        <x:v>Grosspal</x:v>
      </x:c>
      <x:c r="G23" s="12" t="str">
        <x:v>Fábrica de implementos agrícolas</x:v>
      </x:c>
      <x:c r="H23" s="12" t="str">
        <x:v>03533 421968</x:v>
      </x:c>
      <x:c r="I23" s="12" t="str">
        <x:v>RN158 / Mitre</x:v>
      </x:c>
      <x:c r="J23" s="12" t="str">
        <x:v>Pedir logística/expedición/posventa y relevar cantidad de movimientos mensuales.</x:v>
      </x:c>
      <x:c r="K23" s="12" t="str">
        <x:v>https://www.google.com/maps/search/?api=1&amp;query=Grosspal%2C+B.+Mitre+900+%2F+RN158%2C+Las+Varillas%2C+C%C3%B3rdoba</x:v>
      </x:c>
      <x:c r="L23" s="12" t="str">
        <x:v>Operativo / verificar antes de visita</x:v>
      </x:c>
    </x:row>
    <x:row r="24">
      <x:c r="A24" s="12" t="str">
        <x:v>LV-011</x:v>
      </x:c>
      <x:c r="B24" s="12" t="str">
        <x:v>Núcleo</x:v>
      </x:c>
      <x:c r="C24" s="12" t="str">
        <x:v>Las Varillas</x:v>
      </x:c>
      <x:c r="D24" s="12" t="str">
        <x:v>A+</x:v>
      </x:c>
      <x:c r="E24" s="12" t="n">
        <x:v>99</x:v>
      </x:c>
      <x:c r="F24" s="12" t="str">
        <x:v>J. Boeris Maquinarias</x:v>
      </x:c>
      <x:c r="G24" s="12" t="str">
        <x:v>Concesionario multimarca agrícola y construcción</x:v>
      </x:c>
      <x:c r="H24" s="12" t="str">
        <x:v>A verificar</x:v>
      </x:c>
      <x:c r="I24" s="12" t="str">
        <x:v>Irazusta</x:v>
      </x:c>
      <x:c r="J24" s="12" t="str">
        <x:v>Pedir logística/expedición/posventa y relevar cantidad de movimientos mensuales.</x:v>
      </x:c>
      <x:c r="K24" s="12" t="str">
        <x:v>https://www.google.com/maps/search/?api=1&amp;query=J.+Boeris+Maquinarias%2C+Int.+Irazusta+377%2C+Las+Varillas%2C+C%C3%B3rdoba</x:v>
      </x:c>
      <x:c r="L24" s="12" t="str">
        <x:v>Operativo / verificar antes de visita</x:v>
      </x:c>
    </x:row>
    <x:row r="25">
      <x:c r="A25" s="12" t="str">
        <x:v>LV-012</x:v>
      </x:c>
      <x:c r="B25" s="12" t="str">
        <x:v>Núcleo</x:v>
      </x:c>
      <x:c r="C25" s="12" t="str">
        <x:v>Las Varillas</x:v>
      </x:c>
      <x:c r="D25" s="12" t="str">
        <x:v>A+</x:v>
      </x:c>
      <x:c r="E25" s="12" t="n">
        <x:v>98</x:v>
      </x:c>
      <x:c r="F25" s="12" t="str">
        <x:v>AMG / Metalúrgica Acosta</x:v>
      </x:c>
      <x:c r="G25" s="12" t="str">
        <x:v>Maquinaria agrícola-ganadera / equipamiento forestal</x:v>
      </x:c>
      <x:c r="H25" s="12" t="str">
        <x:v>03533 420027 / 3533 457370</x:v>
      </x:c>
      <x:c r="I25" s="12" t="str">
        <x:v>Av. Martín Fierro</x:v>
      </x:c>
      <x:c r="J25" s="12" t="str">
        <x:v>Pedir logística/expedición/posventa y relevar cantidad de movimientos mensuales.</x:v>
      </x:c>
      <x:c r="K25" s="12" t="str">
        <x:v>https://www.google.com/maps/search/?api=1&amp;query=AMG+%2F+Metal%C3%BArgica+Acosta%2C+Mart%C3%ADn+Fierro+693%2C+Las+Varillas%2C+C%C3%B3rdoba</x:v>
      </x:c>
      <x:c r="L25" s="12" t="str">
        <x:v>Operativo / verificar antes de visita</x:v>
      </x:c>
    </x:row>
    <x:row r="26">
      <x:c r="A26" s="12" t="str">
        <x:v>LV-013</x:v>
      </x:c>
      <x:c r="B26" s="12" t="str">
        <x:v>Núcleo</x:v>
      </x:c>
      <x:c r="C26" s="12" t="str">
        <x:v>Las Varillas</x:v>
      </x:c>
      <x:c r="D26" s="12" t="str">
        <x:v>A+</x:v>
      </x:c>
      <x:c r="E26" s="12" t="n">
        <x:v>98</x:v>
      </x:c>
      <x:c r="F26" s="12" t="str">
        <x:v>Industrias Gallo S.A.</x:v>
      </x:c>
      <x:c r="G26" s="12" t="str">
        <x:v>Fábrica de acoplados y semirremolques</x:v>
      </x:c>
      <x:c r="H26" s="12" t="str">
        <x:v>03533 420556</x:v>
      </x:c>
      <x:c r="I26" s="12" t="str">
        <x:v>Mitre</x:v>
      </x:c>
      <x:c r="J26" s="12" t="str">
        <x:v>Pedir expedición/logística/producción y consultar pesos/dimensiones máximas.</x:v>
      </x:c>
      <x:c r="K26" s="12" t="str">
        <x:v>https://www.google.com/maps/search/?api=1&amp;query=Industrias+Gallo+S.A.%2C+Mitre+655%2C+Las+Varillas%2C+C%C3%B3rdoba</x:v>
      </x:c>
      <x:c r="L26" s="12" t="str">
        <x:v>Operativo / verificar antes de visita</x:v>
      </x:c>
    </x:row>
    <x:row r="27">
      <x:c r="A27" s="12" t="str">
        <x:v>LV-014</x:v>
      </x:c>
      <x:c r="B27" s="12" t="str">
        <x:v>Núcleo</x:v>
      </x:c>
      <x:c r="C27" s="12" t="str">
        <x:v>Las Varillas</x:v>
      </x:c>
      <x:c r="D27" s="12" t="str">
        <x:v>A+</x:v>
      </x:c>
      <x:c r="E27" s="12" t="n">
        <x:v>97</x:v>
      </x:c>
      <x:c r="F27" s="12" t="str">
        <x:v>Cagliero Maquinarias S.A.</x:v>
      </x:c>
      <x:c r="G27" s="12" t="str">
        <x:v>Venta mayorista de maquinaria / tractores / grúas</x:v>
      </x:c>
      <x:c r="H27" s="12" t="str">
        <x:v>03533 421713</x:v>
      </x:c>
      <x:c r="I27" s="12" t="str">
        <x:v>RN158</x:v>
      </x:c>
      <x:c r="J27" s="12" t="str">
        <x:v>Pedir logística/expedición/posventa y relevar cantidad de movimientos mensuales.</x:v>
      </x:c>
      <x:c r="K27" s="12" t="str">
        <x:v>https://www.google.com/maps/search/?api=1&amp;query=Cagliero+Maquinarias+S.A.%2C+RN158+s%2Fn%2C+Las+Varillas%2C+C%C3%B3rdoba</x:v>
      </x:c>
      <x:c r="L27" s="12" t="str">
        <x:v>Operativo / verificar antes de visita</x:v>
      </x:c>
    </x:row>
    <x:row r="28">
      <x:c r="A28" s="12" t="str">
        <x:v>LV-015</x:v>
      </x:c>
      <x:c r="B28" s="12" t="str">
        <x:v>Núcleo</x:v>
      </x:c>
      <x:c r="C28" s="12" t="str">
        <x:v>Las Varillas</x:v>
      </x:c>
      <x:c r="D28" s="12" t="str">
        <x:v>A+</x:v>
      </x:c>
      <x:c r="E28" s="12" t="n">
        <x:v>99</x:v>
      </x:c>
      <x:c r="F28" s="12" t="str">
        <x:v>Doffo - Maquinarias Agrícolas y Viales</x:v>
      </x:c>
      <x:c r="G28" s="12" t="str">
        <x:v>Venta de maquinaria agrícola y vial pesada</x:v>
      </x:c>
      <x:c r="H28" s="12" t="str">
        <x:v>03533 456851</x:v>
      </x:c>
      <x:c r="I28" s="12" t="str">
        <x:v>Rivadavia / Martín Fierro</x:v>
      </x:c>
      <x:c r="J28" s="12" t="str">
        <x:v>Pedir logística/expedición/posventa y relevar cantidad de movimientos mensuales.</x:v>
      </x:c>
      <x:c r="K28" s="12" t="str">
        <x:v>https://www.google.com/maps/search/?api=1&amp;query=Doffo+-+Maquinarias+Agr%C3%ADcolas+y+Viales%2C+B.+Rivadavia+s%2Fn%2C+Las+Varillas%2C+C%C3%B3rdoba</x:v>
      </x:c>
      <x:c r="L28" s="12" t="str">
        <x:v>Operativo / verificar antes de visita</x:v>
      </x:c>
    </x:row>
    <x:row r="29">
      <x:c r="A29" s="12" t="str">
        <x:v>LV-016</x:v>
      </x:c>
      <x:c r="B29" s="12" t="str">
        <x:v>Núcleo</x:v>
      </x:c>
      <x:c r="C29" s="12" t="str">
        <x:v>Las Varillas</x:v>
      </x:c>
      <x:c r="D29" s="12" t="str">
        <x:v>A+</x:v>
      </x:c>
      <x:c r="E29" s="12" t="n">
        <x:v>100</x:v>
      </x:c>
      <x:c r="F29" s="12" t="str">
        <x:v>GRIFFA S.A. Las Varillas</x:v>
      </x:c>
      <x:c r="G29" s="12" t="str">
        <x:v>Concesionario New Holland: tractores, cosechadoras, pulverizadoras y sembradoras</x:v>
      </x:c>
      <x:c r="H29" s="12" t="str">
        <x:v>3533 418506 / 3563 669009</x:v>
      </x:c>
      <x:c r="I29" s="12" t="str">
        <x:v>Irazusta</x:v>
      </x:c>
      <x:c r="J29" s="12" t="str">
        <x:v>Pedir logística/expedición/posventa y relevar cantidad de movimientos mensuales.</x:v>
      </x:c>
      <x:c r="K29" s="12" t="str">
        <x:v>https://www.google.com/maps/search/?api=1&amp;query=GRIFFA+S.A.+Las+Varillas%2C+Av.+Int.+Jos%C3%A9+Irazusta+272%2C+Las+Varillas%2C+C%C3%B3rdoba</x:v>
      </x:c>
      <x:c r="L29" s="12" t="str">
        <x:v>Operativo / verificar antes de visita</x:v>
      </x:c>
    </x:row>
    <x:row r="30">
      <x:c r="A30" s="12" t="str">
        <x:v>LV-017</x:v>
      </x:c>
      <x:c r="B30" s="12" t="str">
        <x:v>Núcleo</x:v>
      </x:c>
      <x:c r="C30" s="12" t="str">
        <x:v>Las Varillas</x:v>
      </x:c>
      <x:c r="D30" s="12" t="str">
        <x:v>A+</x:v>
      </x:c>
      <x:c r="E30" s="12" t="n">
        <x:v>96</x:v>
      </x:c>
      <x:c r="F30" s="12" t="str">
        <x:v>Campra S.A.</x:v>
      </x:c>
      <x:c r="G30" s="12" t="str">
        <x:v>Fábrica de implementos agrícolas</x:v>
      </x:c>
      <x:c r="H30" s="12" t="str">
        <x:v>+54 9 3533 474012</x:v>
      </x:c>
      <x:c r="I30" s="12" t="str">
        <x:v>Urquiza</x:v>
      </x:c>
      <x:c r="J30" s="12" t="str">
        <x:v>Pedir logística/expedición/posventa y relevar cantidad de movimientos mensuales.</x:v>
      </x:c>
      <x:c r="K30" s="12" t="str">
        <x:v>https://www.google.com/maps/search/?api=1&amp;query=Campra+S.A.%2C+J.+J.+Urquiza+201%2C+Las+Varillas%2C+C%C3%B3rdoba</x:v>
      </x:c>
      <x:c r="L30" s="12" t="str">
        <x:v>Operativo / verificar antes de visita</x:v>
      </x:c>
    </x:row>
    <x:row r="31">
      <x:c r="A31" s="12" t="str">
        <x:v>LV-018</x:v>
      </x:c>
      <x:c r="B31" s="12" t="str">
        <x:v>Núcleo</x:v>
      </x:c>
      <x:c r="C31" s="12" t="str">
        <x:v>Las Varillas</x:v>
      </x:c>
      <x:c r="D31" s="12" t="str">
        <x:v>A+</x:v>
      </x:c>
      <x:c r="E31" s="12" t="n">
        <x:v>100</x:v>
      </x:c>
      <x:c r="F31" s="12" t="str">
        <x:v>Produmat S.A.</x:v>
      </x:c>
      <x:c r="G31" s="12" t="str">
        <x:v>Fabricante de retroexcavadoras, cargadores frontales y equipos viales</x:v>
      </x:c>
      <x:c r="H31" s="12" t="str">
        <x:v>03533 421594 / 423685</x:v>
      </x:c>
      <x:c r="I31" s="12" t="str">
        <x:v>Chacabuco</x:v>
      </x:c>
      <x:c r="J31" s="12" t="str">
        <x:v>Pedir producción/expedición/mantenimiento y relevar piezas máximas/destinos.</x:v>
      </x:c>
      <x:c r="K31" s="12" t="str">
        <x:v>https://www.google.com/maps/search/?api=1&amp;query=Produmat+S.A.%2C+Chacabuco+645%2C+Las+Varillas%2C+C%C3%B3rdoba</x:v>
      </x:c>
      <x:c r="L31" s="12" t="str">
        <x:v>Operativo / verificar antes de visita</x:v>
      </x:c>
    </x:row>
    <x:row r="32">
      <x:c r="A32" s="12" t="str">
        <x:v>LV-019</x:v>
      </x:c>
      <x:c r="B32" s="12" t="str">
        <x:v>Núcleo</x:v>
      </x:c>
      <x:c r="C32" s="12" t="str">
        <x:v>Las Varillas</x:v>
      </x:c>
      <x:c r="D32" s="12" t="str">
        <x:v>A+</x:v>
      </x:c>
      <x:c r="E32" s="12" t="n">
        <x:v>96</x:v>
      </x:c>
      <x:c r="F32" s="12" t="str">
        <x:v>Walcrivic S.R.L.</x:v>
      </x:c>
      <x:c r="G32" s="12" t="str">
        <x:v>Concesionario / proveedor de maquinaria agrícola</x:v>
      </x:c>
      <x:c r="H32" s="12" t="str">
        <x:v>03533 438747 / 425520</x:v>
      </x:c>
      <x:c r="I32" s="12" t="str">
        <x:v>Cura Brochero / RP13</x:v>
      </x:c>
      <x:c r="J32" s="12" t="str">
        <x:v>Pedir logística/expedición/posventa y relevar cantidad de movimientos mensuales.</x:v>
      </x:c>
      <x:c r="K32" s="12" t="str">
        <x:v>https://www.google.com/maps/search/?api=1&amp;query=Walcrivic+S.R.L.%2C+Cura+Brochero+820%2C+Las+Varillas%2C+C%C3%B3rdoba</x:v>
      </x:c>
      <x:c r="L32" s="12" t="str">
        <x:v>Operativo / verificar antes de visita</x:v>
      </x:c>
    </x:row>
    <x:row r="33">
      <x:c r="A33" s="12" t="str">
        <x:v>LV-020</x:v>
      </x:c>
      <x:c r="B33" s="12" t="str">
        <x:v>Núcleo</x:v>
      </x:c>
      <x:c r="C33" s="12" t="str">
        <x:v>Las Varillas</x:v>
      </x:c>
      <x:c r="D33" s="12" t="str">
        <x:v>A+</x:v>
      </x:c>
      <x:c r="E33" s="12" t="n">
        <x:v>96</x:v>
      </x:c>
      <x:c r="F33" s="12" t="str">
        <x:v>Yaveza S.A.</x:v>
      </x:c>
      <x:c r="G33" s="12" t="str">
        <x:v>Maquinaria vial, tractores y maquinaria agrícola</x:v>
      </x:c>
      <x:c r="H33" s="12" t="str">
        <x:v>03533 456785</x:v>
      </x:c>
      <x:c r="I33" s="12" t="str">
        <x:v>Rivadavia / Irazusta</x:v>
      </x:c>
      <x:c r="J33" s="12" t="str">
        <x:v>Pedir logística/expedición/posventa y relevar cantidad de movimientos mensuales.</x:v>
      </x:c>
      <x:c r="K33" s="12" t="str">
        <x:v>https://www.google.com/maps/search/?api=1&amp;query=Yaveza+S.A.%2C+Rivadavia+721%2C+Las+Varillas%2C+C%C3%B3rdoba</x:v>
      </x:c>
      <x:c r="L33" s="12" t="str">
        <x:v>Operativo / verificar antes de visita</x:v>
      </x:c>
    </x:row>
    <x:row r="34">
      <x:c r="A34" s="12" t="str">
        <x:v>LV-021</x:v>
      </x:c>
      <x:c r="B34" s="12" t="str">
        <x:v>Núcleo</x:v>
      </x:c>
      <x:c r="C34" s="12" t="str">
        <x:v>Las Varillas</x:v>
      </x:c>
      <x:c r="D34" s="12" t="str">
        <x:v>A+</x:v>
      </x:c>
      <x:c r="E34" s="12" t="n">
        <x:v>95</x:v>
      </x:c>
      <x:c r="F34" s="12" t="str">
        <x:v>CILTON S.A.</x:v>
      </x:c>
      <x:c r="G34" s="12" t="str">
        <x:v>Cilindros hidráulicos agrícola/vial/industrial</x:v>
      </x:c>
      <x:c r="H34" s="12" t="str">
        <x:v>03533 420821</x:v>
      </x:c>
      <x:c r="I34" s="12" t="str">
        <x:v>Antártida</x:v>
      </x:c>
      <x:c r="J34" s="12" t="str">
        <x:v>Pedir producción/expedición/mantenimiento y relevar piezas máximas/destinos.</x:v>
      </x:c>
      <x:c r="K34" s="12" t="str">
        <x:v>https://www.google.com/maps/search/?api=1&amp;query=CILTON+S.A.%2C+Ant%C3%A1rtida+67%2C+Las+Varillas%2C+C%C3%B3rdoba</x:v>
      </x:c>
      <x:c r="L34" s="12" t="str">
        <x:v>Operativo / verificar antes de visita</x:v>
      </x:c>
    </x:row>
    <x:row r="35">
      <x:c r="A35" s="12" t="str">
        <x:v>LV-022</x:v>
      </x:c>
      <x:c r="B35" s="12" t="str">
        <x:v>Núcleo</x:v>
      </x:c>
      <x:c r="C35" s="12" t="str">
        <x:v>Las Varillas</x:v>
      </x:c>
      <x:c r="D35" s="12" t="str">
        <x:v>A+</x:v>
      </x:c>
      <x:c r="E35" s="12" t="n">
        <x:v>94</x:v>
      </x:c>
      <x:c r="F35" s="12" t="str">
        <x:v>Fundición PAUNY</x:v>
      </x:c>
      <x:c r="G35" s="12" t="str">
        <x:v>Fundición / componentes pesados</x:v>
      </x:c>
      <x:c r="H35" s="12" t="str">
        <x:v>03533 456837</x:v>
      </x:c>
      <x:c r="I35" s="12" t="str">
        <x:v>Área industrial</x:v>
      </x:c>
      <x:c r="J35" s="12" t="str">
        <x:v>Contactar logística/operaciones y relevar necesidad real.</x:v>
      </x:c>
      <x:c r="K35" s="12" t="str">
        <x:v>https://www.google.com/maps/search/?api=1&amp;query=Fundici%C3%B3n+PAUNY%2C+Las+Varillas%2C+C%C3%B3rdoba</x:v>
      </x:c>
      <x:c r="L35" s="12" t="str">
        <x:v>Operativo / verificar antes de visita</x:v>
      </x:c>
    </x:row>
    <x:row r="36">
      <x:c r="A36" s="12" t="str">
        <x:v>LV-023</x:v>
      </x:c>
      <x:c r="B36" s="12" t="str">
        <x:v>Núcleo</x:v>
      </x:c>
      <x:c r="C36" s="12" t="str">
        <x:v>Las Varillas</x:v>
      </x:c>
      <x:c r="D36" s="12" t="str">
        <x:v>A+</x:v>
      </x:c>
      <x:c r="E36" s="12" t="n">
        <x:v>94</x:v>
      </x:c>
      <x:c r="F36" s="12" t="str">
        <x:v>Industrias Favorito S.A.</x:v>
      </x:c>
      <x:c r="G36" s="12" t="str">
        <x:v>Fábrica de maquinaria agrícola</x:v>
      </x:c>
      <x:c r="H36" s="12" t="str">
        <x:v>03533 681254</x:v>
      </x:c>
      <x:c r="I36" s="12" t="str">
        <x:v>Irazusta</x:v>
      </x:c>
      <x:c r="J36" s="12" t="str">
        <x:v>Pedir logística/expedición/posventa y relevar cantidad de movimientos mensuales.</x:v>
      </x:c>
      <x:c r="K36" s="12" t="str">
        <x:v>https://www.google.com/maps/search/?api=1&amp;query=Industrias+Favorito+S.A.%2C+Irazusta+250%2C+Las+Varillas%2C+C%C3%B3rdoba</x:v>
      </x:c>
      <x:c r="L36" s="12" t="str">
        <x:v>Operativo / verificar antes de visita</x:v>
      </x:c>
    </x:row>
    <x:row r="37">
      <x:c r="A37" s="12" t="str">
        <x:v>LV-024</x:v>
      </x:c>
      <x:c r="B37" s="12" t="str">
        <x:v>Núcleo</x:v>
      </x:c>
      <x:c r="C37" s="12" t="str">
        <x:v>Las Varillas</x:v>
      </x:c>
      <x:c r="D37" s="12" t="str">
        <x:v>A+</x:v>
      </x:c>
      <x:c r="E37" s="12" t="n">
        <x:v>94</x:v>
      </x:c>
      <x:c r="F37" s="12" t="str">
        <x:v>Jotas Agro Implementos</x:v>
      </x:c>
      <x:c r="G37" s="12" t="str">
        <x:v>Fabricante de implementos agrícolas</x:v>
      </x:c>
      <x:c r="H37" s="12" t="str">
        <x:v>A verificar</x:v>
      </x:c>
      <x:c r="I37" s="12" t="str">
        <x:v>Las Varillas</x:v>
      </x:c>
      <x:c r="J37" s="12" t="str">
        <x:v>Pedir logística/expedición/posventa y relevar cantidad de movimientos mensuales.</x:v>
      </x:c>
      <x:c r="K37" s="12" t="str">
        <x:v>https://www.google.com/maps/search/?api=1&amp;query=Jotas+Agro+Implementos%2C+Las+Varillas%2C+C%C3%B3rdoba</x:v>
      </x:c>
      <x:c r="L37" s="12" t="str">
        <x:v>Operativo / verificar antes de visita</x:v>
      </x:c>
    </x:row>
    <x:row r="38">
      <x:c r="A38" s="12" t="str">
        <x:v>LV-025</x:v>
      </x:c>
      <x:c r="B38" s="12" t="str">
        <x:v>Núcleo</x:v>
      </x:c>
      <x:c r="C38" s="12" t="str">
        <x:v>Las Varillas</x:v>
      </x:c>
      <x:c r="D38" s="12" t="str">
        <x:v>A</x:v>
      </x:c>
      <x:c r="E38" s="12" t="n">
        <x:v>92</x:v>
      </x:c>
      <x:c r="F38" s="12" t="str">
        <x:v>Fer Mec S.A.</x:v>
      </x:c>
      <x:c r="G38" s="12" t="str">
        <x:v>Agropartes / transmisiones</x:v>
      </x:c>
      <x:c r="H38" s="12" t="str">
        <x:v>03533 422061 / 3533 443595</x:v>
      </x:c>
      <x:c r="I38" s="12" t="str">
        <x:v>Sargento Cabral</x:v>
      </x:c>
      <x:c r="J38" s="12" t="str">
        <x:v>Pedir producción/expedición/mantenimiento y relevar piezas máximas/destinos.</x:v>
      </x:c>
      <x:c r="K38" s="12" t="str">
        <x:v>https://www.google.com/maps/search/?api=1&amp;query=Fer+Mec+S.A.%2C+Sargento+Cabral+724%2C+Las+Varillas%2C+C%C3%B3rdoba</x:v>
      </x:c>
      <x:c r="L38" s="12" t="str">
        <x:v>Operativo / verificar antes de visita</x:v>
      </x:c>
    </x:row>
    <x:row r="39">
      <x:c r="A39" s="12" t="str">
        <x:v>LV-026</x:v>
      </x:c>
      <x:c r="B39" s="12" t="str">
        <x:v>Núcleo</x:v>
      </x:c>
      <x:c r="C39" s="12" t="str">
        <x:v>Las Varillas</x:v>
      </x:c>
      <x:c r="D39" s="12" t="str">
        <x:v>A</x:v>
      </x:c>
      <x:c r="E39" s="12" t="n">
        <x:v>90</x:v>
      </x:c>
      <x:c r="F39" s="12" t="str">
        <x:v>Ghiotti S.A.</x:v>
      </x:c>
      <x:c r="G39" s="12" t="str">
        <x:v>Repuestos para maquinaria / ruedas / acoplados</x:v>
      </x:c>
      <x:c r="H39" s="12" t="str">
        <x:v>03533 421831</x:v>
      </x:c>
      <x:c r="I39" s="12" t="str">
        <x:v>Deán Funes</x:v>
      </x:c>
      <x:c r="J39" s="12" t="str">
        <x:v>Pedir expedición/logística/producción y consultar pesos/dimensiones máximas.</x:v>
      </x:c>
      <x:c r="K39" s="12" t="str">
        <x:v>https://www.google.com/maps/search/?api=1&amp;query=Ghiotti+S.A.%2C+De%C3%A1n+Funes+y+Reconquista%2C+Las+Varillas%2C+C%C3%B3rdoba</x:v>
      </x:c>
      <x:c r="L39" s="12" t="str">
        <x:v>Operativo / verificar antes de visita</x:v>
      </x:c>
    </x:row>
    <x:row r="40">
      <x:c r="A40" s="12" t="str">
        <x:v>LV-027</x:v>
      </x:c>
      <x:c r="B40" s="12" t="str">
        <x:v>Núcleo</x:v>
      </x:c>
      <x:c r="C40" s="12" t="str">
        <x:v>Las Varillas</x:v>
      </x:c>
      <x:c r="D40" s="12" t="str">
        <x:v>A</x:v>
      </x:c>
      <x:c r="E40" s="12" t="n">
        <x:v>90</x:v>
      </x:c>
      <x:c r="F40" s="12" t="str">
        <x:v>Salvatico Hnos. S.A.</x:v>
      </x:c>
      <x:c r="G40" s="12" t="str">
        <x:v>Estructuras metálicas</x:v>
      </x:c>
      <x:c r="H40" s="12" t="str">
        <x:v>03533 451876</x:v>
      </x:c>
      <x:c r="I40" s="12" t="str">
        <x:v>Irazusta / RP13</x:v>
      </x:c>
      <x:c r="J40" s="12" t="str">
        <x:v>Pedir producción/expedición/mantenimiento y relevar piezas máximas/destinos.</x:v>
      </x:c>
      <x:c r="K40" s="12" t="str">
        <x:v>https://www.google.com/maps/search/?api=1&amp;query=Salvatico+Hnos.+S.A.%2C+Av.+Int.+Jos%C3%A9+Irazusta+51%2C+Las+Varillas%2C+C%C3%B3rdoba</x:v>
      </x:c>
      <x:c r="L40" s="12" t="str">
        <x:v>Operativo / verificar antes de visita</x:v>
      </x:c>
    </x:row>
    <x:row r="41">
      <x:c r="A41" s="12" t="str">
        <x:v>LV-028</x:v>
      </x:c>
      <x:c r="B41" s="12" t="str">
        <x:v>Núcleo</x:v>
      </x:c>
      <x:c r="C41" s="12" t="str">
        <x:v>Las Varillas</x:v>
      </x:c>
      <x:c r="D41" s="12" t="str">
        <x:v>A</x:v>
      </x:c>
      <x:c r="E41" s="12" t="n">
        <x:v>89</x:v>
      </x:c>
      <x:c r="F41" s="12" t="str">
        <x:v>Dealbera Hnos. S.A.</x:v>
      </x:c>
      <x:c r="G41" s="12" t="str">
        <x:v>Repuestos para maquinaria</x:v>
      </x:c>
      <x:c r="H41" s="12" t="str">
        <x:v>03533 422692</x:v>
      </x:c>
      <x:c r="I41" s="12" t="str">
        <x:v>Tucumán</x:v>
      </x:c>
      <x:c r="J41" s="12" t="str">
        <x:v>Pedir producción/expedición/mantenimiento y relevar piezas máximas/destinos.</x:v>
      </x:c>
      <x:c r="K41" s="12" t="str">
        <x:v>https://www.google.com/maps/search/?api=1&amp;query=Dealbera+Hnos.+S.A.%2C+Tucum%C3%A1n+537%2C+Las+Varillas%2C+C%C3%B3rdoba</x:v>
      </x:c>
      <x:c r="L41" s="12" t="str">
        <x:v>Operativo / verificar antes de visita</x:v>
      </x:c>
    </x:row>
    <x:row r="42">
      <x:c r="A42" s="12" t="str">
        <x:v>LV-029</x:v>
      </x:c>
      <x:c r="B42" s="12" t="str">
        <x:v>Núcleo</x:v>
      </x:c>
      <x:c r="C42" s="12" t="str">
        <x:v>Las Varillas</x:v>
      </x:c>
      <x:c r="D42" s="12" t="str">
        <x:v>A</x:v>
      </x:c>
      <x:c r="E42" s="12" t="n">
        <x:v>88</x:v>
      </x:c>
      <x:c r="F42" s="12" t="str">
        <x:v>Metalúrgica Andi</x:v>
      </x:c>
      <x:c r="G42" s="12" t="str">
        <x:v>Fábrica de maquinaria</x:v>
      </x:c>
      <x:c r="H42" s="12" t="str">
        <x:v>03533 422001</x:v>
      </x:c>
      <x:c r="I42" s="12" t="str">
        <x:v>Alberdi</x:v>
      </x:c>
      <x:c r="J42" s="12" t="str">
        <x:v>Contactar logística/operaciones y relevar necesidad real.</x:v>
      </x:c>
      <x:c r="K42" s="12" t="str">
        <x:v>https://www.google.com/maps/search/?api=1&amp;query=Metal%C3%BArgica+Andi%2C+Juan+B.+Alberdi+545%2C+Las+Varillas%2C+C%C3%B3rdoba</x:v>
      </x:c>
      <x:c r="L42" s="12" t="str">
        <x:v>Operativo / verificar antes de visita</x:v>
      </x:c>
    </x:row>
    <x:row r="43">
      <x:c r="A43" s="12" t="str">
        <x:v>LV-030</x:v>
      </x:c>
      <x:c r="B43" s="12" t="str">
        <x:v>Núcleo</x:v>
      </x:c>
      <x:c r="C43" s="12" t="str">
        <x:v>Las Varillas</x:v>
      </x:c>
      <x:c r="D43" s="12" t="str">
        <x:v>A</x:v>
      </x:c>
      <x:c r="E43" s="12" t="n">
        <x:v>88</x:v>
      </x:c>
      <x:c r="F43" s="12" t="str">
        <x:v>Repuestos y Servicios Zanello - Pauny</x:v>
      </x:c>
      <x:c r="G43" s="12" t="str">
        <x:v>Service / repuestos / tractores</x:v>
      </x:c>
      <x:c r="H43" s="12" t="str">
        <x:v>+54 3533 681979</x:v>
      </x:c>
      <x:c r="I43" s="12" t="str">
        <x:v>Cura Brochero</x:v>
      </x:c>
      <x:c r="J43" s="12" t="str">
        <x:v>Pedir logística/expedición/posventa y relevar cantidad de movimientos mensuales.</x:v>
      </x:c>
      <x:c r="K43" s="12" t="str">
        <x:v>https://www.google.com/maps/search/?api=1&amp;query=Repuestos+y+Servicios+Zanello+-+Pauny%2C+Cura+Brochero+771%2C+Las+Varillas%2C+C%C3%B3rdoba</x:v>
      </x:c>
      <x:c r="L43" s="12" t="str">
        <x:v>Operativo / verificar antes de visita</x:v>
      </x:c>
    </x:row>
    <x:row r="44">
      <x:c r="A44" s="12" t="str">
        <x:v>LV-031</x:v>
      </x:c>
      <x:c r="B44" s="12" t="str">
        <x:v>Núcleo</x:v>
      </x:c>
      <x:c r="C44" s="12" t="str">
        <x:v>Las Varillas</x:v>
      </x:c>
      <x:c r="D44" s="12" t="str">
        <x:v>A</x:v>
      </x:c>
      <x:c r="E44" s="12" t="n">
        <x:v>86</x:v>
      </x:c>
      <x:c r="F44" s="12" t="str">
        <x:v>Constructora del Valle S.A.</x:v>
      </x:c>
      <x:c r="G44" s="12" t="str">
        <x:v>Empresa constructora</x:v>
      </x:c>
      <x:c r="H44" s="12" t="str">
        <x:v>03533 474567</x:v>
      </x:c>
      <x:c r="I44" s="12" t="str">
        <x:v>Roque Sáenz Peña</x:v>
      </x:c>
      <x:c r="J44" s="12" t="str">
        <x:v>Pedir obras/logística/equipos; relevar maquinaria propia y frecuencia.</x:v>
      </x:c>
      <x:c r="K44" s="12" t="str">
        <x:v>https://www.google.com/maps/search/?api=1&amp;query=Constructora+del+Valle+S.A.%2C+Roque+S%C3%A1enz+Pe%C3%B1a+220%2C+Las+Varillas%2C+C%C3%B3rdoba</x:v>
      </x:c>
      <x:c r="L44" s="12" t="str">
        <x:v>Operativo / verificar antes de visita</x:v>
      </x:c>
    </x:row>
    <x:row r="45">
      <x:c r="A45" s="12" t="str">
        <x:v>LV-032</x:v>
      </x:c>
      <x:c r="B45" s="12" t="str">
        <x:v>Núcleo</x:v>
      </x:c>
      <x:c r="C45" s="12" t="str">
        <x:v>Las Varillas</x:v>
      </x:c>
      <x:c r="D45" s="12" t="str">
        <x:v>A</x:v>
      </x:c>
      <x:c r="E45" s="12" t="n">
        <x:v>86</x:v>
      </x:c>
      <x:c r="F45" s="12" t="str">
        <x:v>Distribuidora Pauny S.R.L.</x:v>
      </x:c>
      <x:c r="G45" s="12" t="str">
        <x:v>Distribución / repuestos Pauny</x:v>
      </x:c>
      <x:c r="H45" s="12" t="str">
        <x:v>+54 3533 456406</x:v>
      </x:c>
      <x:c r="I45" s="12" t="str">
        <x:v>Av. Martín Fierro</x:v>
      </x:c>
      <x:c r="J45" s="12" t="str">
        <x:v>Pedir producción/expedición/mantenimiento y relevar piezas máximas/destinos.</x:v>
      </x:c>
      <x:c r="K45" s="12" t="str">
        <x:v>https://www.google.com/maps/search/?api=1&amp;query=Distribuidora+Pauny+S.R.L.%2C+Av.+Mart%C3%ADn+Fierro+943%2C+Las+Varillas%2C+C%C3%B3rdoba</x:v>
      </x:c>
      <x:c r="L45" s="12" t="str">
        <x:v>Operativo / verificar antes de visita</x:v>
      </x:c>
    </x:row>
    <x:row r="46">
      <x:c r="A46" s="12" t="str">
        <x:v>LV-033</x:v>
      </x:c>
      <x:c r="B46" s="12" t="str">
        <x:v>Núcleo</x:v>
      </x:c>
      <x:c r="C46" s="12" t="str">
        <x:v>Las Varillas</x:v>
      </x:c>
      <x:c r="D46" s="12" t="str">
        <x:v>A</x:v>
      </x:c>
      <x:c r="E46" s="12" t="n">
        <x:v>84</x:v>
      </x:c>
      <x:c r="F46" s="12" t="str">
        <x:v>Constructora Betoncor</x:v>
      </x:c>
      <x:c r="G46" s="12" t="str">
        <x:v>Empresa constructora</x:v>
      </x:c>
      <x:c r="H46" s="12" t="str">
        <x:v>03533 686512</x:v>
      </x:c>
      <x:c r="I46" s="12" t="str">
        <x:v>RP13</x:v>
      </x:c>
      <x:c r="J46" s="12" t="str">
        <x:v>Pedir obras/logística/equipos; relevar maquinaria propia y frecuencia.</x:v>
      </x:c>
      <x:c r="K46" s="12" t="str">
        <x:v>https://www.google.com/maps/search/?api=1&amp;query=Constructora+Betoncor%2C+RP13%2C+Las+Varillas%2C+C%C3%B3rdoba</x:v>
      </x:c>
      <x:c r="L46" s="12" t="str">
        <x:v>Operativo / verificar antes de visita</x:v>
      </x:c>
    </x:row>
    <x:row r="47">
      <x:c r="A47" s="12" t="str">
        <x:v>LV-034</x:v>
      </x:c>
      <x:c r="B47" s="12" t="str">
        <x:v>Núcleo</x:v>
      </x:c>
      <x:c r="C47" s="12" t="str">
        <x:v>Las Varillas</x:v>
      </x:c>
      <x:c r="D47" s="12" t="str">
        <x:v>A</x:v>
      </x:c>
      <x:c r="E47" s="12" t="n">
        <x:v>84</x:v>
      </x:c>
      <x:c r="F47" s="12" t="str">
        <x:v>Hidráulica Las Varillas / PALVER</x:v>
      </x:c>
      <x:c r="G47" s="12" t="str">
        <x:v>Hidráulica / acoplados / reparación</x:v>
      </x:c>
      <x:c r="H47" s="12" t="str">
        <x:v>03533 420935</x:v>
      </x:c>
      <x:c r="I47" s="12" t="str">
        <x:v>RP13</x:v>
      </x:c>
      <x:c r="J47" s="12" t="str">
        <x:v>Pedir expedición/logística/producción y consultar pesos/dimensiones máximas.</x:v>
      </x:c>
      <x:c r="K47" s="12" t="str">
        <x:v>https://www.google.com/maps/search/?api=1&amp;query=Hidr%C3%A1ulica+Las+Varillas+%2F+PALVER%2C+RP13+km+122%2C+Las+Varillas%2C+C%C3%B3rdoba</x:v>
      </x:c>
      <x:c r="L47" s="12" t="str">
        <x:v>Operativo / verificar antes de visita</x:v>
      </x:c>
    </x:row>
    <x:row r="48">
      <x:c r="A48" s="12" t="str">
        <x:v>LV-035</x:v>
      </x:c>
      <x:c r="B48" s="12" t="str">
        <x:v>Núcleo</x:v>
      </x:c>
      <x:c r="C48" s="12" t="str">
        <x:v>Las Varillas</x:v>
      </x:c>
      <x:c r="D48" s="12" t="str">
        <x:v>A</x:v>
      </x:c>
      <x:c r="E48" s="12" t="n">
        <x:v>84</x:v>
      </x:c>
      <x:c r="F48" s="12" t="str">
        <x:v>Metalúrgica Ribba</x:v>
      </x:c>
      <x:c r="G48" s="12" t="str">
        <x:v>Metalmecánica / mecanizados</x:v>
      </x:c>
      <x:c r="H48" s="12" t="str">
        <x:v>03533 442954</x:v>
      </x:c>
      <x:c r="I48" s="12" t="str">
        <x:v>Paraná</x:v>
      </x:c>
      <x:c r="J48" s="12" t="str">
        <x:v>Pedir producción/expedición/mantenimiento y relevar piezas máximas/destinos.</x:v>
      </x:c>
      <x:c r="K48" s="12" t="str">
        <x:v>https://www.google.com/maps/search/?api=1&amp;query=Metal%C3%BArgica+Ribba%2C+Paran%C3%A1+189%2C+Las+Varillas%2C+C%C3%B3rdoba</x:v>
      </x:c>
      <x:c r="L48" s="12" t="str">
        <x:v>Operativo / verificar antes de visita</x:v>
      </x:c>
    </x:row>
    <x:row r="49">
      <x:c r="A49" s="12" t="str">
        <x:v>LV-036</x:v>
      </x:c>
      <x:c r="B49" s="12" t="str">
        <x:v>Núcleo</x:v>
      </x:c>
      <x:c r="C49" s="12" t="str">
        <x:v>Las Varillas</x:v>
      </x:c>
      <x:c r="D49" s="12" t="str">
        <x:v>A</x:v>
      </x:c>
      <x:c r="E49" s="12" t="n">
        <x:v>80</x:v>
      </x:c>
      <x:c r="F49" s="12" t="str">
        <x:v>AG Agronova</x:v>
      </x:c>
      <x:c r="G49" s="12" t="str">
        <x:v>Maquinaria agrícola / productos agro</x:v>
      </x:c>
      <x:c r="H49" s="12" t="str">
        <x:v>03533 423253</x:v>
      </x:c>
      <x:c r="I49" s="12" t="str">
        <x:v>Bombero Cuggino</x:v>
      </x:c>
      <x:c r="J49" s="12" t="str">
        <x:v>Pedir logística/expedición/posventa y relevar cantidad de movimientos mensuales.</x:v>
      </x:c>
      <x:c r="K49" s="12" t="str">
        <x:v>https://www.google.com/maps/search/?api=1&amp;query=AG+Agronova%2C+Bombero+Luis+Cuggino+162%2C+Las+Varillas%2C+C%C3%B3rdoba</x:v>
      </x:c>
      <x:c r="L49" s="12" t="str">
        <x:v>Operativo / verificar antes de visita</x:v>
      </x:c>
    </x:row>
    <x:row r="50">
      <x:c r="A50" s="12" t="str">
        <x:v>LV-037</x:v>
      </x:c>
      <x:c r="B50" s="12" t="str">
        <x:v>Núcleo</x:v>
      </x:c>
      <x:c r="C50" s="12" t="str">
        <x:v>Las Varillas</x:v>
      </x:c>
      <x:c r="D50" s="12" t="str">
        <x:v>A</x:v>
      </x:c>
      <x:c r="E50" s="12" t="n">
        <x:v>80</x:v>
      </x:c>
      <x:c r="F50" s="12" t="str">
        <x:v>Servicio de Grúa El Nano</x:v>
      </x:c>
      <x:c r="G50" s="12" t="str">
        <x:v>Servicio de grúa</x:v>
      </x:c>
      <x:c r="H50" s="12" t="str">
        <x:v>03533 401400</x:v>
      </x:c>
      <x:c r="I50" s="12" t="str">
        <x:v>Francisco Beltrami</x:v>
      </x:c>
      <x:c r="J50" s="12" t="str">
        <x:v>Pedir operaciones/tráfico y ofrecer acuerdo de derivaciones.</x:v>
      </x:c>
      <x:c r="K50" s="12" t="str">
        <x:v>https://www.google.com/maps/search/?api=1&amp;query=Servicio+de+Gr%C3%BAa+El+Nano%2C+Francisco+Beltrami+235%2C+Las+Varillas%2C+C%C3%B3rdoba</x:v>
      </x:c>
      <x:c r="L50" s="12" t="str">
        <x:v>Operativo / verificar antes de visita</x:v>
      </x:c>
    </x:row>
    <x:row r="51">
      <x:c r="A51" s="12" t="str">
        <x:v>LV-038</x:v>
      </x:c>
      <x:c r="B51" s="12" t="str">
        <x:v>Núcleo</x:v>
      </x:c>
      <x:c r="C51" s="12" t="str">
        <x:v>Las Varillas</x:v>
      </x:c>
      <x:c r="D51" s="12" t="str">
        <x:v>A</x:v>
      </x:c>
      <x:c r="E51" s="12" t="n">
        <x:v>78</x:v>
      </x:c>
      <x:c r="F51" s="12" t="str">
        <x:v>AGD Las Varillas</x:v>
      </x:c>
      <x:c r="G51" s="12" t="str">
        <x:v>Agroindustria / oficina de compras</x:v>
      </x:c>
      <x:c r="H51" s="12" t="str">
        <x:v>0353 153433986</x:v>
      </x:c>
      <x:c r="I51" s="12" t="str">
        <x:v>RP13 x RN158</x:v>
      </x:c>
      <x:c r="J51" s="12" t="str">
        <x:v>Pedir logística/operaciones/compras y calificar frecuencia.</x:v>
      </x:c>
      <x:c r="K51" s="12" t="str">
        <x:v>https://www.google.com/maps/search/?api=1&amp;query=AGD+Las+Varillas%2C+RP13+y+RN158%2C+Las+Varillas%2C+C%C3%B3rdoba</x:v>
      </x:c>
      <x:c r="L51" s="12" t="str">
        <x:v>Operativo / verificar antes de visita</x:v>
      </x:c>
    </x:row>
    <x:row r="52">
      <x:c r="A52" s="12" t="str">
        <x:v>LV-039</x:v>
      </x:c>
      <x:c r="B52" s="12" t="str">
        <x:v>Núcleo</x:v>
      </x:c>
      <x:c r="C52" s="12" t="str">
        <x:v>Las Varillas</x:v>
      </x:c>
      <x:c r="D52" s="12" t="str">
        <x:v>A</x:v>
      </x:c>
      <x:c r="E52" s="12" t="n">
        <x:v>78</x:v>
      </x:c>
      <x:c r="F52" s="12" t="str">
        <x:v>Gallo Repuestos</x:v>
      </x:c>
      <x:c r="G52" s="12" t="str">
        <x:v>Repuestos / engranajes para maquinaria</x:v>
      </x:c>
      <x:c r="H52" s="12" t="str">
        <x:v>+54 9 3533 400048</x:v>
      </x:c>
      <x:c r="I52" s="12" t="str">
        <x:v>Mitre</x:v>
      </x:c>
      <x:c r="J52" s="12" t="str">
        <x:v>Pedir producción/expedición/mantenimiento y relevar piezas máximas/destinos.</x:v>
      </x:c>
      <x:c r="K52" s="12" t="str">
        <x:v>https://www.google.com/maps/search/?api=1&amp;query=Gallo+Repuestos%2C+B.+Mitre+561%2C+Las+Varillas%2C+C%C3%B3rdoba</x:v>
      </x:c>
      <x:c r="L52" s="12" t="str">
        <x:v>Operativo / verificar antes de visita</x:v>
      </x:c>
    </x:row>
    <x:row r="53">
      <x:c r="A53" s="12" t="str">
        <x:v>LV-040</x:v>
      </x:c>
      <x:c r="B53" s="12" t="str">
        <x:v>Núcleo</x:v>
      </x:c>
      <x:c r="C53" s="12" t="str">
        <x:v>Las Varillas</x:v>
      </x:c>
      <x:c r="D53" s="12" t="str">
        <x:v>A</x:v>
      </x:c>
      <x:c r="E53" s="12" t="n">
        <x:v>78</x:v>
      </x:c>
      <x:c r="F53" s="12" t="str">
        <x:v>Oleohidráulica Castro</x:v>
      </x:c>
      <x:c r="G53" s="12" t="str">
        <x:v>Servicio hidráulico agrícola</x:v>
      </x:c>
      <x:c r="H53" s="12" t="str">
        <x:v>03533 683749</x:v>
      </x:c>
      <x:c r="I53" s="12" t="str">
        <x:v>España</x:v>
      </x:c>
      <x:c r="J53" s="12" t="str">
        <x:v>Contactar logística/operaciones y relevar necesidad real.</x:v>
      </x:c>
      <x:c r="K53" s="12" t="str">
        <x:v>https://www.google.com/maps/search/?api=1&amp;query=Oleohidr%C3%A1ulica+Castro%2C+Espa%C3%B1a+842%2C+Las+Varillas%2C+C%C3%B3rdoba</x:v>
      </x:c>
      <x:c r="L53" s="12" t="str">
        <x:v>Operativo / verificar antes de visita</x:v>
      </x:c>
    </x:row>
    <x:row r="54">
      <x:c r="A54" s="12" t="str">
        <x:v>LV-041</x:v>
      </x:c>
      <x:c r="B54" s="12" t="str">
        <x:v>Núcleo</x:v>
      </x:c>
      <x:c r="C54" s="12" t="str">
        <x:v>Las Varillas</x:v>
      </x:c>
      <x:c r="D54" s="12" t="str">
        <x:v>A</x:v>
      </x:c>
      <x:c r="E54" s="12" t="n">
        <x:v>78</x:v>
      </x:c>
      <x:c r="F54" s="12" t="str">
        <x:v>Transporte Ceferino</x:v>
      </x:c>
      <x:c r="G54" s="12" t="str">
        <x:v>Transporte por camión</x:v>
      </x:c>
      <x:c r="H54" s="12" t="str">
        <x:v>03533 420367</x:v>
      </x:c>
      <x:c r="I54" s="12" t="str">
        <x:v>Almirante Brown</x:v>
      </x:c>
      <x:c r="J54" s="12" t="str">
        <x:v>Pedir operaciones/tráfico y ofrecer acuerdo de derivaciones.</x:v>
      </x:c>
      <x:c r="K54" s="12" t="str">
        <x:v>https://www.google.com/maps/search/?api=1&amp;query=Transporte+Ceferino%2C+Almte.+Brown%2C+Las+Varillas%2C+C%C3%B3rdoba</x:v>
      </x:c>
      <x:c r="L54" s="12" t="str">
        <x:v>Operativo / verificar antes de visita</x:v>
      </x:c>
    </x:row>
    <x:row r="55">
      <x:c r="A55" s="12" t="str">
        <x:v>LV-042</x:v>
      </x:c>
      <x:c r="B55" s="12" t="str">
        <x:v>Núcleo</x:v>
      </x:c>
      <x:c r="C55" s="12" t="str">
        <x:v>Las Varillas</x:v>
      </x:c>
      <x:c r="D55" s="12" t="str">
        <x:v>A</x:v>
      </x:c>
      <x:c r="E55" s="12" t="n">
        <x:v>78</x:v>
      </x:c>
      <x:c r="F55" s="12" t="str">
        <x:v>Transportes CV S.A.</x:v>
      </x:c>
      <x:c r="G55" s="12" t="str">
        <x:v>Transporte / alianza logística</x:v>
      </x:c>
      <x:c r="H55" s="12" t="str">
        <x:v>A verificar</x:v>
      </x:c>
      <x:c r="I55" s="12" t="str">
        <x:v>Morelli</x:v>
      </x:c>
      <x:c r="J55" s="12" t="str">
        <x:v>Pedir operaciones/tráfico y ofrecer acuerdo de derivaciones.</x:v>
      </x:c>
      <x:c r="K55" s="12" t="str">
        <x:v>https://www.google.com/maps/search/?api=1&amp;query=Transportes+CV+S.A.%2C+Escribano+Luis+Morelli+700%2C+Las+Varillas%2C+C%C3%B3rdoba</x:v>
      </x:c>
      <x:c r="L55" s="12" t="str">
        <x:v>Operativo / verificar antes de visita</x:v>
      </x:c>
    </x:row>
    <x:row r="56">
      <x:c r="A56" s="12" t="str">
        <x:v>LV-043</x:v>
      </x:c>
      <x:c r="B56" s="12" t="str">
        <x:v>Núcleo</x:v>
      </x:c>
      <x:c r="C56" s="12" t="str">
        <x:v>Las Varillas</x:v>
      </x:c>
      <x:c r="D56" s="12" t="str">
        <x:v>A</x:v>
      </x:c>
      <x:c r="E56" s="12" t="n">
        <x:v>77</x:v>
      </x:c>
      <x:c r="F56" s="12" t="str">
        <x:v>Transporte Vuelta Redonda S.A.</x:v>
      </x:c>
      <x:c r="G56" s="12" t="str">
        <x:v>Transporte por camión</x:v>
      </x:c>
      <x:c r="H56" s="12" t="str">
        <x:v>03533 436855</x:v>
      </x:c>
      <x:c r="I56" s="12" t="str">
        <x:v>Suipacha</x:v>
      </x:c>
      <x:c r="J56" s="12" t="str">
        <x:v>Pedir operaciones/tráfico y ofrecer acuerdo de derivaciones.</x:v>
      </x:c>
      <x:c r="K56" s="12" t="str">
        <x:v>https://www.google.com/maps/search/?api=1&amp;query=Transporte+Vuelta+Redonda+S.A.%2C+Suipacha%2C+Las+Varillas%2C+C%C3%B3rdoba</x:v>
      </x:c>
      <x:c r="L56" s="12" t="str">
        <x:v>Operativo / verificar antes de visita</x:v>
      </x:c>
    </x:row>
    <x:row r="57">
      <x:c r="A57" s="12" t="str">
        <x:v>LV-044</x:v>
      </x:c>
      <x:c r="B57" s="12" t="str">
        <x:v>Núcleo</x:v>
      </x:c>
      <x:c r="C57" s="12" t="str">
        <x:v>Las Varillas</x:v>
      </x:c>
      <x:c r="D57" s="12" t="str">
        <x:v>B</x:v>
      </x:c>
      <x:c r="E57" s="12" t="n">
        <x:v>68</x:v>
      </x:c>
      <x:c r="F57" s="12" t="str">
        <x:v>NOVA Construcciones S.A.</x:v>
      </x:c>
      <x:c r="G57" s="12" t="str">
        <x:v>Construcción / materiales</x:v>
      </x:c>
      <x:c r="H57" s="12" t="str">
        <x:v>A verificar</x:v>
      </x:c>
      <x:c r="I57" s="12" t="str">
        <x:v>Güemes</x:v>
      </x:c>
      <x:c r="J57" s="12" t="str">
        <x:v>Pedir obras/logística/equipos; relevar maquinaria propia y frecuencia.</x:v>
      </x:c>
      <x:c r="K57" s="12" t="str">
        <x:v>https://www.google.com/maps/search/?api=1&amp;query=NOVA+Construcciones+S.A.%2C+G%C3%BCemes+33%2C+Las+Varillas%2C+C%C3%B3rdoba</x:v>
      </x:c>
      <x:c r="L57" s="12" t="str">
        <x:v>Operativo / verificar antes de visita</x:v>
      </x:c>
    </x:row>
    <x:row r="58">
      <x:c r="A58" s="12" t="str">
        <x:v>LV-045</x:v>
      </x:c>
      <x:c r="B58" s="12" t="str">
        <x:v>Núcleo</x:v>
      </x:c>
      <x:c r="C58" s="12" t="str">
        <x:v>Las Varillas</x:v>
      </x:c>
      <x:c r="D58" s="12" t="str">
        <x:v>B</x:v>
      </x:c>
      <x:c r="E58" s="12" t="n">
        <x:v>68</x:v>
      </x:c>
      <x:c r="F58" s="12" t="str">
        <x:v>SC Oleohidráulica</x:v>
      </x:c>
      <x:c r="G58" s="12" t="str">
        <x:v>Reparación de sistemas hidráulicos</x:v>
      </x:c>
      <x:c r="H58" s="12" t="str">
        <x:v>A verificar</x:v>
      </x:c>
      <x:c r="I58" s="12" t="str">
        <x:v>Santa Cruz</x:v>
      </x:c>
      <x:c r="J58" s="12" t="str">
        <x:v>Contactar logística/operaciones y relevar necesidad real.</x:v>
      </x:c>
      <x:c r="K58" s="12" t="str">
        <x:v>https://www.google.com/maps/search/?api=1&amp;query=SC+Oleohidr%C3%A1ulica%2C+Santa+Cruz+141%2C+Las+Varillas%2C+C%C3%B3rdoba</x:v>
      </x:c>
      <x:c r="L58" s="12" t="str">
        <x:v>Operativo / verificar antes de visita</x:v>
      </x:c>
    </x:row>
    <x:row r="59">
      <x:c r="A59" s="12" t="str">
        <x:v>LV-046</x:v>
      </x:c>
      <x:c r="B59" s="12" t="str">
        <x:v>Núcleo</x:v>
      </x:c>
      <x:c r="C59" s="12" t="str">
        <x:v>Las Varillas</x:v>
      </x:c>
      <x:c r="D59" s="12" t="str">
        <x:v>B</x:v>
      </x:c>
      <x:c r="E59" s="12" t="n">
        <x:v>66</x:v>
      </x:c>
      <x:c r="F59" s="12" t="str">
        <x:v>Serv-Quim S.A.</x:v>
      </x:c>
      <x:c r="G59" s="12" t="str">
        <x:v>Insumos agro / químicos</x:v>
      </x:c>
      <x:c r="H59" s="12" t="str">
        <x:v>03533 423574</x:v>
      </x:c>
      <x:c r="I59" s="12" t="str">
        <x:v>San Juan</x:v>
      </x:c>
      <x:c r="J59" s="12" t="str">
        <x:v>Pedir logística/operaciones/compras y calificar frecuencia.</x:v>
      </x:c>
      <x:c r="K59" s="12" t="str">
        <x:v>https://www.google.com/maps/search/?api=1&amp;query=Serv-Quim+S.A.%2C+San+Juan+50%2C+Las+Varillas%2C+C%C3%B3rdoba</x:v>
      </x:c>
      <x:c r="L59" s="12" t="str">
        <x:v>Operativo / verificar antes de visita</x:v>
      </x:c>
    </x:row>
    <x:row r="60">
      <x:c r="A60" s="12" t="str">
        <x:v>LV-047</x:v>
      </x:c>
      <x:c r="B60" s="12" t="str">
        <x:v>Núcleo</x:v>
      </x:c>
      <x:c r="C60" s="12" t="str">
        <x:v>Las Varillas</x:v>
      </x:c>
      <x:c r="D60" s="12" t="str">
        <x:v>B</x:v>
      </x:c>
      <x:c r="E60" s="12" t="n">
        <x:v>65</x:v>
      </x:c>
      <x:c r="F60" s="12" t="str">
        <x:v>Central Block Las Varillas</x:v>
      </x:c>
      <x:c r="G60" s="12" t="str">
        <x:v>Bloques / materiales de construcción</x:v>
      </x:c>
      <x:c r="H60" s="12" t="str">
        <x:v>03533 502629</x:v>
      </x:c>
      <x:c r="I60" s="12" t="str">
        <x:v>Colón</x:v>
      </x:c>
      <x:c r="J60" s="12" t="str">
        <x:v>Pedir obras/logística/equipos; relevar maquinaria propia y frecuencia.</x:v>
      </x:c>
      <x:c r="K60" s="12" t="str">
        <x:v>https://www.google.com/maps/search/?api=1&amp;query=Central+Block+Las+Varillas%2C+Col%C3%B3n+432%2C+Las+Varillas%2C+C%C3%B3rdoba</x:v>
      </x:c>
      <x:c r="L60" s="12" t="str">
        <x:v>Operativo / verificar antes de visita</x:v>
      </x:c>
    </x:row>
    <x:row r="61">
      <x:c r="A61" s="12" t="str">
        <x:v>LV-048</x:v>
      </x:c>
      <x:c r="B61" s="12" t="str">
        <x:v>Núcleo</x:v>
      </x:c>
      <x:c r="C61" s="12" t="str">
        <x:v>Las Varillas</x:v>
      </x:c>
      <x:c r="D61" s="12" t="str">
        <x:v>B</x:v>
      </x:c>
      <x:c r="E61" s="12" t="n">
        <x:v>64</x:v>
      </x:c>
      <x:c r="F61" s="12" t="str">
        <x:v>Construcciones Romano</x:v>
      </x:c>
      <x:c r="G61" s="12" t="str">
        <x:v>Materiales / construcción</x:v>
      </x:c>
      <x:c r="H61" s="12" t="str">
        <x:v>03533 420060</x:v>
      </x:c>
      <x:c r="I61" s="12" t="str">
        <x:v>La Rioja</x:v>
      </x:c>
      <x:c r="J61" s="12" t="str">
        <x:v>Pedir obras/logística/equipos; relevar maquinaria propia y frecuencia.</x:v>
      </x:c>
      <x:c r="K61" s="12" t="str">
        <x:v>https://www.google.com/maps/search/?api=1&amp;query=Construcciones+Romano%2C+La+Rioja+245%2C+Las+Varillas%2C+C%C3%B3rdoba</x:v>
      </x:c>
      <x:c r="L61" s="12" t="str">
        <x:v>Operativo / verificar antes de visita</x:v>
      </x:c>
    </x:row>
    <x:row r="62">
      <x:c r="A62" s="12" t="str">
        <x:v>LV-049</x:v>
      </x:c>
      <x:c r="B62" s="12" t="str">
        <x:v>Núcleo</x:v>
      </x:c>
      <x:c r="C62" s="12" t="str">
        <x:v>Las Varillas</x:v>
      </x:c>
      <x:c r="D62" s="12" t="str">
        <x:v>B</x:v>
      </x:c>
      <x:c r="E62" s="12" t="n">
        <x:v>64</x:v>
      </x:c>
      <x:c r="F62" s="12" t="str">
        <x:v>Ingeniería Plástica Las Varillas S.R.L.</x:v>
      </x:c>
      <x:c r="G62" s="12" t="str">
        <x:v>Industria plástica / fabricación</x:v>
      </x:c>
      <x:c r="H62" s="12" t="str">
        <x:v>03533 425307 / 0351 5991212</x:v>
      </x:c>
      <x:c r="I62" s="12" t="str">
        <x:v>Bombero Cuggino</x:v>
      </x:c>
      <x:c r="J62" s="12" t="str">
        <x:v>Contactar logística/operaciones y relevar necesidad real.</x:v>
      </x:c>
      <x:c r="K62" s="12" t="str">
        <x:v>https://www.google.com/maps/search/?api=1&amp;query=Ingenier%C3%ADa+Pl%C3%A1stica+Las+Varillas+S.R.L.%2C+Bombero+Cuggino+241%2C+Las+Varillas%2C+C%C3%B3rdoba</x:v>
      </x:c>
      <x:c r="L62" s="12" t="str">
        <x:v>Operativo / verificar antes de visita</x:v>
      </x:c>
    </x:row>
    <x:row r="63">
      <x:c r="A63" s="12" t="str">
        <x:v>LV-050</x:v>
      </x:c>
      <x:c r="B63" s="12" t="str">
        <x:v>Núcleo</x:v>
      </x:c>
      <x:c r="C63" s="12" t="str">
        <x:v>Las Varillas</x:v>
      </x:c>
      <x:c r="D63" s="12" t="str">
        <x:v>B</x:v>
      </x:c>
      <x:c r="E63" s="12" t="n">
        <x:v>62</x:v>
      </x:c>
      <x:c r="F63" s="12" t="str">
        <x:v>Rotonda Rural</x:v>
      </x:c>
      <x:c r="G63" s="12" t="str">
        <x:v>Insumos y servicios para agro</x:v>
      </x:c>
      <x:c r="H63" s="12" t="str">
        <x:v>03533 425284</x:v>
      </x:c>
      <x:c r="I63" s="12" t="str">
        <x:v>Lavalle</x:v>
      </x:c>
      <x:c r="J63" s="12" t="str">
        <x:v>Contactar logística/operaciones y relevar necesidad real.</x:v>
      </x:c>
      <x:c r="K63" s="12" t="str">
        <x:v>https://www.google.com/maps/search/?api=1&amp;query=Rotonda+Rural%2C+Lavalle+306%2C+Las+Varillas%2C+C%C3%B3rdoba</x:v>
      </x:c>
      <x:c r="L63" s="12" t="str">
        <x:v>Operativo / verificar antes de visita</x:v>
      </x:c>
    </x:row>
    <x:row r="64">
      <x:c r="A64" s="12" t="str">
        <x:v>LV-051</x:v>
      </x:c>
      <x:c r="B64" s="12" t="str">
        <x:v>Núcleo</x:v>
      </x:c>
      <x:c r="C64" s="12" t="str">
        <x:v>Las Varillas</x:v>
      </x:c>
      <x:c r="D64" s="12" t="str">
        <x:v>B</x:v>
      </x:c>
      <x:c r="E64" s="12" t="n">
        <x:v>62</x:v>
      </x:c>
      <x:c r="F64" s="12" t="str">
        <x:v>Variagro Maquinarias S.A.</x:v>
      </x:c>
      <x:c r="G64" s="12" t="str">
        <x:v>Repuestos / maquinaria</x:v>
      </x:c>
      <x:c r="H64" s="12" t="str">
        <x:v>A verificar</x:v>
      </x:c>
      <x:c r="I64" s="12" t="str">
        <x:v>San Martín</x:v>
      </x:c>
      <x:c r="J64" s="12" t="str">
        <x:v>Pedir producción/expedición/mantenimiento y relevar piezas máximas/destinos.</x:v>
      </x:c>
      <x:c r="K64" s="12" t="str">
        <x:v>https://www.google.com/maps/search/?api=1&amp;query=Variagro+Maquinarias+S.A.%2C+San+Mart%C3%ADn+837%2C+Las+Varillas%2C+C%C3%B3rdoba</x:v>
      </x:c>
      <x:c r="L64" s="12" t="str">
        <x:v>VALIDAR OPERACIÓN COMERCIAL</x:v>
      </x:c>
    </x:row>
    <x:row r="65">
      <x:c r="A65" s="12" t="str">
        <x:v>LV-052</x:v>
      </x:c>
      <x:c r="B65" s="12" t="str">
        <x:v>Núcleo</x:v>
      </x:c>
      <x:c r="C65" s="12" t="str">
        <x:v>Las Varillas</x:v>
      </x:c>
      <x:c r="D65" s="12" t="str">
        <x:v>B</x:v>
      </x:c>
      <x:c r="E65" s="12" t="n">
        <x:v>60</x:v>
      </x:c>
      <x:c r="F65" s="12" t="str">
        <x:v>Corralón Acevedo</x:v>
      </x:c>
      <x:c r="G65" s="12" t="str">
        <x:v>Materiales de construcción</x:v>
      </x:c>
      <x:c r="H65" s="12" t="str">
        <x:v>03533 425026</x:v>
      </x:c>
      <x:c r="I65" s="12" t="str">
        <x:v>Sarmiento</x:v>
      </x:c>
      <x:c r="J65" s="12" t="str">
        <x:v>Pedir obras/logística/equipos; relevar maquinaria propia y frecuencia.</x:v>
      </x:c>
      <x:c r="K65" s="12" t="str">
        <x:v>https://www.google.com/maps/search/?api=1&amp;query=Corral%C3%B3n+Acevedo%2C+Sarmiento+470%2C+Las+Varillas%2C+C%C3%B3rdoba</x:v>
      </x:c>
      <x:c r="L65" s="12" t="str">
        <x:v>Operativo / verificar antes de visita</x:v>
      </x:c>
    </x:row>
    <x:row r="66">
      <x:c r="A66" s="12" t="str">
        <x:v>LV-053</x:v>
      </x:c>
      <x:c r="B66" s="12" t="str">
        <x:v>Núcleo</x:v>
      </x:c>
      <x:c r="C66" s="12" t="str">
        <x:v>Las Varillas</x:v>
      </x:c>
      <x:c r="D66" s="12" t="str">
        <x:v>B</x:v>
      </x:c>
      <x:c r="E66" s="12" t="n">
        <x:v>60</x:v>
      </x:c>
      <x:c r="F66" s="12" t="str">
        <x:v>Corralón Pisos y Revestimientos</x:v>
      </x:c>
      <x:c r="G66" s="12" t="str">
        <x:v>Materiales de construcción</x:v>
      </x:c>
      <x:c r="H66" s="12" t="str">
        <x:v>03533 420750</x:v>
      </x:c>
      <x:c r="I66" s="12" t="str">
        <x:v>Av. Martín Fierro</x:v>
      </x:c>
      <x:c r="J66" s="12" t="str">
        <x:v>Pedir obras/logística/equipos; relevar maquinaria propia y frecuencia.</x:v>
      </x:c>
      <x:c r="K66" s="12" t="str">
        <x:v>https://www.google.com/maps/search/?api=1&amp;query=Corral%C3%B3n+Pisos+y+Revestimientos%2C+Av.+Mart%C3%ADn+Fierro+410%2C+Las+Varillas%2C+C%C3%B3rdoba</x:v>
      </x:c>
      <x:c r="L66" s="12" t="str">
        <x:v>Operativo / verificar antes de visita</x:v>
      </x:c>
    </x:row>
    <x:row r="67">
      <x:c r="A67" s="12" t="str">
        <x:v>LV-054</x:v>
      </x:c>
      <x:c r="B67" s="12" t="str">
        <x:v>Núcleo</x:v>
      </x:c>
      <x:c r="C67" s="12" t="str">
        <x:v>Las Varillas</x:v>
      </x:c>
      <x:c r="D67" s="12" t="str">
        <x:v>B</x:v>
      </x:c>
      <x:c r="E67" s="12" t="n">
        <x:v>58</x:v>
      </x:c>
      <x:c r="F67" s="12" t="str">
        <x:v>Plásticos Las Varillas PLV</x:v>
      </x:c>
      <x:c r="G67" s="12" t="str">
        <x:v>Fábrica plástica</x:v>
      </x:c>
      <x:c r="H67" s="12" t="str">
        <x:v>03533 448164</x:v>
      </x:c>
      <x:c r="I67" s="12" t="str">
        <x:v>Martín Güemes</x:v>
      </x:c>
      <x:c r="J67" s="12" t="str">
        <x:v>Contactar logística/operaciones y relevar necesidad real.</x:v>
      </x:c>
      <x:c r="K67" s="12" t="str">
        <x:v>https://www.google.com/maps/search/?api=1&amp;query=Pl%C3%A1sticos+Las+Varillas+PLV%2C+Mart%C3%ADn+G%C3%BCemes+755%2C+Las+Varillas%2C+C%C3%B3rdoba</x:v>
      </x:c>
      <x:c r="L67" s="12" t="str">
        <x:v>Operativo / verificar antes de visita</x:v>
      </x:c>
    </x:row>
    <x:row r="68">
      <x:c r="A68" s="12" t="str">
        <x:v>LV-055</x:v>
      </x:c>
      <x:c r="B68" s="12" t="str">
        <x:v>Núcleo</x:v>
      </x:c>
      <x:c r="C68" s="12" t="str">
        <x:v>Las Varillas</x:v>
      </x:c>
      <x:c r="D68" s="12" t="str">
        <x:v>B</x:v>
      </x:c>
      <x:c r="E68" s="12" t="n">
        <x:v>55</x:v>
      </x:c>
      <x:c r="F68" s="12" t="str">
        <x:v>SIT MOBILI</x:v>
      </x:c>
      <x:c r="G68" s="12" t="str">
        <x:v>Fábrica de mobiliario</x:v>
      </x:c>
      <x:c r="H68" s="12" t="str">
        <x:v>03533 425307</x:v>
      </x:c>
      <x:c r="I68" s="12" t="str">
        <x:v>Bombero Cuggino</x:v>
      </x:c>
      <x:c r="J68" s="12" t="str">
        <x:v>Contactar logística/operaciones y relevar necesidad real.</x:v>
      </x:c>
      <x:c r="K68" s="12" t="str">
        <x:v>https://www.google.com/maps/search/?api=1&amp;query=SIT+MOBILI%2C+Luis+Cuggino+241%2C+Las+Varillas%2C+C%C3%B3rdoba</x:v>
      </x:c>
      <x:c r="L68" s="12" t="str">
        <x:v>Operativo / verificar antes de visita</x:v>
      </x:c>
    </x:row>
    <x:row r="69">
      <x:c r="A69" s="12" t="str">
        <x:v>LV-056</x:v>
      </x:c>
      <x:c r="B69" s="12" t="str">
        <x:v>Núcleo</x:v>
      </x:c>
      <x:c r="C69" s="12" t="str">
        <x:v>Las Varillas</x:v>
      </x:c>
      <x:c r="D69" s="12" t="str">
        <x:v>B</x:v>
      </x:c>
      <x:c r="E69" s="12" t="n">
        <x:v>50</x:v>
      </x:c>
      <x:c r="F69" s="12" t="str">
        <x:v>Auxilio y Grúas Ottero</x:v>
      </x:c>
      <x:c r="G69" s="12" t="str">
        <x:v>Auxilio / grúas</x:v>
      </x:c>
      <x:c r="H69" s="12" t="str">
        <x:v>03533 421681</x:v>
      </x:c>
      <x:c r="I69" s="12" t="str">
        <x:v>Santa Rosa</x:v>
      </x:c>
      <x:c r="J69" s="12" t="str">
        <x:v>Pedir operaciones/tráfico y ofrecer acuerdo de derivaciones.</x:v>
      </x:c>
      <x:c r="K69" s="12" t="str">
        <x:v>https://www.google.com/maps/search/?api=1&amp;query=Auxilio+y+Gr%C3%BAas+Ottero%2C+Santa+Rosa+54%2C+Las+Varillas%2C+C%C3%B3rdoba</x:v>
      </x:c>
      <x:c r="L69" s="12" t="str">
        <x:v>VALIDAR ACTIVIDAD: Google lo marca temporalmente cerrado</x:v>
      </x:c>
    </x:row>
    <x:row r="70">
      <x:c r="A70" s="12" t="str">
        <x:v>LV-057</x:v>
      </x:c>
      <x:c r="B70" s="12" t="str">
        <x:v>Zona ampliada</x:v>
      </x:c>
      <x:c r="C70" s="12" t="str">
        <x:v>El Arañado</x:v>
      </x:c>
      <x:c r="D70" s="12" t="str">
        <x:v>A+</x:v>
      </x:c>
      <x:c r="E70" s="12" t="n">
        <x:v>98</x:v>
      </x:c>
      <x:c r="F70" s="12" t="str">
        <x:v>Minari Implementos</x:v>
      </x:c>
      <x:c r="G70" s="12" t="str">
        <x:v>Fábrica de equipos forrajeros y viales</x:v>
      </x:c>
      <x:c r="H70" s="12" t="str">
        <x:v>+54 3533 686666</x:v>
      </x:c>
      <x:c r="I70" s="12" t="str">
        <x:v>El Arañado centro</x:v>
      </x:c>
      <x:c r="J70" s="12" t="str">
        <x:v>Pedir logística/expedición/posventa y relevar cantidad de movimientos mensuales.</x:v>
      </x:c>
      <x:c r="K70" s="12" t="str">
        <x:v>https://www.google.com/maps/search/?api=1&amp;query=Minari+Implementos%2C+Av.+San+Mart%C3%ADn+370%2C+El+Ara%C3%B1ado%2C+C%C3%B3rdoba</x:v>
      </x:c>
      <x:c r="L70" s="12" t="str">
        <x:v>Operativo / verificar antes de visita</x:v>
      </x:c>
    </x:row>
    <x:row r="71">
      <x:c r="A71" s="12" t="str">
        <x:v>LV-058</x:v>
      </x:c>
      <x:c r="B71" s="12" t="str">
        <x:v>Zona ampliada</x:v>
      </x:c>
      <x:c r="C71" s="12" t="str">
        <x:v>Alicia</x:v>
      </x:c>
      <x:c r="D71" s="12" t="str">
        <x:v>A+</x:v>
      </x:c>
      <x:c r="E71" s="12" t="n">
        <x:v>97</x:v>
      </x:c>
      <x:c r="F71" s="12" t="str">
        <x:v>Centenario Implementos</x:v>
      </x:c>
      <x:c r="G71" s="12" t="str">
        <x:v>Fábrica de implementos agrícolas y viales</x:v>
      </x:c>
      <x:c r="H71" s="12" t="str">
        <x:v>+54 3533 513477</x:v>
      </x:c>
      <x:c r="I71" s="12" t="str">
        <x:v>Alicia centro</x:v>
      </x:c>
      <x:c r="J71" s="12" t="str">
        <x:v>Pedir logística/expedición/posventa y relevar cantidad de movimientos mensuales.</x:v>
      </x:c>
      <x:c r="K71" s="12" t="str">
        <x:v>https://www.google.com/maps/search/?api=1&amp;query=Centenario+Implementos%2C+Rioja+560%2C+Alicia%2C+C%C3%B3rdoba</x:v>
      </x:c>
      <x:c r="L71" s="12" t="str">
        <x:v>Operativo / verificar antes de visita</x:v>
      </x:c>
    </x:row>
    <x:row r="72">
      <x:c r="A72" s="12" t="str">
        <x:v>LV-059</x:v>
      </x:c>
      <x:c r="B72" s="12" t="str">
        <x:v>Zona ampliada</x:v>
      </x:c>
      <x:c r="C72" s="12" t="str">
        <x:v>Sacanta</x:v>
      </x:c>
      <x:c r="D72" s="12" t="str">
        <x:v>A+</x:v>
      </x:c>
      <x:c r="E72" s="12" t="n">
        <x:v>96</x:v>
      </x:c>
      <x:c r="F72" s="12" t="str">
        <x:v>Baudo S.R.L. - Molinos y Agropartes</x:v>
      </x:c>
      <x:c r="G72" s="12" t="str">
        <x:v>Fábrica de molinos y agropartes</x:v>
      </x:c>
      <x:c r="H72" s="12" t="str">
        <x:v>+54 9 3533 404134 / 03533 492187</x:v>
      </x:c>
      <x:c r="I72" s="12" t="str">
        <x:v>Centro / RP13</x:v>
      </x:c>
      <x:c r="J72" s="12" t="str">
        <x:v>Pedir producción/expedición/mantenimiento y relevar piezas máximas/destinos.</x:v>
      </x:c>
      <x:c r="K72" s="12" t="str">
        <x:v>https://www.google.com/maps/search/?api=1&amp;query=Baudo+S.R.L.+-+Molinos+y+Agropartes%2C+25+de+Mayo+314%2C+Sacanta%2C+C%C3%B3rdoba</x:v>
      </x:c>
      <x:c r="L72" s="12" t="str">
        <x:v>Operativo / verificar antes de visita</x:v>
      </x:c>
    </x:row>
    <x:row r="73">
      <x:c r="A73" s="12" t="str">
        <x:v>LV-060</x:v>
      </x:c>
      <x:c r="B73" s="12" t="str">
        <x:v>Zona ampliada</x:v>
      </x:c>
      <x:c r="C73" s="12" t="str">
        <x:v>El Arañado</x:v>
      </x:c>
      <x:c r="D73" s="12" t="str">
        <x:v>A+</x:v>
      </x:c>
      <x:c r="E73" s="12" t="n">
        <x:v>96</x:v>
      </x:c>
      <x:c r="F73" s="12" t="str">
        <x:v>Nymaco Implementos Agrícolas y Viales</x:v>
      </x:c>
      <x:c r="G73" s="12" t="str">
        <x:v>Fábrica de maquinaria agrícola y vial</x:v>
      </x:c>
      <x:c r="H73" s="12" t="str">
        <x:v>+54 3471 15592664</x:v>
      </x:c>
      <x:c r="I73" s="12" t="str">
        <x:v>El Arañado centro</x:v>
      </x:c>
      <x:c r="J73" s="12" t="str">
        <x:v>Pedir logística/expedición/posventa y relevar cantidad de movimientos mensuales.</x:v>
      </x:c>
      <x:c r="K73" s="12" t="str">
        <x:v>https://www.google.com/maps/search/?api=1&amp;query=Nymaco+Implementos+Agr%C3%ADcolas+y+Viales%2C+San+Mart%C3%ADn+370%2C+El+Ara%C3%B1ado%2C+C%C3%B3rdoba</x:v>
      </x:c>
      <x:c r="L73" s="12" t="str">
        <x:v>Operativo / verificar antes de visita</x:v>
      </x:c>
    </x:row>
    <x:row r="74">
      <x:c r="A74" s="12" t="str">
        <x:v>LV-061</x:v>
      </x:c>
      <x:c r="B74" s="12" t="str">
        <x:v>Zona ampliada</x:v>
      </x:c>
      <x:c r="C74" s="12" t="str">
        <x:v>Saturnino M. Laspiur</x:v>
      </x:c>
      <x:c r="D74" s="12" t="str">
        <x:v>A+</x:v>
      </x:c>
      <x:c r="E74" s="12" t="n">
        <x:v>94</x:v>
      </x:c>
      <x:c r="F74" s="12" t="str">
        <x:v>Plásticos Laspiur S.R.L.</x:v>
      </x:c>
      <x:c r="G74" s="12" t="str">
        <x:v>Tanques, cisternas y equipos sobre camión</x:v>
      </x:c>
      <x:c r="H74" s="12" t="str">
        <x:v>03533 491414 / 491441 / 491558</x:v>
      </x:c>
      <x:c r="I74" s="12" t="str">
        <x:v>Av. Bornancini</x:v>
      </x:c>
      <x:c r="J74" s="12" t="str">
        <x:v>Pedir expedición/logística/producción y consultar pesos/dimensiones máximas.</x:v>
      </x:c>
      <x:c r="K74" s="12" t="str">
        <x:v>https://www.google.com/maps/search/?api=1&amp;query=Pl%C3%A1sticos+Laspiur+S.R.L.%2C+Av.+Dr.+Bornancini+525%2C+Saturnino+Mar%C3%ADa+Laspiur%2C+C%C3%B3rdoba</x:v>
      </x:c>
      <x:c r="L74" s="12" t="str">
        <x:v>Operativo / verificar antes de visita</x:v>
      </x:c>
    </x:row>
    <x:row r="75">
      <x:c r="A75" s="12" t="str">
        <x:v>LV-062</x:v>
      </x:c>
      <x:c r="B75" s="12" t="str">
        <x:v>Zona ampliada</x:v>
      </x:c>
      <x:c r="C75" s="12" t="str">
        <x:v>El Arañado</x:v>
      </x:c>
      <x:c r="D75" s="12" t="str">
        <x:v>A</x:v>
      </x:c>
      <x:c r="E75" s="12" t="n">
        <x:v>84</x:v>
      </x:c>
      <x:c r="F75" s="12" t="str">
        <x:v>Gobetto Metalúrgica</x:v>
      </x:c>
      <x:c r="G75" s="12" t="str">
        <x:v>Metalúrgica</x:v>
      </x:c>
      <x:c r="H75" s="12" t="str">
        <x:v> +54 9 3533 444833</x:v>
      </x:c>
      <x:c r="I75" s="12" t="str">
        <x:v>RP13</x:v>
      </x:c>
      <x:c r="J75" s="12" t="str">
        <x:v>Pedir producción/expedición/mantenimiento y relevar piezas máximas/destinos.</x:v>
      </x:c>
      <x:c r="K75" s="12" t="str">
        <x:v>https://www.google.com/maps/search/?api=1&amp;query=Gobetto+Metal%C3%BArgica%2C+RP13%2C+El+Ara%C3%B1ado%2C+C%C3%B3rdoba</x:v>
      </x:c>
      <x:c r="L75" s="12" t="str">
        <x:v>Operativo / verificar antes de visita</x:v>
      </x:c>
    </x:row>
    <x:row r="76">
      <x:c r="A76" s="12" t="str">
        <x:v>LV-063</x:v>
      </x:c>
      <x:c r="B76" s="12" t="str">
        <x:v>Zona ampliada</x:v>
      </x:c>
      <x:c r="C76" s="12" t="str">
        <x:v>Alicia</x:v>
      </x:c>
      <x:c r="D76" s="12" t="str">
        <x:v>A</x:v>
      </x:c>
      <x:c r="E76" s="12" t="n">
        <x:v>82</x:v>
      </x:c>
      <x:c r="F76" s="12" t="str">
        <x:v>G y C S.R.L.</x:v>
      </x:c>
      <x:c r="G76" s="12" t="str">
        <x:v>Servicios de maquinaria agrícola</x:v>
      </x:c>
      <x:c r="H76" s="12" t="str">
        <x:v>A verificar</x:v>
      </x:c>
      <x:c r="I76" s="12" t="str">
        <x:v>Alicia</x:v>
      </x:c>
      <x:c r="J76" s="12" t="str">
        <x:v>Pedir logística/expedición/posventa y relevar cantidad de movimientos mensuales.</x:v>
      </x:c>
      <x:c r="K76" s="12" t="str">
        <x:v>https://www.google.com/maps/search/?api=1&amp;query=G+y+C+S.R.L.%2C+Sarmiento+1009%2C+Alicia%2C+C%C3%B3rdoba</x:v>
      </x:c>
      <x:c r="L76" s="12" t="str">
        <x:v>Operativo / verificar antes de visita</x:v>
      </x:c>
    </x:row>
    <x:row r="77">
      <x:c r="A77" s="12" t="str">
        <x:v>LV-064</x:v>
      </x:c>
      <x:c r="B77" s="12" t="str">
        <x:v>Zona ampliada</x:v>
      </x:c>
      <x:c r="C77" s="12" t="str">
        <x:v>Saturnino M. Laspiur</x:v>
      </x:c>
      <x:c r="D77" s="12" t="str">
        <x:v>A</x:v>
      </x:c>
      <x:c r="E77" s="12" t="n">
        <x:v>76</x:v>
      </x:c>
      <x:c r="F77" s="12" t="str">
        <x:v>Transporte Daghero</x:v>
      </x:c>
      <x:c r="G77" s="12" t="str">
        <x:v>Transporte de mercancías</x:v>
      </x:c>
      <x:c r="H77" s="12" t="str">
        <x:v>+54 9 3533 451375</x:v>
      </x:c>
      <x:c r="I77" s="12" t="str">
        <x:v>San Martín</x:v>
      </x:c>
      <x:c r="J77" s="12" t="str">
        <x:v>Pedir operaciones/tráfico y ofrecer acuerdo de derivaciones.</x:v>
      </x:c>
      <x:c r="K77" s="12" t="str">
        <x:v>https://www.google.com/maps/search/?api=1&amp;query=Transporte+Daghero%2C+San+Mart%C3%ADn+360%2C+Saturnino+M.+Laspiur%2C+C%C3%B3rdoba</x:v>
      </x:c>
      <x:c r="L77" s="12" t="str">
        <x:v>Operativo / verificar antes de visita</x:v>
      </x:c>
    </x:row>
    <x:row r="78">
      <x:c r="A78" s="12" t="str">
        <x:v>LV-065</x:v>
      </x:c>
      <x:c r="B78" s="12" t="str">
        <x:v>Zona ampliada</x:v>
      </x:c>
      <x:c r="C78" s="12" t="str">
        <x:v>Sacanta</x:v>
      </x:c>
      <x:c r="D78" s="12" t="str">
        <x:v>A</x:v>
      </x:c>
      <x:c r="E78" s="12" t="n">
        <x:v>76</x:v>
      </x:c>
      <x:c r="F78" s="12" t="str">
        <x:v>Transportes Barrionuevo Hnos.</x:v>
      </x:c>
      <x:c r="G78" s="12" t="str">
        <x:v>Transporte / logística</x:v>
      </x:c>
      <x:c r="H78" s="12" t="str">
        <x:v>03533 451584</x:v>
      </x:c>
      <x:c r="I78" s="12" t="str">
        <x:v>RP13 km 82</x:v>
      </x:c>
      <x:c r="J78" s="12" t="str">
        <x:v>Pedir operaciones/tráfico y ofrecer acuerdo de derivaciones.</x:v>
      </x:c>
      <x:c r="K78" s="12" t="str">
        <x:v>https://www.google.com/maps/search/?api=1&amp;query=Transportes+Barrionuevo+Hnos.%2C+RP13+km+82%2C+Sacanta%2C+C%C3%B3rdoba</x:v>
      </x:c>
      <x:c r="L78" s="12" t="str">
        <x:v>Operativo / verificar antes de visita</x:v>
      </x:c>
    </x:row>
    <x:row r="79">
      <x:c r="A79" s="12" t="str">
        <x:v>LV-066</x:v>
      </x:c>
      <x:c r="B79" s="12" t="str">
        <x:v>Zona ampliada</x:v>
      </x:c>
      <x:c r="C79" s="12" t="str">
        <x:v>Sacanta</x:v>
      </x:c>
      <x:c r="D79" s="12" t="str">
        <x:v>A</x:v>
      </x:c>
      <x:c r="E79" s="12" t="n">
        <x:v>74</x:v>
      </x:c>
      <x:c r="F79" s="12" t="str">
        <x:v>Gaviglio Sacanta</x:v>
      </x:c>
      <x:c r="G79" s="12" t="str">
        <x:v>Servicio agrícola / maquinaria</x:v>
      </x:c>
      <x:c r="H79" s="12" t="str">
        <x:v>03533 438670</x:v>
      </x:c>
      <x:c r="I79" s="12" t="str">
        <x:v>RP13 km 81</x:v>
      </x:c>
      <x:c r="J79" s="12" t="str">
        <x:v>Pedir logística/operaciones/compras y calificar frecuencia.</x:v>
      </x:c>
      <x:c r="K79" s="12" t="str">
        <x:v>https://www.google.com/maps/search/?api=1&amp;query=Gaviglio+Sacanta%2C+RP13+km+81%2C+Sacanta%2C+C%C3%B3rdoba</x:v>
      </x:c>
      <x:c r="L79" s="12" t="str">
        <x:v>Operativo / verificar antes de visita</x:v>
      </x:c>
    </x:row>
    <x:row r="80">
      <x:c r="A80" s="12" t="str">
        <x:v>LV-067</x:v>
      </x:c>
      <x:c r="B80" s="12" t="str">
        <x:v>Zona ampliada</x:v>
      </x:c>
      <x:c r="C80" s="12" t="str">
        <x:v>Saturnino M. Laspiur</x:v>
      </x:c>
      <x:c r="D80" s="12" t="str">
        <x:v>B</x:v>
      </x:c>
      <x:c r="E80" s="12" t="n">
        <x:v>68</x:v>
      </x:c>
      <x:c r="F80" s="12" t="str">
        <x:v>Agroservicio Los Dos Hermanos</x:v>
      </x:c>
      <x:c r="G80" s="12" t="str">
        <x:v>Servicios agrícolas</x:v>
      </x:c>
      <x:c r="H80" s="12" t="str">
        <x:v>03533 686767</x:v>
      </x:c>
      <x:c r="I80" s="12" t="str">
        <x:v>General Paz</x:v>
      </x:c>
      <x:c r="J80" s="12" t="str">
        <x:v>Pedir logística/operaciones/compras y calificar frecuencia.</x:v>
      </x:c>
      <x:c r="K80" s="12" t="str">
        <x:v>https://www.google.com/maps/search/?api=1&amp;query=Agroservicio+Los+Dos+Hermanos%2C+General+Paz+228%2C+Saturnino+M.+Laspiur%2C+C%C3%B3rdoba</x:v>
      </x:c>
      <x:c r="L80" s="12" t="str">
        <x:v>Operativo / verificar antes de visita</x:v>
      </x:c>
    </x:row>
    <x:row r="81">
      <x:c r="A81" s="12" t="str">
        <x:v>LV-068</x:v>
      </x:c>
      <x:c r="B81" s="12" t="str">
        <x:v>Zona ampliada</x:v>
      </x:c>
      <x:c r="C81" s="12" t="str">
        <x:v>Saturnino M. Laspiur</x:v>
      </x:c>
      <x:c r="D81" s="12" t="str">
        <x:v>B</x:v>
      </x:c>
      <x:c r="E81" s="12" t="n">
        <x:v>68</x:v>
      </x:c>
      <x:c r="F81" s="12" t="str">
        <x:v>Metalúrgica Don Pancho</x:v>
      </x:c>
      <x:c r="G81" s="12" t="str">
        <x:v>Metalúrgica</x:v>
      </x:c>
      <x:c r="H81" s="12" t="str">
        <x:v>A verificar</x:v>
      </x:c>
      <x:c r="I81" s="12" t="str">
        <x:v>Avellaneda</x:v>
      </x:c>
      <x:c r="J81" s="12" t="str">
        <x:v>Pedir producción/expedición/mantenimiento y relevar piezas máximas/destinos.</x:v>
      </x:c>
      <x:c r="K81" s="12" t="str">
        <x:v>https://www.google.com/maps/search/?api=1&amp;query=Metal%C3%BArgica+Don+Pancho%2C+Avellaneda+38%2C+Saturnino+M.+Laspiur%2C+C%C3%B3rdoba</x:v>
      </x:c>
      <x:c r="L81" s="12" t="str">
        <x:v>Operativo / verificar antes de visita</x:v>
      </x:c>
    </x:row>
    <x:row r="82">
      <x:c r="A82" s="12" t="str">
        <x:v>LV-069</x:v>
      </x:c>
      <x:c r="B82" s="12" t="str">
        <x:v>Zona ampliada</x:v>
      </x:c>
      <x:c r="C82" s="12" t="str">
        <x:v>Sacanta</x:v>
      </x:c>
      <x:c r="D82" s="12" t="str">
        <x:v>B</x:v>
      </x:c>
      <x:c r="E82" s="12" t="n">
        <x:v>65</x:v>
      </x:c>
      <x:c r="F82" s="12" t="str">
        <x:v>Construcciones Vitelli</x:v>
      </x:c>
      <x:c r="G82" s="12" t="str">
        <x:v>Contratista de construcción</x:v>
      </x:c>
      <x:c r="H82" s="12" t="str">
        <x:v>03533 519102</x:v>
      </x:c>
      <x:c r="I82" s="12" t="str">
        <x:v>Sacanta</x:v>
      </x:c>
      <x:c r="J82" s="12" t="str">
        <x:v>Pedir obras/logística/equipos; relevar maquinaria propia y frecuencia.</x:v>
      </x:c>
      <x:c r="K82" s="12" t="str">
        <x:v>https://www.google.com/maps/search/?api=1&amp;query=Construcciones+Vitelli%2C+Sacanta%2C+C%C3%B3rdoba</x:v>
      </x:c>
      <x:c r="L82" s="12" t="str">
        <x:v>Operativo / verificar antes de visita</x:v>
      </x:c>
    </x:row>
    <x:row r="83">
      <x:c r="A83" t="str">
        <x:v>LV-070</x:v>
      </x:c>
      <x:c r="B83" t="str">
        <x:v>Núcleo</x:v>
      </x:c>
      <x:c r="C83" t="str">
        <x:v>Las Varillas</x:v>
      </x:c>
      <x:c r="D83" t="str">
        <x:v>A+</x:v>
      </x:c>
      <x:c r="E83" t="n">
        <x:v>100</x:v>
      </x:c>
      <x:c r="F83" t="str">
        <x:v>Ricardo Venturino S.A. - Las Varillas</x:v>
      </x:c>
      <x:c r="G83" t="str">
        <x:v>Concesionario oficial John Deere y PLA / tractores / cosechadoras</x:v>
      </x:c>
      <x:c r="H83" t="str">
        <x:v>+54 9 3462 566606</x:v>
      </x:c>
      <x:c r="I83" t="str">
        <x:v>Av. Martín Fierro</x:v>
      </x:c>
      <x:c r="J83" t="str">
        <x:v>Pedir logística/posventa/expedición; relevar pesos, dimensiones y movimientos mensuales.</x:v>
      </x:c>
      <x:c r="K83" t="str">
        <x:v>https://www.google.com/maps/search/?api=1&amp;query=Ricardo+Venturino+S.A.+-+Las+Varillas%2C+Mart%C3%ADn+Fierro+741%2C+Las+Varillas%2C+C%C3%B3rdoba</x:v>
      </x:c>
      <x:c r="L83" t="str">
        <x:v>Operativo / verificar antes de visita</x:v>
      </x:c>
    </x:row>
    <x:row r="84">
      <x:c r="A84" t="str">
        <x:v>LV-071</x:v>
      </x:c>
      <x:c r="B84" t="str">
        <x:v>Núcleo</x:v>
      </x:c>
      <x:c r="C84" t="str">
        <x:v>Las Varillas</x:v>
      </x:c>
      <x:c r="D84" t="str">
        <x:v>A+</x:v>
      </x:c>
      <x:c r="E84" t="n">
        <x:v>99</x:v>
      </x:c>
      <x:c r="F84" t="str">
        <x:v>Escobedo Motores y Repuestos</x:v>
      </x:c>
      <x:c r="G84" t="str">
        <x:v>Motores, autoelevadores, minicargadoras y maquinaria vial</x:v>
      </x:c>
      <x:c r="H84" t="str">
        <x:v>03533 423475</x:v>
      </x:c>
      <x:c r="I84" t="str">
        <x:v>Las Varillas</x:v>
      </x:c>
      <x:c r="J84" t="str">
        <x:v>Pedir logística/posventa/expedición; relevar pesos, dimensiones y movimientos mensuales.</x:v>
      </x:c>
      <x:c r="K84" t="str">
        <x:v>https://www.google.com/maps/search/?api=1&amp;query=Escobedo+Motores+y+Repuestos%2C+Las+Varillas%2C+C%C3%B3rdoba</x:v>
      </x:c>
      <x:c r="L84" t="str">
        <x:v>Operativo / verificar antes de visita</x:v>
      </x:c>
    </x:row>
    <x:row r="85">
      <x:c r="A85" t="str">
        <x:v>LV-072</x:v>
      </x:c>
      <x:c r="B85" t="str">
        <x:v>Núcleo</x:v>
      </x:c>
      <x:c r="C85" t="str">
        <x:v>Las Varillas</x:v>
      </x:c>
      <x:c r="D85" t="str">
        <x:v>A+</x:v>
      </x:c>
      <x:c r="E85" t="n">
        <x:v>98</x:v>
      </x:c>
      <x:c r="F85" t="str">
        <x:v>Riego &amp; Silos</x:v>
      </x:c>
      <x:c r="G85" t="str">
        <x:v>Ingeniería, construcción y montaje de plantas de silos</x:v>
      </x:c>
      <x:c r="H85" t="str">
        <x:v>03533 421323 / +54 9 3537 598997</x:v>
      </x:c>
      <x:c r="I85" t="str">
        <x:v>Mitre</x:v>
      </x:c>
      <x:c r="J85" t="str">
        <x:v>Pedir proyectos/logística/obras; relevar pesos, largos y destinos frecuentes.</x:v>
      </x:c>
      <x:c r="K85" t="str">
        <x:v>https://www.google.com/maps/search/?api=1&amp;query=Riego+%26+Silos%2C+Mitre+150%2C+Las+Varillas%2C+C%C3%B3rdoba</x:v>
      </x:c>
      <x:c r="L85" t="str">
        <x:v>Operativo / verificar antes de visita</x:v>
      </x:c>
    </x:row>
  </x:sheetData>
  <x:mergeCells>
    <x:mergeCell ref="A1:L1"/>
    <x:mergeCell ref="A2:L2"/>
  </x:mergeCells>
  <x:conditionalFormatting sqref="D14:D82">
    <x:cfRule type="expression" dxfId="4" priority="1">
      <x:formula>D14="A+"</x:formula>
    </x:cfRule>
    <x:cfRule type="expression" dxfId="5" priority="2">
      <x:formula>D14="A"</x:formula>
    </x:cfRule>
    <x:cfRule type="expression" dxfId="6" priority="3">
      <x:formula>D14="B"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741711a3d494fc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4" hidden="0" customWidth="1"/>
    <x:col min="3" max="3" width="14" hidden="0" customWidth="1"/>
    <x:col min="4" max="4" width="20" hidden="0" customWidth="1"/>
    <x:col min="5" max="5" width="24" hidden="0" customWidth="1"/>
    <x:col min="6" max="6" width="8" hidden="0" customWidth="1"/>
    <x:col min="7" max="7" width="8" hidden="0" customWidth="1"/>
    <x:col min="8" max="8" width="34" hidden="0" customWidth="1"/>
    <x:col min="9" max="9" width="36" hidden="0" customWidth="1"/>
    <x:col min="10" max="10" width="24" hidden="0" customWidth="1"/>
    <x:col min="11" max="11" width="13" hidden="0" customWidth="1"/>
    <x:col min="12" max="12" width="28" hidden="0" customWidth="1"/>
    <x:col min="13" max="13" width="42" hidden="0" customWidth="1"/>
    <x:col min="14" max="14" width="40" hidden="0" customWidth="1"/>
    <x:col min="15" max="15" width="42" hidden="0" customWidth="1"/>
    <x:col min="16" max="16" width="40" hidden="0" customWidth="1"/>
    <x:col min="17" max="17" width="16" hidden="0" customWidth="1"/>
    <x:col min="18" max="18" width="44" hidden="0" customWidth="1"/>
    <x:col min="19" max="19" width="18" hidden="0" customWidth="1"/>
    <x:col min="20" max="20" width="13" hidden="0" customWidth="1"/>
    <x:col min="21" max="21" width="24" hidden="0" customWidth="1"/>
    <x:col min="22" max="22" width="34" hidden="0" customWidth="1"/>
    <x:col min="23" max="23" width="20" hidden="0" customWidth="1"/>
    <x:col min="24" max="24" width="40" hidden="0" customWidth="1"/>
    <x:col min="25" max="25" width="28" hidden="0" customWidth="1"/>
    <x:col min="26" max="26" width="52" hidden="0" customWidth="1"/>
    <x:col min="27" max="27" width="52" hidden="0" customWidth="1"/>
    <x:col min="28" max="28" width="13" hidden="0" customWidth="1"/>
    <x:col min="29" max="29" width="34" hidden="0" customWidth="1"/>
    <x:col min="30" max="30" width="28" hidden="0" customWidth="1"/>
    <x:col min="31" max="31" width="44" hidden="0" customWidth="1"/>
    <x:col min="32" max="32" width="20" hidden="0" customWidth="1"/>
  </x:cols>
  <x:sheetData>
    <x:row r="1">
      <x:c r="A1" s="6" t="str">
        <x:v>ID</x:v>
      </x:c>
      <x:c r="B1" s="6" t="str">
        <x:v>Estado de contacto</x:v>
      </x:c>
      <x:c r="C1" s="6" t="str">
        <x:v>Área</x:v>
      </x:c>
      <x:c r="D1" s="6" t="str">
        <x:v>Localidad</x:v>
      </x:c>
      <x:c r="E1" s="6" t="str">
        <x:v>Microzona / corredor</x:v>
      </x:c>
      <x:c r="F1" s="6" t="str">
        <x:v>Clase</x:v>
      </x:c>
      <x:c r="G1" s="6" t="str">
        <x:v>Score</x:v>
      </x:c>
      <x:c r="H1" s="6" t="str">
        <x:v>Empresa</x:v>
      </x:c>
      <x:c r="I1" s="6" t="str">
        <x:v>Categoría</x:v>
      </x:c>
      <x:c r="J1" s="6" t="str">
        <x:v>Teléfonos</x:v>
      </x:c>
      <x:c r="K1" s="6" t="str">
        <x:v>Calidad teléfono</x:v>
      </x:c>
      <x:c r="L1" s="6" t="str">
        <x:v>Preguntar por</x:v>
      </x:c>
      <x:c r="M1" s="6" t="str">
        <x:v>Necesidad probable</x:v>
      </x:c>
      <x:c r="N1" s="6" t="str">
        <x:v>Oferta PRESOL</x:v>
      </x:c>
      <x:c r="O1" s="6" t="str">
        <x:v>Gancho comercial</x:v>
      </x:c>
      <x:c r="P1" s="6" t="str">
        <x:v>Acción sugerida</x:v>
      </x:c>
      <x:c r="Q1" s="6" t="str">
        <x:v>Responsable</x:v>
      </x:c>
      <x:c r="R1" s="6" t="str">
        <x:v>Dirección</x:v>
      </x:c>
      <x:c r="S1" s="6" t="str">
        <x:v>Resultado</x:v>
      </x:c>
      <x:c r="T1" s="6" t="str">
        <x:v>Fecha visita</x:v>
      </x:c>
      <x:c r="U1" s="6" t="str">
        <x:v>Próximo paso</x:v>
      </x:c>
      <x:c r="V1" s="6" t="str">
        <x:v>Notas de campo</x:v>
      </x:c>
      <x:c r="W1" s="6" t="str">
        <x:v>Teléfono principal</x:v>
      </x:c>
      <x:c r="X1" s="6" t="str">
        <x:v>Google Maps</x:v>
      </x:c>
      <x:c r="Y1" s="6" t="str">
        <x:v>Fuente</x:v>
      </x:c>
      <x:c r="Z1" s="6" t="str">
        <x:v>URL fuente</x:v>
      </x:c>
      <x:c r="AA1" s="6" t="str">
        <x:v>Evidencia</x:v>
      </x:c>
      <x:c r="AB1" s="6" t="str">
        <x:v>Calidad del dato</x:v>
      </x:c>
      <x:c r="AC1" s="6" t="str">
        <x:v>Estado/verificación</x:v>
      </x:c>
      <x:c r="AD1" s="6" t="str">
        <x:v>Origen</x:v>
      </x:c>
      <x:c r="AE1" s="6" t="str">
        <x:v>Servicios PRESOL</x:v>
      </x:c>
      <x:c r="AF1" s="6" t="str">
        <x:v>Prioridad sugerida</x:v>
      </x:c>
    </x:row>
    <x:row r="2">
      <x:c r="A2" s="14" t="str">
        <x:v>LV-001</x:v>
      </x:c>
      <x:c r="B2" s="14" t="str">
        <x:v>Pendiente</x:v>
      </x:c>
      <x:c r="C2" s="14" t="str">
        <x:v>Núcleo</x:v>
      </x:c>
      <x:c r="D2" s="14" t="str">
        <x:v>Las Varillas</x:v>
      </x:c>
      <x:c r="E2" s="14" t="str">
        <x:v>Centro industrial</x:v>
      </x:c>
      <x:c r="F2" s="14" t="str">
        <x:v>A+</x:v>
      </x:c>
      <x:c r="G2" s="14" t="n">
        <x:v>100</x:v>
      </x:c>
      <x:c r="H2" s="14" t="str">
        <x:v>CMZ S.A. - Zanello</x:v>
      </x:c>
      <x:c r="I2" s="14" t="str">
        <x:v>Fábrica de tractores y maquinaria vial</x:v>
      </x:c>
      <x:c r="J2" s="14" t="str">
        <x:v>+54 3533 681523</x:v>
      </x:c>
      <x:c r="K2" s="14" t="str">
        <x:v>OK</x:v>
      </x:c>
      <x:c r="L2" s="14" t="str">
        <x:v>expedición / ventas / logística / posventa</x:v>
      </x:c>
      <x:c r="M2" s="14" t="str">
        <x:v>Entrega/retiro de maquinaria, usados, equipos de service y despachos de fábrica.</x:v>
      </x:c>
      <x:c r="N2" s="14" t="str">
        <x:v>Plataforma 20 tn + malacate + hidrogrúa + seguro/GPS.</x:v>
      </x:c>
      <x:c r="O2" s="14" t="str">
        <x:v>Captar entregas, canjes, service y movimientos de equipos sin inmovilizar transporte propio.</x:v>
      </x:c>
      <x:c r="P2" s="14" t="str">
        <x:v>Pedir logística/expedición/posventa y relevar cantidad de movimientos mensuales.</x:v>
      </x:c>
      <x:c r="Q2" s="14" t="str"/>
      <x:c r="R2" s="14" t="str">
        <x:v>Buenos Aires 582, Las Varillas, Córdoba</x:v>
      </x:c>
      <x:c r="S2" s="14" t="str"/>
      <x:c r="T2" s="14" t="str"/>
      <x:c r="U2" s="14" t="str"/>
      <x:c r="V2" s="14" t="str"/>
      <x:c r="W2" s="14" t="str">
        <x:v>+543533681523</x:v>
      </x:c>
      <x:c r="X2" s="14" t="str">
        <x:v>https://www.google.com/maps/search/?api=1&amp;query=CMZ+S.A.+-+Zanello%2C+Buenos+Aires+582%2C+Las+Varillas%2C+C%C3%B3rdoba</x:v>
      </x:c>
      <x:c r="Y2" s="14" t="str">
        <x:v>Maquinac / AFAMAC</x:v>
      </x:c>
      <x:c r="Z2" s="14" t="str">
        <x:v>https://maquinac.com/empresas/zanello/</x:v>
      </x:c>
      <x:c r="AA2" s="14" t="str">
        <x:v>Fabrica tractores, motoniveladoras, cargadores, retroexcavadoras, excavadoras y otros equipos.</x:v>
      </x:c>
      <x:c r="AB2" s="14" t="str">
        <x:v>Alta</x:v>
      </x:c>
      <x:c r="AC2" s="14" t="str">
        <x:v>Operativo / verificar antes de visita</x:v>
      </x:c>
      <x:c r="AD2" s="14" t="str">
        <x:v>Rastrillaje Las Varillas 2026-09-15</x:v>
      </x:c>
      <x:c r="AE2" s="14" t="str">
        <x:v>Plataforma 20 tn | Malacate | Hidrogrúa | Entrega/retiro maquinaria | Seguro/GPS</x:v>
      </x:c>
      <x:c r="AF2" s="14" t="str">
        <x:v>VISITA INMEDIATA</x:v>
      </x:c>
    </x:row>
    <x:row r="3">
      <x:c r="A3" s="14" t="str">
        <x:v>LV-002</x:v>
      </x:c>
      <x:c r="B3" s="14" t="str">
        <x:v>Pendiente</x:v>
      </x:c>
      <x:c r="C3" s="14" t="str">
        <x:v>Núcleo</x:v>
      </x:c>
      <x:c r="D3" s="14" t="str">
        <x:v>Las Varillas</x:v>
      </x:c>
      <x:c r="E3" s="14" t="str">
        <x:v>Irazusta</x:v>
      </x:c>
      <x:c r="F3" s="14" t="str">
        <x:v>A+</x:v>
      </x:c>
      <x:c r="G3" s="14" t="n">
        <x:v>100</x:v>
      </x:c>
      <x:c r="H3" s="14" t="str">
        <x:v>LRV Agro S.A.S.</x:v>
      </x:c>
      <x:c r="I3" s="14" t="str">
        <x:v>Concesionario integral de maquinaria agrícola</x:v>
      </x:c>
      <x:c r="J3" s="14" t="str">
        <x:v>A verificar</x:v>
      </x:c>
      <x:c r="K3" s="14" t="str">
        <x:v>A verificar</x:v>
      </x:c>
      <x:c r="L3" s="14" t="str">
        <x:v>ventas / logística / posventa / usados</x:v>
      </x:c>
      <x:c r="M3" s="14" t="str">
        <x:v>Entrega/retiro de maquinaria, usados, equipos de service y despachos de fábrica.</x:v>
      </x:c>
      <x:c r="N3" s="14" t="str">
        <x:v>Plataforma 20 tn + malacate + hidrogrúa + seguro/GPS.</x:v>
      </x:c>
      <x:c r="O3" s="14" t="str">
        <x:v>Captar entregas, canjes, service y movimientos de equipos sin inmovilizar transporte propio.</x:v>
      </x:c>
      <x:c r="P3" s="14" t="str">
        <x:v>Pedir logística/expedición/posventa y relevar cantidad de movimientos mensuales.</x:v>
      </x:c>
      <x:c r="Q3" s="14" t="str"/>
      <x:c r="R3" s="14" t="str">
        <x:v>Av. Int. José Irazusta 423, Las Varillas, Córdoba</x:v>
      </x:c>
      <x:c r="S3" s="14" t="str"/>
      <x:c r="T3" s="14" t="str"/>
      <x:c r="U3" s="14" t="str"/>
      <x:c r="V3" s="14" t="str"/>
      <x:c r="W3" s="14" t="str"/>
      <x:c r="X3" s="14" t="str">
        <x:v>https://www.google.com/maps/search/?api=1&amp;query=LRV+Agro+S.A.S.%2C+Av.+Int.+Jos%C3%A9+Irazusta+423%2C+Las+Varillas%2C+C%C3%B3rdoba</x:v>
      </x:c>
      <x:c r="Y3" s="14" t="str">
        <x:v>Diario Las Varillas 2026</x:v>
      </x:c>
      <x:c r="Z3" s="14" t="str">
        <x:v>https://diariodelasvarillas.com.ar/lrv-agro-un-concesionario-de-maquinaria-agricola-en-plena-expansion/</x:v>
      </x:c>
      <x:c r="AA3" s="14" t="str">
        <x:v>Concesionario en expansión: tractores Chery, sembradoras, pulverizadoras, Franco Fabril, McDon y otras marcas.</x:v>
      </x:c>
      <x:c r="AB3" s="14" t="str">
        <x:v>Alta</x:v>
      </x:c>
      <x:c r="AC3" s="14" t="str">
        <x:v>Operativo / verificar antes de visita</x:v>
      </x:c>
      <x:c r="AD3" s="14" t="str">
        <x:v>Rastrillaje Las Varillas 2026-09-15</x:v>
      </x:c>
      <x:c r="AE3" s="14" t="str">
        <x:v>Plataforma 20 tn | Malacate | Hidrogrúa | Entrega/retiro maquinaria | Seguro/GPS</x:v>
      </x:c>
      <x:c r="AF3" s="14" t="str">
        <x:v>VISITA INMEDIATA</x:v>
      </x:c>
    </x:row>
    <x:row r="4">
      <x:c r="A4" s="14" t="str">
        <x:v>LV-003</x:v>
      </x:c>
      <x:c r="B4" s="14" t="str">
        <x:v>Pendiente</x:v>
      </x:c>
      <x:c r="C4" s="14" t="str">
        <x:v>Núcleo</x:v>
      </x:c>
      <x:c r="D4" s="14" t="str">
        <x:v>Las Varillas</x:v>
      </x:c>
      <x:c r="E4" s="14" t="str">
        <x:v>Malvinas</x:v>
      </x:c>
      <x:c r="F4" s="14" t="str">
        <x:v>A+</x:v>
      </x:c>
      <x:c r="G4" s="14" t="n">
        <x:v>100</x:v>
      </x:c>
      <x:c r="H4" s="14" t="str">
        <x:v>LUCAAL S.R.L.</x:v>
      </x:c>
      <x:c r="I4" s="14" t="str">
        <x:v>Fábrica de plantas asfálticas y equipos viales</x:v>
      </x:c>
      <x:c r="J4" s="14" t="str">
        <x:v>03533 420682</x:v>
      </x:c>
      <x:c r="K4" s="14" t="str">
        <x:v>OK</x:v>
      </x:c>
      <x:c r="L4" s="14" t="str">
        <x:v>expedición / proyectos / logística</x:v>
      </x:c>
      <x:c r="M4" s="14" t="str">
        <x:v>Despacho y traslado de conjuntos pesados, acoplados, equipos viales o módulos especiales.</x:v>
      </x:c>
      <x:c r="N4" s="14" t="str">
        <x:v>Plataforma 20 tn + malacate + hidrogrúa según maniobra.</x:v>
      </x:c>
      <x:c r="O4" s="14" t="str">
        <x:v>Resolver entregas y movimientos especiales fuera de la logística convencional.</x:v>
      </x:c>
      <x:c r="P4" s="14" t="str">
        <x:v>Pedir expedición/logística/producción y consultar pesos/dimensiones máximas.</x:v>
      </x:c>
      <x:c r="Q4" s="14" t="str"/>
      <x:c r="R4" s="14" t="str">
        <x:v>Malvinas 340, Las Varillas, Córdoba</x:v>
      </x:c>
      <x:c r="S4" s="14" t="str"/>
      <x:c r="T4" s="14" t="str"/>
      <x:c r="U4" s="14" t="str"/>
      <x:c r="V4" s="14" t="str"/>
      <x:c r="W4" s="14" t="str">
        <x:v>03533420682</x:v>
      </x:c>
      <x:c r="X4" s="14" t="str">
        <x:v>https://www.google.com/maps/search/?api=1&amp;query=LUCAAL+S.R.L.%2C+Malvinas+340%2C+Las+Varillas%2C+C%C3%B3rdoba</x:v>
      </x:c>
      <x:c r="Y4" s="14" t="str">
        <x:v>Municipalidad / Google Business</x:v>
      </x:c>
      <x:c r="Z4" s="14" t="str">
        <x:v>https://lasvarillas.gob.ar/EmpresasExportadoras</x:v>
      </x:c>
      <x:c r="AA4" s="14" t="str">
        <x:v>Fabricante local de plantas asfálticas, tanques, silos y equipos especiales.</x:v>
      </x:c>
      <x:c r="AB4" s="14" t="str">
        <x:v>Alta</x:v>
      </x:c>
      <x:c r="AC4" s="14" t="str">
        <x:v>Operativo / verificar antes de visita</x:v>
      </x:c>
      <x:c r="AD4" s="14" t="str">
        <x:v>Rastrillaje Las Varillas 2026-09-15</x:v>
      </x:c>
      <x:c r="AE4" s="14" t="str">
        <x:v>Plataforma 20 tn | Malacate | Hidrogrúa | Cargas especiales</x:v>
      </x:c>
      <x:c r="AF4" s="14" t="str">
        <x:v>VISITA INMEDIATA</x:v>
      </x:c>
    </x:row>
    <x:row r="5">
      <x:c r="A5" s="14" t="str">
        <x:v>LV-004</x:v>
      </x:c>
      <x:c r="B5" s="14" t="str">
        <x:v>Pendiente</x:v>
      </x:c>
      <x:c r="C5" s="14" t="str">
        <x:v>Núcleo</x:v>
      </x:c>
      <x:c r="D5" s="14" t="str">
        <x:v>Las Varillas</x:v>
      </x:c>
      <x:c r="E5" s="14" t="str">
        <x:v>Centro industrial / Maipú</x:v>
      </x:c>
      <x:c r="F5" s="14" t="str">
        <x:v>A+</x:v>
      </x:c>
      <x:c r="G5" s="14" t="n">
        <x:v>100</x:v>
      </x:c>
      <x:c r="H5" s="14" t="str">
        <x:v>Pauny S.A.</x:v>
      </x:c>
      <x:c r="I5" s="14" t="str">
        <x:v>Fábrica de tractores y maquinaria agrícola/vial</x:v>
      </x:c>
      <x:c r="J5" s="14" t="str">
        <x:v>+54 3533 423609</x:v>
      </x:c>
      <x:c r="K5" s="14" t="str">
        <x:v>OK</x:v>
      </x:c>
      <x:c r="L5" s="14" t="str">
        <x:v>logística / expedición / posventa / compras</x:v>
      </x:c>
      <x:c r="M5" s="14" t="str">
        <x:v>Entrega/retiro de maquinaria, usados, equipos de service y despachos de fábrica.</x:v>
      </x:c>
      <x:c r="N5" s="14" t="str">
        <x:v>Plataforma 20 tn + malacate + hidrogrúa + seguro/GPS.</x:v>
      </x:c>
      <x:c r="O5" s="14" t="str">
        <x:v>Captar entregas, canjes, service y movimientos de equipos sin inmovilizar transporte propio.</x:v>
      </x:c>
      <x:c r="P5" s="14" t="str">
        <x:v>Pedir logística/expedición/posventa y relevar cantidad de movimientos mensuales.</x:v>
      </x:c>
      <x:c r="Q5" s="14" t="str"/>
      <x:c r="R5" s="14" t="str">
        <x:v>Maipú 494, Las Varillas, Córdoba</x:v>
      </x:c>
      <x:c r="S5" s="14" t="str"/>
      <x:c r="T5" s="14" t="str"/>
      <x:c r="U5" s="14" t="str"/>
      <x:c r="V5" s="14" t="str"/>
      <x:c r="W5" s="14" t="str">
        <x:v>+543533423609</x:v>
      </x:c>
      <x:c r="X5" s="14" t="str">
        <x:v>https://www.google.com/maps/search/?api=1&amp;query=Pauny+S.A.%2C+Maip%C3%BA+494%2C+Las+Varillas%2C+C%C3%B3rdoba</x:v>
      </x:c>
      <x:c r="Y5" s="14" t="str">
        <x:v>Web oficial</x:v>
      </x:c>
      <x:c r="Z5" s="14" t="str">
        <x:v>https://www.pauny.com.ar/us/contacto/</x:v>
      </x:c>
      <x:c r="AA5" s="14" t="str">
        <x:v>Planta principal en Las Varillas; fabrica tractores y maquinaria vial.</x:v>
      </x:c>
      <x:c r="AB5" s="14" t="str">
        <x:v>Alta</x:v>
      </x:c>
      <x:c r="AC5" s="14" t="str">
        <x:v>Operativo / verificar antes de visita</x:v>
      </x:c>
      <x:c r="AD5" s="14" t="str">
        <x:v>Rastrillaje Las Varillas 2026-09-15</x:v>
      </x:c>
      <x:c r="AE5" s="14" t="str">
        <x:v>Plataforma 20 tn | Malacate | Hidrogrúa | Entrega/retiro maquinaria | Seguro/GPS</x:v>
      </x:c>
      <x:c r="AF5" s="14" t="str">
        <x:v>VISITA INMEDIATA</x:v>
      </x:c>
    </x:row>
    <x:row r="6">
      <x:c r="A6" s="14" t="str">
        <x:v>LV-005</x:v>
      </x:c>
      <x:c r="B6" s="14" t="str">
        <x:v>Pendiente</x:v>
      </x:c>
      <x:c r="C6" s="14" t="str">
        <x:v>Núcleo</x:v>
      </x:c>
      <x:c r="D6" s="14" t="str">
        <x:v>Las Varillas</x:v>
      </x:c>
      <x:c r="E6" s="14" t="str">
        <x:v>Paraná</x:v>
      </x:c>
      <x:c r="F6" s="14" t="str">
        <x:v>A+</x:v>
      </x:c>
      <x:c r="G6" s="14" t="n">
        <x:v>100</x:v>
      </x:c>
      <x:c r="H6" s="14" t="str">
        <x:v>Serviagro</x:v>
      </x:c>
      <x:c r="I6" s="14" t="str">
        <x:v>Servicios agro / picado / transporte de maquinaria</x:v>
      </x:c>
      <x:c r="J6" s="14" t="str">
        <x:v>+54 9 3533 686024 / 443139 / 685161</x:v>
      </x:c>
      <x:c r="K6" s="14" t="str">
        <x:v>OK</x:v>
      </x:c>
      <x:c r="L6" s="14" t="str">
        <x:v>operaciones / logística / flota</x:v>
      </x:c>
      <x:c r="M6" s="14" t="str">
        <x:v>Overflow, rescates o derivación de cargas/equipos que requieren plataforma, malacate o hidrogrúa.</x:v>
      </x:c>
      <x:c r="N6" s="14" t="str">
        <x:v>Capacidad complementaria de plataforma 20 tn + hidrogrúa + malacate.</x:v>
      </x:c>
      <x:c r="O6" s="14" t="str">
        <x:v>Ser socio de respaldo para servicios que exceden la flota o especialidad habitual.</x:v>
      </x:c>
      <x:c r="P6" s="14" t="str">
        <x:v>Pedir operaciones/tráfico y ofrecer acuerdo de derivaciones.</x:v>
      </x:c>
      <x:c r="Q6" s="14" t="str"/>
      <x:c r="R6" s="14" t="str">
        <x:v>Paraná 100, Las Varillas, Córdoba</x:v>
      </x:c>
      <x:c r="S6" s="14" t="str"/>
      <x:c r="T6" s="14" t="str"/>
      <x:c r="U6" s="14" t="str"/>
      <x:c r="V6" s="14" t="str"/>
      <x:c r="W6" s="14" t="str">
        <x:v>+5493533686024</x:v>
      </x:c>
      <x:c r="X6" s="14" t="str">
        <x:v>https://www.google.com/maps/search/?api=1&amp;query=Serviagro%2C+Paran%C3%A1+100%2C+Las+Varillas%2C+C%C3%B3rdoba</x:v>
      </x:c>
      <x:c r="Y6" s="14" t="str">
        <x:v>Web oficial</x:v>
      </x:c>
      <x:c r="Z6" s="14" t="str">
        <x:v>https://serviagro.com.ar/</x:v>
      </x:c>
      <x:c r="AA6" s="14" t="str">
        <x:v>Cuenta con equipos de picado y ofrece transporte de maquinaria agrícola a todo el país.</x:v>
      </x:c>
      <x:c r="AB6" s="14" t="str">
        <x:v>Alta</x:v>
      </x:c>
      <x:c r="AC6" s="14" t="str">
        <x:v>Operativo / verificar antes de visita</x:v>
      </x:c>
      <x:c r="AD6" s="14" t="str">
        <x:v>Rastrillaje Las Varillas 2026-09-15</x:v>
      </x:c>
      <x:c r="AE6" s="14" t="str">
        <x:v>Plataforma 20 tn | Hidrogrúa | Malacate | Subcontratación</x:v>
      </x:c>
      <x:c r="AF6" s="14" t="str">
        <x:v>VISITA INMEDIATA</x:v>
      </x:c>
    </x:row>
    <x:row r="7">
      <x:c r="A7" s="14" t="str">
        <x:v>LV-006</x:v>
      </x:c>
      <x:c r="B7" s="14" t="str">
        <x:v>Pendiente</x:v>
      </x:c>
      <x:c r="C7" s="14" t="str">
        <x:v>Núcleo</x:v>
      </x:c>
      <x:c r="D7" s="14" t="str">
        <x:v>Las Varillas</x:v>
      </x:c>
      <x:c r="E7" s="14" t="str">
        <x:v>Irazusta</x:v>
      </x:c>
      <x:c r="F7" s="14" t="str">
        <x:v>A+</x:v>
      </x:c>
      <x:c r="G7" s="14" t="n">
        <x:v>100</x:v>
      </x:c>
      <x:c r="H7" s="14" t="str">
        <x:v>TBeH Equipos Agro Viales S.A.</x:v>
      </x:c>
      <x:c r="I7" s="14" t="str">
        <x:v>Fábrica de maquinaria agrícola y vial</x:v>
      </x:c>
      <x:c r="J7" s="14" t="str">
        <x:v>03533 421281</x:v>
      </x:c>
      <x:c r="K7" s="14" t="str">
        <x:v>OK</x:v>
      </x:c>
      <x:c r="L7" s="14" t="str">
        <x:v>expedición / logística / ventas / posventa</x:v>
      </x:c>
      <x:c r="M7" s="14" t="str">
        <x:v>Entrega/retiro de maquinaria, usados, equipos de service y despachos de fábrica.</x:v>
      </x:c>
      <x:c r="N7" s="14" t="str">
        <x:v>Plataforma 20 tn + malacate + hidrogrúa + seguro/GPS.</x:v>
      </x:c>
      <x:c r="O7" s="14" t="str">
        <x:v>Captar entregas, canjes, service y movimientos de equipos sin inmovilizar transporte propio.</x:v>
      </x:c>
      <x:c r="P7" s="14" t="str">
        <x:v>Pedir logística/expedición/posventa y relevar cantidad de movimientos mensuales.</x:v>
      </x:c>
      <x:c r="Q7" s="14" t="str"/>
      <x:c r="R7" s="14" t="str">
        <x:v>Irazuzta 260, Las Varillas, Córdoba</x:v>
      </x:c>
      <x:c r="S7" s="14" t="str"/>
      <x:c r="T7" s="14" t="str"/>
      <x:c r="U7" s="14" t="str"/>
      <x:c r="V7" s="14" t="str"/>
      <x:c r="W7" s="14" t="str">
        <x:v>03533421281</x:v>
      </x:c>
      <x:c r="X7" s="14" t="str">
        <x:v>https://www.google.com/maps/search/?api=1&amp;query=TBeH+Equipos+Agro+Viales+S.A.%2C+Irazuzta+260%2C+Las+Varillas%2C+C%C3%B3rdoba</x:v>
      </x:c>
      <x:c r="Y7" s="14" t="str">
        <x:v>Web oficial</x:v>
      </x:c>
      <x:c r="Z7" s="14" t="str">
        <x:v>https://tbeh.com.ar/</x:v>
      </x:c>
      <x:c r="AA7" s="14" t="str">
        <x:v>Fabrica niveladoras, palas, rodillos, retroexcavadoras, cargadores y equipos agrícolas/viales.</x:v>
      </x:c>
      <x:c r="AB7" s="14" t="str">
        <x:v>Alta</x:v>
      </x:c>
      <x:c r="AC7" s="14" t="str">
        <x:v>Operativo / verificar antes de visita</x:v>
      </x:c>
      <x:c r="AD7" s="14" t="str">
        <x:v>Rastrillaje Las Varillas 2026-09-15</x:v>
      </x:c>
      <x:c r="AE7" s="14" t="str">
        <x:v>Plataforma 20 tn | Malacate | Hidrogrúa | Entrega/retiro maquinaria | Seguro/GPS</x:v>
      </x:c>
      <x:c r="AF7" s="14" t="str">
        <x:v>VISITA INMEDIATA</x:v>
      </x:c>
    </x:row>
    <x:row r="8">
      <x:c r="A8" s="14" t="str">
        <x:v>LV-007</x:v>
      </x:c>
      <x:c r="B8" s="14" t="str">
        <x:v>Pendiente</x:v>
      </x:c>
      <x:c r="C8" s="14" t="str">
        <x:v>Núcleo</x:v>
      </x:c>
      <x:c r="D8" s="14" t="str">
        <x:v>Las Varillas</x:v>
      </x:c>
      <x:c r="E8" s="14" t="str">
        <x:v>RP13 km 121–124</x:v>
      </x:c>
      <x:c r="F8" s="14" t="str">
        <x:v>A+</x:v>
      </x:c>
      <x:c r="G8" s="14" t="n">
        <x:v>100</x:v>
      </x:c>
      <x:c r="H8" s="14" t="str">
        <x:v>TRAMACO S.A.</x:v>
      </x:c>
      <x:c r="I8" s="14" t="str">
        <x:v>Concesionario maquinaria agrícola</x:v>
      </x:c>
      <x:c r="J8" s="14" t="str">
        <x:v>3533 686240 / 3516 211426</x:v>
      </x:c>
      <x:c r="K8" s="14" t="str">
        <x:v>OK</x:v>
      </x:c>
      <x:c r="L8" s="14" t="str">
        <x:v>ventas / logística / usados / posventa</x:v>
      </x:c>
      <x:c r="M8" s="14" t="str">
        <x:v>Entrega/retiro de maquinaria, usados, equipos de service y despachos de fábrica.</x:v>
      </x:c>
      <x:c r="N8" s="14" t="str">
        <x:v>Plataforma 20 tn + malacate + hidrogrúa + seguro/GPS.</x:v>
      </x:c>
      <x:c r="O8" s="14" t="str">
        <x:v>Captar entregas, canjes, service y movimientos de equipos sin inmovilizar transporte propio.</x:v>
      </x:c>
      <x:c r="P8" s="14" t="str">
        <x:v>Pedir logística/expedición/posventa y relevar cantidad de movimientos mensuales.</x:v>
      </x:c>
      <x:c r="Q8" s="14" t="str"/>
      <x:c r="R8" s="14" t="str">
        <x:v>RP13 km 121,1, Las Varillas, Córdoba</x:v>
      </x:c>
      <x:c r="S8" s="14" t="str"/>
      <x:c r="T8" s="14" t="str"/>
      <x:c r="U8" s="14" t="str"/>
      <x:c r="V8" s="14" t="str"/>
      <x:c r="W8" s="14" t="str">
        <x:v>3533686240</x:v>
      </x:c>
      <x:c r="X8" s="14" t="str">
        <x:v>https://www.google.com/maps/search/?api=1&amp;query=TRAMACO+S.A.%2C+RP13+km+121%2C1%2C+Las+Varillas%2C+C%C3%B3rdoba</x:v>
      </x:c>
      <x:c r="Y8" s="14" t="str">
        <x:v>Piersanti / registro 2026</x:v>
      </x:c>
      <x:c r="Z8" s="14" t="str">
        <x:v>https://piersanti.com.ar/servicio-tecnico-y-repuestos-nueva/</x:v>
      </x:c>
      <x:c r="AA8" s="14" t="str">
        <x:v>Concesionario de larga trayectoria; ventas de primeras marcas, sembradoras, fertilizadoras y service.</x:v>
      </x:c>
      <x:c r="AB8" s="14" t="str">
        <x:v>Alta</x:v>
      </x:c>
      <x:c r="AC8" s="14" t="str">
        <x:v>Operativo / verificar antes de visita</x:v>
      </x:c>
      <x:c r="AD8" s="14" t="str">
        <x:v>Rastrillaje Las Varillas 2026-09-15</x:v>
      </x:c>
      <x:c r="AE8" s="14" t="str">
        <x:v>Plataforma 20 tn | Malacate | Hidrogrúa | Entrega/retiro maquinaria | Seguro/GPS</x:v>
      </x:c>
      <x:c r="AF8" s="14" t="str">
        <x:v>VISITA INMEDIATA</x:v>
      </x:c>
    </x:row>
    <x:row r="9">
      <x:c r="A9" s="14" t="str">
        <x:v>LV-008</x:v>
      </x:c>
      <x:c r="B9" s="14" t="str">
        <x:v>Pendiente</x:v>
      </x:c>
      <x:c r="C9" s="14" t="str">
        <x:v>Núcleo</x:v>
      </x:c>
      <x:c r="D9" s="14" t="str">
        <x:v>Las Varillas</x:v>
      </x:c>
      <x:c r="E9" s="14" t="str">
        <x:v>Mitre / industrial</x:v>
      </x:c>
      <x:c r="F9" s="14" t="str">
        <x:v>A+</x:v>
      </x:c>
      <x:c r="G9" s="14" t="n">
        <x:v>99</x:v>
      </x:c>
      <x:c r="H9" s="14" t="str">
        <x:v>Dachsa S.A. / Cerutti</x:v>
      </x:c>
      <x:c r="I9" s="14" t="str">
        <x:v>Fábrica de sembradoras, tolvas y equipos agrícolas</x:v>
      </x:c>
      <x:c r="J9" s="14" t="str">
        <x:v>03533 421363</x:v>
      </x:c>
      <x:c r="K9" s="14" t="str">
        <x:v>OK</x:v>
      </x:c>
      <x:c r="L9" s="14" t="str">
        <x:v>expedición / logística / ventas</x:v>
      </x:c>
      <x:c r="M9" s="14" t="str">
        <x:v>Movimientos de equipos o cargas especiales asociados a su operación.</x:v>
      </x:c>
      <x:c r="N9" s="14" t="str">
        <x:v>Plataforma 20 tn + hidrogrúa + malacate según necesidad.</x:v>
      </x:c>
      <x:c r="O9" s="14" t="str">
        <x:v>Capacidad externa para movimientos pesados o especiales.</x:v>
      </x:c>
      <x:c r="P9" s="14" t="str">
        <x:v>Contactar logística/operaciones y relevar necesidad real.</x:v>
      </x:c>
      <x:c r="Q9" s="14" t="str"/>
      <x:c r="R9" s="14" t="str">
        <x:v>Bv. Mitre 1050, Las Varillas, Córdoba</x:v>
      </x:c>
      <x:c r="S9" s="14" t="str"/>
      <x:c r="T9" s="14" t="str"/>
      <x:c r="U9" s="14" t="str"/>
      <x:c r="V9" s="14" t="str"/>
      <x:c r="W9" s="14" t="str">
        <x:v>03533421363</x:v>
      </x:c>
      <x:c r="X9" s="14" t="str">
        <x:v>https://www.google.com/maps/search/?api=1&amp;query=Dachsa+S.A.+%2F+Cerutti%2C+Bv.+Mitre+1050%2C+Las+Varillas%2C+C%C3%B3rdoba</x:v>
      </x:c>
      <x:c r="Y9" s="14" t="str">
        <x:v>Maquinac</x:v>
      </x:c>
      <x:c r="Z9" s="14" t="str">
        <x:v>https://maquinac.com/empresas/cerutti/</x:v>
      </x:c>
      <x:c r="AA9" s="14" t="str">
        <x:v>Planta industrial de 4 ha; sembradoras, tolvas, embolsadoras, mixers, palas y niveladoras.</x:v>
      </x:c>
      <x:c r="AB9" s="14" t="str">
        <x:v>Alta</x:v>
      </x:c>
      <x:c r="AC9" s="14" t="str">
        <x:v>Operativo / verificar antes de visita</x:v>
      </x:c>
      <x:c r="AD9" s="14" t="str">
        <x:v>Rastrillaje Las Varillas 2026-09-15</x:v>
      </x:c>
      <x:c r="AE9" s="14" t="str">
        <x:v>Plataforma 20 tn | Hidrogrúa | Malacate</x:v>
      </x:c>
      <x:c r="AF9" s="14" t="str">
        <x:v>VISITA INMEDIATA</x:v>
      </x:c>
    </x:row>
    <x:row r="10">
      <x:c r="A10" s="14" t="str">
        <x:v>LV-009</x:v>
      </x:c>
      <x:c r="B10" s="14" t="str">
        <x:v>Pendiente</x:v>
      </x:c>
      <x:c r="C10" s="14" t="str">
        <x:v>Núcleo</x:v>
      </x:c>
      <x:c r="D10" s="14" t="str">
        <x:v>Las Varillas</x:v>
      </x:c>
      <x:c r="E10" s="14" t="str">
        <x:v>Av. Martín Fierro</x:v>
      </x:c>
      <x:c r="F10" s="14" t="str">
        <x:v>A+</x:v>
      </x:c>
      <x:c r="G10" s="14" t="n">
        <x:v>99</x:v>
      </x:c>
      <x:c r="H10" s="14" t="str">
        <x:v>Ferrari Maquinarias</x:v>
      </x:c>
      <x:c r="I10" s="14" t="str">
        <x:v>Concesionario maquinaria agrícola nueva/usada</x:v>
      </x:c>
      <x:c r="J10" s="14" t="str">
        <x:v>03533 686174</x:v>
      </x:c>
      <x:c r="K10" s="14" t="str">
        <x:v>OK</x:v>
      </x:c>
      <x:c r="L10" s="14" t="str">
        <x:v>ventas / logística / usados / posventa</x:v>
      </x:c>
      <x:c r="M10" s="14" t="str">
        <x:v>Entrega/retiro de maquinaria, usados, equipos de service y despachos de fábrica.</x:v>
      </x:c>
      <x:c r="N10" s="14" t="str">
        <x:v>Plataforma 20 tn + malacate + hidrogrúa + seguro/GPS.</x:v>
      </x:c>
      <x:c r="O10" s="14" t="str">
        <x:v>Captar entregas, canjes, service y movimientos de equipos sin inmovilizar transporte propio.</x:v>
      </x:c>
      <x:c r="P10" s="14" t="str">
        <x:v>Pedir logística/expedición/posventa y relevar cantidad de movimientos mensuales.</x:v>
      </x:c>
      <x:c r="Q10" s="14" t="str"/>
      <x:c r="R10" s="14" t="str">
        <x:v>Av. Martín Fierro 98, Las Varillas, Córdoba</x:v>
      </x:c>
      <x:c r="S10" s="14" t="str"/>
      <x:c r="T10" s="14" t="str"/>
      <x:c r="U10" s="14" t="str"/>
      <x:c r="V10" s="14" t="str"/>
      <x:c r="W10" s="14" t="str">
        <x:v>03533686174</x:v>
      </x:c>
      <x:c r="X10" s="14" t="str">
        <x:v>https://www.google.com/maps/search/?api=1&amp;query=Ferrari+Maquinarias%2C+Av.+Mart%C3%ADn+Fierro+98%2C+Las+Varillas%2C+C%C3%B3rdoba</x:v>
      </x:c>
      <x:c r="Y10" s="14" t="str">
        <x:v>Web oficial / Crucianelli</x:v>
      </x:c>
      <x:c r="Z10" s="14" t="str">
        <x:v>https://ferrarimaquinarias.com.ar/empresa/</x:v>
      </x:c>
      <x:c r="AA10" s="14" t="str">
        <x:v>Empresa local dedicada a comercialización de maquinaria nueva y usada.</x:v>
      </x:c>
      <x:c r="AB10" s="14" t="str">
        <x:v>Alta</x:v>
      </x:c>
      <x:c r="AC10" s="14" t="str">
        <x:v>Operativo / verificar antes de visita</x:v>
      </x:c>
      <x:c r="AD10" s="14" t="str">
        <x:v>Rastrillaje Las Varillas 2026-09-15</x:v>
      </x:c>
      <x:c r="AE10" s="14" t="str">
        <x:v>Plataforma 20 tn | Malacate | Hidrogrúa | Entrega/retiro maquinaria | Seguro/GPS</x:v>
      </x:c>
      <x:c r="AF10" s="14" t="str">
        <x:v>VISITA INMEDIATA</x:v>
      </x:c>
    </x:row>
    <x:row r="11">
      <x:c r="A11" s="14" t="str">
        <x:v>LV-010</x:v>
      </x:c>
      <x:c r="B11" s="14" t="str">
        <x:v>Pendiente</x:v>
      </x:c>
      <x:c r="C11" s="14" t="str">
        <x:v>Núcleo</x:v>
      </x:c>
      <x:c r="D11" s="14" t="str">
        <x:v>Las Varillas</x:v>
      </x:c>
      <x:c r="E11" s="14" t="str">
        <x:v>RN158 / Mitre</x:v>
      </x:c>
      <x:c r="F11" s="14" t="str">
        <x:v>A+</x:v>
      </x:c>
      <x:c r="G11" s="14" t="n">
        <x:v>99</x:v>
      </x:c>
      <x:c r="H11" s="14" t="str">
        <x:v>Grosspal</x:v>
      </x:c>
      <x:c r="I11" s="14" t="str">
        <x:v>Fábrica de implementos agrícolas</x:v>
      </x:c>
      <x:c r="J11" s="14" t="str">
        <x:v>03533 421968</x:v>
      </x:c>
      <x:c r="K11" s="14" t="str">
        <x:v>OK</x:v>
      </x:c>
      <x:c r="L11" s="14" t="str">
        <x:v>expedición / ventas / logística</x:v>
      </x:c>
      <x:c r="M11" s="14" t="str">
        <x:v>Entrega/retiro de maquinaria, usados, equipos de service y despachos de fábrica.</x:v>
      </x:c>
      <x:c r="N11" s="14" t="str">
        <x:v>Plataforma 20 tn + malacate + hidrogrúa + seguro/GPS.</x:v>
      </x:c>
      <x:c r="O11" s="14" t="str">
        <x:v>Captar entregas, canjes, service y movimientos de equipos sin inmovilizar transporte propio.</x:v>
      </x:c>
      <x:c r="P11" s="14" t="str">
        <x:v>Pedir logística/expedición/posventa y relevar cantidad de movimientos mensuales.</x:v>
      </x:c>
      <x:c r="Q11" s="14" t="str"/>
      <x:c r="R11" s="14" t="str">
        <x:v>B. Mitre 900 / RN158, Las Varillas, Córdoba</x:v>
      </x:c>
      <x:c r="S11" s="14" t="str"/>
      <x:c r="T11" s="14" t="str"/>
      <x:c r="U11" s="14" t="str"/>
      <x:c r="V11" s="14" t="str"/>
      <x:c r="W11" s="14" t="str">
        <x:v>03533421968</x:v>
      </x:c>
      <x:c r="X11" s="14" t="str">
        <x:v>https://www.google.com/maps/search/?api=1&amp;query=Grosspal%2C+B.+Mitre+900+%2F+RN158%2C+Las+Varillas%2C+C%C3%B3rdoba</x:v>
      </x:c>
      <x:c r="Y11" s="14" t="str">
        <x:v>Google Business / LinkedIn</x:v>
      </x:c>
      <x:c r="Z11" s="14" t="str">
        <x:v>https://ar.linkedin.com/company/grosspal</x:v>
      </x:c>
      <x:c r="AA11" s="14" t="str">
        <x:v>Fabricante de implementos agrícolas, palas y equipos de gran porte.</x:v>
      </x:c>
      <x:c r="AB11" s="14" t="str">
        <x:v>Alta</x:v>
      </x:c>
      <x:c r="AC11" s="14" t="str">
        <x:v>Operativo / verificar antes de visita</x:v>
      </x:c>
      <x:c r="AD11" s="14" t="str">
        <x:v>Rastrillaje Las Varillas 2026-09-15</x:v>
      </x:c>
      <x:c r="AE11" s="14" t="str">
        <x:v>Plataforma 20 tn | Malacate | Hidrogrúa | Entrega/retiro maquinaria | Seguro/GPS</x:v>
      </x:c>
      <x:c r="AF11" s="14" t="str">
        <x:v>VISITA INMEDIATA</x:v>
      </x:c>
    </x:row>
    <x:row r="12">
      <x:c r="A12" s="14" t="str">
        <x:v>LV-011</x:v>
      </x:c>
      <x:c r="B12" s="14" t="str">
        <x:v>Pendiente</x:v>
      </x:c>
      <x:c r="C12" s="14" t="str">
        <x:v>Núcleo</x:v>
      </x:c>
      <x:c r="D12" s="14" t="str">
        <x:v>Las Varillas</x:v>
      </x:c>
      <x:c r="E12" s="14" t="str">
        <x:v>Irazusta</x:v>
      </x:c>
      <x:c r="F12" s="14" t="str">
        <x:v>A+</x:v>
      </x:c>
      <x:c r="G12" s="14" t="n">
        <x:v>99</x:v>
      </x:c>
      <x:c r="H12" s="14" t="str">
        <x:v>J. Boeris Maquinarias</x:v>
      </x:c>
      <x:c r="I12" s="14" t="str">
        <x:v>Concesionario multimarca agrícola y construcción</x:v>
      </x:c>
      <x:c r="J12" s="14" t="str">
        <x:v>A verificar</x:v>
      </x:c>
      <x:c r="K12" s="14" t="str">
        <x:v>A verificar</x:v>
      </x:c>
      <x:c r="L12" s="14" t="str">
        <x:v>ventas / logística / posventa</x:v>
      </x:c>
      <x:c r="M12" s="14" t="str">
        <x:v>Entrega/retiro de maquinaria, usados, equipos de service y despachos de fábrica.</x:v>
      </x:c>
      <x:c r="N12" s="14" t="str">
        <x:v>Plataforma 20 tn + malacate + hidrogrúa + seguro/GPS.</x:v>
      </x:c>
      <x:c r="O12" s="14" t="str">
        <x:v>Captar entregas, canjes, service y movimientos de equipos sin inmovilizar transporte propio.</x:v>
      </x:c>
      <x:c r="P12" s="14" t="str">
        <x:v>Pedir logística/expedición/posventa y relevar cantidad de movimientos mensuales.</x:v>
      </x:c>
      <x:c r="Q12" s="14" t="str"/>
      <x:c r="R12" s="14" t="str">
        <x:v>Int. Irazusta 377, Las Varillas, Córdoba</x:v>
      </x:c>
      <x:c r="S12" s="14" t="str"/>
      <x:c r="T12" s="14" t="str"/>
      <x:c r="U12" s="14" t="str"/>
      <x:c r="V12" s="14" t="str"/>
      <x:c r="W12" s="14" t="str"/>
      <x:c r="X12" s="14" t="str">
        <x:v>https://www.google.com/maps/search/?api=1&amp;query=J.+Boeris+Maquinarias%2C+Int.+Irazusta+377%2C+Las+Varillas%2C+C%C3%B3rdoba</x:v>
      </x:c>
      <x:c r="Y12" s="14" t="str">
        <x:v>Web oficial</x:v>
      </x:c>
      <x:c r="Z12" s="14" t="str">
        <x:v>https://boerismaquinarias.com/</x:v>
      </x:c>
      <x:c r="AA12" s="14" t="str">
        <x:v>Comercializa Agrometal, Mainero, Jacto, Taurus, New Holland Construction, Richiger y otras marcas.</x:v>
      </x:c>
      <x:c r="AB12" s="14" t="str">
        <x:v>Alta</x:v>
      </x:c>
      <x:c r="AC12" s="14" t="str">
        <x:v>Operativo / verificar antes de visita</x:v>
      </x:c>
      <x:c r="AD12" s="14" t="str">
        <x:v>Rastrillaje Las Varillas 2026-09-15</x:v>
      </x:c>
      <x:c r="AE12" s="14" t="str">
        <x:v>Plataforma 20 tn | Malacate | Hidrogrúa | Entrega/retiro maquinaria | Seguro/GPS</x:v>
      </x:c>
      <x:c r="AF12" s="14" t="str">
        <x:v>VISITA INMEDIATA</x:v>
      </x:c>
    </x:row>
    <x:row r="13">
      <x:c r="A13" s="14" t="str">
        <x:v>LV-012</x:v>
      </x:c>
      <x:c r="B13" s="14" t="str">
        <x:v>Pendiente</x:v>
      </x:c>
      <x:c r="C13" s="14" t="str">
        <x:v>Núcleo</x:v>
      </x:c>
      <x:c r="D13" s="14" t="str">
        <x:v>Las Varillas</x:v>
      </x:c>
      <x:c r="E13" s="14" t="str">
        <x:v>Av. Martín Fierro</x:v>
      </x:c>
      <x:c r="F13" s="14" t="str">
        <x:v>A+</x:v>
      </x:c>
      <x:c r="G13" s="14" t="n">
        <x:v>98</x:v>
      </x:c>
      <x:c r="H13" s="14" t="str">
        <x:v>AMG / Metalúrgica Acosta</x:v>
      </x:c>
      <x:c r="I13" s="14" t="str">
        <x:v>Maquinaria agrícola-ganadera / equipamiento forestal</x:v>
      </x:c>
      <x:c r="J13" s="14" t="str">
        <x:v>03533 420027 / 3533 457370</x:v>
      </x:c>
      <x:c r="K13" s="14" t="str">
        <x:v>OK</x:v>
      </x:c>
      <x:c r="L13" s="14" t="str">
        <x:v>ventas / expedición / producción</x:v>
      </x:c>
      <x:c r="M13" s="14" t="str">
        <x:v>Entrega/retiro de maquinaria, usados, equipos de service y despachos de fábrica.</x:v>
      </x:c>
      <x:c r="N13" s="14" t="str">
        <x:v>Plataforma 20 tn + malacate + hidrogrúa + seguro/GPS.</x:v>
      </x:c>
      <x:c r="O13" s="14" t="str">
        <x:v>Captar entregas, canjes, service y movimientos de equipos sin inmovilizar transporte propio.</x:v>
      </x:c>
      <x:c r="P13" s="14" t="str">
        <x:v>Pedir logística/expedición/posventa y relevar cantidad de movimientos mensuales.</x:v>
      </x:c>
      <x:c r="Q13" s="14" t="str"/>
      <x:c r="R13" s="14" t="str">
        <x:v>Martín Fierro 693, Las Varillas, Córdoba</x:v>
      </x:c>
      <x:c r="S13" s="14" t="str"/>
      <x:c r="T13" s="14" t="str"/>
      <x:c r="U13" s="14" t="str"/>
      <x:c r="V13" s="14" t="str"/>
      <x:c r="W13" s="14" t="str">
        <x:v>03533420027</x:v>
      </x:c>
      <x:c r="X13" s="14" t="str">
        <x:v>https://www.google.com/maps/search/?api=1&amp;query=AMG+%2F+Metal%C3%BArgica+Acosta%2C+Mart%C3%ADn+Fierro+693%2C+Las+Varillas%2C+C%C3%B3rdoba</x:v>
      </x:c>
      <x:c r="Y13" s="14" t="str">
        <x:v>Web oficial</x:v>
      </x:c>
      <x:c r="Z13" s="14" t="str">
        <x:v>https://amg-sa.com.ar/empresa/</x:v>
      </x:c>
      <x:c r="AA13" s="14" t="str">
        <x:v>Fabrica rolos, desmalezadores, kits forestales y equipamiento para máquinas agrícolas/viales.</x:v>
      </x:c>
      <x:c r="AB13" s="14" t="str">
        <x:v>Alta</x:v>
      </x:c>
      <x:c r="AC13" s="14" t="str">
        <x:v>Operativo / verificar antes de visita</x:v>
      </x:c>
      <x:c r="AD13" s="14" t="str">
        <x:v>Rastrillaje Las Varillas 2026-09-15</x:v>
      </x:c>
      <x:c r="AE13" s="14" t="str">
        <x:v>Plataforma 20 tn | Malacate | Hidrogrúa | Entrega/retiro maquinaria | Seguro/GPS</x:v>
      </x:c>
      <x:c r="AF13" s="14" t="str">
        <x:v>VISITA INMEDIATA</x:v>
      </x:c>
    </x:row>
    <x:row r="14">
      <x:c r="A14" s="14" t="str">
        <x:v>LV-013</x:v>
      </x:c>
      <x:c r="B14" s="14" t="str">
        <x:v>Pendiente</x:v>
      </x:c>
      <x:c r="C14" s="14" t="str">
        <x:v>Núcleo</x:v>
      </x:c>
      <x:c r="D14" s="14" t="str">
        <x:v>Las Varillas</x:v>
      </x:c>
      <x:c r="E14" s="14" t="str">
        <x:v>Mitre</x:v>
      </x:c>
      <x:c r="F14" s="14" t="str">
        <x:v>A+</x:v>
      </x:c>
      <x:c r="G14" s="14" t="n">
        <x:v>98</x:v>
      </x:c>
      <x:c r="H14" s="14" t="str">
        <x:v>Industrias Gallo S.A.</x:v>
      </x:c>
      <x:c r="I14" s="14" t="str">
        <x:v>Fábrica de acoplados y semirremolques</x:v>
      </x:c>
      <x:c r="J14" s="14" t="str">
        <x:v>03533 420556</x:v>
      </x:c>
      <x:c r="K14" s="14" t="str">
        <x:v>OK</x:v>
      </x:c>
      <x:c r="L14" s="14" t="str">
        <x:v>expedición / logística / producción</x:v>
      </x:c>
      <x:c r="M14" s="14" t="str">
        <x:v>Despacho y traslado de conjuntos pesados, acoplados, equipos viales o módulos especiales.</x:v>
      </x:c>
      <x:c r="N14" s="14" t="str">
        <x:v>Plataforma 20 tn + malacate + hidrogrúa según maniobra.</x:v>
      </x:c>
      <x:c r="O14" s="14" t="str">
        <x:v>Resolver entregas y movimientos especiales fuera de la logística convencional.</x:v>
      </x:c>
      <x:c r="P14" s="14" t="str">
        <x:v>Pedir expedición/logística/producción y consultar pesos/dimensiones máximas.</x:v>
      </x:c>
      <x:c r="Q14" s="14" t="str"/>
      <x:c r="R14" s="14" t="str">
        <x:v>Mitre 655, Las Varillas, Córdoba</x:v>
      </x:c>
      <x:c r="S14" s="14" t="str"/>
      <x:c r="T14" s="14" t="str"/>
      <x:c r="U14" s="14" t="str"/>
      <x:c r="V14" s="14" t="str"/>
      <x:c r="W14" s="14" t="str">
        <x:v>03533420556</x:v>
      </x:c>
      <x:c r="X14" s="14" t="str">
        <x:v>https://www.google.com/maps/search/?api=1&amp;query=Industrias+Gallo+S.A.%2C+Mitre+655%2C+Las+Varillas%2C+C%C3%B3rdoba</x:v>
      </x:c>
      <x:c r="Y14" s="14" t="str">
        <x:v>Municipalidad / registro 2026</x:v>
      </x:c>
      <x:c r="Z14" s="14" t="str">
        <x:v>https://lasvarillas.gob.ar/EmpresasExportadoras</x:v>
      </x:c>
      <x:c r="AA14" s="14" t="str">
        <x:v>Fabrica acoplados, semirremolques y carrocerías volcadoras.</x:v>
      </x:c>
      <x:c r="AB14" s="14" t="str">
        <x:v>Alta</x:v>
      </x:c>
      <x:c r="AC14" s="14" t="str">
        <x:v>Operativo / verificar antes de visita</x:v>
      </x:c>
      <x:c r="AD14" s="14" t="str">
        <x:v>Rastrillaje Las Varillas 2026-09-15</x:v>
      </x:c>
      <x:c r="AE14" s="14" t="str">
        <x:v>Plataforma 20 tn | Malacate | Hidrogrúa | Cargas especiales</x:v>
      </x:c>
      <x:c r="AF14" s="14" t="str">
        <x:v>VISITA INMEDIATA</x:v>
      </x:c>
    </x:row>
    <x:row r="15">
      <x:c r="A15" s="14" t="str">
        <x:v>LV-014</x:v>
      </x:c>
      <x:c r="B15" s="14" t="str">
        <x:v>Pendiente</x:v>
      </x:c>
      <x:c r="C15" s="14" t="str">
        <x:v>Núcleo</x:v>
      </x:c>
      <x:c r="D15" s="14" t="str">
        <x:v>Las Varillas</x:v>
      </x:c>
      <x:c r="E15" s="14" t="str">
        <x:v>RN158</x:v>
      </x:c>
      <x:c r="F15" s="14" t="str">
        <x:v>A+</x:v>
      </x:c>
      <x:c r="G15" s="14" t="n">
        <x:v>97</x:v>
      </x:c>
      <x:c r="H15" s="14" t="str">
        <x:v>Cagliero Maquinarias S.A.</x:v>
      </x:c>
      <x:c r="I15" s="14" t="str">
        <x:v>Venta mayorista de maquinaria / tractores / grúas</x:v>
      </x:c>
      <x:c r="J15" s="14" t="str">
        <x:v>03533 421713</x:v>
      </x:c>
      <x:c r="K15" s="14" t="str">
        <x:v>OK</x:v>
      </x:c>
      <x:c r="L15" s="14" t="str">
        <x:v>ventas / logística / service</x:v>
      </x:c>
      <x:c r="M15" s="14" t="str">
        <x:v>Entrega/retiro de maquinaria, usados, equipos de service y despachos de fábrica.</x:v>
      </x:c>
      <x:c r="N15" s="14" t="str">
        <x:v>Plataforma 20 tn + malacate + hidrogrúa + seguro/GPS.</x:v>
      </x:c>
      <x:c r="O15" s="14" t="str">
        <x:v>Captar entregas, canjes, service y movimientos de equipos sin inmovilizar transporte propio.</x:v>
      </x:c>
      <x:c r="P15" s="14" t="str">
        <x:v>Pedir logística/expedición/posventa y relevar cantidad de movimientos mensuales.</x:v>
      </x:c>
      <x:c r="Q15" s="14" t="str"/>
      <x:c r="R15" s="14" t="str">
        <x:v>RN158 s/n, Las Varillas, Córdoba</x:v>
      </x:c>
      <x:c r="S15" s="14" t="str"/>
      <x:c r="T15" s="14" t="str"/>
      <x:c r="U15" s="14" t="str"/>
      <x:c r="V15" s="14" t="str"/>
      <x:c r="W15" s="14" t="str">
        <x:v>03533421713</x:v>
      </x:c>
      <x:c r="X15" s="14" t="str">
        <x:v>https://www.google.com/maps/search/?api=1&amp;query=Cagliero+Maquinarias+S.A.%2C+RN158+s%2Fn%2C+Las+Varillas%2C+C%C3%B3rdoba</x:v>
      </x:c>
      <x:c r="Y15" s="14" t="str">
        <x:v>Registro 2026 / Guía Urbana</x:v>
      </x:c>
      <x:c r="Z15" s="14" t="str">
        <x:v>https://indicadores.ar/empresa/30708687770-cagliero-maquinarias-s-a</x:v>
      </x:c>
      <x:c r="AA15" s="14" t="str">
        <x:v>Sociedad activa; venta mayorista de máquinas, equipos e implementos agropecuarios.</x:v>
      </x:c>
      <x:c r="AB15" s="14" t="str">
        <x:v>Alta</x:v>
      </x:c>
      <x:c r="AC15" s="14" t="str">
        <x:v>Operativo / verificar antes de visita</x:v>
      </x:c>
      <x:c r="AD15" s="14" t="str">
        <x:v>Rastrillaje Las Varillas 2026-09-15</x:v>
      </x:c>
      <x:c r="AE15" s="14" t="str">
        <x:v>Plataforma 20 tn | Malacate | Hidrogrúa | Entrega/retiro maquinaria | Seguro/GPS</x:v>
      </x:c>
      <x:c r="AF15" s="14" t="str">
        <x:v>VISITA INMEDIATA</x:v>
      </x:c>
    </x:row>
    <x:row r="16">
      <x:c r="A16" s="14" t="str">
        <x:v>LV-015</x:v>
      </x:c>
      <x:c r="B16" s="14" t="str">
        <x:v>Pendiente</x:v>
      </x:c>
      <x:c r="C16" s="14" t="str">
        <x:v>Núcleo</x:v>
      </x:c>
      <x:c r="D16" s="14" t="str">
        <x:v>Las Varillas</x:v>
      </x:c>
      <x:c r="E16" s="14" t="str">
        <x:v>Rivadavia / Martín Fierro</x:v>
      </x:c>
      <x:c r="F16" s="14" t="str">
        <x:v>A+</x:v>
      </x:c>
      <x:c r="G16" s="14" t="n">
        <x:v>99</x:v>
      </x:c>
      <x:c r="H16" s="14" t="str">
        <x:v>Doffo - Maquinarias Agrícolas y Viales</x:v>
      </x:c>
      <x:c r="I16" s="14" t="str">
        <x:v>Venta de maquinaria agrícola y vial pesada</x:v>
      </x:c>
      <x:c r="J16" s="14" t="str">
        <x:v>03533 456851</x:v>
      </x:c>
      <x:c r="K16" s="14" t="str">
        <x:v>OK</x:v>
      </x:c>
      <x:c r="L16" s="14" t="str">
        <x:v>ventas / logística / usados / posventa</x:v>
      </x:c>
      <x:c r="M16" s="14" t="str">
        <x:v>Entrega/retiro de maquinaria, usados, equipos de service y movimientos de gran porte.</x:v>
      </x:c>
      <x:c r="N16" s="14" t="str">
        <x:v>Plataforma 20 tn + malacate + hidrogrúa de apoyo + seguro/GPS.</x:v>
      </x:c>
      <x:c r="O16" s="14" t="str">
        <x:v>Captar entregas, canjes, usados y rescates de service sin inmovilizar transporte propio.</x:v>
      </x:c>
      <x:c r="P16" s="14" t="str">
        <x:v>Pedir logística/posventa/expedición; relevar pesos, dimensiones y movimientos mensuales.</x:v>
      </x:c>
      <x:c r="Q16" s="14" t="str"/>
      <x:c r="R16" s="14" t="str">
        <x:v>B. Rivadavia s/n, Las Varillas, Córdoba</x:v>
      </x:c>
      <x:c r="S16" s="14" t="str"/>
      <x:c r="T16" s="14" t="str"/>
      <x:c r="U16" s="14" t="str"/>
      <x:c r="V16" s="14" t="str"/>
      <x:c r="W16" s="14" t="str">
        <x:v>03533456851</x:v>
      </x:c>
      <x:c r="X16" s="14" t="str">
        <x:v>https://www.google.com/maps/search/?api=1&amp;query=Doffo+-+Maquinarias+Agr%C3%ADcolas+y+Viales%2C+B.+Rivadavia+s%2Fn%2C+Las+Varillas%2C+C%C3%B3rdoba</x:v>
      </x:c>
      <x:c r="Y16" s="14" t="str">
        <x:v>Agroads + Google Business</x:v>
      </x:c>
      <x:c r="Z16" s="14" t="str">
        <x:v>https://www.agroads.com.ar/seccion.asp?loc=198&amp;prov=8&amp;subcat=122&amp;tipo=nuevo</x:v>
      </x:c>
      <x:c r="AA16" s="14" t="str">
        <x:v>Publica palas cargadoras Michigan, tractores Hanomag y otra maquinaria vial nueva en Las Varillas.</x:v>
      </x:c>
      <x:c r="AB16" s="14" t="str">
        <x:v>Alta</x:v>
      </x:c>
      <x:c r="AC16" s="14" t="str">
        <x:v>Operativo / verificar antes de visita</x:v>
      </x:c>
      <x:c r="AD16" s="14" t="str">
        <x:v>Rastrillaje Las Varillas 2026-09-15</x:v>
      </x:c>
      <x:c r="AE16" s="14" t="str">
        <x:v>Plataforma 20 tn | Malacate | Hidrogrúa | Entrega/retiro maquinaria | Seguro/GPS</x:v>
      </x:c>
      <x:c r="AF16" s="14" t="str">
        <x:v>VISITA INMEDIATA</x:v>
      </x:c>
    </x:row>
    <x:row r="17">
      <x:c r="A17" s="14" t="str">
        <x:v>LV-016</x:v>
      </x:c>
      <x:c r="B17" s="14" t="str">
        <x:v>Pendiente</x:v>
      </x:c>
      <x:c r="C17" s="14" t="str">
        <x:v>Núcleo</x:v>
      </x:c>
      <x:c r="D17" s="14" t="str">
        <x:v>Las Varillas</x:v>
      </x:c>
      <x:c r="E17" s="14" t="str">
        <x:v>Irazusta</x:v>
      </x:c>
      <x:c r="F17" s="14" t="str">
        <x:v>A+</x:v>
      </x:c>
      <x:c r="G17" s="14" t="n">
        <x:v>100</x:v>
      </x:c>
      <x:c r="H17" s="14" t="str">
        <x:v>GRIFFA S.A. Las Varillas</x:v>
      </x:c>
      <x:c r="I17" s="14" t="str">
        <x:v>Concesionario New Holland: tractores, cosechadoras, pulverizadoras y sembradoras</x:v>
      </x:c>
      <x:c r="J17" s="14" t="str">
        <x:v>3533 418506 / 3563 669009</x:v>
      </x:c>
      <x:c r="K17" s="14" t="str">
        <x:v>OK</x:v>
      </x:c>
      <x:c r="L17" s="14" t="str">
        <x:v>ventas / logística / service / repuestos</x:v>
      </x:c>
      <x:c r="M17" s="14" t="str">
        <x:v>Entrega/retiro de maquinaria, usados, equipos de service y movimientos de gran porte.</x:v>
      </x:c>
      <x:c r="N17" s="14" t="str">
        <x:v>Plataforma 20 tn + malacate + hidrogrúa de apoyo + seguro/GPS.</x:v>
      </x:c>
      <x:c r="O17" s="14" t="str">
        <x:v>Captar entregas, canjes, usados y rescates de service sin inmovilizar transporte propio.</x:v>
      </x:c>
      <x:c r="P17" s="14" t="str">
        <x:v>Pedir logística/posventa/expedición; relevar pesos, dimensiones y movimientos mensuales.</x:v>
      </x:c>
      <x:c r="Q17" s="14" t="str"/>
      <x:c r="R17" s="14" t="str">
        <x:v>Av. Int. José Irazusta 272, Las Varillas, Córdoba</x:v>
      </x:c>
      <x:c r="S17" s="14" t="str"/>
      <x:c r="T17" s="14" t="str"/>
      <x:c r="U17" s="14" t="str"/>
      <x:c r="V17" s="14" t="str"/>
      <x:c r="W17" s="14" t="str">
        <x:v>3533418506</x:v>
      </x:c>
      <x:c r="X17" s="14" t="str">
        <x:v>https://www.google.com/maps/search/?api=1&amp;query=GRIFFA+S.A.+Las+Varillas%2C+Av.+Int.+Jos%C3%A9+Irazusta+272%2C+Las+Varillas%2C+C%C3%B3rdoba</x:v>
      </x:c>
      <x:c r="Y17" s="14" t="str">
        <x:v>Web oficial</x:v>
      </x:c>
      <x:c r="Z17" s="14" t="str">
        <x:v>https://griffasa.com.ar/maquinarias/</x:v>
      </x:c>
      <x:c r="AA17" s="14" t="str">
        <x:v>Concesionario oficial New Holland; comercializa tractores, cosechadoras, heno/forraje, pulverizadoras y sembradoras, con taller y postventa.</x:v>
      </x:c>
      <x:c r="AB17" s="14" t="str">
        <x:v>Alta</x:v>
      </x:c>
      <x:c r="AC17" s="14" t="str">
        <x:v>Operativo / verificar antes de visita</x:v>
      </x:c>
      <x:c r="AD17" s="14" t="str">
        <x:v>Rastrillaje Las Varillas 2026-09-15</x:v>
      </x:c>
      <x:c r="AE17" s="14" t="str">
        <x:v>Plataforma 20 tn | Malacate | Hidrogrúa | Entrega/retiro maquinaria | Seguro/GPS</x:v>
      </x:c>
      <x:c r="AF17" s="14" t="str">
        <x:v>VISITA INMEDIATA</x:v>
      </x:c>
    </x:row>
    <x:row r="18">
      <x:c r="A18" s="14" t="str">
        <x:v>LV-017</x:v>
      </x:c>
      <x:c r="B18" s="14" t="str">
        <x:v>Pendiente</x:v>
      </x:c>
      <x:c r="C18" s="14" t="str">
        <x:v>Núcleo</x:v>
      </x:c>
      <x:c r="D18" s="14" t="str">
        <x:v>Las Varillas</x:v>
      </x:c>
      <x:c r="E18" s="14" t="str">
        <x:v>Urquiza</x:v>
      </x:c>
      <x:c r="F18" s="14" t="str">
        <x:v>A+</x:v>
      </x:c>
      <x:c r="G18" s="14" t="n">
        <x:v>96</x:v>
      </x:c>
      <x:c r="H18" s="14" t="str">
        <x:v>Campra S.A.</x:v>
      </x:c>
      <x:c r="I18" s="14" t="str">
        <x:v>Fábrica de implementos agrícolas</x:v>
      </x:c>
      <x:c r="J18" s="14" t="str">
        <x:v>+54 9 3533 474012</x:v>
      </x:c>
      <x:c r="K18" s="14" t="str">
        <x:v>OK</x:v>
      </x:c>
      <x:c r="L18" s="14" t="str">
        <x:v>producción / expedición / logística</x:v>
      </x:c>
      <x:c r="M18" s="14" t="str">
        <x:v>Entrega/retiro de maquinaria, usados, equipos de service y despachos de fábrica.</x:v>
      </x:c>
      <x:c r="N18" s="14" t="str">
        <x:v>Plataforma 20 tn + malacate + hidrogrúa + seguro/GPS.</x:v>
      </x:c>
      <x:c r="O18" s="14" t="str">
        <x:v>Captar entregas, canjes, service y movimientos de equipos sin inmovilizar transporte propio.</x:v>
      </x:c>
      <x:c r="P18" s="14" t="str">
        <x:v>Pedir logística/expedición/posventa y relevar cantidad de movimientos mensuales.</x:v>
      </x:c>
      <x:c r="Q18" s="14" t="str"/>
      <x:c r="R18" s="14" t="str">
        <x:v>J. J. Urquiza 201, Las Varillas, Córdoba</x:v>
      </x:c>
      <x:c r="S18" s="14" t="str"/>
      <x:c r="T18" s="14" t="str"/>
      <x:c r="U18" s="14" t="str"/>
      <x:c r="V18" s="14" t="str"/>
      <x:c r="W18" s="14" t="str">
        <x:v>+5493533474012</x:v>
      </x:c>
      <x:c r="X18" s="14" t="str">
        <x:v>https://www.google.com/maps/search/?api=1&amp;query=Campra+S.A.%2C+J.+J.+Urquiza+201%2C+Las+Varillas%2C+C%C3%B3rdoba</x:v>
      </x:c>
      <x:c r="Y18" s="14" t="str">
        <x:v>Municipalidad / Google Business</x:v>
      </x:c>
      <x:c r="Z18" s="14" t="str">
        <x:v>https://lasvarillas.gob.ar/EmpresasExportadoras</x:v>
      </x:c>
      <x:c r="AA18" s="14" t="str">
        <x:v>Fabricante histórico de implementos, arados, rastras, descompactadores y compresores.</x:v>
      </x:c>
      <x:c r="AB18" s="14" t="str">
        <x:v>Alta</x:v>
      </x:c>
      <x:c r="AC18" s="14" t="str">
        <x:v>Operativo / verificar antes de visita</x:v>
      </x:c>
      <x:c r="AD18" s="14" t="str">
        <x:v>Rastrillaje Las Varillas 2026-09-15</x:v>
      </x:c>
      <x:c r="AE18" s="14" t="str">
        <x:v>Plataforma 20 tn | Malacate | Hidrogrúa | Entrega/retiro maquinaria | Seguro/GPS</x:v>
      </x:c>
      <x:c r="AF18" s="14" t="str">
        <x:v>VISITA INMEDIATA</x:v>
      </x:c>
    </x:row>
    <x:row r="19">
      <x:c r="A19" s="14" t="str">
        <x:v>LV-018</x:v>
      </x:c>
      <x:c r="B19" s="14" t="str">
        <x:v>Pendiente</x:v>
      </x:c>
      <x:c r="C19" s="14" t="str">
        <x:v>Núcleo</x:v>
      </x:c>
      <x:c r="D19" s="14" t="str">
        <x:v>Las Varillas</x:v>
      </x:c>
      <x:c r="E19" s="14" t="str">
        <x:v>Chacabuco</x:v>
      </x:c>
      <x:c r="F19" s="14" t="str">
        <x:v>A+</x:v>
      </x:c>
      <x:c r="G19" s="14" t="n">
        <x:v>100</x:v>
      </x:c>
      <x:c r="H19" s="14" t="str">
        <x:v>Produmat S.A.</x:v>
      </x:c>
      <x:c r="I19" s="14" t="str">
        <x:v>Fabricante de retroexcavadoras, cargadores frontales y equipos viales</x:v>
      </x:c>
      <x:c r="J19" s="14" t="str">
        <x:v>03533 421594 / 423685</x:v>
      </x:c>
      <x:c r="K19" s="14" t="str">
        <x:v>OK</x:v>
      </x:c>
      <x:c r="L19" s="14" t="str">
        <x:v>expedición / producción / logística</x:v>
      </x:c>
      <x:c r="M19" s="14" t="str">
        <x:v>Movimiento de motores, equipos completos, conjuntos mecánicos y maquinaria nueva/usada.</x:v>
      </x:c>
      <x:c r="N19" s="14" t="str">
        <x:v>Plataforma + hidrogrúa + malacate según carga.</x:v>
      </x:c>
      <x:c r="O19" s="14" t="str">
        <x:v>Cubrir despachos pesados y equipos sin autonomía con capacidad externa.</x:v>
      </x:c>
      <x:c r="P19" s="14" t="str">
        <x:v>Pedir ventas/taller/logística; relevar equipos completos y movimientos de service.</x:v>
      </x:c>
      <x:c r="Q19" s="14" t="str"/>
      <x:c r="R19" s="14" t="str">
        <x:v>Chacabuco 645, Las Varillas, Córdoba</x:v>
      </x:c>
      <x:c r="S19" s="14" t="str"/>
      <x:c r="T19" s="14" t="str"/>
      <x:c r="U19" s="14" t="str"/>
      <x:c r="V19" s="14" t="str"/>
      <x:c r="W19" s="14" t="str">
        <x:v>03533421594</x:v>
      </x:c>
      <x:c r="X19" s="14" t="str">
        <x:v>https://www.google.com/maps/search/?api=1&amp;query=Produmat+S.A.%2C+Chacabuco+645%2C+Las+Varillas%2C+C%C3%B3rdoba</x:v>
      </x:c>
      <x:c r="Y19" s="14" t="str">
        <x:v>Maquinac + AFAMAC</x:v>
      </x:c>
      <x:c r="Z19" s="14" t="str">
        <x:v>https://maquinac.com/empresas/produmat/</x:v>
      </x:c>
      <x:c r="AA19" s="14" t="str">
        <x:v>Además de agropartes, fabrica retroexcavadoras, cargadores frontales, equipos viales, acoplados tanque y maquinaria autopropulsada.</x:v>
      </x:c>
      <x:c r="AB19" s="14" t="str">
        <x:v>Alta</x:v>
      </x:c>
      <x:c r="AC19" s="14" t="str">
        <x:v>Operativo / verificar antes de visita</x:v>
      </x:c>
      <x:c r="AD19" s="14" t="str">
        <x:v>Rastrillaje Las Varillas 2026-09-15</x:v>
      </x:c>
      <x:c r="AE19" s="14" t="str">
        <x:v>Plataforma 20 tn | Hidrogrúa | Malacate | Entrega/retiro</x:v>
      </x:c>
      <x:c r="AF19" s="14" t="str">
        <x:v>VISITA INMEDIATA</x:v>
      </x:c>
    </x:row>
    <x:row r="20">
      <x:c r="A20" s="14" t="str">
        <x:v>LV-019</x:v>
      </x:c>
      <x:c r="B20" s="14" t="str">
        <x:v>Pendiente</x:v>
      </x:c>
      <x:c r="C20" s="14" t="str">
        <x:v>Núcleo</x:v>
      </x:c>
      <x:c r="D20" s="14" t="str">
        <x:v>Las Varillas</x:v>
      </x:c>
      <x:c r="E20" s="14" t="str">
        <x:v>Cura Brochero / RP13</x:v>
      </x:c>
      <x:c r="F20" s="14" t="str">
        <x:v>A+</x:v>
      </x:c>
      <x:c r="G20" s="14" t="n">
        <x:v>96</x:v>
      </x:c>
      <x:c r="H20" s="14" t="str">
        <x:v>Walcrivic S.R.L.</x:v>
      </x:c>
      <x:c r="I20" s="14" t="str">
        <x:v>Concesionario / proveedor de maquinaria agrícola</x:v>
      </x:c>
      <x:c r="J20" s="14" t="str">
        <x:v>03533 438747 / 425520</x:v>
      </x:c>
      <x:c r="K20" s="14" t="str">
        <x:v>OK</x:v>
      </x:c>
      <x:c r="L20" s="14" t="str">
        <x:v>ventas / logística / posventa</x:v>
      </x:c>
      <x:c r="M20" s="14" t="str">
        <x:v>Entrega/retiro de maquinaria, usados, equipos de service y despachos de fábrica.</x:v>
      </x:c>
      <x:c r="N20" s="14" t="str">
        <x:v>Plataforma 20 tn + malacate + hidrogrúa + seguro/GPS.</x:v>
      </x:c>
      <x:c r="O20" s="14" t="str">
        <x:v>Captar entregas, canjes, service y movimientos de equipos sin inmovilizar transporte propio.</x:v>
      </x:c>
      <x:c r="P20" s="14" t="str">
        <x:v>Pedir logística/expedición/posventa y relevar cantidad de movimientos mensuales.</x:v>
      </x:c>
      <x:c r="Q20" s="14" t="str"/>
      <x:c r="R20" s="14" t="str">
        <x:v>Cura Brochero 820, Las Varillas, Córdoba</x:v>
      </x:c>
      <x:c r="S20" s="14" t="str"/>
      <x:c r="T20" s="14" t="str"/>
      <x:c r="U20" s="14" t="str"/>
      <x:c r="V20" s="14" t="str"/>
      <x:c r="W20" s="14" t="str">
        <x:v>03533438747</x:v>
      </x:c>
      <x:c r="X20" s="14" t="str">
        <x:v>https://www.google.com/maps/search/?api=1&amp;query=Walcrivic+S.R.L.%2C+Cura+Brochero+820%2C+Las+Varillas%2C+C%C3%B3rdoba</x:v>
      </x:c>
      <x:c r="Y20" s="14" t="str">
        <x:v>Fabimag / Google Business</x:v>
      </x:c>
      <x:c r="Z20" s="14" t="str">
        <x:v>https://fabimag.com/concesionarios</x:v>
      </x:c>
      <x:c r="AA20" s="14" t="str">
        <x:v>Concesionario local y proveedor de equipos agrícolas.</x:v>
      </x:c>
      <x:c r="AB20" s="14" t="str">
        <x:v>Alta</x:v>
      </x:c>
      <x:c r="AC20" s="14" t="str">
        <x:v>Operativo / verificar antes de visita</x:v>
      </x:c>
      <x:c r="AD20" s="14" t="str">
        <x:v>Rastrillaje Las Varillas 2026-09-15</x:v>
      </x:c>
      <x:c r="AE20" s="14" t="str">
        <x:v>Plataforma 20 tn | Malacate | Hidrogrúa | Entrega/retiro maquinaria | Seguro/GPS</x:v>
      </x:c>
      <x:c r="AF20" s="14" t="str">
        <x:v>VISITA INMEDIATA</x:v>
      </x:c>
    </x:row>
    <x:row r="21">
      <x:c r="A21" s="14" t="str">
        <x:v>LV-020</x:v>
      </x:c>
      <x:c r="B21" s="14" t="str">
        <x:v>Pendiente</x:v>
      </x:c>
      <x:c r="C21" s="14" t="str">
        <x:v>Núcleo</x:v>
      </x:c>
      <x:c r="D21" s="14" t="str">
        <x:v>Las Varillas</x:v>
      </x:c>
      <x:c r="E21" s="14" t="str">
        <x:v>Rivadavia / Irazusta</x:v>
      </x:c>
      <x:c r="F21" s="14" t="str">
        <x:v>A+</x:v>
      </x:c>
      <x:c r="G21" s="14" t="n">
        <x:v>96</x:v>
      </x:c>
      <x:c r="H21" s="14" t="str">
        <x:v>Yaveza S.A.</x:v>
      </x:c>
      <x:c r="I21" s="14" t="str">
        <x:v>Maquinaria vial, tractores y maquinaria agrícola</x:v>
      </x:c>
      <x:c r="J21" s="14" t="str">
        <x:v>03533 456785</x:v>
      </x:c>
      <x:c r="K21" s="14" t="str">
        <x:v>OK</x:v>
      </x:c>
      <x:c r="L21" s="14" t="str">
        <x:v>ventas / logística / service</x:v>
      </x:c>
      <x:c r="M21" s="14" t="str">
        <x:v>Entrega/retiro de maquinaria, usados, equipos de service y despachos de fábrica.</x:v>
      </x:c>
      <x:c r="N21" s="14" t="str">
        <x:v>Plataforma 20 tn + malacate + hidrogrúa + seguro/GPS.</x:v>
      </x:c>
      <x:c r="O21" s="14" t="str">
        <x:v>Captar entregas, canjes, service y movimientos de equipos sin inmovilizar transporte propio.</x:v>
      </x:c>
      <x:c r="P21" s="14" t="str">
        <x:v>Pedir logística/expedición/posventa y relevar cantidad de movimientos mensuales.</x:v>
      </x:c>
      <x:c r="Q21" s="14" t="str"/>
      <x:c r="R21" s="14" t="str">
        <x:v>Rivadavia 721, Las Varillas, Córdoba</x:v>
      </x:c>
      <x:c r="S21" s="14" t="str"/>
      <x:c r="T21" s="14" t="str"/>
      <x:c r="U21" s="14" t="str"/>
      <x:c r="V21" s="14" t="str"/>
      <x:c r="W21" s="14" t="str">
        <x:v>03533456785</x:v>
      </x:c>
      <x:c r="X21" s="14" t="str">
        <x:v>https://www.google.com/maps/search/?api=1&amp;query=Yaveza+S.A.%2C+Rivadavia+721%2C+Las+Varillas%2C+C%C3%B3rdoba</x:v>
      </x:c>
      <x:c r="Y21" s="14" t="str">
        <x:v>Google Business / Telexplorer</x:v>
      </x:c>
      <x:c r="Z21" s="14" t="str">
        <x:v>https://www.telexplorer.com.ar/Maquinaria-agricola-repuestos-y-accesorios-EN-Las-varillas</x:v>
      </x:c>
      <x:c r="AA21" s="14" t="str">
        <x:v>Opera con maquinaria vial, tractores y maquinaria agrícola.</x:v>
      </x:c>
      <x:c r="AB21" s="14" t="str">
        <x:v>Alta</x:v>
      </x:c>
      <x:c r="AC21" s="14" t="str">
        <x:v>Operativo / verificar antes de visita</x:v>
      </x:c>
      <x:c r="AD21" s="14" t="str">
        <x:v>Rastrillaje Las Varillas 2026-09-15</x:v>
      </x:c>
      <x:c r="AE21" s="14" t="str">
        <x:v>Plataforma 20 tn | Malacate | Hidrogrúa | Entrega/retiro maquinaria | Seguro/GPS</x:v>
      </x:c>
      <x:c r="AF21" s="14" t="str">
        <x:v>VISITA INMEDIATA</x:v>
      </x:c>
    </x:row>
    <x:row r="22">
      <x:c r="A22" s="14" t="str">
        <x:v>LV-021</x:v>
      </x:c>
      <x:c r="B22" s="14" t="str">
        <x:v>Pendiente</x:v>
      </x:c>
      <x:c r="C22" s="14" t="str">
        <x:v>Núcleo</x:v>
      </x:c>
      <x:c r="D22" s="14" t="str">
        <x:v>Las Varillas</x:v>
      </x:c>
      <x:c r="E22" s="14" t="str">
        <x:v>Antártida</x:v>
      </x:c>
      <x:c r="F22" s="14" t="str">
        <x:v>A+</x:v>
      </x:c>
      <x:c r="G22" s="14" t="n">
        <x:v>95</x:v>
      </x:c>
      <x:c r="H22" s="14" t="str">
        <x:v>CILTON S.A.</x:v>
      </x:c>
      <x:c r="I22" s="14" t="str">
        <x:v>Cilindros hidráulicos agrícola/vial/industrial</x:v>
      </x:c>
      <x:c r="J22" s="14" t="str">
        <x:v>03533 420821</x:v>
      </x:c>
      <x:c r="K22" s="14" t="str">
        <x:v>OK</x:v>
      </x:c>
      <x:c r="L22" s="14" t="str">
        <x:v>producción / expedición / ingeniería</x:v>
      </x:c>
      <x:c r="M22" s="14" t="str">
        <x:v>Movimiento de piezas, conjuntos, implementos, estructuras o equipos de producción/mantenimiento.</x:v>
      </x:c>
      <x:c r="N22" s="14" t="str">
        <x:v>Plataforma + hidrogrúa + malacate; percha según carga.</x:v>
      </x:c>
      <x:c r="O22" s="14" t="str">
        <x:v>Ser proveedor para despachos pesados, paradas de mantenimiento o piezas fuera de medida.</x:v>
      </x:c>
      <x:c r="P22" s="14" t="str">
        <x:v>Pedir producción/expedición/mantenimiento y relevar piezas máximas/destinos.</x:v>
      </x:c>
      <x:c r="Q22" s="14" t="str"/>
      <x:c r="R22" s="14" t="str">
        <x:v>Antártida 67, Las Varillas, Córdoba</x:v>
      </x:c>
      <x:c r="S22" s="14" t="str"/>
      <x:c r="T22" s="14" t="str"/>
      <x:c r="U22" s="14" t="str"/>
      <x:c r="V22" s="14" t="str"/>
      <x:c r="W22" s="14" t="str">
        <x:v>03533420821</x:v>
      </x:c>
      <x:c r="X22" s="14" t="str">
        <x:v>https://www.google.com/maps/search/?api=1&amp;query=CILTON+S.A.%2C+Ant%C3%A1rtida+67%2C+Las+Varillas%2C+C%C3%B3rdoba</x:v>
      </x:c>
      <x:c r="Y22" s="14" t="str">
        <x:v>Web oficial</x:v>
      </x:c>
      <x:c r="Z22" s="14" t="str">
        <x:v>https://cilton.com.ar/</x:v>
      </x:c>
      <x:c r="AA22" s="14" t="str">
        <x:v>Diseña y fabrica cilindros hidráulicos para uso agrícola, vial e industrial.</x:v>
      </x:c>
      <x:c r="AB22" s="14" t="str">
        <x:v>Alta</x:v>
      </x:c>
      <x:c r="AC22" s="14" t="str">
        <x:v>Operativo / verificar antes de visita</x:v>
      </x:c>
      <x:c r="AD22" s="14" t="str">
        <x:v>Rastrillaje Las Varillas 2026-09-15</x:v>
      </x:c>
      <x:c r="AE22" s="14" t="str">
        <x:v>Plataforma 20 tn | Hidrogrúa | Malacate | Percha</x:v>
      </x:c>
      <x:c r="AF22" s="14" t="str">
        <x:v>VISITA INMEDIATA</x:v>
      </x:c>
    </x:row>
    <x:row r="23">
      <x:c r="A23" s="14" t="str">
        <x:v>LV-022</x:v>
      </x:c>
      <x:c r="B23" s="14" t="str">
        <x:v>Pendiente</x:v>
      </x:c>
      <x:c r="C23" s="14" t="str">
        <x:v>Núcleo</x:v>
      </x:c>
      <x:c r="D23" s="14" t="str">
        <x:v>Las Varillas</x:v>
      </x:c>
      <x:c r="E23" s="14" t="str">
        <x:v>Área industrial</x:v>
      </x:c>
      <x:c r="F23" s="14" t="str">
        <x:v>A+</x:v>
      </x:c>
      <x:c r="G23" s="14" t="n">
        <x:v>94</x:v>
      </x:c>
      <x:c r="H23" s="14" t="str">
        <x:v>Fundición PAUNY</x:v>
      </x:c>
      <x:c r="I23" s="14" t="str">
        <x:v>Fundición / componentes pesados</x:v>
      </x:c>
      <x:c r="J23" s="14" t="str">
        <x:v>03533 456837</x:v>
      </x:c>
      <x:c r="K23" s="14" t="str">
        <x:v>OK</x:v>
      </x:c>
      <x:c r="L23" s="14" t="str">
        <x:v>planta / logística / mantenimiento</x:v>
      </x:c>
      <x:c r="M23" s="14" t="str">
        <x:v>Movimientos de equipos o cargas especiales asociados a su operación.</x:v>
      </x:c>
      <x:c r="N23" s="14" t="str">
        <x:v>Plataforma 20 tn + hidrogrúa + malacate según necesidad.</x:v>
      </x:c>
      <x:c r="O23" s="14" t="str">
        <x:v>Capacidad externa para movimientos pesados o especiales.</x:v>
      </x:c>
      <x:c r="P23" s="14" t="str">
        <x:v>Contactar logística/operaciones y relevar necesidad real.</x:v>
      </x:c>
      <x:c r="Q23" s="14" t="str"/>
      <x:c r="R23" s="14" t="str">
        <x:v>Las Varillas, Córdoba</x:v>
      </x:c>
      <x:c r="S23" s="14" t="str"/>
      <x:c r="T23" s="14" t="str"/>
      <x:c r="U23" s="14" t="str"/>
      <x:c r="V23" s="14" t="str"/>
      <x:c r="W23" s="14" t="str">
        <x:v>03533456837</x:v>
      </x:c>
      <x:c r="X23" s="14" t="str">
        <x:v>https://www.google.com/maps/search/?api=1&amp;query=Fundici%C3%B3n+PAUNY%2C+Las+Varillas%2C+C%C3%B3rdoba</x:v>
      </x:c>
      <x:c r="Y23" s="14" t="str">
        <x:v>Google Business</x:v>
      </x:c>
      <x:c r="Z23" s="14" t="str">
        <x:v>https://www.google.com/maps/search/?api=1&amp;query=Fundici%C3%B3n+PAUNY%2C+Las+Varillas%2C+C%C3%B3rdoba</x:v>
      </x:c>
      <x:c r="AA23" s="14" t="str">
        <x:v>Operación industrial asociada al complejo Pauny; piezas y componentes pesados.</x:v>
      </x:c>
      <x:c r="AB23" s="14" t="str">
        <x:v>Alta</x:v>
      </x:c>
      <x:c r="AC23" s="14" t="str">
        <x:v>Operativo / verificar antes de visita</x:v>
      </x:c>
      <x:c r="AD23" s="14" t="str">
        <x:v>Rastrillaje Las Varillas 2026-09-15</x:v>
      </x:c>
      <x:c r="AE23" s="14" t="str">
        <x:v>Plataforma 20 tn | Hidrogrúa | Malacate</x:v>
      </x:c>
      <x:c r="AF23" s="14" t="str">
        <x:v>VISITA INMEDIATA</x:v>
      </x:c>
    </x:row>
    <x:row r="24">
      <x:c r="A24" s="14" t="str">
        <x:v>LV-023</x:v>
      </x:c>
      <x:c r="B24" s="14" t="str">
        <x:v>Pendiente</x:v>
      </x:c>
      <x:c r="C24" s="14" t="str">
        <x:v>Núcleo</x:v>
      </x:c>
      <x:c r="D24" s="14" t="str">
        <x:v>Las Varillas</x:v>
      </x:c>
      <x:c r="E24" s="14" t="str">
        <x:v>Irazusta</x:v>
      </x:c>
      <x:c r="F24" s="14" t="str">
        <x:v>A+</x:v>
      </x:c>
      <x:c r="G24" s="14" t="n">
        <x:v>94</x:v>
      </x:c>
      <x:c r="H24" s="14" t="str">
        <x:v>Industrias Favorito S.A.</x:v>
      </x:c>
      <x:c r="I24" s="14" t="str">
        <x:v>Fábrica de maquinaria agrícola</x:v>
      </x:c>
      <x:c r="J24" s="14" t="str">
        <x:v>03533 681254</x:v>
      </x:c>
      <x:c r="K24" s="14" t="str">
        <x:v>OK</x:v>
      </x:c>
      <x:c r="L24" s="14" t="str">
        <x:v>producción / expedición / ventas</x:v>
      </x:c>
      <x:c r="M24" s="14" t="str">
        <x:v>Entrega/retiro de maquinaria, usados, equipos de service y despachos de fábrica.</x:v>
      </x:c>
      <x:c r="N24" s="14" t="str">
        <x:v>Plataforma 20 tn + malacate + hidrogrúa + seguro/GPS.</x:v>
      </x:c>
      <x:c r="O24" s="14" t="str">
        <x:v>Captar entregas, canjes, service y movimientos de equipos sin inmovilizar transporte propio.</x:v>
      </x:c>
      <x:c r="P24" s="14" t="str">
        <x:v>Pedir logística/expedición/posventa y relevar cantidad de movimientos mensuales.</x:v>
      </x:c>
      <x:c r="Q24" s="14" t="str"/>
      <x:c r="R24" s="14" t="str">
        <x:v>Irazusta 250, Las Varillas, Córdoba</x:v>
      </x:c>
      <x:c r="S24" s="14" t="str"/>
      <x:c r="T24" s="14" t="str"/>
      <x:c r="U24" s="14" t="str"/>
      <x:c r="V24" s="14" t="str"/>
      <x:c r="W24" s="14" t="str">
        <x:v>03533681254</x:v>
      </x:c>
      <x:c r="X24" s="14" t="str">
        <x:v>https://www.google.com/maps/search/?api=1&amp;query=Industrias+Favorito+S.A.%2C+Irazusta+250%2C+Las+Varillas%2C+C%C3%B3rdoba</x:v>
      </x:c>
      <x:c r="Y24" s="14" t="str">
        <x:v>Google Business</x:v>
      </x:c>
      <x:c r="Z24" s="14" t="str">
        <x:v>https://www.google.com/maps/search/?api=1&amp;query=Industrias+Favorito+SA%2C+Irazusta+250%2C+Las+Varillas%2C+C%C3%B3rdoba</x:v>
      </x:c>
      <x:c r="AA24" s="14" t="str">
        <x:v>Fábrica de maquinaria agrícola.</x:v>
      </x:c>
      <x:c r="AB24" s="14" t="str">
        <x:v>Alta</x:v>
      </x:c>
      <x:c r="AC24" s="14" t="str">
        <x:v>Operativo / verificar antes de visita</x:v>
      </x:c>
      <x:c r="AD24" s="14" t="str">
        <x:v>Rastrillaje Las Varillas 2026-09-15</x:v>
      </x:c>
      <x:c r="AE24" s="14" t="str">
        <x:v>Plataforma 20 tn | Malacate | Hidrogrúa | Entrega/retiro maquinaria | Seguro/GPS</x:v>
      </x:c>
      <x:c r="AF24" s="14" t="str">
        <x:v>VISITA INMEDIATA</x:v>
      </x:c>
    </x:row>
    <x:row r="25">
      <x:c r="A25" s="14" t="str">
        <x:v>LV-024</x:v>
      </x:c>
      <x:c r="B25" s="14" t="str">
        <x:v>Pendiente</x:v>
      </x:c>
      <x:c r="C25" s="14" t="str">
        <x:v>Núcleo</x:v>
      </x:c>
      <x:c r="D25" s="14" t="str">
        <x:v>Las Varillas</x:v>
      </x:c>
      <x:c r="E25" s="14" t="str">
        <x:v>Las Varillas</x:v>
      </x:c>
      <x:c r="F25" s="14" t="str">
        <x:v>A+</x:v>
      </x:c>
      <x:c r="G25" s="14" t="n">
        <x:v>94</x:v>
      </x:c>
      <x:c r="H25" s="14" t="str">
        <x:v>Jotas Agro Implementos</x:v>
      </x:c>
      <x:c r="I25" s="14" t="str">
        <x:v>Fabricante de implementos agrícolas</x:v>
      </x:c>
      <x:c r="J25" s="14" t="str">
        <x:v>A verificar</x:v>
      </x:c>
      <x:c r="K25" s="14" t="str">
        <x:v>A verificar</x:v>
      </x:c>
      <x:c r="L25" s="14" t="str">
        <x:v>producción / expedición / ventas</x:v>
      </x:c>
      <x:c r="M25" s="14" t="str">
        <x:v>Entrega/retiro de maquinaria, usados, equipos de service y despachos de fábrica.</x:v>
      </x:c>
      <x:c r="N25" s="14" t="str">
        <x:v>Plataforma 20 tn + malacate + hidrogrúa + seguro/GPS.</x:v>
      </x:c>
      <x:c r="O25" s="14" t="str">
        <x:v>Captar entregas, canjes, service y movimientos de equipos sin inmovilizar transporte propio.</x:v>
      </x:c>
      <x:c r="P25" s="14" t="str">
        <x:v>Pedir logística/expedición/posventa y relevar cantidad de movimientos mensuales.</x:v>
      </x:c>
      <x:c r="Q25" s="14" t="str"/>
      <x:c r="R25" s="14" t="str">
        <x:v>Las Varillas, Córdoba</x:v>
      </x:c>
      <x:c r="S25" s="14" t="str"/>
      <x:c r="T25" s="14" t="str"/>
      <x:c r="U25" s="14" t="str"/>
      <x:c r="V25" s="14" t="str"/>
      <x:c r="W25" s="14" t="str"/>
      <x:c r="X25" s="14" t="str">
        <x:v>https://www.google.com/maps/search/?api=1&amp;query=Jotas+Agro+Implementos%2C+Las+Varillas%2C+C%C3%B3rdoba</x:v>
      </x:c>
      <x:c r="Y25" s="14" t="str">
        <x:v>Gobierno de Córdoba / Agroactiva 2026</x:v>
      </x:c>
      <x:c r="Z25" s="14" t="str">
        <x:v>https://actualidadcordobesa.com/2026/06/02/cordoba-participara-en-agroactiva-2026-con-21-emprendedores-y-maquinaria-agricola/</x:v>
      </x:c>
      <x:c r="AA25" s="14" t="str">
        <x:v>Empresa de Las Varillas seleccionada por Córdoba para exhibir maquinaria/implementos en Agroactiva 2026.</x:v>
      </x:c>
      <x:c r="AB25" s="14" t="str">
        <x:v>Media</x:v>
      </x:c>
      <x:c r="AC25" s="14" t="str">
        <x:v>Operativo / verificar antes de visita</x:v>
      </x:c>
      <x:c r="AD25" s="14" t="str">
        <x:v>Rastrillaje Las Varillas 2026-09-15</x:v>
      </x:c>
      <x:c r="AE25" s="14" t="str">
        <x:v>Plataforma 20 tn | Malacate | Hidrogrúa | Entrega/retiro maquinaria | Seguro/GPS</x:v>
      </x:c>
      <x:c r="AF25" s="14" t="str">
        <x:v>VISITA INMEDIATA</x:v>
      </x:c>
    </x:row>
    <x:row r="26">
      <x:c r="A26" s="14" t="str">
        <x:v>LV-025</x:v>
      </x:c>
      <x:c r="B26" s="14" t="str">
        <x:v>Pendiente</x:v>
      </x:c>
      <x:c r="C26" s="14" t="str">
        <x:v>Núcleo</x:v>
      </x:c>
      <x:c r="D26" s="14" t="str">
        <x:v>Las Varillas</x:v>
      </x:c>
      <x:c r="E26" s="14" t="str">
        <x:v>Sargento Cabral</x:v>
      </x:c>
      <x:c r="F26" s="14" t="str">
        <x:v>A</x:v>
      </x:c>
      <x:c r="G26" s="14" t="n">
        <x:v>92</x:v>
      </x:c>
      <x:c r="H26" s="14" t="str">
        <x:v>Fer Mec S.A.</x:v>
      </x:c>
      <x:c r="I26" s="14" t="str">
        <x:v>Agropartes / transmisiones</x:v>
      </x:c>
      <x:c r="J26" s="14" t="str">
        <x:v>03533 422061 / 3533 443595</x:v>
      </x:c>
      <x:c r="K26" s="14" t="str">
        <x:v>OK</x:v>
      </x:c>
      <x:c r="L26" s="14" t="str">
        <x:v>producción / expedición / logística</x:v>
      </x:c>
      <x:c r="M26" s="14" t="str">
        <x:v>Movimiento de piezas, conjuntos, implementos, estructuras o equipos de producción/mantenimiento.</x:v>
      </x:c>
      <x:c r="N26" s="14" t="str">
        <x:v>Plataforma + hidrogrúa + malacate; percha según carga.</x:v>
      </x:c>
      <x:c r="O26" s="14" t="str">
        <x:v>Ser proveedor para despachos pesados, paradas de mantenimiento o piezas fuera de medida.</x:v>
      </x:c>
      <x:c r="P26" s="14" t="str">
        <x:v>Pedir producción/expedición/mantenimiento y relevar piezas máximas/destinos.</x:v>
      </x:c>
      <x:c r="Q26" s="14" t="str"/>
      <x:c r="R26" s="14" t="str">
        <x:v>Sargento Cabral 724, Las Varillas, Córdoba</x:v>
      </x:c>
      <x:c r="S26" s="14" t="str"/>
      <x:c r="T26" s="14" t="str"/>
      <x:c r="U26" s="14" t="str"/>
      <x:c r="V26" s="14" t="str"/>
      <x:c r="W26" s="14" t="str">
        <x:v>03533422061</x:v>
      </x:c>
      <x:c r="X26" s="14" t="str">
        <x:v>https://www.google.com/maps/search/?api=1&amp;query=Fer+Mec+S.A.%2C+Sargento+Cabral+724%2C+Las+Varillas%2C+C%C3%B3rdoba</x:v>
      </x:c>
      <x:c r="Y26" s="14" t="str">
        <x:v>Web oficial</x:v>
      </x:c>
      <x:c r="Z26" s="14" t="str">
        <x:v>https://www.fermec-sa.com/contacto</x:v>
      </x:c>
      <x:c r="AA26" s="14" t="str">
        <x:v>Fabricante de cajas angulares y componentes de transmisión cardánica.</x:v>
      </x:c>
      <x:c r="AB26" s="14" t="str">
        <x:v>Alta</x:v>
      </x:c>
      <x:c r="AC26" s="14" t="str">
        <x:v>Operativo / verificar antes de visita</x:v>
      </x:c>
      <x:c r="AD26" s="14" t="str">
        <x:v>Rastrillaje Las Varillas 2026-09-15</x:v>
      </x:c>
      <x:c r="AE26" s="14" t="str">
        <x:v>Plataforma 20 tn | Hidrogrúa | Malacate | Percha</x:v>
      </x:c>
      <x:c r="AF26" s="14" t="str">
        <x:v>PRIORIDAD ALTA</x:v>
      </x:c>
    </x:row>
    <x:row r="27">
      <x:c r="A27" s="14" t="str">
        <x:v>LV-026</x:v>
      </x:c>
      <x:c r="B27" s="14" t="str">
        <x:v>Pendiente</x:v>
      </x:c>
      <x:c r="C27" s="14" t="str">
        <x:v>Núcleo</x:v>
      </x:c>
      <x:c r="D27" s="14" t="str">
        <x:v>Las Varillas</x:v>
      </x:c>
      <x:c r="E27" s="14" t="str">
        <x:v>Deán Funes</x:v>
      </x:c>
      <x:c r="F27" s="14" t="str">
        <x:v>A</x:v>
      </x:c>
      <x:c r="G27" s="14" t="n">
        <x:v>90</x:v>
      </x:c>
      <x:c r="H27" s="14" t="str">
        <x:v>Ghiotti S.A.</x:v>
      </x:c>
      <x:c r="I27" s="14" t="str">
        <x:v>Repuestos para maquinaria / ruedas / acoplados</x:v>
      </x:c>
      <x:c r="J27" s="14" t="str">
        <x:v>03533 421831</x:v>
      </x:c>
      <x:c r="K27" s="14" t="str">
        <x:v>OK</x:v>
      </x:c>
      <x:c r="L27" s="14" t="str">
        <x:v>producción / expedición</x:v>
      </x:c>
      <x:c r="M27" s="14" t="str">
        <x:v>Despacho y traslado de conjuntos pesados, acoplados, equipos viales o módulos especiales.</x:v>
      </x:c>
      <x:c r="N27" s="14" t="str">
        <x:v>Plataforma 20 tn + malacate + hidrogrúa según maniobra.</x:v>
      </x:c>
      <x:c r="O27" s="14" t="str">
        <x:v>Resolver entregas y movimientos especiales fuera de la logística convencional.</x:v>
      </x:c>
      <x:c r="P27" s="14" t="str">
        <x:v>Pedir expedición/logística/producción y consultar pesos/dimensiones máximas.</x:v>
      </x:c>
      <x:c r="Q27" s="14" t="str"/>
      <x:c r="R27" s="14" t="str">
        <x:v>Deán Funes y Reconquista, Las Varillas, Córdoba</x:v>
      </x:c>
      <x:c r="S27" s="14" t="str"/>
      <x:c r="T27" s="14" t="str"/>
      <x:c r="U27" s="14" t="str"/>
      <x:c r="V27" s="14" t="str"/>
      <x:c r="W27" s="14" t="str">
        <x:v>03533421831</x:v>
      </x:c>
      <x:c r="X27" s="14" t="str">
        <x:v>https://www.google.com/maps/search/?api=1&amp;query=Ghiotti+S.A.%2C+De%C3%A1n+Funes+y+Reconquista%2C+Las+Varillas%2C+C%C3%B3rdoba</x:v>
      </x:c>
      <x:c r="Y27" s="14" t="str">
        <x:v>Google Business</x:v>
      </x:c>
      <x:c r="Z27" s="14" t="str">
        <x:v>https://www.google.com/maps/search/?api=1&amp;query=Ghiotti+S.A.%2C+De%C3%A1n+Funes+y+Reconquista%2C+Las+Varillas%2C+C%C3%B3rdoba</x:v>
      </x:c>
      <x:c r="AA27" s="14" t="str">
        <x:v>Fabricante de repuestos para maquinaria y componentes.</x:v>
      </x:c>
      <x:c r="AB27" s="14" t="str">
        <x:v>Alta</x:v>
      </x:c>
      <x:c r="AC27" s="14" t="str">
        <x:v>Operativo / verificar antes de visita</x:v>
      </x:c>
      <x:c r="AD27" s="14" t="str">
        <x:v>Rastrillaje Las Varillas 2026-09-15</x:v>
      </x:c>
      <x:c r="AE27" s="14" t="str">
        <x:v>Plataforma 20 tn | Malacate | Hidrogrúa | Cargas especiales</x:v>
      </x:c>
      <x:c r="AF27" s="14" t="str">
        <x:v>PRIORIDAD ALTA</x:v>
      </x:c>
    </x:row>
    <x:row r="28">
      <x:c r="A28" s="14" t="str">
        <x:v>LV-027</x:v>
      </x:c>
      <x:c r="B28" s="14" t="str">
        <x:v>Pendiente</x:v>
      </x:c>
      <x:c r="C28" s="14" t="str">
        <x:v>Núcleo</x:v>
      </x:c>
      <x:c r="D28" s="14" t="str">
        <x:v>Las Varillas</x:v>
      </x:c>
      <x:c r="E28" s="14" t="str">
        <x:v>Irazusta / RP13</x:v>
      </x:c>
      <x:c r="F28" s="14" t="str">
        <x:v>A</x:v>
      </x:c>
      <x:c r="G28" s="14" t="n">
        <x:v>90</x:v>
      </x:c>
      <x:c r="H28" s="14" t="str">
        <x:v>Salvatico Hnos. S.A.</x:v>
      </x:c>
      <x:c r="I28" s="14" t="str">
        <x:v>Estructuras metálicas</x:v>
      </x:c>
      <x:c r="J28" s="14" t="str">
        <x:v>03533 451876</x:v>
      </x:c>
      <x:c r="K28" s="14" t="str">
        <x:v>OK</x:v>
      </x:c>
      <x:c r="L28" s="14" t="str">
        <x:v>producción / montaje / expedición</x:v>
      </x:c>
      <x:c r="M28" s="14" t="str">
        <x:v>Movimiento de piezas, conjuntos, implementos, estructuras o equipos de producción/mantenimiento.</x:v>
      </x:c>
      <x:c r="N28" s="14" t="str">
        <x:v>Plataforma + hidrogrúa + malacate; percha según carga.</x:v>
      </x:c>
      <x:c r="O28" s="14" t="str">
        <x:v>Ser proveedor para despachos pesados, paradas de mantenimiento o piezas fuera de medida.</x:v>
      </x:c>
      <x:c r="P28" s="14" t="str">
        <x:v>Pedir producción/expedición/mantenimiento y relevar piezas máximas/destinos.</x:v>
      </x:c>
      <x:c r="Q28" s="14" t="str"/>
      <x:c r="R28" s="14" t="str">
        <x:v>Av. Int. José Irazusta 51, Las Varillas, Córdoba</x:v>
      </x:c>
      <x:c r="S28" s="14" t="str"/>
      <x:c r="T28" s="14" t="str"/>
      <x:c r="U28" s="14" t="str"/>
      <x:c r="V28" s="14" t="str"/>
      <x:c r="W28" s="14" t="str">
        <x:v>03533451876</x:v>
      </x:c>
      <x:c r="X28" s="14" t="str">
        <x:v>https://www.google.com/maps/search/?api=1&amp;query=Salvatico+Hnos.+S.A.%2C+Av.+Int.+Jos%C3%A9+Irazusta+51%2C+Las+Varillas%2C+C%C3%B3rdoba</x:v>
      </x:c>
      <x:c r="Y28" s="14" t="str">
        <x:v>Google Business</x:v>
      </x:c>
      <x:c r="Z28" s="14" t="str">
        <x:v>https://www.google.com/maps/search/?api=1&amp;query=Salvatico+Hnos.+SA%2C+Av.+Int.+Jos%C3%A9+Irazusta+51%2C+Las+Varillas%2C+C%C3%B3rdoba</x:v>
      </x:c>
      <x:c r="AA28" s="14" t="str">
        <x:v>Fabricante de estructuras metálicas.</x:v>
      </x:c>
      <x:c r="AB28" s="14" t="str">
        <x:v>Alta</x:v>
      </x:c>
      <x:c r="AC28" s="14" t="str">
        <x:v>Operativo / verificar antes de visita</x:v>
      </x:c>
      <x:c r="AD28" s="14" t="str">
        <x:v>Rastrillaje Las Varillas 2026-09-15</x:v>
      </x:c>
      <x:c r="AE28" s="14" t="str">
        <x:v>Plataforma 20 tn | Hidrogrúa | Malacate | Percha</x:v>
      </x:c>
      <x:c r="AF28" s="14" t="str">
        <x:v>PRIORIDAD ALTA</x:v>
      </x:c>
    </x:row>
    <x:row r="29">
      <x:c r="A29" s="14" t="str">
        <x:v>LV-028</x:v>
      </x:c>
      <x:c r="B29" s="14" t="str">
        <x:v>Pendiente</x:v>
      </x:c>
      <x:c r="C29" s="14" t="str">
        <x:v>Núcleo</x:v>
      </x:c>
      <x:c r="D29" s="14" t="str">
        <x:v>Las Varillas</x:v>
      </x:c>
      <x:c r="E29" s="14" t="str">
        <x:v>Tucumán</x:v>
      </x:c>
      <x:c r="F29" s="14" t="str">
        <x:v>A</x:v>
      </x:c>
      <x:c r="G29" s="14" t="n">
        <x:v>89</x:v>
      </x:c>
      <x:c r="H29" s="14" t="str">
        <x:v>Dealbera Hnos. S.A.</x:v>
      </x:c>
      <x:c r="I29" s="14" t="str">
        <x:v>Repuestos para maquinaria</x:v>
      </x:c>
      <x:c r="J29" s="14" t="str">
        <x:v>03533 422692</x:v>
      </x:c>
      <x:c r="K29" s="14" t="str">
        <x:v>OK</x:v>
      </x:c>
      <x:c r="L29" s="14" t="str">
        <x:v>producción / expedición</x:v>
      </x:c>
      <x:c r="M29" s="14" t="str">
        <x:v>Movimiento de piezas, conjuntos, implementos, estructuras o equipos de producción/mantenimiento.</x:v>
      </x:c>
      <x:c r="N29" s="14" t="str">
        <x:v>Plataforma + hidrogrúa + malacate; percha según carga.</x:v>
      </x:c>
      <x:c r="O29" s="14" t="str">
        <x:v>Ser proveedor para despachos pesados, paradas de mantenimiento o piezas fuera de medida.</x:v>
      </x:c>
      <x:c r="P29" s="14" t="str">
        <x:v>Pedir producción/expedición/mantenimiento y relevar piezas máximas/destinos.</x:v>
      </x:c>
      <x:c r="Q29" s="14" t="str"/>
      <x:c r="R29" s="14" t="str">
        <x:v>Tucumán 537, Las Varillas, Córdoba</x:v>
      </x:c>
      <x:c r="S29" s="14" t="str"/>
      <x:c r="T29" s="14" t="str"/>
      <x:c r="U29" s="14" t="str"/>
      <x:c r="V29" s="14" t="str"/>
      <x:c r="W29" s="14" t="str">
        <x:v>03533422692</x:v>
      </x:c>
      <x:c r="X29" s="14" t="str">
        <x:v>https://www.google.com/maps/search/?api=1&amp;query=Dealbera+Hnos.+S.A.%2C+Tucum%C3%A1n+537%2C+Las+Varillas%2C+C%C3%B3rdoba</x:v>
      </x:c>
      <x:c r="Y29" s="14" t="str">
        <x:v>Google Business</x:v>
      </x:c>
      <x:c r="Z29" s="14" t="str">
        <x:v>https://www.google.com/maps/search/?api=1&amp;query=Dealbera+Hnos.+SA%2C+Tucum%C3%A1n+537%2C+Las+Varillas%2C+C%C3%B3rdoba</x:v>
      </x:c>
      <x:c r="AA29" s="14" t="str">
        <x:v>Fabricante de repuestos para maquinaria agrícola.</x:v>
      </x:c>
      <x:c r="AB29" s="14" t="str">
        <x:v>Alta</x:v>
      </x:c>
      <x:c r="AC29" s="14" t="str">
        <x:v>Operativo / verificar antes de visita</x:v>
      </x:c>
      <x:c r="AD29" s="14" t="str">
        <x:v>Rastrillaje Las Varillas 2026-09-15</x:v>
      </x:c>
      <x:c r="AE29" s="14" t="str">
        <x:v>Plataforma 20 tn | Hidrogrúa | Malacate | Percha</x:v>
      </x:c>
      <x:c r="AF29" s="14" t="str">
        <x:v>PRIORIDAD ALTA</x:v>
      </x:c>
    </x:row>
    <x:row r="30">
      <x:c r="A30" s="14" t="str">
        <x:v>LV-029</x:v>
      </x:c>
      <x:c r="B30" s="14" t="str">
        <x:v>Pendiente</x:v>
      </x:c>
      <x:c r="C30" s="14" t="str">
        <x:v>Núcleo</x:v>
      </x:c>
      <x:c r="D30" s="14" t="str">
        <x:v>Las Varillas</x:v>
      </x:c>
      <x:c r="E30" s="14" t="str">
        <x:v>Alberdi</x:v>
      </x:c>
      <x:c r="F30" s="14" t="str">
        <x:v>A</x:v>
      </x:c>
      <x:c r="G30" s="14" t="n">
        <x:v>88</x:v>
      </x:c>
      <x:c r="H30" s="14" t="str">
        <x:v>Metalúrgica Andi</x:v>
      </x:c>
      <x:c r="I30" s="14" t="str">
        <x:v>Fábrica de maquinaria</x:v>
      </x:c>
      <x:c r="J30" s="14" t="str">
        <x:v>03533 422001</x:v>
      </x:c>
      <x:c r="K30" s="14" t="str">
        <x:v>OK</x:v>
      </x:c>
      <x:c r="L30" s="14" t="str">
        <x:v>producción / expedición</x:v>
      </x:c>
      <x:c r="M30" s="14" t="str">
        <x:v>Movimientos de equipos o cargas especiales asociados a su operación.</x:v>
      </x:c>
      <x:c r="N30" s="14" t="str">
        <x:v>Plataforma 20 tn + hidrogrúa + malacate según necesidad.</x:v>
      </x:c>
      <x:c r="O30" s="14" t="str">
        <x:v>Capacidad externa para movimientos pesados o especiales.</x:v>
      </x:c>
      <x:c r="P30" s="14" t="str">
        <x:v>Contactar logística/operaciones y relevar necesidad real.</x:v>
      </x:c>
      <x:c r="Q30" s="14" t="str"/>
      <x:c r="R30" s="14" t="str">
        <x:v>Juan B. Alberdi 545, Las Varillas, Córdoba</x:v>
      </x:c>
      <x:c r="S30" s="14" t="str"/>
      <x:c r="T30" s="14" t="str"/>
      <x:c r="U30" s="14" t="str"/>
      <x:c r="V30" s="14" t="str"/>
      <x:c r="W30" s="14" t="str">
        <x:v>03533422001</x:v>
      </x:c>
      <x:c r="X30" s="14" t="str">
        <x:v>https://www.google.com/maps/search/?api=1&amp;query=Metal%C3%BArgica+Andi%2C+Juan+B.+Alberdi+545%2C+Las+Varillas%2C+C%C3%B3rdoba</x:v>
      </x:c>
      <x:c r="Y30" s="14" t="str">
        <x:v>Google Business</x:v>
      </x:c>
      <x:c r="Z30" s="14" t="str">
        <x:v>https://www.google.com/maps/search/?api=1&amp;query=Metal%C3%BArgica+Andi%2C+Juan+Bautista+Alberdi+545%2C+Las+Varillas%2C+C%C3%B3rdoba</x:v>
      </x:c>
      <x:c r="AA30" s="14" t="str">
        <x:v>Fábrica local de maquinaria.</x:v>
      </x:c>
      <x:c r="AB30" s="14" t="str">
        <x:v>Alta</x:v>
      </x:c>
      <x:c r="AC30" s="14" t="str">
        <x:v>Operativo / verificar antes de visita</x:v>
      </x:c>
      <x:c r="AD30" s="14" t="str">
        <x:v>Rastrillaje Las Varillas 2026-09-15</x:v>
      </x:c>
      <x:c r="AE30" s="14" t="str">
        <x:v>Plataforma 20 tn | Hidrogrúa | Malacate</x:v>
      </x:c>
      <x:c r="AF30" s="14" t="str">
        <x:v>PRIORIDAD ALTA</x:v>
      </x:c>
    </x:row>
    <x:row r="31">
      <x:c r="A31" s="14" t="str">
        <x:v>LV-030</x:v>
      </x:c>
      <x:c r="B31" s="14" t="str">
        <x:v>Pendiente</x:v>
      </x:c>
      <x:c r="C31" s="14" t="str">
        <x:v>Núcleo</x:v>
      </x:c>
      <x:c r="D31" s="14" t="str">
        <x:v>Las Varillas</x:v>
      </x:c>
      <x:c r="E31" s="14" t="str">
        <x:v>Cura Brochero</x:v>
      </x:c>
      <x:c r="F31" s="14" t="str">
        <x:v>A</x:v>
      </x:c>
      <x:c r="G31" s="14" t="n">
        <x:v>88</x:v>
      </x:c>
      <x:c r="H31" s="14" t="str">
        <x:v>Repuestos y Servicios Zanello - Pauny</x:v>
      </x:c>
      <x:c r="I31" s="14" t="str">
        <x:v>Service / repuestos / tractores</x:v>
      </x:c>
      <x:c r="J31" s="14" t="str">
        <x:v>+54 3533 681979</x:v>
      </x:c>
      <x:c r="K31" s="14" t="str">
        <x:v>OK</x:v>
      </x:c>
      <x:c r="L31" s="14" t="str">
        <x:v>service / logística / taller</x:v>
      </x:c>
      <x:c r="M31" s="14" t="str">
        <x:v>Entrega/retiro de maquinaria, usados, equipos de service y despachos de fábrica.</x:v>
      </x:c>
      <x:c r="N31" s="14" t="str">
        <x:v>Plataforma 20 tn + malacate + hidrogrúa + seguro/GPS.</x:v>
      </x:c>
      <x:c r="O31" s="14" t="str">
        <x:v>Captar entregas, canjes, service y movimientos de equipos sin inmovilizar transporte propio.</x:v>
      </x:c>
      <x:c r="P31" s="14" t="str">
        <x:v>Pedir logística/expedición/posventa y relevar cantidad de movimientos mensuales.</x:v>
      </x:c>
      <x:c r="Q31" s="14" t="str"/>
      <x:c r="R31" s="14" t="str">
        <x:v>Cura Brochero 771, Las Varillas, Córdoba</x:v>
      </x:c>
      <x:c r="S31" s="14" t="str"/>
      <x:c r="T31" s="14" t="str"/>
      <x:c r="U31" s="14" t="str"/>
      <x:c r="V31" s="14" t="str"/>
      <x:c r="W31" s="14" t="str">
        <x:v>+543533681979</x:v>
      </x:c>
      <x:c r="X31" s="14" t="str">
        <x:v>https://www.google.com/maps/search/?api=1&amp;query=Repuestos+y+Servicios+Zanello+-+Pauny%2C+Cura+Brochero+771%2C+Las+Varillas%2C+C%C3%B3rdoba</x:v>
      </x:c>
      <x:c r="Y31" s="14" t="str">
        <x:v>Google Business</x:v>
      </x:c>
      <x:c r="Z31" s="14" t="str">
        <x:v>https://www.google.com/maps/search/?api=1&amp;query=Repuestos+y+Servicios+Zanello+Pauny%2C+Cura+Brochero+771%2C+Las+Varillas%2C+C%C3%B3rdoba</x:v>
      </x:c>
      <x:c r="AA31" s="14" t="str">
        <x:v>Centro de servicio y repuestos para tractores/equipos.</x:v>
      </x:c>
      <x:c r="AB31" s="14" t="str">
        <x:v>Alta</x:v>
      </x:c>
      <x:c r="AC31" s="14" t="str">
        <x:v>Operativo / verificar antes de visita</x:v>
      </x:c>
      <x:c r="AD31" s="14" t="str">
        <x:v>Rastrillaje Las Varillas 2026-09-15</x:v>
      </x:c>
      <x:c r="AE31" s="14" t="str">
        <x:v>Plataforma 20 tn | Malacate | Hidrogrúa | Entrega/retiro maquinaria | Seguro/GPS</x:v>
      </x:c>
      <x:c r="AF31" s="14" t="str">
        <x:v>PRIORIDAD ALTA</x:v>
      </x:c>
    </x:row>
    <x:row r="32">
      <x:c r="A32" s="14" t="str">
        <x:v>LV-031</x:v>
      </x:c>
      <x:c r="B32" s="14" t="str">
        <x:v>Pendiente</x:v>
      </x:c>
      <x:c r="C32" s="14" t="str">
        <x:v>Núcleo</x:v>
      </x:c>
      <x:c r="D32" s="14" t="str">
        <x:v>Las Varillas</x:v>
      </x:c>
      <x:c r="E32" s="14" t="str">
        <x:v>Roque Sáenz Peña</x:v>
      </x:c>
      <x:c r="F32" s="14" t="str">
        <x:v>A</x:v>
      </x:c>
      <x:c r="G32" s="14" t="n">
        <x:v>86</x:v>
      </x:c>
      <x:c r="H32" s="14" t="str">
        <x:v>Constructora del Valle S.A.</x:v>
      </x:c>
      <x:c r="I32" s="14" t="str">
        <x:v>Empresa constructora</x:v>
      </x:c>
      <x:c r="J32" s="14" t="str">
        <x:v>03533 474567</x:v>
      </x:c>
      <x:c r="K32" s="14" t="str">
        <x:v>OK</x:v>
      </x:c>
      <x:c r="L32" s="14" t="str">
        <x:v>obras / equipos / logística</x:v>
      </x:c>
      <x:c r="M32" s="14" t="str">
        <x:v>Traslados de equipos de obra, herramientas, pallets y cargas especiales.</x:v>
      </x:c>
      <x:c r="N32" s="14" t="str">
        <x:v>Plataforma + hidrogrúa + percha para pallets.</x:v>
      </x:c>
      <x:c r="O32" s="14" t="str">
        <x:v>Cubrir movimientos interobra y cargas especiales que no resuelve el camión convencional.</x:v>
      </x:c>
      <x:c r="P32" s="14" t="str">
        <x:v>Pedir obras/logística/equipos; relevar maquinaria propia y frecuencia.</x:v>
      </x:c>
      <x:c r="Q32" s="14" t="str"/>
      <x:c r="R32" s="14" t="str">
        <x:v>Roque Sáenz Peña 220, Las Varillas, Córdoba</x:v>
      </x:c>
      <x:c r="S32" s="14" t="str"/>
      <x:c r="T32" s="14" t="str"/>
      <x:c r="U32" s="14" t="str"/>
      <x:c r="V32" s="14" t="str"/>
      <x:c r="W32" s="14" t="str">
        <x:v>03533474567</x:v>
      </x:c>
      <x:c r="X32" s="14" t="str">
        <x:v>https://www.google.com/maps/search/?api=1&amp;query=Constructora+del+Valle+S.A.%2C+Roque+S%C3%A1enz+Pe%C3%B1a+220%2C+Las+Varillas%2C+C%C3%B3rdoba</x:v>
      </x:c>
      <x:c r="Y32" s="14" t="str">
        <x:v>Google Business</x:v>
      </x:c>
      <x:c r="Z32" s="14" t="str">
        <x:v>https://www.google.com/maps/search/?api=1&amp;query=Constructora+del+Valle+S.A.%2C+Roque+S%C3%A1enz+Pe%C3%B1a+220%2C+Las+Varillas%2C+C%C3%B3rdoba</x:v>
      </x:c>
      <x:c r="AA32" s="14" t="str">
        <x:v>Constructora local; relevar flota, maquinaria y movimientos interobra.</x:v>
      </x:c>
      <x:c r="AB32" s="14" t="str">
        <x:v>Alta</x:v>
      </x:c>
      <x:c r="AC32" s="14" t="str">
        <x:v>Operativo / verificar antes de visita</x:v>
      </x:c>
      <x:c r="AD32" s="14" t="str">
        <x:v>Rastrillaje Las Varillas 2026-09-15</x:v>
      </x:c>
      <x:c r="AE32" s="14" t="str">
        <x:v>Plataforma 20 tn | Hidrogrúa | Percha | Traslados interobra</x:v>
      </x:c>
      <x:c r="AF32" s="14" t="str">
        <x:v>PRIORIDAD ALTA</x:v>
      </x:c>
    </x:row>
    <x:row r="33">
      <x:c r="A33" s="14" t="str">
        <x:v>LV-032</x:v>
      </x:c>
      <x:c r="B33" s="14" t="str">
        <x:v>Pendiente</x:v>
      </x:c>
      <x:c r="C33" s="14" t="str">
        <x:v>Núcleo</x:v>
      </x:c>
      <x:c r="D33" s="14" t="str">
        <x:v>Las Varillas</x:v>
      </x:c>
      <x:c r="E33" s="14" t="str">
        <x:v>Av. Martín Fierro</x:v>
      </x:c>
      <x:c r="F33" s="14" t="str">
        <x:v>A</x:v>
      </x:c>
      <x:c r="G33" s="14" t="n">
        <x:v>86</x:v>
      </x:c>
      <x:c r="H33" s="14" t="str">
        <x:v>Distribuidora Pauny S.R.L.</x:v>
      </x:c>
      <x:c r="I33" s="14" t="str">
        <x:v>Distribución / repuestos Pauny</x:v>
      </x:c>
      <x:c r="J33" s="14" t="str">
        <x:v>+54 3533 456406</x:v>
      </x:c>
      <x:c r="K33" s="14" t="str">
        <x:v>OK</x:v>
      </x:c>
      <x:c r="L33" s="14" t="str">
        <x:v>logística / expedición / ventas</x:v>
      </x:c>
      <x:c r="M33" s="14" t="str">
        <x:v>Movimiento de piezas, conjuntos, implementos, estructuras o equipos de producción/mantenimiento.</x:v>
      </x:c>
      <x:c r="N33" s="14" t="str">
        <x:v>Plataforma + hidrogrúa + malacate; percha según carga.</x:v>
      </x:c>
      <x:c r="O33" s="14" t="str">
        <x:v>Ser proveedor para despachos pesados, paradas de mantenimiento o piezas fuera de medida.</x:v>
      </x:c>
      <x:c r="P33" s="14" t="str">
        <x:v>Pedir producción/expedición/mantenimiento y relevar piezas máximas/destinos.</x:v>
      </x:c>
      <x:c r="Q33" s="14" t="str"/>
      <x:c r="R33" s="14" t="str">
        <x:v>Av. Martín Fierro 943, Las Varillas, Córdoba</x:v>
      </x:c>
      <x:c r="S33" s="14" t="str"/>
      <x:c r="T33" s="14" t="str"/>
      <x:c r="U33" s="14" t="str"/>
      <x:c r="V33" s="14" t="str"/>
      <x:c r="W33" s="14" t="str">
        <x:v>+543533456406</x:v>
      </x:c>
      <x:c r="X33" s="14" t="str">
        <x:v>https://www.google.com/maps/search/?api=1&amp;query=Distribuidora+Pauny+S.R.L.%2C+Av.+Mart%C3%ADn+Fierro+943%2C+Las+Varillas%2C+C%C3%B3rdoba</x:v>
      </x:c>
      <x:c r="Y33" s="14" t="str">
        <x:v>Pauny - red comercial</x:v>
      </x:c>
      <x:c r="Z33" s="14" t="str">
        <x:v>https://www.pauny.com.ar/ar/encontra-el-tuyo</x:v>
      </x:c>
      <x:c r="AA33" s="14" t="str">
        <x:v>Distribuidora local con stock de repuestos y vínculo directo con maquinaria Pauny.</x:v>
      </x:c>
      <x:c r="AB33" s="14" t="str">
        <x:v>Alta</x:v>
      </x:c>
      <x:c r="AC33" s="14" t="str">
        <x:v>Operativo / verificar antes de visita</x:v>
      </x:c>
      <x:c r="AD33" s="14" t="str">
        <x:v>Rastrillaje Las Varillas 2026-09-15</x:v>
      </x:c>
      <x:c r="AE33" s="14" t="str">
        <x:v>Plataforma 20 tn | Hidrogrúa | Malacate | Percha</x:v>
      </x:c>
      <x:c r="AF33" s="14" t="str">
        <x:v>PRIORIDAD ALTA</x:v>
      </x:c>
    </x:row>
    <x:row r="34">
      <x:c r="A34" s="14" t="str">
        <x:v>LV-033</x:v>
      </x:c>
      <x:c r="B34" s="14" t="str">
        <x:v>Pendiente</x:v>
      </x:c>
      <x:c r="C34" s="14" t="str">
        <x:v>Núcleo</x:v>
      </x:c>
      <x:c r="D34" s="14" t="str">
        <x:v>Las Varillas</x:v>
      </x:c>
      <x:c r="E34" s="14" t="str">
        <x:v>RP13</x:v>
      </x:c>
      <x:c r="F34" s="14" t="str">
        <x:v>A</x:v>
      </x:c>
      <x:c r="G34" s="14" t="n">
        <x:v>84</x:v>
      </x:c>
      <x:c r="H34" s="14" t="str">
        <x:v>Constructora Betoncor</x:v>
      </x:c>
      <x:c r="I34" s="14" t="str">
        <x:v>Empresa constructora</x:v>
      </x:c>
      <x:c r="J34" s="14" t="str">
        <x:v>03533 686512</x:v>
      </x:c>
      <x:c r="K34" s="14" t="str">
        <x:v>OK</x:v>
      </x:c>
      <x:c r="L34" s="14" t="str">
        <x:v>obras / equipos / logística</x:v>
      </x:c>
      <x:c r="M34" s="14" t="str">
        <x:v>Traslados de equipos de obra, herramientas, pallets y cargas especiales.</x:v>
      </x:c>
      <x:c r="N34" s="14" t="str">
        <x:v>Plataforma + hidrogrúa + percha para pallets.</x:v>
      </x:c>
      <x:c r="O34" s="14" t="str">
        <x:v>Cubrir movimientos interobra y cargas especiales que no resuelve el camión convencional.</x:v>
      </x:c>
      <x:c r="P34" s="14" t="str">
        <x:v>Pedir obras/logística/equipos; relevar maquinaria propia y frecuencia.</x:v>
      </x:c>
      <x:c r="Q34" s="14" t="str"/>
      <x:c r="R34" s="14" t="str">
        <x:v>RP13, Las Varillas, Córdoba</x:v>
      </x:c>
      <x:c r="S34" s="14" t="str"/>
      <x:c r="T34" s="14" t="str"/>
      <x:c r="U34" s="14" t="str"/>
      <x:c r="V34" s="14" t="str"/>
      <x:c r="W34" s="14" t="str">
        <x:v>03533686512</x:v>
      </x:c>
      <x:c r="X34" s="14" t="str">
        <x:v>https://www.google.com/maps/search/?api=1&amp;query=Constructora+Betoncor%2C+RP13%2C+Las+Varillas%2C+C%C3%B3rdoba</x:v>
      </x:c>
      <x:c r="Y34" s="14" t="str">
        <x:v>Google Business</x:v>
      </x:c>
      <x:c r="Z34" s="14" t="str">
        <x:v>https://www.google.com/maps/search/?api=1&amp;query=Constructora+Betoncor%2C+RP13%2C+Las+Varillas%2C+C%C3%B3rdoba</x:v>
      </x:c>
      <x:c r="AA34" s="14" t="str">
        <x:v>Constructora ubicada sobre RP13; potencial por equipos y obra.</x:v>
      </x:c>
      <x:c r="AB34" s="14" t="str">
        <x:v>Alta</x:v>
      </x:c>
      <x:c r="AC34" s="14" t="str">
        <x:v>Operativo / verificar antes de visita</x:v>
      </x:c>
      <x:c r="AD34" s="14" t="str">
        <x:v>Rastrillaje Las Varillas 2026-09-15</x:v>
      </x:c>
      <x:c r="AE34" s="14" t="str">
        <x:v>Plataforma 20 tn | Hidrogrúa | Percha | Traslados interobra</x:v>
      </x:c>
      <x:c r="AF34" s="14" t="str">
        <x:v>PRIORIDAD ALTA</x:v>
      </x:c>
    </x:row>
    <x:row r="35">
      <x:c r="A35" s="14" t="str">
        <x:v>LV-034</x:v>
      </x:c>
      <x:c r="B35" s="14" t="str">
        <x:v>Pendiente</x:v>
      </x:c>
      <x:c r="C35" s="14" t="str">
        <x:v>Núcleo</x:v>
      </x:c>
      <x:c r="D35" s="14" t="str">
        <x:v>Las Varillas</x:v>
      </x:c>
      <x:c r="E35" s="14" t="str">
        <x:v>RP13</x:v>
      </x:c>
      <x:c r="F35" s="14" t="str">
        <x:v>A</x:v>
      </x:c>
      <x:c r="G35" s="14" t="n">
        <x:v>84</x:v>
      </x:c>
      <x:c r="H35" s="14" t="str">
        <x:v>Hidráulica Las Varillas / PALVER</x:v>
      </x:c>
      <x:c r="I35" s="14" t="str">
        <x:v>Hidráulica / acoplados / reparación</x:v>
      </x:c>
      <x:c r="J35" s="14" t="str">
        <x:v>03533 420935</x:v>
      </x:c>
      <x:c r="K35" s="14" t="str">
        <x:v>OK</x:v>
      </x:c>
      <x:c r="L35" s="14" t="str">
        <x:v>taller / logística / producción</x:v>
      </x:c>
      <x:c r="M35" s="14" t="str">
        <x:v>Despacho y traslado de conjuntos pesados, acoplados, equipos viales o módulos especiales.</x:v>
      </x:c>
      <x:c r="N35" s="14" t="str">
        <x:v>Plataforma 20 tn + malacate + hidrogrúa según maniobra.</x:v>
      </x:c>
      <x:c r="O35" s="14" t="str">
        <x:v>Resolver entregas y movimientos especiales fuera de la logística convencional.</x:v>
      </x:c>
      <x:c r="P35" s="14" t="str">
        <x:v>Pedir expedición/logística/producción y consultar pesos/dimensiones máximas.</x:v>
      </x:c>
      <x:c r="Q35" s="14" t="str"/>
      <x:c r="R35" s="14" t="str">
        <x:v>RP13 km 122, Las Varillas, Córdoba</x:v>
      </x:c>
      <x:c r="S35" s="14" t="str"/>
      <x:c r="T35" s="14" t="str"/>
      <x:c r="U35" s="14" t="str"/>
      <x:c r="V35" s="14" t="str"/>
      <x:c r="W35" s="14" t="str">
        <x:v>03533420935</x:v>
      </x:c>
      <x:c r="X35" s="14" t="str">
        <x:v>https://www.google.com/maps/search/?api=1&amp;query=Hidr%C3%A1ulica+Las+Varillas+%2F+PALVER%2C+RP13+km+122%2C+Las+Varillas%2C+C%C3%B3rdoba</x:v>
      </x:c>
      <x:c r="Y35" s="14" t="str">
        <x:v>Google Business / Telexplorer</x:v>
      </x:c>
      <x:c r="Z35" s="14" t="str">
        <x:v>https://www.telexplorer.com.ar/Maquinaria-agricola-repuestos-y-accesorios-EN-Las-varillas</x:v>
      </x:c>
      <x:c r="AA35" s="14" t="str">
        <x:v>Acoplados, ejes, reparación e hidráulica; potencial por equipos y piezas pesadas.</x:v>
      </x:c>
      <x:c r="AB35" s="14" t="str">
        <x:v>Alta</x:v>
      </x:c>
      <x:c r="AC35" s="14" t="str">
        <x:v>Operativo / verificar antes de visita</x:v>
      </x:c>
      <x:c r="AD35" s="14" t="str">
        <x:v>Rastrillaje Las Varillas 2026-09-15</x:v>
      </x:c>
      <x:c r="AE35" s="14" t="str">
        <x:v>Plataforma 20 tn | Malacate | Hidrogrúa | Cargas especiales</x:v>
      </x:c>
      <x:c r="AF35" s="14" t="str">
        <x:v>PRIORIDAD ALTA</x:v>
      </x:c>
    </x:row>
    <x:row r="36">
      <x:c r="A36" s="14" t="str">
        <x:v>LV-035</x:v>
      </x:c>
      <x:c r="B36" s="14" t="str">
        <x:v>Pendiente</x:v>
      </x:c>
      <x:c r="C36" s="14" t="str">
        <x:v>Núcleo</x:v>
      </x:c>
      <x:c r="D36" s="14" t="str">
        <x:v>Las Varillas</x:v>
      </x:c>
      <x:c r="E36" s="14" t="str">
        <x:v>Paraná</x:v>
      </x:c>
      <x:c r="F36" s="14" t="str">
        <x:v>A</x:v>
      </x:c>
      <x:c r="G36" s="14" t="n">
        <x:v>84</x:v>
      </x:c>
      <x:c r="H36" s="14" t="str">
        <x:v>Metalúrgica Ribba</x:v>
      </x:c>
      <x:c r="I36" s="14" t="str">
        <x:v>Metalmecánica / mecanizados</x:v>
      </x:c>
      <x:c r="J36" s="14" t="str">
        <x:v>03533 442954</x:v>
      </x:c>
      <x:c r="K36" s="14" t="str">
        <x:v>OK</x:v>
      </x:c>
      <x:c r="L36" s="14" t="str">
        <x:v>producción / logística</x:v>
      </x:c>
      <x:c r="M36" s="14" t="str">
        <x:v>Movimiento de piezas, conjuntos, implementos, estructuras o equipos de producción/mantenimiento.</x:v>
      </x:c>
      <x:c r="N36" s="14" t="str">
        <x:v>Plataforma + hidrogrúa + malacate; percha según carga.</x:v>
      </x:c>
      <x:c r="O36" s="14" t="str">
        <x:v>Ser proveedor para despachos pesados, paradas de mantenimiento o piezas fuera de medida.</x:v>
      </x:c>
      <x:c r="P36" s="14" t="str">
        <x:v>Pedir producción/expedición/mantenimiento y relevar piezas máximas/destinos.</x:v>
      </x:c>
      <x:c r="Q36" s="14" t="str"/>
      <x:c r="R36" s="14" t="str">
        <x:v>Paraná 189, Las Varillas, Córdoba</x:v>
      </x:c>
      <x:c r="S36" s="14" t="str"/>
      <x:c r="T36" s="14" t="str"/>
      <x:c r="U36" s="14" t="str"/>
      <x:c r="V36" s="14" t="str"/>
      <x:c r="W36" s="14" t="str">
        <x:v>03533442954</x:v>
      </x:c>
      <x:c r="X36" s="14" t="str">
        <x:v>https://www.google.com/maps/search/?api=1&amp;query=Metal%C3%BArgica+Ribba%2C+Paran%C3%A1+189%2C+Las+Varillas%2C+C%C3%B3rdoba</x:v>
      </x:c>
      <x:c r="Y36" s="14" t="str">
        <x:v>Google Business</x:v>
      </x:c>
      <x:c r="Z36" s="14" t="str">
        <x:v>https://www.google.com/maps/search/?api=1&amp;query=Metal%C3%BArgica+Ribba%2C+Paran%C3%A1+189%2C+Las+Varillas%2C+C%C3%B3rdoba</x:v>
      </x:c>
      <x:c r="AA36" s="14" t="str">
        <x:v>Taller/empresa metalmecánica con actividad industrial.</x:v>
      </x:c>
      <x:c r="AB36" s="14" t="str">
        <x:v>Alta</x:v>
      </x:c>
      <x:c r="AC36" s="14" t="str">
        <x:v>Operativo / verificar antes de visita</x:v>
      </x:c>
      <x:c r="AD36" s="14" t="str">
        <x:v>Rastrillaje Las Varillas 2026-09-15</x:v>
      </x:c>
      <x:c r="AE36" s="14" t="str">
        <x:v>Plataforma 20 tn | Hidrogrúa | Malacate | Percha</x:v>
      </x:c>
      <x:c r="AF36" s="14" t="str">
        <x:v>PRIORIDAD ALTA</x:v>
      </x:c>
    </x:row>
    <x:row r="37">
      <x:c r="A37" s="14" t="str">
        <x:v>LV-036</x:v>
      </x:c>
      <x:c r="B37" s="14" t="str">
        <x:v>Pendiente</x:v>
      </x:c>
      <x:c r="C37" s="14" t="str">
        <x:v>Núcleo</x:v>
      </x:c>
      <x:c r="D37" s="14" t="str">
        <x:v>Las Varillas</x:v>
      </x:c>
      <x:c r="E37" s="14" t="str">
        <x:v>Bombero Cuggino</x:v>
      </x:c>
      <x:c r="F37" s="14" t="str">
        <x:v>A</x:v>
      </x:c>
      <x:c r="G37" s="14" t="n">
        <x:v>80</x:v>
      </x:c>
      <x:c r="H37" s="14" t="str">
        <x:v>AG Agronova</x:v>
      </x:c>
      <x:c r="I37" s="14" t="str">
        <x:v>Maquinaria agrícola / productos agro</x:v>
      </x:c>
      <x:c r="J37" s="14" t="str">
        <x:v>03533 423253</x:v>
      </x:c>
      <x:c r="K37" s="14" t="str">
        <x:v>OK</x:v>
      </x:c>
      <x:c r="L37" s="14" t="str">
        <x:v>ventas / logística</x:v>
      </x:c>
      <x:c r="M37" s="14" t="str">
        <x:v>Entrega/retiro de maquinaria, usados, equipos de service y despachos de fábrica.</x:v>
      </x:c>
      <x:c r="N37" s="14" t="str">
        <x:v>Plataforma 20 tn + malacate + hidrogrúa + seguro/GPS.</x:v>
      </x:c>
      <x:c r="O37" s="14" t="str">
        <x:v>Captar entregas, canjes, service y movimientos de equipos sin inmovilizar transporte propio.</x:v>
      </x:c>
      <x:c r="P37" s="14" t="str">
        <x:v>Pedir logística/expedición/posventa y relevar cantidad de movimientos mensuales.</x:v>
      </x:c>
      <x:c r="Q37" s="14" t="str"/>
      <x:c r="R37" s="14" t="str">
        <x:v>Bombero Luis Cuggino 162, Las Varillas, Córdoba</x:v>
      </x:c>
      <x:c r="S37" s="14" t="str"/>
      <x:c r="T37" s="14" t="str"/>
      <x:c r="U37" s="14" t="str"/>
      <x:c r="V37" s="14" t="str"/>
      <x:c r="W37" s="14" t="str">
        <x:v>03533423253</x:v>
      </x:c>
      <x:c r="X37" s="14" t="str">
        <x:v>https://www.google.com/maps/search/?api=1&amp;query=AG+Agronova%2C+Bombero+Luis+Cuggino+162%2C+Las+Varillas%2C+C%C3%B3rdoba</x:v>
      </x:c>
      <x:c r="Y37" s="14" t="str">
        <x:v>Telexplorer / Google Business</x:v>
      </x:c>
      <x:c r="Z37" s="14" t="str">
        <x:v>https://www.telexplorer.com.ar/Maquinaria-agricola-repuestos-y-accesorios-EN-Las-varillas</x:v>
      </x:c>
      <x:c r="AA37" s="14" t="str">
        <x:v>Comercio local vinculado a maquinaria agrícola.</x:v>
      </x:c>
      <x:c r="AB37" s="14" t="str">
        <x:v>Alta</x:v>
      </x:c>
      <x:c r="AC37" s="14" t="str">
        <x:v>Operativo / verificar antes de visita</x:v>
      </x:c>
      <x:c r="AD37" s="14" t="str">
        <x:v>Rastrillaje Las Varillas 2026-09-15</x:v>
      </x:c>
      <x:c r="AE37" s="14" t="str">
        <x:v>Plataforma 20 tn | Malacate | Hidrogrúa | Entrega/retiro maquinaria | Seguro/GPS</x:v>
      </x:c>
      <x:c r="AF37" s="14" t="str">
        <x:v>PRIORIDAD ALTA</x:v>
      </x:c>
    </x:row>
    <x:row r="38">
      <x:c r="A38" s="14" t="str">
        <x:v>LV-037</x:v>
      </x:c>
      <x:c r="B38" s="14" t="str">
        <x:v>Pendiente</x:v>
      </x:c>
      <x:c r="C38" s="14" t="str">
        <x:v>Núcleo</x:v>
      </x:c>
      <x:c r="D38" s="14" t="str">
        <x:v>Las Varillas</x:v>
      </x:c>
      <x:c r="E38" s="14" t="str">
        <x:v>Francisco Beltrami</x:v>
      </x:c>
      <x:c r="F38" s="14" t="str">
        <x:v>A</x:v>
      </x:c>
      <x:c r="G38" s="14" t="n">
        <x:v>80</x:v>
      </x:c>
      <x:c r="H38" s="14" t="str">
        <x:v>Servicio de Grúa El Nano</x:v>
      </x:c>
      <x:c r="I38" s="14" t="str">
        <x:v>Servicio de grúa</x:v>
      </x:c>
      <x:c r="J38" s="14" t="str">
        <x:v>03533 401400</x:v>
      </x:c>
      <x:c r="K38" s="14" t="str">
        <x:v>OK</x:v>
      </x:c>
      <x:c r="L38" s="14" t="str">
        <x:v>operaciones / grúas</x:v>
      </x:c>
      <x:c r="M38" s="14" t="str">
        <x:v>Overflow, rescates o derivación de cargas/equipos que requieren plataforma, malacate o hidrogrúa.</x:v>
      </x:c>
      <x:c r="N38" s="14" t="str">
        <x:v>Capacidad complementaria de plataforma 20 tn + hidrogrúa + malacate.</x:v>
      </x:c>
      <x:c r="O38" s="14" t="str">
        <x:v>Ser socio de respaldo para servicios que exceden la flota o especialidad habitual.</x:v>
      </x:c>
      <x:c r="P38" s="14" t="str">
        <x:v>Pedir operaciones/tráfico y ofrecer acuerdo de derivaciones.</x:v>
      </x:c>
      <x:c r="Q38" s="14" t="str"/>
      <x:c r="R38" s="14" t="str">
        <x:v>Francisco Beltrami 235, Las Varillas, Córdoba</x:v>
      </x:c>
      <x:c r="S38" s="14" t="str"/>
      <x:c r="T38" s="14" t="str"/>
      <x:c r="U38" s="14" t="str"/>
      <x:c r="V38" s="14" t="str"/>
      <x:c r="W38" s="14" t="str">
        <x:v>03533401400</x:v>
      </x:c>
      <x:c r="X38" s="14" t="str">
        <x:v>https://www.google.com/maps/search/?api=1&amp;query=Servicio+de+Gr%C3%BAa+El+Nano%2C+Francisco+Beltrami+235%2C+Las+Varillas%2C+C%C3%B3rdoba</x:v>
      </x:c>
      <x:c r="Y38" s="14" t="str">
        <x:v>Google Business</x:v>
      </x:c>
      <x:c r="Z38" s="14" t="str">
        <x:v>https://www.google.com/maps/search/?api=1&amp;query=Servicio+de+Gr%C3%BAa+El+Nano%2C+Francisco+Beltrami+235%2C+Las+Varillas%2C+C%C3%B3rdoba</x:v>
      </x:c>
      <x:c r="AA38" s="14" t="str">
        <x:v>Servicio de grúa local; alianza para maniobras o derivaciones.</x:v>
      </x:c>
      <x:c r="AB38" s="14" t="str">
        <x:v>Alta</x:v>
      </x:c>
      <x:c r="AC38" s="14" t="str">
        <x:v>Operativo / verificar antes de visita</x:v>
      </x:c>
      <x:c r="AD38" s="14" t="str">
        <x:v>Rastrillaje Las Varillas 2026-09-15</x:v>
      </x:c>
      <x:c r="AE38" s="14" t="str">
        <x:v>Plataforma 20 tn | Hidrogrúa | Malacate | Subcontratación</x:v>
      </x:c>
      <x:c r="AF38" s="14" t="str">
        <x:v>PRIORIDAD ALTA</x:v>
      </x:c>
    </x:row>
    <x:row r="39">
      <x:c r="A39" s="14" t="str">
        <x:v>LV-038</x:v>
      </x:c>
      <x:c r="B39" s="14" t="str">
        <x:v>Pendiente</x:v>
      </x:c>
      <x:c r="C39" s="14" t="str">
        <x:v>Núcleo</x:v>
      </x:c>
      <x:c r="D39" s="14" t="str">
        <x:v>Las Varillas</x:v>
      </x:c>
      <x:c r="E39" s="14" t="str">
        <x:v>RP13 x RN158</x:v>
      </x:c>
      <x:c r="F39" s="14" t="str">
        <x:v>A</x:v>
      </x:c>
      <x:c r="G39" s="14" t="n">
        <x:v>78</x:v>
      </x:c>
      <x:c r="H39" s="14" t="str">
        <x:v>AGD Las Varillas</x:v>
      </x:c>
      <x:c r="I39" s="14" t="str">
        <x:v>Agroindustria / oficina de compras</x:v>
      </x:c>
      <x:c r="J39" s="14" t="str">
        <x:v>0353 153433986</x:v>
      </x:c>
      <x:c r="K39" s="14" t="str">
        <x:v>OK</x:v>
      </x:c>
      <x:c r="L39" s="14" t="str">
        <x:v>logística / compras / acopio</x:v>
      </x:c>
      <x:c r="M39" s="14" t="str">
        <x:v>Movimientos de mantenimiento, equipos agrícolas, pallets o cargas extraordinarias.</x:v>
      </x:c>
      <x:c r="N39" s="14" t="str">
        <x:v>Plataforma + hidrogrúa + percha según necesidad.</x:v>
      </x:c>
      <x:c r="O39" s="14" t="str">
        <x:v>Proveedor local para movimientos extraordinarios, campañas y mantenimiento.</x:v>
      </x:c>
      <x:c r="P39" s="14" t="str">
        <x:v>Pedir logística/operaciones/compras y calificar frecuencia.</x:v>
      </x:c>
      <x:c r="Q39" s="14" t="str"/>
      <x:c r="R39" s="14" t="str">
        <x:v>RP13 y RN158, Las Varillas, Córdoba</x:v>
      </x:c>
      <x:c r="S39" s="14" t="str"/>
      <x:c r="T39" s="14" t="str"/>
      <x:c r="U39" s="14" t="str"/>
      <x:c r="V39" s="14" t="str"/>
      <x:c r="W39" s="14" t="str">
        <x:v>0353153433986</x:v>
      </x:c>
      <x:c r="X39" s="14" t="str">
        <x:v>https://www.google.com/maps/search/?api=1&amp;query=AGD+Las+Varillas%2C+RP13+y+RN158%2C+Las+Varillas%2C+C%C3%B3rdoba</x:v>
      </x:c>
      <x:c r="Y39" s="14" t="str">
        <x:v>Web oficial</x:v>
      </x:c>
      <x:c r="Z39" s="14" t="str">
        <x:v>https://www.agd.com.ar/es/las-varillas-oficina</x:v>
      </x:c>
      <x:c r="AA39" s="14" t="str">
        <x:v>Oficina regional de Aceitera General Deheza sobre corredor estratégico.</x:v>
      </x:c>
      <x:c r="AB39" s="14" t="str">
        <x:v>Alta</x:v>
      </x:c>
      <x:c r="AC39" s="14" t="str">
        <x:v>Operativo / verificar antes de visita</x:v>
      </x:c>
      <x:c r="AD39" s="14" t="str">
        <x:v>Rastrillaje Las Varillas 2026-09-15</x:v>
      </x:c>
      <x:c r="AE39" s="14" t="str">
        <x:v>Plataforma 20 tn | Hidrogrúa | Percha</x:v>
      </x:c>
      <x:c r="AF39" s="14" t="str">
        <x:v>PRIORIDAD ALTA</x:v>
      </x:c>
    </x:row>
    <x:row r="40">
      <x:c r="A40" s="14" t="str">
        <x:v>LV-039</x:v>
      </x:c>
      <x:c r="B40" s="14" t="str">
        <x:v>Pendiente</x:v>
      </x:c>
      <x:c r="C40" s="14" t="str">
        <x:v>Núcleo</x:v>
      </x:c>
      <x:c r="D40" s="14" t="str">
        <x:v>Las Varillas</x:v>
      </x:c>
      <x:c r="E40" s="14" t="str">
        <x:v>Mitre</x:v>
      </x:c>
      <x:c r="F40" s="14" t="str">
        <x:v>A</x:v>
      </x:c>
      <x:c r="G40" s="14" t="n">
        <x:v>78</x:v>
      </x:c>
      <x:c r="H40" s="14" t="str">
        <x:v>Gallo Repuestos</x:v>
      </x:c>
      <x:c r="I40" s="14" t="str">
        <x:v>Repuestos / engranajes para maquinaria</x:v>
      </x:c>
      <x:c r="J40" s="14" t="str">
        <x:v>+54 9 3533 400048</x:v>
      </x:c>
      <x:c r="K40" s="14" t="str">
        <x:v>OK</x:v>
      </x:c>
      <x:c r="L40" s="14" t="str">
        <x:v>ventas / logística / taller</x:v>
      </x:c>
      <x:c r="M40" s="14" t="str">
        <x:v>Movimiento de piezas, conjuntos, implementos, estructuras o equipos de producción/mantenimiento.</x:v>
      </x:c>
      <x:c r="N40" s="14" t="str">
        <x:v>Plataforma + hidrogrúa + malacate; percha según carga.</x:v>
      </x:c>
      <x:c r="O40" s="14" t="str">
        <x:v>Ser proveedor para despachos pesados, paradas de mantenimiento o piezas fuera de medida.</x:v>
      </x:c>
      <x:c r="P40" s="14" t="str">
        <x:v>Pedir producción/expedición/mantenimiento y relevar piezas máximas/destinos.</x:v>
      </x:c>
      <x:c r="Q40" s="14" t="str"/>
      <x:c r="R40" s="14" t="str">
        <x:v>B. Mitre 561, Las Varillas, Córdoba</x:v>
      </x:c>
      <x:c r="S40" s="14" t="str"/>
      <x:c r="T40" s="14" t="str"/>
      <x:c r="U40" s="14" t="str"/>
      <x:c r="V40" s="14" t="str"/>
      <x:c r="W40" s="14" t="str">
        <x:v>+5493533400048</x:v>
      </x:c>
      <x:c r="X40" s="14" t="str">
        <x:v>https://www.google.com/maps/search/?api=1&amp;query=Gallo+Repuestos%2C+B.+Mitre+561%2C+Las+Varillas%2C+C%C3%B3rdoba</x:v>
      </x:c>
      <x:c r="Y40" s="14" t="str">
        <x:v>Google Business</x:v>
      </x:c>
      <x:c r="Z40" s="14" t="str">
        <x:v>https://www.google.com/maps/search/?api=1&amp;query=Gallo+Repuestos%2C+B.+Mitre+561%2C+Las+Varillas%2C+C%C3%B3rdoba</x:v>
      </x:c>
      <x:c r="AA40" s="14" t="str">
        <x:v>Repuestos y engranajes para maquinaria agrícola.</x:v>
      </x:c>
      <x:c r="AB40" s="14" t="str">
        <x:v>Alta</x:v>
      </x:c>
      <x:c r="AC40" s="14" t="str">
        <x:v>Operativo / verificar antes de visita</x:v>
      </x:c>
      <x:c r="AD40" s="14" t="str">
        <x:v>Rastrillaje Las Varillas 2026-09-15</x:v>
      </x:c>
      <x:c r="AE40" s="14" t="str">
        <x:v>Plataforma 20 tn | Hidrogrúa | Malacate | Percha</x:v>
      </x:c>
      <x:c r="AF40" s="14" t="str">
        <x:v>PRIORIDAD ALTA</x:v>
      </x:c>
    </x:row>
    <x:row r="41">
      <x:c r="A41" s="14" t="str">
        <x:v>LV-040</x:v>
      </x:c>
      <x:c r="B41" s="14" t="str">
        <x:v>Pendiente</x:v>
      </x:c>
      <x:c r="C41" s="14" t="str">
        <x:v>Núcleo</x:v>
      </x:c>
      <x:c r="D41" s="14" t="str">
        <x:v>Las Varillas</x:v>
      </x:c>
      <x:c r="E41" s="14" t="str">
        <x:v>España</x:v>
      </x:c>
      <x:c r="F41" s="14" t="str">
        <x:v>A</x:v>
      </x:c>
      <x:c r="G41" s="14" t="n">
        <x:v>78</x:v>
      </x:c>
      <x:c r="H41" s="14" t="str">
        <x:v>Oleohidráulica Castro</x:v>
      </x:c>
      <x:c r="I41" s="14" t="str">
        <x:v>Servicio hidráulico agrícola</x:v>
      </x:c>
      <x:c r="J41" s="14" t="str">
        <x:v>03533 683749</x:v>
      </x:c>
      <x:c r="K41" s="14" t="str">
        <x:v>OK</x:v>
      </x:c>
      <x:c r="L41" s="14" t="str">
        <x:v>taller / service / operaciones</x:v>
      </x:c>
      <x:c r="M41" s="14" t="str">
        <x:v>Movimientos de equipos o cargas especiales asociados a su operación.</x:v>
      </x:c>
      <x:c r="N41" s="14" t="str">
        <x:v>Plataforma 20 tn + hidrogrúa + malacate según necesidad.</x:v>
      </x:c>
      <x:c r="O41" s="14" t="str">
        <x:v>Capacidad externa para movimientos pesados o especiales.</x:v>
      </x:c>
      <x:c r="P41" s="14" t="str">
        <x:v>Contactar logística/operaciones y relevar necesidad real.</x:v>
      </x:c>
      <x:c r="Q41" s="14" t="str"/>
      <x:c r="R41" s="14" t="str">
        <x:v>España 842, Las Varillas, Córdoba</x:v>
      </x:c>
      <x:c r="S41" s="14" t="str"/>
      <x:c r="T41" s="14" t="str"/>
      <x:c r="U41" s="14" t="str"/>
      <x:c r="V41" s="14" t="str"/>
      <x:c r="W41" s="14" t="str">
        <x:v>03533683749</x:v>
      </x:c>
      <x:c r="X41" s="14" t="str">
        <x:v>https://www.google.com/maps/search/?api=1&amp;query=Oleohidr%C3%A1ulica+Castro%2C+Espa%C3%B1a+842%2C+Las+Varillas%2C+C%C3%B3rdoba</x:v>
      </x:c>
      <x:c r="Y41" s="14" t="str">
        <x:v>Google Business</x:v>
      </x:c>
      <x:c r="Z41" s="14" t="str">
        <x:v>https://www.google.com/maps/search/?api=1&amp;query=Oleohidr%C3%A1ulica+Castro%2C+Espa%C3%B1a+842%2C+Las+Varillas%2C+C%C3%B3rdoba</x:v>
      </x:c>
      <x:c r="AA41" s="14" t="str">
        <x:v>Servicio agrícola/hidráulico.</x:v>
      </x:c>
      <x:c r="AB41" s="14" t="str">
        <x:v>Alta</x:v>
      </x:c>
      <x:c r="AC41" s="14" t="str">
        <x:v>Operativo / verificar antes de visita</x:v>
      </x:c>
      <x:c r="AD41" s="14" t="str">
        <x:v>Rastrillaje Las Varillas 2026-09-15</x:v>
      </x:c>
      <x:c r="AE41" s="14" t="str">
        <x:v>Plataforma 20 tn | Hidrogrúa | Malacate</x:v>
      </x:c>
      <x:c r="AF41" s="14" t="str">
        <x:v>PRIORIDAD ALTA</x:v>
      </x:c>
    </x:row>
    <x:row r="42">
      <x:c r="A42" s="14" t="str">
        <x:v>LV-041</x:v>
      </x:c>
      <x:c r="B42" s="14" t="str">
        <x:v>Pendiente</x:v>
      </x:c>
      <x:c r="C42" s="14" t="str">
        <x:v>Núcleo</x:v>
      </x:c>
      <x:c r="D42" s="14" t="str">
        <x:v>Las Varillas</x:v>
      </x:c>
      <x:c r="E42" s="14" t="str">
        <x:v>Almirante Brown</x:v>
      </x:c>
      <x:c r="F42" s="14" t="str">
        <x:v>A</x:v>
      </x:c>
      <x:c r="G42" s="14" t="n">
        <x:v>78</x:v>
      </x:c>
      <x:c r="H42" s="14" t="str">
        <x:v>Transporte Ceferino</x:v>
      </x:c>
      <x:c r="I42" s="14" t="str">
        <x:v>Transporte por camión</x:v>
      </x:c>
      <x:c r="J42" s="14" t="str">
        <x:v>03533 420367</x:v>
      </x:c>
      <x:c r="K42" s="14" t="str">
        <x:v>OK</x:v>
      </x:c>
      <x:c r="L42" s="14" t="str">
        <x:v>tráfico / operaciones</x:v>
      </x:c>
      <x:c r="M42" s="14" t="str">
        <x:v>Overflow, rescates o derivación de cargas/equipos que requieren plataforma, malacate o hidrogrúa.</x:v>
      </x:c>
      <x:c r="N42" s="14" t="str">
        <x:v>Capacidad complementaria de plataforma 20 tn + hidrogrúa + malacate.</x:v>
      </x:c>
      <x:c r="O42" s="14" t="str">
        <x:v>Ser socio de respaldo para servicios que exceden la flota o especialidad habitual.</x:v>
      </x:c>
      <x:c r="P42" s="14" t="str">
        <x:v>Pedir operaciones/tráfico y ofrecer acuerdo de derivaciones.</x:v>
      </x:c>
      <x:c r="Q42" s="14" t="str"/>
      <x:c r="R42" s="14" t="str">
        <x:v>Almte. Brown, Las Varillas, Córdoba</x:v>
      </x:c>
      <x:c r="S42" s="14" t="str"/>
      <x:c r="T42" s="14" t="str"/>
      <x:c r="U42" s="14" t="str"/>
      <x:c r="V42" s="14" t="str"/>
      <x:c r="W42" s="14" t="str">
        <x:v>03533420367</x:v>
      </x:c>
      <x:c r="X42" s="14" t="str">
        <x:v>https://www.google.com/maps/search/?api=1&amp;query=Transporte+Ceferino%2C+Almte.+Brown%2C+Las+Varillas%2C+C%C3%B3rdoba</x:v>
      </x:c>
      <x:c r="Y42" s="14" t="str">
        <x:v>Google Business</x:v>
      </x:c>
      <x:c r="Z42" s="14" t="str">
        <x:v>https://www.google.com/maps/search/?api=1&amp;query=Transporte+Ceferino%2C+Almte+Brown%2C+Las+Varillas%2C+C%C3%B3rdoba</x:v>
      </x:c>
      <x:c r="AA42" s="14" t="str">
        <x:v>Transporte por camión; posible alianza o derivación de cargas especiales.</x:v>
      </x:c>
      <x:c r="AB42" s="14" t="str">
        <x:v>Alta</x:v>
      </x:c>
      <x:c r="AC42" s="14" t="str">
        <x:v>Operativo / verificar antes de visita</x:v>
      </x:c>
      <x:c r="AD42" s="14" t="str">
        <x:v>Rastrillaje Las Varillas 2026-09-15</x:v>
      </x:c>
      <x:c r="AE42" s="14" t="str">
        <x:v>Plataforma 20 tn | Hidrogrúa | Malacate | Subcontratación</x:v>
      </x:c>
      <x:c r="AF42" s="14" t="str">
        <x:v>PRIORIDAD ALTA</x:v>
      </x:c>
    </x:row>
    <x:row r="43">
      <x:c r="A43" s="14" t="str">
        <x:v>LV-042</x:v>
      </x:c>
      <x:c r="B43" s="14" t="str">
        <x:v>Pendiente</x:v>
      </x:c>
      <x:c r="C43" s="14" t="str">
        <x:v>Núcleo</x:v>
      </x:c>
      <x:c r="D43" s="14" t="str">
        <x:v>Las Varillas</x:v>
      </x:c>
      <x:c r="E43" s="14" t="str">
        <x:v>Morelli</x:v>
      </x:c>
      <x:c r="F43" s="14" t="str">
        <x:v>A</x:v>
      </x:c>
      <x:c r="G43" s="14" t="n">
        <x:v>78</x:v>
      </x:c>
      <x:c r="H43" s="14" t="str">
        <x:v>Transportes CV S.A.</x:v>
      </x:c>
      <x:c r="I43" s="14" t="str">
        <x:v>Transporte / alianza logística</x:v>
      </x:c>
      <x:c r="J43" s="14" t="str">
        <x:v>A verificar</x:v>
      </x:c>
      <x:c r="K43" s="14" t="str">
        <x:v>A verificar</x:v>
      </x:c>
      <x:c r="L43" s="14" t="str">
        <x:v>tráfico / operaciones</x:v>
      </x:c>
      <x:c r="M43" s="14" t="str">
        <x:v>Overflow, rescates o derivación de cargas/equipos que requieren plataforma, malacate o hidrogrúa.</x:v>
      </x:c>
      <x:c r="N43" s="14" t="str">
        <x:v>Capacidad complementaria de plataforma 20 tn + hidrogrúa + malacate.</x:v>
      </x:c>
      <x:c r="O43" s="14" t="str">
        <x:v>Ser socio de respaldo para servicios que exceden la flota o especialidad habitual.</x:v>
      </x:c>
      <x:c r="P43" s="14" t="str">
        <x:v>Pedir operaciones/tráfico y ofrecer acuerdo de derivaciones.</x:v>
      </x:c>
      <x:c r="Q43" s="14" t="str"/>
      <x:c r="R43" s="14" t="str">
        <x:v>Escribano Luis Morelli 700, Las Varillas, Córdoba</x:v>
      </x:c>
      <x:c r="S43" s="14" t="str"/>
      <x:c r="T43" s="14" t="str"/>
      <x:c r="U43" s="14" t="str"/>
      <x:c r="V43" s="14" t="str"/>
      <x:c r="W43" s="14" t="str"/>
      <x:c r="X43" s="14" t="str">
        <x:v>https://www.google.com/maps/search/?api=1&amp;query=Transportes+CV+S.A.%2C+Escribano+Luis+Morelli+700%2C+Las+Varillas%2C+C%C3%B3rdoba</x:v>
      </x:c>
      <x:c r="Y43" s="14" t="str">
        <x:v>Google Business</x:v>
      </x:c>
      <x:c r="Z43" s="14" t="str">
        <x:v>https://www.google.com/maps/search/?api=1&amp;query=Transportes+CV+SA%2C+Escribano+Luis+Morelli+700%2C+Las+Varillas%2C+C%C3%B3rdoba</x:v>
      </x:c>
      <x:c r="AA43" s="14" t="str">
        <x:v>Transportista local; potencial como alianza/overflow.</x:v>
      </x:c>
      <x:c r="AB43" s="14" t="str">
        <x:v>Media</x:v>
      </x:c>
      <x:c r="AC43" s="14" t="str">
        <x:v>Operativo / verificar antes de visita</x:v>
      </x:c>
      <x:c r="AD43" s="14" t="str">
        <x:v>Rastrillaje Las Varillas 2026-09-15</x:v>
      </x:c>
      <x:c r="AE43" s="14" t="str">
        <x:v>Plataforma 20 tn | Hidrogrúa | Malacate | Subcontratación</x:v>
      </x:c>
      <x:c r="AF43" s="14" t="str">
        <x:v>PRIORIDAD ALTA</x:v>
      </x:c>
    </x:row>
    <x:row r="44">
      <x:c r="A44" s="14" t="str">
        <x:v>LV-043</x:v>
      </x:c>
      <x:c r="B44" s="14" t="str">
        <x:v>Pendiente</x:v>
      </x:c>
      <x:c r="C44" s="14" t="str">
        <x:v>Núcleo</x:v>
      </x:c>
      <x:c r="D44" s="14" t="str">
        <x:v>Las Varillas</x:v>
      </x:c>
      <x:c r="E44" s="14" t="str">
        <x:v>Suipacha</x:v>
      </x:c>
      <x:c r="F44" s="14" t="str">
        <x:v>A</x:v>
      </x:c>
      <x:c r="G44" s="14" t="n">
        <x:v>77</x:v>
      </x:c>
      <x:c r="H44" s="14" t="str">
        <x:v>Transporte Vuelta Redonda S.A.</x:v>
      </x:c>
      <x:c r="I44" s="14" t="str">
        <x:v>Transporte por camión</x:v>
      </x:c>
      <x:c r="J44" s="14" t="str">
        <x:v>03533 436855</x:v>
      </x:c>
      <x:c r="K44" s="14" t="str">
        <x:v>OK</x:v>
      </x:c>
      <x:c r="L44" s="14" t="str">
        <x:v>tráfico / operaciones</x:v>
      </x:c>
      <x:c r="M44" s="14" t="str">
        <x:v>Overflow, rescates o derivación de cargas/equipos que requieren plataforma, malacate o hidrogrúa.</x:v>
      </x:c>
      <x:c r="N44" s="14" t="str">
        <x:v>Capacidad complementaria de plataforma 20 tn + hidrogrúa + malacate.</x:v>
      </x:c>
      <x:c r="O44" s="14" t="str">
        <x:v>Ser socio de respaldo para servicios que exceden la flota o especialidad habitual.</x:v>
      </x:c>
      <x:c r="P44" s="14" t="str">
        <x:v>Pedir operaciones/tráfico y ofrecer acuerdo de derivaciones.</x:v>
      </x:c>
      <x:c r="Q44" s="14" t="str"/>
      <x:c r="R44" s="14" t="str">
        <x:v>Suipacha, Las Varillas, Córdoba</x:v>
      </x:c>
      <x:c r="S44" s="14" t="str"/>
      <x:c r="T44" s="14" t="str"/>
      <x:c r="U44" s="14" t="str"/>
      <x:c r="V44" s="14" t="str"/>
      <x:c r="W44" s="14" t="str">
        <x:v>03533436855</x:v>
      </x:c>
      <x:c r="X44" s="14" t="str">
        <x:v>https://www.google.com/maps/search/?api=1&amp;query=Transporte+Vuelta+Redonda+S.A.%2C+Suipacha%2C+Las+Varillas%2C+C%C3%B3rdoba</x:v>
      </x:c>
      <x:c r="Y44" s="14" t="str">
        <x:v>Google Business</x:v>
      </x:c>
      <x:c r="Z44" s="14" t="str">
        <x:v>https://www.google.com/maps/search/?api=1&amp;query=Transporte+Vuelta+Redonda+S.A.%2C+Suipacha%2C+Las+Varillas%2C+C%C3%B3rdoba</x:v>
      </x:c>
      <x:c r="AA44" s="14" t="str">
        <x:v>Transportista local; oportunidad de subcontratación/overflow.</x:v>
      </x:c>
      <x:c r="AB44" s="14" t="str">
        <x:v>Alta</x:v>
      </x:c>
      <x:c r="AC44" s="14" t="str">
        <x:v>Operativo / verificar antes de visita</x:v>
      </x:c>
      <x:c r="AD44" s="14" t="str">
        <x:v>Rastrillaje Las Varillas 2026-09-15</x:v>
      </x:c>
      <x:c r="AE44" s="14" t="str">
        <x:v>Plataforma 20 tn | Hidrogrúa | Malacate | Subcontratación</x:v>
      </x:c>
      <x:c r="AF44" s="14" t="str">
        <x:v>PRIORIDAD ALTA</x:v>
      </x:c>
    </x:row>
    <x:row r="45">
      <x:c r="A45" s="14" t="str">
        <x:v>LV-044</x:v>
      </x:c>
      <x:c r="B45" s="14" t="str">
        <x:v>Pendiente</x:v>
      </x:c>
      <x:c r="C45" s="14" t="str">
        <x:v>Núcleo</x:v>
      </x:c>
      <x:c r="D45" s="14" t="str">
        <x:v>Las Varillas</x:v>
      </x:c>
      <x:c r="E45" s="14" t="str">
        <x:v>Güemes</x:v>
      </x:c>
      <x:c r="F45" s="14" t="str">
        <x:v>B</x:v>
      </x:c>
      <x:c r="G45" s="14" t="n">
        <x:v>68</x:v>
      </x:c>
      <x:c r="H45" s="14" t="str">
        <x:v>NOVA Construcciones S.A.</x:v>
      </x:c>
      <x:c r="I45" s="14" t="str">
        <x:v>Construcción / materiales</x:v>
      </x:c>
      <x:c r="J45" s="14" t="str">
        <x:v>A verificar</x:v>
      </x:c>
      <x:c r="K45" s="14" t="str">
        <x:v>A verificar</x:v>
      </x:c>
      <x:c r="L45" s="14" t="str">
        <x:v>compras / logística / obras</x:v>
      </x:c>
      <x:c r="M45" s="14" t="str">
        <x:v>Traslados de equipos de obra, herramientas, pallets y cargas especiales.</x:v>
      </x:c>
      <x:c r="N45" s="14" t="str">
        <x:v>Plataforma + hidrogrúa + percha para pallets.</x:v>
      </x:c>
      <x:c r="O45" s="14" t="str">
        <x:v>Cubrir movimientos interobra y cargas especiales que no resuelve el camión convencional.</x:v>
      </x:c>
      <x:c r="P45" s="14" t="str">
        <x:v>Pedir obras/logística/equipos; relevar maquinaria propia y frecuencia.</x:v>
      </x:c>
      <x:c r="Q45" s="14" t="str"/>
      <x:c r="R45" s="14" t="str">
        <x:v>Güemes 33, Las Varillas, Córdoba</x:v>
      </x:c>
      <x:c r="S45" s="14" t="str"/>
      <x:c r="T45" s="14" t="str"/>
      <x:c r="U45" s="14" t="str"/>
      <x:c r="V45" s="14" t="str"/>
      <x:c r="W45" s="14" t="str"/>
      <x:c r="X45" s="14" t="str">
        <x:v>https://www.google.com/maps/search/?api=1&amp;query=NOVA+Construcciones+S.A.%2C+G%C3%BCemes+33%2C+Las+Varillas%2C+C%C3%B3rdoba</x:v>
      </x:c>
      <x:c r="Y45" s="14" t="str">
        <x:v>Registro 2026</x:v>
      </x:c>
      <x:c r="Z45" s="14" t="str">
        <x:v>https://www.dateas.com/es/empresa/nova-construcciones-sa-30716304635</x:v>
      </x:c>
      <x:c r="AA45" s="14" t="str">
        <x:v>Sociedad activa; actividad registrada ligada a materiales y construcción.</x:v>
      </x:c>
      <x:c r="AB45" s="14" t="str">
        <x:v>Media</x:v>
      </x:c>
      <x:c r="AC45" s="14" t="str">
        <x:v>Operativo / verificar antes de visita</x:v>
      </x:c>
      <x:c r="AD45" s="14" t="str">
        <x:v>Rastrillaje Las Varillas 2026-09-15</x:v>
      </x:c>
      <x:c r="AE45" s="14" t="str">
        <x:v>Plataforma 20 tn | Hidrogrúa | Percha | Traslados interobra</x:v>
      </x:c>
      <x:c r="AF45" s="14" t="str">
        <x:v>SEGUNDA PASADA</x:v>
      </x:c>
    </x:row>
    <x:row r="46">
      <x:c r="A46" s="14" t="str">
        <x:v>LV-045</x:v>
      </x:c>
      <x:c r="B46" s="14" t="str">
        <x:v>Pendiente</x:v>
      </x:c>
      <x:c r="C46" s="14" t="str">
        <x:v>Núcleo</x:v>
      </x:c>
      <x:c r="D46" s="14" t="str">
        <x:v>Las Varillas</x:v>
      </x:c>
      <x:c r="E46" s="14" t="str">
        <x:v>Santa Cruz</x:v>
      </x:c>
      <x:c r="F46" s="14" t="str">
        <x:v>B</x:v>
      </x:c>
      <x:c r="G46" s="14" t="n">
        <x:v>68</x:v>
      </x:c>
      <x:c r="H46" s="14" t="str">
        <x:v>SC Oleohidráulica</x:v>
      </x:c>
      <x:c r="I46" s="14" t="str">
        <x:v>Reparación de sistemas hidráulicos</x:v>
      </x:c>
      <x:c r="J46" s="14" t="str">
        <x:v>A verificar</x:v>
      </x:c>
      <x:c r="K46" s="14" t="str">
        <x:v>A verificar</x:v>
      </x:c>
      <x:c r="L46" s="14" t="str">
        <x:v>taller / service</x:v>
      </x:c>
      <x:c r="M46" s="14" t="str">
        <x:v>Movimientos de equipos o cargas especiales asociados a su operación.</x:v>
      </x:c>
      <x:c r="N46" s="14" t="str">
        <x:v>Plataforma 20 tn + hidrogrúa + malacate según necesidad.</x:v>
      </x:c>
      <x:c r="O46" s="14" t="str">
        <x:v>Capacidad externa para movimientos pesados o especiales.</x:v>
      </x:c>
      <x:c r="P46" s="14" t="str">
        <x:v>Contactar logística/operaciones y relevar necesidad real.</x:v>
      </x:c>
      <x:c r="Q46" s="14" t="str"/>
      <x:c r="R46" s="14" t="str">
        <x:v>Santa Cruz 141, Las Varillas, Córdoba</x:v>
      </x:c>
      <x:c r="S46" s="14" t="str"/>
      <x:c r="T46" s="14" t="str"/>
      <x:c r="U46" s="14" t="str"/>
      <x:c r="V46" s="14" t="str"/>
      <x:c r="W46" s="14" t="str"/>
      <x:c r="X46" s="14" t="str">
        <x:v>https://www.google.com/maps/search/?api=1&amp;query=SC+Oleohidr%C3%A1ulica%2C+Santa+Cruz+141%2C+Las+Varillas%2C+C%C3%B3rdoba</x:v>
      </x:c>
      <x:c r="Y46" s="14" t="str">
        <x:v>Google Business</x:v>
      </x:c>
      <x:c r="Z46" s="14" t="str">
        <x:v>https://www.google.com/maps/search/?api=1&amp;query=SC+Oleohidr%C3%A1ulica%2C+Santa+Cruz+141%2C+Las+Varillas%2C+C%C3%B3rdoba</x:v>
      </x:c>
      <x:c r="AA46" s="14" t="str">
        <x:v>Servicio local de reparación hidráulica.</x:v>
      </x:c>
      <x:c r="AB46" s="14" t="str">
        <x:v>Media</x:v>
      </x:c>
      <x:c r="AC46" s="14" t="str">
        <x:v>Operativo / verificar antes de visita</x:v>
      </x:c>
      <x:c r="AD46" s="14" t="str">
        <x:v>Rastrillaje Las Varillas 2026-09-15</x:v>
      </x:c>
      <x:c r="AE46" s="14" t="str">
        <x:v>Plataforma 20 tn | Hidrogrúa | Malacate</x:v>
      </x:c>
      <x:c r="AF46" s="14" t="str">
        <x:v>SEGUNDA PASADA</x:v>
      </x:c>
    </x:row>
    <x:row r="47">
      <x:c r="A47" s="14" t="str">
        <x:v>LV-046</x:v>
      </x:c>
      <x:c r="B47" s="14" t="str">
        <x:v>Pendiente</x:v>
      </x:c>
      <x:c r="C47" s="14" t="str">
        <x:v>Núcleo</x:v>
      </x:c>
      <x:c r="D47" s="14" t="str">
        <x:v>Las Varillas</x:v>
      </x:c>
      <x:c r="E47" s="14" t="str">
        <x:v>San Juan</x:v>
      </x:c>
      <x:c r="F47" s="14" t="str">
        <x:v>B</x:v>
      </x:c>
      <x:c r="G47" s="14" t="n">
        <x:v>66</x:v>
      </x:c>
      <x:c r="H47" s="14" t="str">
        <x:v>Serv-Quim S.A.</x:v>
      </x:c>
      <x:c r="I47" s="14" t="str">
        <x:v>Insumos agro / químicos</x:v>
      </x:c>
      <x:c r="J47" s="14" t="str">
        <x:v>03533 423574</x:v>
      </x:c>
      <x:c r="K47" s="14" t="str">
        <x:v>OK</x:v>
      </x:c>
      <x:c r="L47" s="14" t="str">
        <x:v>logística / depósito / compras</x:v>
      </x:c>
      <x:c r="M47" s="14" t="str">
        <x:v>Movimientos de mantenimiento, equipos agrícolas, pallets o cargas extraordinarias.</x:v>
      </x:c>
      <x:c r="N47" s="14" t="str">
        <x:v>Plataforma + hidrogrúa + percha según necesidad.</x:v>
      </x:c>
      <x:c r="O47" s="14" t="str">
        <x:v>Proveedor local para movimientos extraordinarios, campañas y mantenimiento.</x:v>
      </x:c>
      <x:c r="P47" s="14" t="str">
        <x:v>Pedir logística/operaciones/compras y calificar frecuencia.</x:v>
      </x:c>
      <x:c r="Q47" s="14" t="str"/>
      <x:c r="R47" s="14" t="str">
        <x:v>San Juan 50, Las Varillas, Córdoba</x:v>
      </x:c>
      <x:c r="S47" s="14" t="str"/>
      <x:c r="T47" s="14" t="str"/>
      <x:c r="U47" s="14" t="str"/>
      <x:c r="V47" s="14" t="str"/>
      <x:c r="W47" s="14" t="str">
        <x:v>03533423574</x:v>
      </x:c>
      <x:c r="X47" s="14" t="str">
        <x:v>https://www.google.com/maps/search/?api=1&amp;query=Serv-Quim+S.A.%2C+San+Juan+50%2C+Las+Varillas%2C+C%C3%B3rdoba</x:v>
      </x:c>
      <x:c r="Y47" s="14" t="str">
        <x:v>Google Business</x:v>
      </x:c>
      <x:c r="Z47" s="14" t="str">
        <x:v>https://www.google.com/maps/search/?api=1&amp;query=Serv-Quim+S.A.%2C+San+Juan+50%2C+Las+Varillas%2C+C%C3%B3rdoba</x:v>
      </x:c>
      <x:c r="AA47" s="14" t="str">
        <x:v>Mercado/proveedor de productos agrícolas.</x:v>
      </x:c>
      <x:c r="AB47" s="14" t="str">
        <x:v>Alta</x:v>
      </x:c>
      <x:c r="AC47" s="14" t="str">
        <x:v>Operativo / verificar antes de visita</x:v>
      </x:c>
      <x:c r="AD47" s="14" t="str">
        <x:v>Rastrillaje Las Varillas 2026-09-15</x:v>
      </x:c>
      <x:c r="AE47" s="14" t="str">
        <x:v>Plataforma 20 tn | Hidrogrúa | Percha</x:v>
      </x:c>
      <x:c r="AF47" s="14" t="str">
        <x:v>SEGUNDA PASADA</x:v>
      </x:c>
    </x:row>
    <x:row r="48">
      <x:c r="A48" s="14" t="str">
        <x:v>LV-047</x:v>
      </x:c>
      <x:c r="B48" s="14" t="str">
        <x:v>Pendiente</x:v>
      </x:c>
      <x:c r="C48" s="14" t="str">
        <x:v>Núcleo</x:v>
      </x:c>
      <x:c r="D48" s="14" t="str">
        <x:v>Las Varillas</x:v>
      </x:c>
      <x:c r="E48" s="14" t="str">
        <x:v>Colón</x:v>
      </x:c>
      <x:c r="F48" s="14" t="str">
        <x:v>B</x:v>
      </x:c>
      <x:c r="G48" s="14" t="n">
        <x:v>65</x:v>
      </x:c>
      <x:c r="H48" s="14" t="str">
        <x:v>Central Block Las Varillas</x:v>
      </x:c>
      <x:c r="I48" s="14" t="str">
        <x:v>Bloques / materiales de construcción</x:v>
      </x:c>
      <x:c r="J48" s="14" t="str">
        <x:v>03533 502629</x:v>
      </x:c>
      <x:c r="K48" s="14" t="str">
        <x:v>OK</x:v>
      </x:c>
      <x:c r="L48" s="14" t="str">
        <x:v>producción / logística</x:v>
      </x:c>
      <x:c r="M48" s="14" t="str">
        <x:v>Traslados de equipos de obra, herramientas, pallets y cargas especiales.</x:v>
      </x:c>
      <x:c r="N48" s="14" t="str">
        <x:v>Plataforma + hidrogrúa + percha para pallets.</x:v>
      </x:c>
      <x:c r="O48" s="14" t="str">
        <x:v>Cubrir movimientos interobra y cargas especiales que no resuelve el camión convencional.</x:v>
      </x:c>
      <x:c r="P48" s="14" t="str">
        <x:v>Pedir obras/logística/equipos; relevar maquinaria propia y frecuencia.</x:v>
      </x:c>
      <x:c r="Q48" s="14" t="str"/>
      <x:c r="R48" s="14" t="str">
        <x:v>Colón 432, Las Varillas, Córdoba</x:v>
      </x:c>
      <x:c r="S48" s="14" t="str"/>
      <x:c r="T48" s="14" t="str"/>
      <x:c r="U48" s="14" t="str"/>
      <x:c r="V48" s="14" t="str"/>
      <x:c r="W48" s="14" t="str">
        <x:v>03533502629</x:v>
      </x:c>
      <x:c r="X48" s="14" t="str">
        <x:v>https://www.google.com/maps/search/?api=1&amp;query=Central+Block+Las+Varillas%2C+Col%C3%B3n+432%2C+Las+Varillas%2C+C%C3%B3rdoba</x:v>
      </x:c>
      <x:c r="Y48" s="14" t="str">
        <x:v>Google Business</x:v>
      </x:c>
      <x:c r="Z48" s="14" t="str">
        <x:v>https://www.google.com/maps/search/?api=1&amp;query=Central+Block+Las+Varillas%2C+Col%C3%B3n+432%2C+Las+Varillas%2C+C%C3%B3rdoba</x:v>
      </x:c>
      <x:c r="AA48" s="14" t="str">
        <x:v>Proveedor local de materiales/bloques.</x:v>
      </x:c>
      <x:c r="AB48" s="14" t="str">
        <x:v>Alta</x:v>
      </x:c>
      <x:c r="AC48" s="14" t="str">
        <x:v>Operativo / verificar antes de visita</x:v>
      </x:c>
      <x:c r="AD48" s="14" t="str">
        <x:v>Rastrillaje Las Varillas 2026-09-15</x:v>
      </x:c>
      <x:c r="AE48" s="14" t="str">
        <x:v>Plataforma 20 tn | Hidrogrúa | Percha | Traslados interobra</x:v>
      </x:c>
      <x:c r="AF48" s="14" t="str">
        <x:v>SEGUNDA PASADA</x:v>
      </x:c>
    </x:row>
    <x:row r="49">
      <x:c r="A49" s="14" t="str">
        <x:v>LV-048</x:v>
      </x:c>
      <x:c r="B49" s="14" t="str">
        <x:v>Pendiente</x:v>
      </x:c>
      <x:c r="C49" s="14" t="str">
        <x:v>Núcleo</x:v>
      </x:c>
      <x:c r="D49" s="14" t="str">
        <x:v>Las Varillas</x:v>
      </x:c>
      <x:c r="E49" s="14" t="str">
        <x:v>La Rioja</x:v>
      </x:c>
      <x:c r="F49" s="14" t="str">
        <x:v>B</x:v>
      </x:c>
      <x:c r="G49" s="14" t="n">
        <x:v>64</x:v>
      </x:c>
      <x:c r="H49" s="14" t="str">
        <x:v>Construcciones Romano</x:v>
      </x:c>
      <x:c r="I49" s="14" t="str">
        <x:v>Materiales / construcción</x:v>
      </x:c>
      <x:c r="J49" s="14" t="str">
        <x:v>03533 420060</x:v>
      </x:c>
      <x:c r="K49" s="14" t="str">
        <x:v>OK</x:v>
      </x:c>
      <x:c r="L49" s="14" t="str">
        <x:v>logística / depósito / compras</x:v>
      </x:c>
      <x:c r="M49" s="14" t="str">
        <x:v>Traslados de equipos de obra, herramientas, pallets y cargas especiales.</x:v>
      </x:c>
      <x:c r="N49" s="14" t="str">
        <x:v>Plataforma + hidrogrúa + percha para pallets.</x:v>
      </x:c>
      <x:c r="O49" s="14" t="str">
        <x:v>Cubrir movimientos interobra y cargas especiales que no resuelve el camión convencional.</x:v>
      </x:c>
      <x:c r="P49" s="14" t="str">
        <x:v>Pedir obras/logística/equipos; relevar maquinaria propia y frecuencia.</x:v>
      </x:c>
      <x:c r="Q49" s="14" t="str"/>
      <x:c r="R49" s="14" t="str">
        <x:v>La Rioja 245, Las Varillas, Córdoba</x:v>
      </x:c>
      <x:c r="S49" s="14" t="str"/>
      <x:c r="T49" s="14" t="str"/>
      <x:c r="U49" s="14" t="str"/>
      <x:c r="V49" s="14" t="str"/>
      <x:c r="W49" s="14" t="str">
        <x:v>03533420060</x:v>
      </x:c>
      <x:c r="X49" s="14" t="str">
        <x:v>https://www.google.com/maps/search/?api=1&amp;query=Construcciones+Romano%2C+La+Rioja+245%2C+Las+Varillas%2C+C%C3%B3rdoba</x:v>
      </x:c>
      <x:c r="Y49" s="14" t="str">
        <x:v>Google Business</x:v>
      </x:c>
      <x:c r="Z49" s="14" t="str">
        <x:v>https://www.google.com/maps/search/?api=1&amp;query=Construcciones+Romano%2C+La+Rioja+245%2C+Las+Varillas%2C+C%C3%B3rdoba</x:v>
      </x:c>
      <x:c r="AA49" s="14" t="str">
        <x:v>Proveedor importante de materiales para construcción.</x:v>
      </x:c>
      <x:c r="AB49" s="14" t="str">
        <x:v>Alta</x:v>
      </x:c>
      <x:c r="AC49" s="14" t="str">
        <x:v>Operativo / verificar antes de visita</x:v>
      </x:c>
      <x:c r="AD49" s="14" t="str">
        <x:v>Rastrillaje Las Varillas 2026-09-15</x:v>
      </x:c>
      <x:c r="AE49" s="14" t="str">
        <x:v>Plataforma 20 tn | Hidrogrúa | Percha | Traslados interobra</x:v>
      </x:c>
      <x:c r="AF49" s="14" t="str">
        <x:v>SEGUNDA PASADA</x:v>
      </x:c>
    </x:row>
    <x:row r="50">
      <x:c r="A50" s="14" t="str">
        <x:v>LV-049</x:v>
      </x:c>
      <x:c r="B50" s="14" t="str">
        <x:v>Pendiente</x:v>
      </x:c>
      <x:c r="C50" s="14" t="str">
        <x:v>Núcleo</x:v>
      </x:c>
      <x:c r="D50" s="14" t="str">
        <x:v>Las Varillas</x:v>
      </x:c>
      <x:c r="E50" s="14" t="str">
        <x:v>Bombero Cuggino</x:v>
      </x:c>
      <x:c r="F50" s="14" t="str">
        <x:v>B</x:v>
      </x:c>
      <x:c r="G50" s="14" t="n">
        <x:v>64</x:v>
      </x:c>
      <x:c r="H50" s="14" t="str">
        <x:v>Ingeniería Plástica Las Varillas S.R.L.</x:v>
      </x:c>
      <x:c r="I50" s="14" t="str">
        <x:v>Industria plástica / fabricación</x:v>
      </x:c>
      <x:c r="J50" s="14" t="str">
        <x:v>03533 425307 / 0351 5991212</x:v>
      </x:c>
      <x:c r="K50" s="14" t="str">
        <x:v>OK</x:v>
      </x:c>
      <x:c r="L50" s="14" t="str">
        <x:v>producción / logística</x:v>
      </x:c>
      <x:c r="M50" s="14" t="str">
        <x:v>Movimientos de equipos o cargas especiales asociados a su operación.</x:v>
      </x:c>
      <x:c r="N50" s="14" t="str">
        <x:v>Plataforma 20 tn + hidrogrúa + malacate según necesidad.</x:v>
      </x:c>
      <x:c r="O50" s="14" t="str">
        <x:v>Capacidad externa para movimientos pesados o especiales.</x:v>
      </x:c>
      <x:c r="P50" s="14" t="str">
        <x:v>Contactar logística/operaciones y relevar necesidad real.</x:v>
      </x:c>
      <x:c r="Q50" s="14" t="str"/>
      <x:c r="R50" s="14" t="str">
        <x:v>Bombero Cuggino 241, Las Varillas, Córdoba</x:v>
      </x:c>
      <x:c r="S50" s="14" t="str"/>
      <x:c r="T50" s="14" t="str"/>
      <x:c r="U50" s="14" t="str"/>
      <x:c r="V50" s="14" t="str"/>
      <x:c r="W50" s="14" t="str">
        <x:v>03533425307</x:v>
      </x:c>
      <x:c r="X50" s="14" t="str">
        <x:v>https://www.google.com/maps/search/?api=1&amp;query=Ingenier%C3%ADa+Pl%C3%A1stica+Las+Varillas+S.R.L.%2C+Bombero+Cuggino+241%2C+Las+Varillas%2C+C%C3%B3rdoba</x:v>
      </x:c>
      <x:c r="Y50" s="14" t="str">
        <x:v>Registro 2026 / guía industrial</x:v>
      </x:c>
      <x:c r="Z50" s="14" t="str">
        <x:v>https://indicadores.ar/empresa/30716588501-ingenieria-plastica-las-varillas-s-r-l</x:v>
      </x:c>
      <x:c r="AA50" s="14" t="str">
        <x:v>Sociedad activa y empleadora; fabricación industrial.</x:v>
      </x:c>
      <x:c r="AB50" s="14" t="str">
        <x:v>Alta</x:v>
      </x:c>
      <x:c r="AC50" s="14" t="str">
        <x:v>Operativo / verificar antes de visita</x:v>
      </x:c>
      <x:c r="AD50" s="14" t="str">
        <x:v>Rastrillaje Las Varillas 2026-09-15</x:v>
      </x:c>
      <x:c r="AE50" s="14" t="str">
        <x:v>Plataforma 20 tn | Hidrogrúa | Malacate</x:v>
      </x:c>
      <x:c r="AF50" s="14" t="str">
        <x:v>SEGUNDA PASADA</x:v>
      </x:c>
    </x:row>
    <x:row r="51">
      <x:c r="A51" s="14" t="str">
        <x:v>LV-050</x:v>
      </x:c>
      <x:c r="B51" s="14" t="str">
        <x:v>Pendiente</x:v>
      </x:c>
      <x:c r="C51" s="14" t="str">
        <x:v>Núcleo</x:v>
      </x:c>
      <x:c r="D51" s="14" t="str">
        <x:v>Las Varillas</x:v>
      </x:c>
      <x:c r="E51" s="14" t="str">
        <x:v>Lavalle</x:v>
      </x:c>
      <x:c r="F51" s="14" t="str">
        <x:v>B</x:v>
      </x:c>
      <x:c r="G51" s="14" t="n">
        <x:v>62</x:v>
      </x:c>
      <x:c r="H51" s="14" t="str">
        <x:v>Rotonda Rural</x:v>
      </x:c>
      <x:c r="I51" s="14" t="str">
        <x:v>Insumos y servicios para agro</x:v>
      </x:c>
      <x:c r="J51" s="14" t="str">
        <x:v>03533 425284</x:v>
      </x:c>
      <x:c r="K51" s="14" t="str">
        <x:v>OK</x:v>
      </x:c>
      <x:c r="L51" s="14" t="str">
        <x:v>logística / depósito</x:v>
      </x:c>
      <x:c r="M51" s="14" t="str">
        <x:v>Movimientos de equipos o cargas especiales asociados a su operación.</x:v>
      </x:c>
      <x:c r="N51" s="14" t="str">
        <x:v>Plataforma 20 tn + hidrogrúa + malacate según necesidad.</x:v>
      </x:c>
      <x:c r="O51" s="14" t="str">
        <x:v>Capacidad externa para movimientos pesados o especiales.</x:v>
      </x:c>
      <x:c r="P51" s="14" t="str">
        <x:v>Contactar logística/operaciones y relevar necesidad real.</x:v>
      </x:c>
      <x:c r="Q51" s="14" t="str"/>
      <x:c r="R51" s="14" t="str">
        <x:v>Lavalle 306, Las Varillas, Córdoba</x:v>
      </x:c>
      <x:c r="S51" s="14" t="str"/>
      <x:c r="T51" s="14" t="str"/>
      <x:c r="U51" s="14" t="str"/>
      <x:c r="V51" s="14" t="str"/>
      <x:c r="W51" s="14" t="str">
        <x:v>03533425284</x:v>
      </x:c>
      <x:c r="X51" s="14" t="str">
        <x:v>https://www.google.com/maps/search/?api=1&amp;query=Rotonda+Rural%2C+Lavalle+306%2C+Las+Varillas%2C+C%C3%B3rdoba</x:v>
      </x:c>
      <x:c r="Y51" s="14" t="str">
        <x:v>Google Business</x:v>
      </x:c>
      <x:c r="Z51" s="14" t="str">
        <x:v>https://www.google.com/maps/search/?api=1&amp;query=Rotonda+Rural%2C+Lavalle+306%2C+Las+Varillas%2C+C%C3%B3rdoba</x:v>
      </x:c>
      <x:c r="AA51" s="14" t="str">
        <x:v>Proveedor local de productos e insumos para el agro.</x:v>
      </x:c>
      <x:c r="AB51" s="14" t="str">
        <x:v>Alta</x:v>
      </x:c>
      <x:c r="AC51" s="14" t="str">
        <x:v>Operativo / verificar antes de visita</x:v>
      </x:c>
      <x:c r="AD51" s="14" t="str">
        <x:v>Rastrillaje Las Varillas 2026-09-15</x:v>
      </x:c>
      <x:c r="AE51" s="14" t="str">
        <x:v>Plataforma 20 tn | Hidrogrúa | Malacate</x:v>
      </x:c>
      <x:c r="AF51" s="14" t="str">
        <x:v>SEGUNDA PASADA</x:v>
      </x:c>
    </x:row>
    <x:row r="52">
      <x:c r="A52" s="14" t="str">
        <x:v>LV-051</x:v>
      </x:c>
      <x:c r="B52" s="14" t="str">
        <x:v>Pendiente</x:v>
      </x:c>
      <x:c r="C52" s="14" t="str">
        <x:v>Núcleo</x:v>
      </x:c>
      <x:c r="D52" s="14" t="str">
        <x:v>Las Varillas</x:v>
      </x:c>
      <x:c r="E52" s="14" t="str">
        <x:v>San Martín</x:v>
      </x:c>
      <x:c r="F52" s="14" t="str">
        <x:v>B</x:v>
      </x:c>
      <x:c r="G52" s="14" t="n">
        <x:v>62</x:v>
      </x:c>
      <x:c r="H52" s="14" t="str">
        <x:v>Variagro Maquinarias S.A.</x:v>
      </x:c>
      <x:c r="I52" s="14" t="str">
        <x:v>Repuestos / maquinaria</x:v>
      </x:c>
      <x:c r="J52" s="14" t="str">
        <x:v>A verificar</x:v>
      </x:c>
      <x:c r="K52" s="14" t="str">
        <x:v>A verificar</x:v>
      </x:c>
      <x:c r="L52" s="14" t="str">
        <x:v>ventas / logística</x:v>
      </x:c>
      <x:c r="M52" s="14" t="str">
        <x:v>Movimiento de piezas, conjuntos, implementos, estructuras o equipos de producción/mantenimiento.</x:v>
      </x:c>
      <x:c r="N52" s="14" t="str">
        <x:v>Plataforma + hidrogrúa + malacate; percha según carga.</x:v>
      </x:c>
      <x:c r="O52" s="14" t="str">
        <x:v>Ser proveedor para despachos pesados, paradas de mantenimiento o piezas fuera de medida.</x:v>
      </x:c>
      <x:c r="P52" s="14" t="str">
        <x:v>Pedir producción/expedición/mantenimiento y relevar piezas máximas/destinos.</x:v>
      </x:c>
      <x:c r="Q52" s="14" t="str"/>
      <x:c r="R52" s="14" t="str">
        <x:v>San Martín 837, Las Varillas, Córdoba</x:v>
      </x:c>
      <x:c r="S52" s="14" t="str"/>
      <x:c r="T52" s="14" t="str"/>
      <x:c r="U52" s="14" t="str"/>
      <x:c r="V52" s="14" t="str"/>
      <x:c r="W52" s="14" t="str"/>
      <x:c r="X52" s="14" t="str">
        <x:v>https://www.google.com/maps/search/?api=1&amp;query=Variagro+Maquinarias+S.A.%2C+San+Mart%C3%ADn+837%2C+Las+Varillas%2C+C%C3%B3rdoba</x:v>
      </x:c>
      <x:c r="Y52" s="14" t="str">
        <x:v>Registro 2026</x:v>
      </x:c>
      <x:c r="Z52" s="14" t="str">
        <x:v>https://indicadores.ar/empresa/30717955087</x:v>
      </x:c>
      <x:c r="AA52" s="14" t="str">
        <x:v>Sociedad activa en venta de partes y accesorios; validar operación comercial actual antes de visita.</x:v>
      </x:c>
      <x:c r="AB52" s="14" t="str">
        <x:v>Media</x:v>
      </x:c>
      <x:c r="AC52" s="14" t="str">
        <x:v>VALIDAR OPERACIÓN COMERCIAL</x:v>
      </x:c>
      <x:c r="AD52" s="14" t="str">
        <x:v>Rastrillaje Las Varillas 2026-09-15</x:v>
      </x:c>
      <x:c r="AE52" s="14" t="str">
        <x:v>Plataforma 20 tn | Hidrogrúa | Malacate | Percha</x:v>
      </x:c>
      <x:c r="AF52" s="14" t="str">
        <x:v>SEGUNDA PASADA</x:v>
      </x:c>
    </x:row>
    <x:row r="53">
      <x:c r="A53" s="14" t="str">
        <x:v>LV-052</x:v>
      </x:c>
      <x:c r="B53" s="14" t="str">
        <x:v>Pendiente</x:v>
      </x:c>
      <x:c r="C53" s="14" t="str">
        <x:v>Núcleo</x:v>
      </x:c>
      <x:c r="D53" s="14" t="str">
        <x:v>Las Varillas</x:v>
      </x:c>
      <x:c r="E53" s="14" t="str">
        <x:v>Sarmiento</x:v>
      </x:c>
      <x:c r="F53" s="14" t="str">
        <x:v>B</x:v>
      </x:c>
      <x:c r="G53" s="14" t="n">
        <x:v>60</x:v>
      </x:c>
      <x:c r="H53" s="14" t="str">
        <x:v>Corralón Acevedo</x:v>
      </x:c>
      <x:c r="I53" s="14" t="str">
        <x:v>Materiales de construcción</x:v>
      </x:c>
      <x:c r="J53" s="14" t="str">
        <x:v>03533 425026</x:v>
      </x:c>
      <x:c r="K53" s="14" t="str">
        <x:v>OK</x:v>
      </x:c>
      <x:c r="L53" s="14" t="str">
        <x:v>logística / depósito</x:v>
      </x:c>
      <x:c r="M53" s="14" t="str">
        <x:v>Traslados de equipos de obra, herramientas, pallets y cargas especiales.</x:v>
      </x:c>
      <x:c r="N53" s="14" t="str">
        <x:v>Plataforma + hidrogrúa + percha para pallets.</x:v>
      </x:c>
      <x:c r="O53" s="14" t="str">
        <x:v>Cubrir movimientos interobra y cargas especiales que no resuelve el camión convencional.</x:v>
      </x:c>
      <x:c r="P53" s="14" t="str">
        <x:v>Pedir obras/logística/equipos; relevar maquinaria propia y frecuencia.</x:v>
      </x:c>
      <x:c r="Q53" s="14" t="str"/>
      <x:c r="R53" s="14" t="str">
        <x:v>Sarmiento 470, Las Varillas, Córdoba</x:v>
      </x:c>
      <x:c r="S53" s="14" t="str"/>
      <x:c r="T53" s="14" t="str"/>
      <x:c r="U53" s="14" t="str"/>
      <x:c r="V53" s="14" t="str"/>
      <x:c r="W53" s="14" t="str">
        <x:v>03533425026</x:v>
      </x:c>
      <x:c r="X53" s="14" t="str">
        <x:v>https://www.google.com/maps/search/?api=1&amp;query=Corral%C3%B3n+Acevedo%2C+Sarmiento+470%2C+Las+Varillas%2C+C%C3%B3rdoba</x:v>
      </x:c>
      <x:c r="Y53" s="14" t="str">
        <x:v>Páginas Amarillas</x:v>
      </x:c>
      <x:c r="Z53" s="14" t="str">
        <x:v>https://www.paginasamarillas.com.ar/b/hormigon-elaborado/las-varillas-cordoba</x:v>
      </x:c>
      <x:c r="AA53" s="14" t="str">
        <x:v>Corralón local; afinidad menor pero posible hidrogrúa/pallets.</x:v>
      </x:c>
      <x:c r="AB53" s="14" t="str">
        <x:v>Alta</x:v>
      </x:c>
      <x:c r="AC53" s="14" t="str">
        <x:v>Operativo / verificar antes de visita</x:v>
      </x:c>
      <x:c r="AD53" s="14" t="str">
        <x:v>Rastrillaje Las Varillas 2026-09-15</x:v>
      </x:c>
      <x:c r="AE53" s="14" t="str">
        <x:v>Plataforma 20 tn | Hidrogrúa | Percha | Traslados interobra</x:v>
      </x:c>
      <x:c r="AF53" s="14" t="str">
        <x:v>SEGUNDA PASADA</x:v>
      </x:c>
    </x:row>
    <x:row r="54">
      <x:c r="A54" s="14" t="str">
        <x:v>LV-053</x:v>
      </x:c>
      <x:c r="B54" s="14" t="str">
        <x:v>Pendiente</x:v>
      </x:c>
      <x:c r="C54" s="14" t="str">
        <x:v>Núcleo</x:v>
      </x:c>
      <x:c r="D54" s="14" t="str">
        <x:v>Las Varillas</x:v>
      </x:c>
      <x:c r="E54" s="14" t="str">
        <x:v>Av. Martín Fierro</x:v>
      </x:c>
      <x:c r="F54" s="14" t="str">
        <x:v>B</x:v>
      </x:c>
      <x:c r="G54" s="14" t="n">
        <x:v>60</x:v>
      </x:c>
      <x:c r="H54" s="14" t="str">
        <x:v>Corralón Pisos y Revestimientos</x:v>
      </x:c>
      <x:c r="I54" s="14" t="str">
        <x:v>Materiales de construcción</x:v>
      </x:c>
      <x:c r="J54" s="14" t="str">
        <x:v>03533 420750</x:v>
      </x:c>
      <x:c r="K54" s="14" t="str">
        <x:v>OK</x:v>
      </x:c>
      <x:c r="L54" s="14" t="str">
        <x:v>logística / depósito</x:v>
      </x:c>
      <x:c r="M54" s="14" t="str">
        <x:v>Traslados de equipos de obra, herramientas, pallets y cargas especiales.</x:v>
      </x:c>
      <x:c r="N54" s="14" t="str">
        <x:v>Plataforma + hidrogrúa + percha para pallets.</x:v>
      </x:c>
      <x:c r="O54" s="14" t="str">
        <x:v>Cubrir movimientos interobra y cargas especiales que no resuelve el camión convencional.</x:v>
      </x:c>
      <x:c r="P54" s="14" t="str">
        <x:v>Pedir obras/logística/equipos; relevar maquinaria propia y frecuencia.</x:v>
      </x:c>
      <x:c r="Q54" s="14" t="str"/>
      <x:c r="R54" s="14" t="str">
        <x:v>Av. Martín Fierro 410, Las Varillas, Córdoba</x:v>
      </x:c>
      <x:c r="S54" s="14" t="str"/>
      <x:c r="T54" s="14" t="str"/>
      <x:c r="U54" s="14" t="str"/>
      <x:c r="V54" s="14" t="str"/>
      <x:c r="W54" s="14" t="str">
        <x:v>03533420750</x:v>
      </x:c>
      <x:c r="X54" s="14" t="str">
        <x:v>https://www.google.com/maps/search/?api=1&amp;query=Corral%C3%B3n+Pisos+y+Revestimientos%2C+Av.+Mart%C3%ADn+Fierro+410%2C+Las+Varillas%2C+C%C3%B3rdoba</x:v>
      </x:c>
      <x:c r="Y54" s="14" t="str">
        <x:v>Google Business</x:v>
      </x:c>
      <x:c r="Z54" s="14" t="str">
        <x:v>https://www.google.com/maps/search/?api=1&amp;query=Corral%C3%B3n+Pisos+y+Revestimientos%2C+Av.+Mart%C3%ADn+Fierro+410%2C+Las+Varillas%2C+C%C3%B3rdoba</x:v>
      </x:c>
      <x:c r="AA54" s="14" t="str">
        <x:v>Proveedor de materiales de construcción.</x:v>
      </x:c>
      <x:c r="AB54" s="14" t="str">
        <x:v>Alta</x:v>
      </x:c>
      <x:c r="AC54" s="14" t="str">
        <x:v>Operativo / verificar antes de visita</x:v>
      </x:c>
      <x:c r="AD54" s="14" t="str">
        <x:v>Rastrillaje Las Varillas 2026-09-15</x:v>
      </x:c>
      <x:c r="AE54" s="14" t="str">
        <x:v>Plataforma 20 tn | Hidrogrúa | Percha | Traslados interobra</x:v>
      </x:c>
      <x:c r="AF54" s="14" t="str">
        <x:v>SEGUNDA PASADA</x:v>
      </x:c>
    </x:row>
    <x:row r="55">
      <x:c r="A55" s="14" t="str">
        <x:v>LV-054</x:v>
      </x:c>
      <x:c r="B55" s="14" t="str">
        <x:v>Pendiente</x:v>
      </x:c>
      <x:c r="C55" s="14" t="str">
        <x:v>Núcleo</x:v>
      </x:c>
      <x:c r="D55" s="14" t="str">
        <x:v>Las Varillas</x:v>
      </x:c>
      <x:c r="E55" s="14" t="str">
        <x:v>Martín Güemes</x:v>
      </x:c>
      <x:c r="F55" s="14" t="str">
        <x:v>B</x:v>
      </x:c>
      <x:c r="G55" s="14" t="n">
        <x:v>58</x:v>
      </x:c>
      <x:c r="H55" s="14" t="str">
        <x:v>Plásticos Las Varillas PLV</x:v>
      </x:c>
      <x:c r="I55" s="14" t="str">
        <x:v>Fábrica plástica</x:v>
      </x:c>
      <x:c r="J55" s="14" t="str">
        <x:v>03533 448164</x:v>
      </x:c>
      <x:c r="K55" s="14" t="str">
        <x:v>OK</x:v>
      </x:c>
      <x:c r="L55" s="14" t="str">
        <x:v>producción / logística</x:v>
      </x:c>
      <x:c r="M55" s="14" t="str">
        <x:v>Movimientos de equipos o cargas especiales asociados a su operación.</x:v>
      </x:c>
      <x:c r="N55" s="14" t="str">
        <x:v>Plataforma 20 tn + hidrogrúa + malacate según necesidad.</x:v>
      </x:c>
      <x:c r="O55" s="14" t="str">
        <x:v>Capacidad externa para movimientos pesados o especiales.</x:v>
      </x:c>
      <x:c r="P55" s="14" t="str">
        <x:v>Contactar logística/operaciones y relevar necesidad real.</x:v>
      </x:c>
      <x:c r="Q55" s="14" t="str"/>
      <x:c r="R55" s="14" t="str">
        <x:v>Martín Güemes 755, Las Varillas, Córdoba</x:v>
      </x:c>
      <x:c r="S55" s="14" t="str"/>
      <x:c r="T55" s="14" t="str"/>
      <x:c r="U55" s="14" t="str"/>
      <x:c r="V55" s="14" t="str"/>
      <x:c r="W55" s="14" t="str">
        <x:v>03533448164</x:v>
      </x:c>
      <x:c r="X55" s="14" t="str">
        <x:v>https://www.google.com/maps/search/?api=1&amp;query=Pl%C3%A1sticos+Las+Varillas+PLV%2C+Mart%C3%ADn+G%C3%BCemes+755%2C+Las+Varillas%2C+C%C3%B3rdoba</x:v>
      </x:c>
      <x:c r="Y55" s="14" t="str">
        <x:v>Google Business</x:v>
      </x:c>
      <x:c r="Z55" s="14" t="str">
        <x:v>https://www.google.com/maps/search/?api=1&amp;query=Pl%C3%A1sticos+Las+Varillas+PLV%2C+Mart%C3%ADn+G%C3%BCemes+755%2C+Las+Varillas%2C+C%C3%B3rdoba</x:v>
      </x:c>
      <x:c r="AA55" s="14" t="str">
        <x:v>Fábrica local; menor afinidad con transporte pesado.</x:v>
      </x:c>
      <x:c r="AB55" s="14" t="str">
        <x:v>Alta</x:v>
      </x:c>
      <x:c r="AC55" s="14" t="str">
        <x:v>Operativo / verificar antes de visita</x:v>
      </x:c>
      <x:c r="AD55" s="14" t="str">
        <x:v>Rastrillaje Las Varillas 2026-09-15</x:v>
      </x:c>
      <x:c r="AE55" s="14" t="str">
        <x:v>Plataforma 20 tn | Hidrogrúa | Malacate</x:v>
      </x:c>
      <x:c r="AF55" s="14" t="str">
        <x:v>SEGUNDA PASADA</x:v>
      </x:c>
    </x:row>
    <x:row r="56">
      <x:c r="A56" s="14" t="str">
        <x:v>LV-055</x:v>
      </x:c>
      <x:c r="B56" s="14" t="str">
        <x:v>Pendiente</x:v>
      </x:c>
      <x:c r="C56" s="14" t="str">
        <x:v>Núcleo</x:v>
      </x:c>
      <x:c r="D56" s="14" t="str">
        <x:v>Las Varillas</x:v>
      </x:c>
      <x:c r="E56" s="14" t="str">
        <x:v>Bombero Cuggino</x:v>
      </x:c>
      <x:c r="F56" s="14" t="str">
        <x:v>B</x:v>
      </x:c>
      <x:c r="G56" s="14" t="n">
        <x:v>55</x:v>
      </x:c>
      <x:c r="H56" s="14" t="str">
        <x:v>SIT MOBILI</x:v>
      </x:c>
      <x:c r="I56" s="14" t="str">
        <x:v>Fábrica de mobiliario</x:v>
      </x:c>
      <x:c r="J56" s="14" t="str">
        <x:v>03533 425307</x:v>
      </x:c>
      <x:c r="K56" s="14" t="str">
        <x:v>OK</x:v>
      </x:c>
      <x:c r="L56" s="14" t="str">
        <x:v>producción / logística</x:v>
      </x:c>
      <x:c r="M56" s="14" t="str">
        <x:v>Movimientos de equipos o cargas especiales asociados a su operación.</x:v>
      </x:c>
      <x:c r="N56" s="14" t="str">
        <x:v>Plataforma 20 tn + hidrogrúa + malacate según necesidad.</x:v>
      </x:c>
      <x:c r="O56" s="14" t="str">
        <x:v>Capacidad externa para movimientos pesados o especiales.</x:v>
      </x:c>
      <x:c r="P56" s="14" t="str">
        <x:v>Contactar logística/operaciones y relevar necesidad real.</x:v>
      </x:c>
      <x:c r="Q56" s="14" t="str"/>
      <x:c r="R56" s="14" t="str">
        <x:v>Luis Cuggino 241, Las Varillas, Córdoba</x:v>
      </x:c>
      <x:c r="S56" s="14" t="str"/>
      <x:c r="T56" s="14" t="str"/>
      <x:c r="U56" s="14" t="str"/>
      <x:c r="V56" s="14" t="str"/>
      <x:c r="W56" s="14" t="str">
        <x:v>03533425307</x:v>
      </x:c>
      <x:c r="X56" s="14" t="str">
        <x:v>https://www.google.com/maps/search/?api=1&amp;query=SIT+MOBILI%2C+Luis+Cuggino+241%2C+Las+Varillas%2C+C%C3%B3rdoba</x:v>
      </x:c>
      <x:c r="Y56" s="14" t="str">
        <x:v>Google Business</x:v>
      </x:c>
      <x:c r="Z56" s="14" t="str">
        <x:v>https://www.google.com/maps/search/?api=1&amp;query=SIT+MOBILI%2C+Luis+Cuggino+241%2C+Las+Varillas%2C+C%C3%B3rdoba</x:v>
      </x:c>
      <x:c r="AA56" s="14" t="str">
        <x:v>Fábrica local; potencial bajo/medio.</x:v>
      </x:c>
      <x:c r="AB56" s="14" t="str">
        <x:v>Alta</x:v>
      </x:c>
      <x:c r="AC56" s="14" t="str">
        <x:v>Operativo / verificar antes de visita</x:v>
      </x:c>
      <x:c r="AD56" s="14" t="str">
        <x:v>Rastrillaje Las Varillas 2026-09-15</x:v>
      </x:c>
      <x:c r="AE56" s="14" t="str">
        <x:v>Plataforma 20 tn | Hidrogrúa | Malacate</x:v>
      </x:c>
      <x:c r="AF56" s="14" t="str">
        <x:v>SEGUNDA PASADA</x:v>
      </x:c>
    </x:row>
    <x:row r="57">
      <x:c r="A57" s="14" t="str">
        <x:v>LV-056</x:v>
      </x:c>
      <x:c r="B57" s="14" t="str">
        <x:v>Pendiente</x:v>
      </x:c>
      <x:c r="C57" s="14" t="str">
        <x:v>Núcleo</x:v>
      </x:c>
      <x:c r="D57" s="14" t="str">
        <x:v>Las Varillas</x:v>
      </x:c>
      <x:c r="E57" s="14" t="str">
        <x:v>Santa Rosa</x:v>
      </x:c>
      <x:c r="F57" s="14" t="str">
        <x:v>B</x:v>
      </x:c>
      <x:c r="G57" s="14" t="n">
        <x:v>50</x:v>
      </x:c>
      <x:c r="H57" s="14" t="str">
        <x:v>Auxilio y Grúas Ottero</x:v>
      </x:c>
      <x:c r="I57" s="14" t="str">
        <x:v>Auxilio / grúas</x:v>
      </x:c>
      <x:c r="J57" s="14" t="str">
        <x:v>03533 421681</x:v>
      </x:c>
      <x:c r="K57" s="14" t="str">
        <x:v>OK</x:v>
      </x:c>
      <x:c r="L57" s="14" t="str">
        <x:v>operaciones / grúas</x:v>
      </x:c>
      <x:c r="M57" s="14" t="str">
        <x:v>Overflow, rescates o derivación de cargas/equipos que requieren plataforma, malacate o hidrogrúa.</x:v>
      </x:c>
      <x:c r="N57" s="14" t="str">
        <x:v>Capacidad complementaria de plataforma 20 tn + hidrogrúa + malacate.</x:v>
      </x:c>
      <x:c r="O57" s="14" t="str">
        <x:v>Ser socio de respaldo para servicios que exceden la flota o especialidad habitual.</x:v>
      </x:c>
      <x:c r="P57" s="14" t="str">
        <x:v>Pedir operaciones/tráfico y ofrecer acuerdo de derivaciones.</x:v>
      </x:c>
      <x:c r="Q57" s="14" t="str"/>
      <x:c r="R57" s="14" t="str">
        <x:v>Santa Rosa 54, Las Varillas, Córdoba</x:v>
      </x:c>
      <x:c r="S57" s="14" t="str"/>
      <x:c r="T57" s="14" t="str"/>
      <x:c r="U57" s="14" t="str"/>
      <x:c r="V57" s="14" t="str"/>
      <x:c r="W57" s="14" t="str">
        <x:v>03533421681</x:v>
      </x:c>
      <x:c r="X57" s="14" t="str">
        <x:v>https://www.google.com/maps/search/?api=1&amp;query=Auxilio+y+Gr%C3%BAas+Ottero%2C+Santa+Rosa+54%2C+Las+Varillas%2C+C%C3%B3rdoba</x:v>
      </x:c>
      <x:c r="Y57" s="14" t="str">
        <x:v>Guía Urbana / Google Business</x:v>
      </x:c>
      <x:c r="Z57" s="14" t="str">
        <x:v>https://www.guiaurbana.com.ar/empresas/auxilio-y-gruas-ottero-las-varillas</x:v>
      </x:c>
      <x:c r="AA57" s="14" t="str">
        <x:v>Figura temporalmente cerrado en Google; validar actividad antes de contacto.</x:v>
      </x:c>
      <x:c r="AB57" s="14" t="str">
        <x:v>Media</x:v>
      </x:c>
      <x:c r="AC57" s="14" t="str">
        <x:v>VALIDAR ACTIVIDAD: Google lo marca temporalmente cerrado</x:v>
      </x:c>
      <x:c r="AD57" s="14" t="str">
        <x:v>Rastrillaje Las Varillas 2026-09-15</x:v>
      </x:c>
      <x:c r="AE57" s="14" t="str">
        <x:v>Plataforma 20 tn | Hidrogrúa | Malacate | Subcontratación</x:v>
      </x:c>
      <x:c r="AF57" s="14" t="str">
        <x:v>SEGUNDA PASADA</x:v>
      </x:c>
    </x:row>
    <x:row r="58">
      <x:c r="A58" s="14" t="str">
        <x:v>LV-057</x:v>
      </x:c>
      <x:c r="B58" s="14" t="str">
        <x:v>Pendiente</x:v>
      </x:c>
      <x:c r="C58" s="14" t="str">
        <x:v>Zona ampliada</x:v>
      </x:c>
      <x:c r="D58" s="14" t="str">
        <x:v>El Arañado</x:v>
      </x:c>
      <x:c r="E58" s="14" t="str">
        <x:v>El Arañado centro</x:v>
      </x:c>
      <x:c r="F58" s="14" t="str">
        <x:v>A+</x:v>
      </x:c>
      <x:c r="G58" s="14" t="n">
        <x:v>98</x:v>
      </x:c>
      <x:c r="H58" s="14" t="str">
        <x:v>Minari Implementos</x:v>
      </x:c>
      <x:c r="I58" s="14" t="str">
        <x:v>Fábrica de equipos forrajeros y viales</x:v>
      </x:c>
      <x:c r="J58" s="14" t="str">
        <x:v>+54 3533 686666</x:v>
      </x:c>
      <x:c r="K58" s="14" t="str">
        <x:v>OK</x:v>
      </x:c>
      <x:c r="L58" s="14" t="str">
        <x:v>producción / expedición / ventas</x:v>
      </x:c>
      <x:c r="M58" s="14" t="str">
        <x:v>Entrega/retiro de maquinaria, usados, equipos de service y despachos de fábrica.</x:v>
      </x:c>
      <x:c r="N58" s="14" t="str">
        <x:v>Plataforma 20 tn + malacate + hidrogrúa + seguro/GPS.</x:v>
      </x:c>
      <x:c r="O58" s="14" t="str">
        <x:v>Captar entregas, canjes, service y movimientos de equipos sin inmovilizar transporte propio.</x:v>
      </x:c>
      <x:c r="P58" s="14" t="str">
        <x:v>Pedir logística/expedición/posventa y relevar cantidad de movimientos mensuales.</x:v>
      </x:c>
      <x:c r="Q58" s="14" t="str"/>
      <x:c r="R58" s="14" t="str">
        <x:v>Av. San Martín 370, El Arañado, Córdoba</x:v>
      </x:c>
      <x:c r="S58" s="14" t="str"/>
      <x:c r="T58" s="14" t="str"/>
      <x:c r="U58" s="14" t="str"/>
      <x:c r="V58" s="14" t="str"/>
      <x:c r="W58" s="14" t="str">
        <x:v>+543533686666</x:v>
      </x:c>
      <x:c r="X58" s="14" t="str">
        <x:v>https://www.google.com/maps/search/?api=1&amp;query=Minari+Implementos%2C+Av.+San+Mart%C3%ADn+370%2C+El+Ara%C3%B1ado%2C+C%C3%B3rdoba</x:v>
      </x:c>
      <x:c r="Y58" s="14" t="str">
        <x:v>Maquinac</x:v>
      </x:c>
      <x:c r="Z58" s="14" t="str">
        <x:v>https://maquinac.com/empresas/minari/</x:v>
      </x:c>
      <x:c r="AA58" s="14" t="str">
        <x:v>Fabrica equipos forrajeros, viales y maquinaria para municipios.</x:v>
      </x:c>
      <x:c r="AB58" s="14" t="str">
        <x:v>Alta</x:v>
      </x:c>
      <x:c r="AC58" s="14" t="str">
        <x:v>Operativo / verificar antes de visita</x:v>
      </x:c>
      <x:c r="AD58" s="14" t="str">
        <x:v>Rastrillaje Las Varillas 2026-09-15</x:v>
      </x:c>
      <x:c r="AE58" s="14" t="str">
        <x:v>Plataforma 20 tn | Malacate | Hidrogrúa | Entrega/retiro maquinaria | Seguro/GPS</x:v>
      </x:c>
      <x:c r="AF58" s="14" t="str">
        <x:v>VISITA INMEDIATA</x:v>
      </x:c>
    </x:row>
    <x:row r="59">
      <x:c r="A59" s="14" t="str">
        <x:v>LV-058</x:v>
      </x:c>
      <x:c r="B59" s="14" t="str">
        <x:v>Pendiente</x:v>
      </x:c>
      <x:c r="C59" s="14" t="str">
        <x:v>Zona ampliada</x:v>
      </x:c>
      <x:c r="D59" s="14" t="str">
        <x:v>Alicia</x:v>
      </x:c>
      <x:c r="E59" s="14" t="str">
        <x:v>Alicia centro</x:v>
      </x:c>
      <x:c r="F59" s="14" t="str">
        <x:v>A+</x:v>
      </x:c>
      <x:c r="G59" s="14" t="n">
        <x:v>97</x:v>
      </x:c>
      <x:c r="H59" s="14" t="str">
        <x:v>Centenario Implementos</x:v>
      </x:c>
      <x:c r="I59" s="14" t="str">
        <x:v>Fábrica de implementos agrícolas y viales</x:v>
      </x:c>
      <x:c r="J59" s="14" t="str">
        <x:v>+54 3533 513477</x:v>
      </x:c>
      <x:c r="K59" s="14" t="str">
        <x:v>OK</x:v>
      </x:c>
      <x:c r="L59" s="14" t="str">
        <x:v>producción / expedición / ventas</x:v>
      </x:c>
      <x:c r="M59" s="14" t="str">
        <x:v>Entrega/retiro de maquinaria, usados, equipos de service y despachos de fábrica.</x:v>
      </x:c>
      <x:c r="N59" s="14" t="str">
        <x:v>Plataforma 20 tn + malacate + hidrogrúa + seguro/GPS.</x:v>
      </x:c>
      <x:c r="O59" s="14" t="str">
        <x:v>Captar entregas, canjes, service y movimientos de equipos sin inmovilizar transporte propio.</x:v>
      </x:c>
      <x:c r="P59" s="14" t="str">
        <x:v>Pedir logística/expedición/posventa y relevar cantidad de movimientos mensuales.</x:v>
      </x:c>
      <x:c r="Q59" s="14" t="str"/>
      <x:c r="R59" s="14" t="str">
        <x:v>Rioja 560, Alicia, Córdoba</x:v>
      </x:c>
      <x:c r="S59" s="14" t="str"/>
      <x:c r="T59" s="14" t="str"/>
      <x:c r="U59" s="14" t="str"/>
      <x:c r="V59" s="14" t="str"/>
      <x:c r="W59" s="14" t="str">
        <x:v>+543533513477</x:v>
      </x:c>
      <x:c r="X59" s="14" t="str">
        <x:v>https://www.google.com/maps/search/?api=1&amp;query=Centenario+Implementos%2C+Rioja+560%2C+Alicia%2C+C%C3%B3rdoba</x:v>
      </x:c>
      <x:c r="Y59" s="14" t="str">
        <x:v>Web oficial</x:v>
      </x:c>
      <x:c r="Z59" s="14" t="str">
        <x:v>https://www.industriacentenario.com/</x:v>
      </x:c>
      <x:c r="AA59" s="14" t="str">
        <x:v>Fabrica acoplados e implementos agrícolas/viales; planta industrial en Alicia.</x:v>
      </x:c>
      <x:c r="AB59" s="14" t="str">
        <x:v>Alta</x:v>
      </x:c>
      <x:c r="AC59" s="14" t="str">
        <x:v>Operativo / verificar antes de visita</x:v>
      </x:c>
      <x:c r="AD59" s="14" t="str">
        <x:v>Rastrillaje Las Varillas 2026-09-15</x:v>
      </x:c>
      <x:c r="AE59" s="14" t="str">
        <x:v>Plataforma 20 tn | Malacate | Hidrogrúa | Entrega/retiro maquinaria | Seguro/GPS</x:v>
      </x:c>
      <x:c r="AF59" s="14" t="str">
        <x:v>VISITA INMEDIATA</x:v>
      </x:c>
    </x:row>
    <x:row r="60">
      <x:c r="A60" s="14" t="str">
        <x:v>LV-059</x:v>
      </x:c>
      <x:c r="B60" s="14" t="str">
        <x:v>Pendiente</x:v>
      </x:c>
      <x:c r="C60" s="14" t="str">
        <x:v>Zona ampliada</x:v>
      </x:c>
      <x:c r="D60" s="14" t="str">
        <x:v>Sacanta</x:v>
      </x:c>
      <x:c r="E60" s="14" t="str">
        <x:v>Centro / RP13</x:v>
      </x:c>
      <x:c r="F60" s="14" t="str">
        <x:v>A+</x:v>
      </x:c>
      <x:c r="G60" s="14" t="n">
        <x:v>96</x:v>
      </x:c>
      <x:c r="H60" s="14" t="str">
        <x:v>Baudo S.R.L. - Molinos y Agropartes</x:v>
      </x:c>
      <x:c r="I60" s="14" t="str">
        <x:v>Fábrica de molinos y agropartes</x:v>
      </x:c>
      <x:c r="J60" s="14" t="str">
        <x:v>+54 9 3533 404134 / 03533 492187</x:v>
      </x:c>
      <x:c r="K60" s="14" t="str">
        <x:v>OK</x:v>
      </x:c>
      <x:c r="L60" s="14" t="str">
        <x:v>producción / expedición / logística</x:v>
      </x:c>
      <x:c r="M60" s="14" t="str">
        <x:v>Movimiento de piezas, conjuntos, implementos, estructuras o equipos de producción/mantenimiento.</x:v>
      </x:c>
      <x:c r="N60" s="14" t="str">
        <x:v>Plataforma + hidrogrúa + malacate; percha según carga.</x:v>
      </x:c>
      <x:c r="O60" s="14" t="str">
        <x:v>Ser proveedor para despachos pesados, paradas de mantenimiento o piezas fuera de medida.</x:v>
      </x:c>
      <x:c r="P60" s="14" t="str">
        <x:v>Pedir producción/expedición/mantenimiento y relevar piezas máximas/destinos.</x:v>
      </x:c>
      <x:c r="Q60" s="14" t="str"/>
      <x:c r="R60" s="14" t="str">
        <x:v>25 de Mayo 314, Sacanta, Córdoba</x:v>
      </x:c>
      <x:c r="S60" s="14" t="str"/>
      <x:c r="T60" s="14" t="str"/>
      <x:c r="U60" s="14" t="str"/>
      <x:c r="V60" s="14" t="str"/>
      <x:c r="W60" s="14" t="str">
        <x:v>+5493533404134</x:v>
      </x:c>
      <x:c r="X60" s="14" t="str">
        <x:v>https://www.google.com/maps/search/?api=1&amp;query=Baudo+S.R.L.+-+Molinos+y+Agropartes%2C+25+de+Mayo+314%2C+Sacanta%2C+C%C3%B3rdoba</x:v>
      </x:c>
      <x:c r="Y60" s="14" t="str">
        <x:v>Web oficial</x:v>
      </x:c>
      <x:c r="Z60" s="14" t="str">
        <x:v>https://www.baudo.com.ar/</x:v>
      </x:c>
      <x:c r="AA60" s="14" t="str">
        <x:v>Fabrica molinos de viento, torres, ejes, bancadas, mazas y agropartes.</x:v>
      </x:c>
      <x:c r="AB60" s="14" t="str">
        <x:v>Alta</x:v>
      </x:c>
      <x:c r="AC60" s="14" t="str">
        <x:v>Operativo / verificar antes de visita</x:v>
      </x:c>
      <x:c r="AD60" s="14" t="str">
        <x:v>Rastrillaje Las Varillas 2026-09-15</x:v>
      </x:c>
      <x:c r="AE60" s="14" t="str">
        <x:v>Plataforma 20 tn | Hidrogrúa | Malacate | Percha</x:v>
      </x:c>
      <x:c r="AF60" s="14" t="str">
        <x:v>VISITA INMEDIATA</x:v>
      </x:c>
    </x:row>
    <x:row r="61">
      <x:c r="A61" s="14" t="str">
        <x:v>LV-060</x:v>
      </x:c>
      <x:c r="B61" s="14" t="str">
        <x:v>Pendiente</x:v>
      </x:c>
      <x:c r="C61" s="14" t="str">
        <x:v>Zona ampliada</x:v>
      </x:c>
      <x:c r="D61" s="14" t="str">
        <x:v>El Arañado</x:v>
      </x:c>
      <x:c r="E61" s="14" t="str">
        <x:v>El Arañado centro</x:v>
      </x:c>
      <x:c r="F61" s="14" t="str">
        <x:v>A+</x:v>
      </x:c>
      <x:c r="G61" s="14" t="n">
        <x:v>96</x:v>
      </x:c>
      <x:c r="H61" s="14" t="str">
        <x:v>Nymaco Implementos Agrícolas y Viales</x:v>
      </x:c>
      <x:c r="I61" s="14" t="str">
        <x:v>Fábrica de maquinaria agrícola y vial</x:v>
      </x:c>
      <x:c r="J61" s="14" t="str">
        <x:v>+54 3471 15592664</x:v>
      </x:c>
      <x:c r="K61" s="14" t="str">
        <x:v>OK</x:v>
      </x:c>
      <x:c r="L61" s="14" t="str">
        <x:v>producción / expedición</x:v>
      </x:c>
      <x:c r="M61" s="14" t="str">
        <x:v>Entrega/retiro de maquinaria, usados, equipos de service y despachos de fábrica.</x:v>
      </x:c>
      <x:c r="N61" s="14" t="str">
        <x:v>Plataforma 20 tn + malacate + hidrogrúa + seguro/GPS.</x:v>
      </x:c>
      <x:c r="O61" s="14" t="str">
        <x:v>Captar entregas, canjes, service y movimientos de equipos sin inmovilizar transporte propio.</x:v>
      </x:c>
      <x:c r="P61" s="14" t="str">
        <x:v>Pedir logística/expedición/posventa y relevar cantidad de movimientos mensuales.</x:v>
      </x:c>
      <x:c r="Q61" s="14" t="str"/>
      <x:c r="R61" s="14" t="str">
        <x:v>San Martín 370, El Arañado, Córdoba</x:v>
      </x:c>
      <x:c r="S61" s="14" t="str"/>
      <x:c r="T61" s="14" t="str"/>
      <x:c r="U61" s="14" t="str"/>
      <x:c r="V61" s="14" t="str"/>
      <x:c r="W61" s="14" t="str">
        <x:v>+54347115592664</x:v>
      </x:c>
      <x:c r="X61" s="14" t="str">
        <x:v>https://www.google.com/maps/search/?api=1&amp;query=Nymaco+Implementos+Agr%C3%ADcolas+y+Viales%2C+San+Mart%C3%ADn+370%2C+El+Ara%C3%B1ado%2C+C%C3%B3rdoba</x:v>
      </x:c>
      <x:c r="Y61" s="14" t="str">
        <x:v>Maquinac</x:v>
      </x:c>
      <x:c r="Z61" s="14" t="str">
        <x:v>https://maquinac.com/empresas/nymaco/</x:v>
      </x:c>
      <x:c r="AA61" s="14" t="str">
        <x:v>Fabrica segadoras, palas, acoplados y elevadores de granos.</x:v>
      </x:c>
      <x:c r="AB61" s="14" t="str">
        <x:v>Alta</x:v>
      </x:c>
      <x:c r="AC61" s="14" t="str">
        <x:v>Operativo / verificar antes de visita</x:v>
      </x:c>
      <x:c r="AD61" s="14" t="str">
        <x:v>Rastrillaje Las Varillas 2026-09-15</x:v>
      </x:c>
      <x:c r="AE61" s="14" t="str">
        <x:v>Plataforma 20 tn | Malacate | Hidrogrúa | Entrega/retiro maquinaria | Seguro/GPS</x:v>
      </x:c>
      <x:c r="AF61" s="14" t="str">
        <x:v>VISITA INMEDIATA</x:v>
      </x:c>
    </x:row>
    <x:row r="62">
      <x:c r="A62" s="14" t="str">
        <x:v>LV-061</x:v>
      </x:c>
      <x:c r="B62" s="14" t="str">
        <x:v>Pendiente</x:v>
      </x:c>
      <x:c r="C62" s="14" t="str">
        <x:v>Zona ampliada</x:v>
      </x:c>
      <x:c r="D62" s="14" t="str">
        <x:v>Saturnino M. Laspiur</x:v>
      </x:c>
      <x:c r="E62" s="14" t="str">
        <x:v>Av. Bornancini</x:v>
      </x:c>
      <x:c r="F62" s="14" t="str">
        <x:v>A+</x:v>
      </x:c>
      <x:c r="G62" s="14" t="n">
        <x:v>94</x:v>
      </x:c>
      <x:c r="H62" s="14" t="str">
        <x:v>Plásticos Laspiur S.R.L.</x:v>
      </x:c>
      <x:c r="I62" s="14" t="str">
        <x:v>Tanques, cisternas y equipos sobre camión</x:v>
      </x:c>
      <x:c r="J62" s="14" t="str">
        <x:v>03533 491414 / 491441 / 491558</x:v>
      </x:c>
      <x:c r="K62" s="14" t="str">
        <x:v>OK</x:v>
      </x:c>
      <x:c r="L62" s="14" t="str">
        <x:v>producción / expedición / logística</x:v>
      </x:c>
      <x:c r="M62" s="14" t="str">
        <x:v>Despacho y traslado de conjuntos pesados, acoplados, equipos viales o módulos especiales.</x:v>
      </x:c>
      <x:c r="N62" s="14" t="str">
        <x:v>Plataforma 20 tn + malacate + hidrogrúa según maniobra.</x:v>
      </x:c>
      <x:c r="O62" s="14" t="str">
        <x:v>Resolver entregas y movimientos especiales fuera de la logística convencional.</x:v>
      </x:c>
      <x:c r="P62" s="14" t="str">
        <x:v>Pedir expedición/logística/producción y consultar pesos/dimensiones máximas.</x:v>
      </x:c>
      <x:c r="Q62" s="14" t="str"/>
      <x:c r="R62" s="14" t="str">
        <x:v>Av. Dr. Bornancini 525, Saturnino María Laspiur, Córdoba</x:v>
      </x:c>
      <x:c r="S62" s="14" t="str"/>
      <x:c r="T62" s="14" t="str"/>
      <x:c r="U62" s="14" t="str"/>
      <x:c r="V62" s="14" t="str"/>
      <x:c r="W62" s="14" t="str">
        <x:v>03533491414</x:v>
      </x:c>
      <x:c r="X62" s="14" t="str">
        <x:v>https://www.google.com/maps/search/?api=1&amp;query=Pl%C3%A1sticos+Laspiur+S.R.L.%2C+Av.+Dr.+Bornancini+525%2C+Saturnino+Mar%C3%ADa+Laspiur%2C+C%C3%B3rdoba</x:v>
      </x:c>
      <x:c r="Y62" s="14" t="str">
        <x:v>Web oficial</x:v>
      </x:c>
      <x:c r="Z62" s="14" t="str">
        <x:v>https://plasticoslaspiur.com.ar/shop/</x:v>
      </x:c>
      <x:c r="AA62" s="14" t="str">
        <x:v>Fabrica tanques, cisternas y equipos atmosféricos/ riego montados sobre camiones.</x:v>
      </x:c>
      <x:c r="AB62" s="14" t="str">
        <x:v>Alta</x:v>
      </x:c>
      <x:c r="AC62" s="14" t="str">
        <x:v>Operativo / verificar antes de visita</x:v>
      </x:c>
      <x:c r="AD62" s="14" t="str">
        <x:v>Rastrillaje Las Varillas 2026-09-15</x:v>
      </x:c>
      <x:c r="AE62" s="14" t="str">
        <x:v>Plataforma 20 tn | Malacate | Hidrogrúa | Cargas especiales</x:v>
      </x:c>
      <x:c r="AF62" s="14" t="str">
        <x:v>VISITA INMEDIATA</x:v>
      </x:c>
    </x:row>
    <x:row r="63">
      <x:c r="A63" s="14" t="str">
        <x:v>LV-062</x:v>
      </x:c>
      <x:c r="B63" s="14" t="str">
        <x:v>Pendiente</x:v>
      </x:c>
      <x:c r="C63" s="14" t="str">
        <x:v>Zona ampliada</x:v>
      </x:c>
      <x:c r="D63" s="14" t="str">
        <x:v>El Arañado</x:v>
      </x:c>
      <x:c r="E63" s="14" t="str">
        <x:v>RP13</x:v>
      </x:c>
      <x:c r="F63" s="14" t="str">
        <x:v>A</x:v>
      </x:c>
      <x:c r="G63" s="14" t="n">
        <x:v>84</x:v>
      </x:c>
      <x:c r="H63" s="14" t="str">
        <x:v>Gobetto Metalúrgica</x:v>
      </x:c>
      <x:c r="I63" s="14" t="str">
        <x:v>Metalúrgica</x:v>
      </x:c>
      <x:c r="J63" s="14" t="str">
        <x:v> +54 9 3533 444833</x:v>
      </x:c>
      <x:c r="K63" s="14" t="str">
        <x:v>OK</x:v>
      </x:c>
      <x:c r="L63" s="14" t="str">
        <x:v>producción / expedición</x:v>
      </x:c>
      <x:c r="M63" s="14" t="str">
        <x:v>Movimiento de piezas, conjuntos, implementos, estructuras o equipos de producción/mantenimiento.</x:v>
      </x:c>
      <x:c r="N63" s="14" t="str">
        <x:v>Plataforma + hidrogrúa + malacate; percha según carga.</x:v>
      </x:c>
      <x:c r="O63" s="14" t="str">
        <x:v>Ser proveedor para despachos pesados, paradas de mantenimiento o piezas fuera de medida.</x:v>
      </x:c>
      <x:c r="P63" s="14" t="str">
        <x:v>Pedir producción/expedición/mantenimiento y relevar piezas máximas/destinos.</x:v>
      </x:c>
      <x:c r="Q63" s="14" t="str"/>
      <x:c r="R63" s="14" t="str">
        <x:v>RP13, El Arañado, Córdoba</x:v>
      </x:c>
      <x:c r="S63" s="14" t="str"/>
      <x:c r="T63" s="14" t="str"/>
      <x:c r="U63" s="14" t="str"/>
      <x:c r="V63" s="14" t="str"/>
      <x:c r="W63" s="14" t="str">
        <x:v>+5493533444833</x:v>
      </x:c>
      <x:c r="X63" s="14" t="str">
        <x:v>https://www.google.com/maps/search/?api=1&amp;query=Gobetto+Metal%C3%BArgica%2C+RP13%2C+El+Ara%C3%B1ado%2C+C%C3%B3rdoba</x:v>
      </x:c>
      <x:c r="Y63" s="14" t="str">
        <x:v>Google Business</x:v>
      </x:c>
      <x:c r="Z63" s="14" t="str">
        <x:v>https://www.google.com/maps/search/?api=1&amp;query=Gobetto+Metal%C3%BArgica%2C+RP13%2C+El+Ara%C3%B1ado%2C+C%C3%B3rdoba</x:v>
      </x:c>
      <x:c r="AA63" s="14" t="str">
        <x:v>Metalúrgica regional.</x:v>
      </x:c>
      <x:c r="AB63" s="14" t="str">
        <x:v>Alta</x:v>
      </x:c>
      <x:c r="AC63" s="14" t="str">
        <x:v>Operativo / verificar antes de visita</x:v>
      </x:c>
      <x:c r="AD63" s="14" t="str">
        <x:v>Rastrillaje Las Varillas 2026-09-15</x:v>
      </x:c>
      <x:c r="AE63" s="14" t="str">
        <x:v>Plataforma 20 tn | Hidrogrúa | Malacate | Percha</x:v>
      </x:c>
      <x:c r="AF63" s="14" t="str">
        <x:v>PRIORIDAD ALTA</x:v>
      </x:c>
    </x:row>
    <x:row r="64">
      <x:c r="A64" s="14" t="str">
        <x:v>LV-063</x:v>
      </x:c>
      <x:c r="B64" s="14" t="str">
        <x:v>Pendiente</x:v>
      </x:c>
      <x:c r="C64" s="14" t="str">
        <x:v>Zona ampliada</x:v>
      </x:c>
      <x:c r="D64" s="14" t="str">
        <x:v>Alicia</x:v>
      </x:c>
      <x:c r="E64" s="14" t="str">
        <x:v>Alicia</x:v>
      </x:c>
      <x:c r="F64" s="14" t="str">
        <x:v>A</x:v>
      </x:c>
      <x:c r="G64" s="14" t="n">
        <x:v>82</x:v>
      </x:c>
      <x:c r="H64" s="14" t="str">
        <x:v>G y C S.R.L.</x:v>
      </x:c>
      <x:c r="I64" s="14" t="str">
        <x:v>Servicios de maquinaria agrícola</x:v>
      </x:c>
      <x:c r="J64" s="14" t="str">
        <x:v>A verificar</x:v>
      </x:c>
      <x:c r="K64" s="14" t="str">
        <x:v>A verificar</x:v>
      </x:c>
      <x:c r="L64" s="14" t="str">
        <x:v>operaciones / maquinaria / logística</x:v>
      </x:c>
      <x:c r="M64" s="14" t="str">
        <x:v>Entrega/retiro de maquinaria, usados, equipos de service y despachos de fábrica.</x:v>
      </x:c>
      <x:c r="N64" s="14" t="str">
        <x:v>Plataforma 20 tn + malacate + hidrogrúa + seguro/GPS.</x:v>
      </x:c>
      <x:c r="O64" s="14" t="str">
        <x:v>Captar entregas, canjes, service y movimientos de equipos sin inmovilizar transporte propio.</x:v>
      </x:c>
      <x:c r="P64" s="14" t="str">
        <x:v>Pedir logística/expedición/posventa y relevar cantidad de movimientos mensuales.</x:v>
      </x:c>
      <x:c r="Q64" s="14" t="str"/>
      <x:c r="R64" s="14" t="str">
        <x:v>Sarmiento 1009, Alicia, Córdoba</x:v>
      </x:c>
      <x:c r="S64" s="14" t="str"/>
      <x:c r="T64" s="14" t="str"/>
      <x:c r="U64" s="14" t="str"/>
      <x:c r="V64" s="14" t="str"/>
      <x:c r="W64" s="14" t="str"/>
      <x:c r="X64" s="14" t="str">
        <x:v>https://www.google.com/maps/search/?api=1&amp;query=G+y+C+S.R.L.%2C+Sarmiento+1009%2C+Alicia%2C+C%C3%B3rdoba</x:v>
      </x:c>
      <x:c r="Y64" s="14" t="str">
        <x:v>Registro 2026</x:v>
      </x:c>
      <x:c r="Z64" s="14" t="str">
        <x:v>https://indicadores.ar/empresa/30708732644-g-y-c-s-r-l</x:v>
      </x:c>
      <x:c r="AA64" s="14" t="str">
        <x:v>Actividad principal registrada: servicios de maquinaria agrícola.</x:v>
      </x:c>
      <x:c r="AB64" s="14" t="str">
        <x:v>Media</x:v>
      </x:c>
      <x:c r="AC64" s="14" t="str">
        <x:v>Operativo / verificar antes de visita</x:v>
      </x:c>
      <x:c r="AD64" s="14" t="str">
        <x:v>Rastrillaje Las Varillas 2026-09-15</x:v>
      </x:c>
      <x:c r="AE64" s="14" t="str">
        <x:v>Plataforma 20 tn | Malacate | Hidrogrúa | Entrega/retiro maquinaria | Seguro/GPS</x:v>
      </x:c>
      <x:c r="AF64" s="14" t="str">
        <x:v>PRIORIDAD ALTA</x:v>
      </x:c>
    </x:row>
    <x:row r="65">
      <x:c r="A65" s="14" t="str">
        <x:v>LV-064</x:v>
      </x:c>
      <x:c r="B65" s="14" t="str">
        <x:v>Pendiente</x:v>
      </x:c>
      <x:c r="C65" s="14" t="str">
        <x:v>Zona ampliada</x:v>
      </x:c>
      <x:c r="D65" s="14" t="str">
        <x:v>Saturnino M. Laspiur</x:v>
      </x:c>
      <x:c r="E65" s="14" t="str">
        <x:v>San Martín</x:v>
      </x:c>
      <x:c r="F65" s="14" t="str">
        <x:v>A</x:v>
      </x:c>
      <x:c r="G65" s="14" t="n">
        <x:v>76</x:v>
      </x:c>
      <x:c r="H65" s="14" t="str">
        <x:v>Transporte Daghero</x:v>
      </x:c>
      <x:c r="I65" s="14" t="str">
        <x:v>Transporte de mercancías</x:v>
      </x:c>
      <x:c r="J65" s="14" t="str">
        <x:v>+54 9 3533 451375</x:v>
      </x:c>
      <x:c r="K65" s="14" t="str">
        <x:v>OK</x:v>
      </x:c>
      <x:c r="L65" s="14" t="str">
        <x:v>tráfico / operaciones</x:v>
      </x:c>
      <x:c r="M65" s="14" t="str">
        <x:v>Overflow, rescates o derivación de cargas/equipos que requieren plataforma, malacate o hidrogrúa.</x:v>
      </x:c>
      <x:c r="N65" s="14" t="str">
        <x:v>Capacidad complementaria de plataforma 20 tn + hidrogrúa + malacate.</x:v>
      </x:c>
      <x:c r="O65" s="14" t="str">
        <x:v>Ser socio de respaldo para servicios que exceden la flota o especialidad habitual.</x:v>
      </x:c>
      <x:c r="P65" s="14" t="str">
        <x:v>Pedir operaciones/tráfico y ofrecer acuerdo de derivaciones.</x:v>
      </x:c>
      <x:c r="Q65" s="14" t="str"/>
      <x:c r="R65" s="14" t="str">
        <x:v>San Martín 360, Saturnino M. Laspiur, Córdoba</x:v>
      </x:c>
      <x:c r="S65" s="14" t="str"/>
      <x:c r="T65" s="14" t="str"/>
      <x:c r="U65" s="14" t="str"/>
      <x:c r="V65" s="14" t="str"/>
      <x:c r="W65" s="14" t="str">
        <x:v>+5493533451375</x:v>
      </x:c>
      <x:c r="X65" s="14" t="str">
        <x:v>https://www.google.com/maps/search/?api=1&amp;query=Transporte+Daghero%2C+San+Mart%C3%ADn+360%2C+Saturnino+M.+Laspiur%2C+C%C3%B3rdoba</x:v>
      </x:c>
      <x:c r="Y65" s="14" t="str">
        <x:v>Google Business</x:v>
      </x:c>
      <x:c r="Z65" s="14" t="str">
        <x:v>https://www.google.com/maps/search/?api=1&amp;query=Transporte+Daghero%2C+San+Mart%C3%ADn+360%2C+Saturnino+Mar%C3%ADa+Laspiur%2C+C%C3%B3rdoba</x:v>
      </x:c>
      <x:c r="AA65" s="14" t="str">
        <x:v>Transportista regional.</x:v>
      </x:c>
      <x:c r="AB65" s="14" t="str">
        <x:v>Alta</x:v>
      </x:c>
      <x:c r="AC65" s="14" t="str">
        <x:v>Operativo / verificar antes de visita</x:v>
      </x:c>
      <x:c r="AD65" s="14" t="str">
        <x:v>Rastrillaje Las Varillas 2026-09-15</x:v>
      </x:c>
      <x:c r="AE65" s="14" t="str">
        <x:v>Plataforma 20 tn | Hidrogrúa | Malacate | Subcontratación</x:v>
      </x:c>
      <x:c r="AF65" s="14" t="str">
        <x:v>PRIORIDAD ALTA</x:v>
      </x:c>
    </x:row>
    <x:row r="66">
      <x:c r="A66" s="14" t="str">
        <x:v>LV-065</x:v>
      </x:c>
      <x:c r="B66" s="14" t="str">
        <x:v>Pendiente</x:v>
      </x:c>
      <x:c r="C66" s="14" t="str">
        <x:v>Zona ampliada</x:v>
      </x:c>
      <x:c r="D66" s="14" t="str">
        <x:v>Sacanta</x:v>
      </x:c>
      <x:c r="E66" s="14" t="str">
        <x:v>RP13 km 82</x:v>
      </x:c>
      <x:c r="F66" s="14" t="str">
        <x:v>A</x:v>
      </x:c>
      <x:c r="G66" s="14" t="n">
        <x:v>76</x:v>
      </x:c>
      <x:c r="H66" s="14" t="str">
        <x:v>Transportes Barrionuevo Hnos.</x:v>
      </x:c>
      <x:c r="I66" s="14" t="str">
        <x:v>Transporte / logística</x:v>
      </x:c>
      <x:c r="J66" s="14" t="str">
        <x:v>03533 451584</x:v>
      </x:c>
      <x:c r="K66" s="14" t="str">
        <x:v>OK</x:v>
      </x:c>
      <x:c r="L66" s="14" t="str">
        <x:v>tráfico / operaciones</x:v>
      </x:c>
      <x:c r="M66" s="14" t="str">
        <x:v>Overflow, rescates o derivación de cargas/equipos que requieren plataforma, malacate o hidrogrúa.</x:v>
      </x:c>
      <x:c r="N66" s="14" t="str">
        <x:v>Capacidad complementaria de plataforma 20 tn + hidrogrúa + malacate.</x:v>
      </x:c>
      <x:c r="O66" s="14" t="str">
        <x:v>Ser socio de respaldo para servicios que exceden la flota o especialidad habitual.</x:v>
      </x:c>
      <x:c r="P66" s="14" t="str">
        <x:v>Pedir operaciones/tráfico y ofrecer acuerdo de derivaciones.</x:v>
      </x:c>
      <x:c r="Q66" s="14" t="str"/>
      <x:c r="R66" s="14" t="str">
        <x:v>RP13 km 82, Sacanta, Córdoba</x:v>
      </x:c>
      <x:c r="S66" s="14" t="str"/>
      <x:c r="T66" s="14" t="str"/>
      <x:c r="U66" s="14" t="str"/>
      <x:c r="V66" s="14" t="str"/>
      <x:c r="W66" s="14" t="str">
        <x:v>03533451584</x:v>
      </x:c>
      <x:c r="X66" s="14" t="str">
        <x:v>https://www.google.com/maps/search/?api=1&amp;query=Transportes+Barrionuevo+Hnos.%2C+RP13+km+82%2C+Sacanta%2C+C%C3%B3rdoba</x:v>
      </x:c>
      <x:c r="Y66" s="14" t="str">
        <x:v>Google Business</x:v>
      </x:c>
      <x:c r="Z66" s="14" t="str">
        <x:v>https://www.google.com/maps/search/?api=1&amp;query=Transportes+Barrionuevo+Hnos.%2C+RP13+km+82%2C+Sacanta%2C+C%C3%B3rdoba</x:v>
      </x:c>
      <x:c r="AA66" s="14" t="str">
        <x:v>Transportista regional sobre RP13.</x:v>
      </x:c>
      <x:c r="AB66" s="14" t="str">
        <x:v>Alta</x:v>
      </x:c>
      <x:c r="AC66" s="14" t="str">
        <x:v>Operativo / verificar antes de visita</x:v>
      </x:c>
      <x:c r="AD66" s="14" t="str">
        <x:v>Rastrillaje Las Varillas 2026-09-15</x:v>
      </x:c>
      <x:c r="AE66" s="14" t="str">
        <x:v>Plataforma 20 tn | Hidrogrúa | Malacate | Subcontratación</x:v>
      </x:c>
      <x:c r="AF66" s="14" t="str">
        <x:v>PRIORIDAD ALTA</x:v>
      </x:c>
    </x:row>
    <x:row r="67">
      <x:c r="A67" s="14" t="str">
        <x:v>LV-066</x:v>
      </x:c>
      <x:c r="B67" s="14" t="str">
        <x:v>Pendiente</x:v>
      </x:c>
      <x:c r="C67" s="14" t="str">
        <x:v>Zona ampliada</x:v>
      </x:c>
      <x:c r="D67" s="14" t="str">
        <x:v>Sacanta</x:v>
      </x:c>
      <x:c r="E67" s="14" t="str">
        <x:v>RP13 km 81</x:v>
      </x:c>
      <x:c r="F67" s="14" t="str">
        <x:v>A</x:v>
      </x:c>
      <x:c r="G67" s="14" t="n">
        <x:v>74</x:v>
      </x:c>
      <x:c r="H67" s="14" t="str">
        <x:v>Gaviglio Sacanta</x:v>
      </x:c>
      <x:c r="I67" s="14" t="str">
        <x:v>Servicio agrícola / maquinaria</x:v>
      </x:c>
      <x:c r="J67" s="14" t="str">
        <x:v>03533 438670</x:v>
      </x:c>
      <x:c r="K67" s="14" t="str">
        <x:v>OK</x:v>
      </x:c>
      <x:c r="L67" s="14" t="str">
        <x:v>operaciones / maquinaria</x:v>
      </x:c>
      <x:c r="M67" s="14" t="str">
        <x:v>Movimientos de mantenimiento, equipos agrícolas, pallets o cargas extraordinarias.</x:v>
      </x:c>
      <x:c r="N67" s="14" t="str">
        <x:v>Plataforma + hidrogrúa + percha según necesidad.</x:v>
      </x:c>
      <x:c r="O67" s="14" t="str">
        <x:v>Proveedor local para movimientos extraordinarios, campañas y mantenimiento.</x:v>
      </x:c>
      <x:c r="P67" s="14" t="str">
        <x:v>Pedir logística/operaciones/compras y calificar frecuencia.</x:v>
      </x:c>
      <x:c r="Q67" s="14" t="str"/>
      <x:c r="R67" s="14" t="str">
        <x:v>RP13 km 81, Sacanta, Córdoba</x:v>
      </x:c>
      <x:c r="S67" s="14" t="str"/>
      <x:c r="T67" s="14" t="str"/>
      <x:c r="U67" s="14" t="str"/>
      <x:c r="V67" s="14" t="str"/>
      <x:c r="W67" s="14" t="str">
        <x:v>03533438670</x:v>
      </x:c>
      <x:c r="X67" s="14" t="str">
        <x:v>https://www.google.com/maps/search/?api=1&amp;query=Gaviglio+Sacanta%2C+RP13+km+81%2C+Sacanta%2C+C%C3%B3rdoba</x:v>
      </x:c>
      <x:c r="Y67" s="14" t="str">
        <x:v>Google Business</x:v>
      </x:c>
      <x:c r="Z67" s="14" t="str">
        <x:v>https://www.google.com/maps/search/?api=1&amp;query=Gaviglio+Sacanta%2C+RP13+km+81%2C+Sacanta%2C+C%C3%B3rdoba</x:v>
      </x:c>
      <x:c r="AA67" s="14" t="str">
        <x:v>Servicio agrícola regional; calificar flota y movimientos.</x:v>
      </x:c>
      <x:c r="AB67" s="14" t="str">
        <x:v>Alta</x:v>
      </x:c>
      <x:c r="AC67" s="14" t="str">
        <x:v>Operativo / verificar antes de visita</x:v>
      </x:c>
      <x:c r="AD67" s="14" t="str">
        <x:v>Rastrillaje Las Varillas 2026-09-15</x:v>
      </x:c>
      <x:c r="AE67" s="14" t="str">
        <x:v>Plataforma 20 tn | Hidrogrúa | Percha</x:v>
      </x:c>
      <x:c r="AF67" s="14" t="str">
        <x:v>PRIORIDAD ALTA</x:v>
      </x:c>
    </x:row>
    <x:row r="68">
      <x:c r="A68" s="14" t="str">
        <x:v>LV-067</x:v>
      </x:c>
      <x:c r="B68" s="14" t="str">
        <x:v>Pendiente</x:v>
      </x:c>
      <x:c r="C68" s="14" t="str">
        <x:v>Zona ampliada</x:v>
      </x:c>
      <x:c r="D68" s="14" t="str">
        <x:v>Saturnino M. Laspiur</x:v>
      </x:c>
      <x:c r="E68" s="14" t="str">
        <x:v>General Paz</x:v>
      </x:c>
      <x:c r="F68" s="14" t="str">
        <x:v>B</x:v>
      </x:c>
      <x:c r="G68" s="14" t="n">
        <x:v>68</x:v>
      </x:c>
      <x:c r="H68" s="14" t="str">
        <x:v>Agroservicio Los Dos Hermanos</x:v>
      </x:c>
      <x:c r="I68" s="14" t="str">
        <x:v>Servicios agrícolas</x:v>
      </x:c>
      <x:c r="J68" s="14" t="str">
        <x:v>03533 686767</x:v>
      </x:c>
      <x:c r="K68" s="14" t="str">
        <x:v>OK</x:v>
      </x:c>
      <x:c r="L68" s="14" t="str">
        <x:v>operaciones / maquinaria</x:v>
      </x:c>
      <x:c r="M68" s="14" t="str">
        <x:v>Movimientos de mantenimiento, equipos agrícolas, pallets o cargas extraordinarias.</x:v>
      </x:c>
      <x:c r="N68" s="14" t="str">
        <x:v>Plataforma + hidrogrúa + percha según necesidad.</x:v>
      </x:c>
      <x:c r="O68" s="14" t="str">
        <x:v>Proveedor local para movimientos extraordinarios, campañas y mantenimiento.</x:v>
      </x:c>
      <x:c r="P68" s="14" t="str">
        <x:v>Pedir logística/operaciones/compras y calificar frecuencia.</x:v>
      </x:c>
      <x:c r="Q68" s="14" t="str"/>
      <x:c r="R68" s="14" t="str">
        <x:v>General Paz 228, Saturnino M. Laspiur, Córdoba</x:v>
      </x:c>
      <x:c r="S68" s="14" t="str"/>
      <x:c r="T68" s="14" t="str"/>
      <x:c r="U68" s="14" t="str"/>
      <x:c r="V68" s="14" t="str"/>
      <x:c r="W68" s="14" t="str">
        <x:v>03533686767</x:v>
      </x:c>
      <x:c r="X68" s="14" t="str">
        <x:v>https://www.google.com/maps/search/?api=1&amp;query=Agroservicio+Los+Dos+Hermanos%2C+General+Paz+228%2C+Saturnino+M.+Laspiur%2C+C%C3%B3rdoba</x:v>
      </x:c>
      <x:c r="Y68" s="14" t="str">
        <x:v>Google Business</x:v>
      </x:c>
      <x:c r="Z68" s="14" t="str">
        <x:v>https://www.google.com/maps/search/?api=1&amp;query=Agroservicio+Los+Dos+Hermanos%2C+General+Paz+228%2C+Saturnino+Mar%C3%ADa+Laspiur%2C+C%C3%B3rdoba</x:v>
      </x:c>
      <x:c r="AA68" s="14" t="str">
        <x:v>Servicio agrícola regional.</x:v>
      </x:c>
      <x:c r="AB68" s="14" t="str">
        <x:v>Alta</x:v>
      </x:c>
      <x:c r="AC68" s="14" t="str">
        <x:v>Operativo / verificar antes de visita</x:v>
      </x:c>
      <x:c r="AD68" s="14" t="str">
        <x:v>Rastrillaje Las Varillas 2026-09-15</x:v>
      </x:c>
      <x:c r="AE68" s="14" t="str">
        <x:v>Plataforma 20 tn | Hidrogrúa | Percha</x:v>
      </x:c>
      <x:c r="AF68" s="14" t="str">
        <x:v>SEGUNDA PASADA</x:v>
      </x:c>
    </x:row>
    <x:row r="69">
      <x:c r="A69" s="14" t="str">
        <x:v>LV-068</x:v>
      </x:c>
      <x:c r="B69" s="14" t="str">
        <x:v>Pendiente</x:v>
      </x:c>
      <x:c r="C69" s="14" t="str">
        <x:v>Zona ampliada</x:v>
      </x:c>
      <x:c r="D69" s="14" t="str">
        <x:v>Saturnino M. Laspiur</x:v>
      </x:c>
      <x:c r="E69" s="14" t="str">
        <x:v>Avellaneda</x:v>
      </x:c>
      <x:c r="F69" s="14" t="str">
        <x:v>B</x:v>
      </x:c>
      <x:c r="G69" s="14" t="n">
        <x:v>68</x:v>
      </x:c>
      <x:c r="H69" s="14" t="str">
        <x:v>Metalúrgica Don Pancho</x:v>
      </x:c>
      <x:c r="I69" s="14" t="str">
        <x:v>Metalúrgica</x:v>
      </x:c>
      <x:c r="J69" s="14" t="str">
        <x:v>A verificar</x:v>
      </x:c>
      <x:c r="K69" s="14" t="str">
        <x:v>A verificar</x:v>
      </x:c>
      <x:c r="L69" s="14" t="str">
        <x:v>producción / logística</x:v>
      </x:c>
      <x:c r="M69" s="14" t="str">
        <x:v>Movimiento de piezas, conjuntos, implementos, estructuras o equipos de producción/mantenimiento.</x:v>
      </x:c>
      <x:c r="N69" s="14" t="str">
        <x:v>Plataforma + hidrogrúa + malacate; percha según carga.</x:v>
      </x:c>
      <x:c r="O69" s="14" t="str">
        <x:v>Ser proveedor para despachos pesados, paradas de mantenimiento o piezas fuera de medida.</x:v>
      </x:c>
      <x:c r="P69" s="14" t="str">
        <x:v>Pedir producción/expedición/mantenimiento y relevar piezas máximas/destinos.</x:v>
      </x:c>
      <x:c r="Q69" s="14" t="str"/>
      <x:c r="R69" s="14" t="str">
        <x:v>Avellaneda 38, Saturnino M. Laspiur, Córdoba</x:v>
      </x:c>
      <x:c r="S69" s="14" t="str"/>
      <x:c r="T69" s="14" t="str"/>
      <x:c r="U69" s="14" t="str"/>
      <x:c r="V69" s="14" t="str"/>
      <x:c r="W69" s="14" t="str"/>
      <x:c r="X69" s="14" t="str">
        <x:v>https://www.google.com/maps/search/?api=1&amp;query=Metal%C3%BArgica+Don+Pancho%2C+Avellaneda+38%2C+Saturnino+M.+Laspiur%2C+C%C3%B3rdoba</x:v>
      </x:c>
      <x:c r="Y69" s="14" t="str">
        <x:v>Google Business</x:v>
      </x:c>
      <x:c r="Z69" s="14" t="str">
        <x:v>https://www.google.com/maps/search/?api=1&amp;query=Metal%C3%BArgica+Don+Pancho%2C+Avellaneda+38%2C+Saturnino+Mar%C3%ADa+Laspiur%2C+C%C3%B3rdoba</x:v>
      </x:c>
      <x:c r="AA69" s="14" t="str">
        <x:v>Metalúrgica local; validar escala.</x:v>
      </x:c>
      <x:c r="AB69" s="14" t="str">
        <x:v>Media</x:v>
      </x:c>
      <x:c r="AC69" s="14" t="str">
        <x:v>Operativo / verificar antes de visita</x:v>
      </x:c>
      <x:c r="AD69" s="14" t="str">
        <x:v>Rastrillaje Las Varillas 2026-09-15</x:v>
      </x:c>
      <x:c r="AE69" s="14" t="str">
        <x:v>Plataforma 20 tn | Hidrogrúa | Malacate | Percha</x:v>
      </x:c>
      <x:c r="AF69" s="14" t="str">
        <x:v>SEGUNDA PASADA</x:v>
      </x:c>
    </x:row>
    <x:row r="70">
      <x:c r="A70" s="14" t="str">
        <x:v>LV-069</x:v>
      </x:c>
      <x:c r="B70" s="14" t="str">
        <x:v>Pendiente</x:v>
      </x:c>
      <x:c r="C70" s="14" t="str">
        <x:v>Zona ampliada</x:v>
      </x:c>
      <x:c r="D70" s="14" t="str">
        <x:v>Sacanta</x:v>
      </x:c>
      <x:c r="E70" s="14" t="str">
        <x:v>Sacanta</x:v>
      </x:c>
      <x:c r="F70" s="14" t="str">
        <x:v>B</x:v>
      </x:c>
      <x:c r="G70" s="14" t="n">
        <x:v>65</x:v>
      </x:c>
      <x:c r="H70" s="14" t="str">
        <x:v>Construcciones Vitelli</x:v>
      </x:c>
      <x:c r="I70" s="14" t="str">
        <x:v>Contratista de construcción</x:v>
      </x:c>
      <x:c r="J70" s="14" t="str">
        <x:v>03533 519102</x:v>
      </x:c>
      <x:c r="K70" s="14" t="str">
        <x:v>OK</x:v>
      </x:c>
      <x:c r="L70" s="14" t="str">
        <x:v>obras / logística</x:v>
      </x:c>
      <x:c r="M70" s="14" t="str">
        <x:v>Traslados de equipos de obra, herramientas, pallets y cargas especiales.</x:v>
      </x:c>
      <x:c r="N70" s="14" t="str">
        <x:v>Plataforma + hidrogrúa + percha para pallets.</x:v>
      </x:c>
      <x:c r="O70" s="14" t="str">
        <x:v>Cubrir movimientos interobra y cargas especiales que no resuelve el camión convencional.</x:v>
      </x:c>
      <x:c r="P70" s="14" t="str">
        <x:v>Pedir obras/logística/equipos; relevar maquinaria propia y frecuencia.</x:v>
      </x:c>
      <x:c r="Q70" s="14" t="str"/>
      <x:c r="R70" s="14" t="str">
        <x:v>Sacanta, Córdoba</x:v>
      </x:c>
      <x:c r="S70" s="14" t="str"/>
      <x:c r="T70" s="14" t="str"/>
      <x:c r="U70" s="14" t="str"/>
      <x:c r="V70" s="14" t="str"/>
      <x:c r="W70" s="14" t="str">
        <x:v>03533519102</x:v>
      </x:c>
      <x:c r="X70" s="14" t="str">
        <x:v>https://www.google.com/maps/search/?api=1&amp;query=Construcciones+Vitelli%2C+Sacanta%2C+C%C3%B3rdoba</x:v>
      </x:c>
      <x:c r="Y70" s="14" t="str">
        <x:v>Google Business</x:v>
      </x:c>
      <x:c r="Z70" s="14" t="str">
        <x:v>https://www.google.com/maps/search/?api=1&amp;query=Construcciones+Vitelli%2C+Sacanta%2C+C%C3%B3rdoba</x:v>
      </x:c>
      <x:c r="AA70" s="14" t="str">
        <x:v>Contratista local; relevar maquinaria y tipo de obra.</x:v>
      </x:c>
      <x:c r="AB70" s="14" t="str">
        <x:v>Media</x:v>
      </x:c>
      <x:c r="AC70" s="14" t="str">
        <x:v>Operativo / verificar antes de visita</x:v>
      </x:c>
      <x:c r="AD70" s="14" t="str">
        <x:v>Rastrillaje Las Varillas 2026-09-15</x:v>
      </x:c>
      <x:c r="AE70" s="14" t="str">
        <x:v>Plataforma 20 tn | Hidrogrúa | Percha | Traslados interobra</x:v>
      </x:c>
      <x:c r="AF70" s="14" t="str">
        <x:v>SEGUNDA PASADA</x:v>
      </x:c>
    </x:row>
    <x:row r="71">
      <x:c r="A71" t="str">
        <x:v>LV-070</x:v>
      </x:c>
      <x:c r="B71" t="str">
        <x:v>Pendiente</x:v>
      </x:c>
      <x:c r="C71" t="str">
        <x:v>Núcleo</x:v>
      </x:c>
      <x:c r="D71" t="str">
        <x:v>Las Varillas</x:v>
      </x:c>
      <x:c r="E71" t="str">
        <x:v>Av. Martín Fierro</x:v>
      </x:c>
      <x:c r="F71" t="str">
        <x:v>A+</x:v>
      </x:c>
      <x:c r="G71" t="n">
        <x:v>100</x:v>
      </x:c>
      <x:c r="H71" t="str">
        <x:v>Ricardo Venturino S.A. - Las Varillas</x:v>
      </x:c>
      <x:c r="I71" t="str">
        <x:v>Concesionario oficial John Deere y PLA / tractores / cosechadoras</x:v>
      </x:c>
      <x:c r="J71" t="str">
        <x:v>+54 9 3462 566606</x:v>
      </x:c>
      <x:c r="K71" t="str">
        <x:v>OK</x:v>
      </x:c>
      <x:c r="L71" t="str">
        <x:v>gerencia / logística / posventa / usados</x:v>
      </x:c>
      <x:c r="M71" t="str">
        <x:v>Entrega/retiro de maquinaria, usados, equipos de service y movimientos de gran porte.</x:v>
      </x:c>
      <x:c r="N71" t="str">
        <x:v>Plataforma 20 tn + malacate + hidrogrúa de apoyo + seguro/GPS.</x:v>
      </x:c>
      <x:c r="O71" t="str">
        <x:v>Captar entregas, canjes, usados y rescates de service sin inmovilizar transporte propio.</x:v>
      </x:c>
      <x:c r="P71" t="str">
        <x:v>Pedir logística/posventa/expedición; relevar pesos, dimensiones y movimientos mensuales.</x:v>
      </x:c>
      <x:c r="Q71" t="str"/>
      <x:c r="R71" t="str">
        <x:v>Martín Fierro 741, Las Varillas, Córdoba</x:v>
      </x:c>
      <x:c r="S71" t="str"/>
      <x:c r="T71" t="str"/>
      <x:c r="U71" t="str"/>
      <x:c r="V71" t="str"/>
      <x:c r="W71" t="str">
        <x:v>+5493462566606</x:v>
      </x:c>
      <x:c r="X71" t="str">
        <x:v>https://www.google.com/maps/search/?api=1&amp;query=Ricardo+Venturino+S.A.+-+Las+Varillas%2C+Mart%C3%ADn+Fierro+741%2C+Las+Varillas%2C+C%C3%B3rdoba</x:v>
      </x:c>
      <x:c r="Y71" t="str">
        <x:v>Web oficial Venturino</x:v>
      </x:c>
      <x:c r="Z71" t="str">
        <x:v>https://ricardoventurino.com.ar/contacto</x:v>
      </x:c>
      <x:c r="AA71" t="str">
        <x:v>Sucursal oficial Las Varillas activa en 2026; venta, posventa y tecnología John Deere/PLA. Tiene técnicos de tractores y bodega de repuestos.</x:v>
      </x:c>
      <x:c r="AB71" t="str">
        <x:v>Alta</x:v>
      </x:c>
      <x:c r="AC71" t="str">
        <x:v>Operativo / verificar antes de visita</x:v>
      </x:c>
      <x:c r="AD71" t="str">
        <x:v>Refinamiento alto valor Las Varillas 2026-09-15</x:v>
      </x:c>
      <x:c r="AE71" t="str">
        <x:v>Plataforma 20 tn | Malacate | Hidrogrúa | Entrega/retiro maquinaria | Seguro/GPS</x:v>
      </x:c>
      <x:c r="AF71" t="str">
        <x:v>VISITA INMEDIATA</x:v>
      </x:c>
    </x:row>
    <x:row r="72">
      <x:c r="A72" t="str">
        <x:v>LV-071</x:v>
      </x:c>
      <x:c r="B72" t="str">
        <x:v>Pendiente</x:v>
      </x:c>
      <x:c r="C72" t="str">
        <x:v>Núcleo</x:v>
      </x:c>
      <x:c r="D72" t="str">
        <x:v>Las Varillas</x:v>
      </x:c>
      <x:c r="E72" t="str">
        <x:v>Las Varillas</x:v>
      </x:c>
      <x:c r="F72" t="str">
        <x:v>A+</x:v>
      </x:c>
      <x:c r="G72" t="n">
        <x:v>99</x:v>
      </x:c>
      <x:c r="H72" t="str">
        <x:v>Escobedo Motores y Repuestos</x:v>
      </x:c>
      <x:c r="I72" t="str">
        <x:v>Motores, autoelevadores, minicargadoras y maquinaria vial</x:v>
      </x:c>
      <x:c r="J72" t="str">
        <x:v>03533 423475</x:v>
      </x:c>
      <x:c r="K72" t="str">
        <x:v>OK</x:v>
      </x:c>
      <x:c r="L72" t="str">
        <x:v>ventas / logística / taller / service</x:v>
      </x:c>
      <x:c r="M72" t="str">
        <x:v>Entrega/retiro de maquinaria, usados, equipos de service y movimientos de gran porte.</x:v>
      </x:c>
      <x:c r="N72" t="str">
        <x:v>Plataforma 20 tn + malacate + hidrogrúa de apoyo + seguro/GPS.</x:v>
      </x:c>
      <x:c r="O72" t="str">
        <x:v>Captar entregas, canjes, usados y rescates de service sin inmovilizar transporte propio.</x:v>
      </x:c>
      <x:c r="P72" t="str">
        <x:v>Pedir logística/posventa/expedición; relevar pesos, dimensiones y movimientos mensuales.</x:v>
      </x:c>
      <x:c r="Q72" t="str"/>
      <x:c r="R72" t="str">
        <x:v>Las Varillas, Córdoba</x:v>
      </x:c>
      <x:c r="S72" t="str"/>
      <x:c r="T72" t="str"/>
      <x:c r="U72" t="str"/>
      <x:c r="V72" t="str"/>
      <x:c r="W72" t="str">
        <x:v>03533423475</x:v>
      </x:c>
      <x:c r="X72" t="str">
        <x:v>https://www.google.com/maps/search/?api=1&amp;query=Escobedo+Motores+y+Repuestos%2C+Las+Varillas%2C+C%C3%B3rdoba</x:v>
      </x:c>
      <x:c r="Y72" t="str">
        <x:v>Agroads + redes oficiales</x:v>
      </x:c>
      <x:c r="Z72" t="str">
        <x:v>https://www.agroads.com.ar/e/escobedo-motores-y-repuestos/</x:v>
      </x:c>
      <x:c r="AA72" t="str">
        <x:v>Comercio activo desde 2009; publica motores, cajas, repuestos para tractores/camiones y autoelevadores/minicargadoras XCMG con entrega inmediata.</x:v>
      </x:c>
      <x:c r="AB72" t="str">
        <x:v>Alta</x:v>
      </x:c>
      <x:c r="AC72" t="str">
        <x:v>Operativo / verificar antes de visita</x:v>
      </x:c>
      <x:c r="AD72" t="str">
        <x:v>Refinamiento alto valor Las Varillas 2026-09-15</x:v>
      </x:c>
      <x:c r="AE72" t="str">
        <x:v>Plataforma 20 tn | Malacate | Hidrogrúa | Entrega/retiro maquinaria | Seguro/GPS</x:v>
      </x:c>
      <x:c r="AF72" t="str">
        <x:v>VISITA INMEDIATA</x:v>
      </x:c>
    </x:row>
    <x:row r="73">
      <x:c r="A73" t="str">
        <x:v>LV-072</x:v>
      </x:c>
      <x:c r="B73" t="str">
        <x:v>Pendiente</x:v>
      </x:c>
      <x:c r="C73" t="str">
        <x:v>Núcleo</x:v>
      </x:c>
      <x:c r="D73" t="str">
        <x:v>Las Varillas</x:v>
      </x:c>
      <x:c r="E73" t="str">
        <x:v>Mitre</x:v>
      </x:c>
      <x:c r="F73" t="str">
        <x:v>A+</x:v>
      </x:c>
      <x:c r="G73" t="n">
        <x:v>98</x:v>
      </x:c>
      <x:c r="H73" t="str">
        <x:v>Riego &amp; Silos</x:v>
      </x:c>
      <x:c r="I73" t="str">
        <x:v>Ingeniería, construcción y montaje de plantas de silos</x:v>
      </x:c>
      <x:c r="J73" t="str">
        <x:v>03533 421323 / +54 9 3537 598997</x:v>
      </x:c>
      <x:c r="K73" t="str">
        <x:v>OK</x:v>
      </x:c>
      <x:c r="L73" t="str">
        <x:v>proyectos / logística / obras / montaje</x:v>
      </x:c>
      <x:c r="M73" t="str">
        <x:v>Traslado de estructuras, componentes, equipos de montaje y cargas especiales hacia obras y plantas.</x:v>
      </x:c>
      <x:c r="N73" t="str">
        <x:v>Plataforma 20 tn + hidrogrúa + malacate + seguro/GPS.</x:v>
      </x:c>
      <x:c r="O73" t="str">
        <x:v>Resolver despachos y montajes fuera de medida con un único proveedor logístico.</x:v>
      </x:c>
      <x:c r="P73" t="str">
        <x:v>Pedir proyectos/logística/obras; relevar pesos, largos y destinos frecuentes.</x:v>
      </x:c>
      <x:c r="Q73" t="str"/>
      <x:c r="R73" t="str">
        <x:v>Mitre 150, Las Varillas, Córdoba</x:v>
      </x:c>
      <x:c r="S73" t="str"/>
      <x:c r="T73" t="str"/>
      <x:c r="U73" t="str"/>
      <x:c r="V73" t="str"/>
      <x:c r="W73" t="str">
        <x:v>03533421323</x:v>
      </x:c>
      <x:c r="X73" t="str">
        <x:v>https://www.google.com/maps/search/?api=1&amp;query=Riego+%26+Silos%2C+Mitre+150%2C+Las+Varillas%2C+C%C3%B3rdoba</x:v>
      </x:c>
      <x:c r="Y73" t="str">
        <x:v>Comil + LinkedIn</x:v>
      </x:c>
      <x:c r="Z73" t="str">
        <x:v>https://comil.com.br/es/area-de-actuacion/</x:v>
      </x:c>
      <x:c r="AA73" t="str">
        <x:v>Empresa de Las Varillas dedicada a ingeniería, construcción y puesta en marcha de plantas de almacenamiento de granos, subproductos y fertilizantes.</x:v>
      </x:c>
      <x:c r="AB73" t="str">
        <x:v>Alta</x:v>
      </x:c>
      <x:c r="AC73" t="str">
        <x:v>Operativo / verificar antes de visita</x:v>
      </x:c>
      <x:c r="AD73" t="str">
        <x:v>Refinamiento alto valor Las Varillas 2026-09-15</x:v>
      </x:c>
      <x:c r="AE73" t="str">
        <x:v>Plataforma 20 tn | Hidrogrúa | Malacate | Cargas especiales | Seguro/GPS</x:v>
      </x:c>
      <x:c r="AF73" t="str">
        <x:v>VISITA INMEDIATA</x:v>
      </x:c>
    </x:row>
  </x:sheetData>
  <x:conditionalFormatting sqref="F2:F70">
    <x:cfRule type="expression" dxfId="0" priority="1">
      <x:formula>F2="A+"</x:formula>
    </x:cfRule>
    <x:cfRule type="expression" dxfId="1" priority="2">
      <x:formula>F2="A"</x:formula>
    </x:cfRule>
    <x:cfRule type="expression" dxfId="2" priority="3">
      <x:formula>F2="B"</x:formula>
    </x:cfRule>
  </x:conditionalFormatting>
  <x:conditionalFormatting sqref="K2:K70">
    <x:cfRule type="expression" dxfId="3" priority="4">
      <x:formula>K2="A verificar"</x:formula>
    </x:cfRule>
  </x:conditionalFormatting>
  <x:dataValidations count="1">
    <x:dataValidation type="list" sqref="B2:B70">
      <x:formula1>"Pendiente,Contactado,Reunión,Cotizado,Seguimiento,Cliente,Descartado"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1588ed4c72a4a7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5" max="5" width="40" hidden="0" customWidth="1"/>
    <x:col min="6" max="6" width="12" hidden="0" customWidth="1"/>
    <x:col min="7" max="7" width="12" hidden="0" customWidth="1"/>
  </x:cols>
  <x:sheetData>
    <x:row r="1">
      <x:c r="A1" s="17" t="str">
        <x:v>INDICADORES · LAS VARILLAS</x:v>
      </x:c>
      <x:c r="B1" s="17"/>
      <x:c r="C1" s="17"/>
      <x:c r="D1" s="17"/>
      <x:c r="E1" s="17"/>
      <x:c r="F1" s="17"/>
      <x:c r="G1" s="17"/>
      <x:c r="H1" s="17"/>
    </x:row>
    <x:row r="3">
      <x:c r="A3" s="6" t="str">
        <x:v>Clase</x:v>
      </x:c>
      <x:c r="B3" s="6" t="str">
        <x:v>Prospectos</x:v>
      </x:c>
      <x:c r="C3" s="6" t="str">
        <x:v>% total</x:v>
      </x:c>
      <x:c r="E3" s="6" t="str">
        <x:v>Categoría</x:v>
      </x:c>
      <x:c r="F3" s="6" t="str">
        <x:v>Prospectos</x:v>
      </x:c>
      <x:c r="G3" s="6" t="str">
        <x:v>% total</x:v>
      </x:c>
    </x:row>
    <x:row r="4">
      <x:c r="A4" t="str">
        <x:v>A+</x:v>
      </x:c>
      <x:c r="B4" t="n">
        <x:f>COUNTIF(Prospectos!F:F,A4)</x:f>
        <x:v>32</x:v>
      </x:c>
      <x:c r="C4" s="30" t="n">
        <x:f>B4/$B$7</x:f>
        <x:v>0.4444444444444444</x:v>
      </x:c>
      <x:c r="E4" t="str">
        <x:v>Agroindustria / oficina de compras</x:v>
      </x:c>
      <x:c r="F4" t="n">
        <x:f>COUNTIF(Prospectos!I:I,E4)</x:f>
        <x:v>1</x:v>
      </x:c>
      <x:c r="G4" s="30" t="n">
        <x:f>F4/$B$7</x:f>
        <x:v>0.013888888888888888</x:v>
      </x:c>
    </x:row>
    <x:row r="5">
      <x:c r="A5" t="str">
        <x:v>A</x:v>
      </x:c>
      <x:c r="B5" t="n">
        <x:f>COUNTIF(Prospectos!F:F,A5)</x:f>
        <x:v>24</x:v>
      </x:c>
      <x:c r="C5" s="30" t="n">
        <x:f>B5/$B$7</x:f>
        <x:v>0.3333333333333333</x:v>
      </x:c>
      <x:c r="E5" t="str">
        <x:v>Agropartes / transmisiones</x:v>
      </x:c>
      <x:c r="F5" t="n">
        <x:f>COUNTIF(Prospectos!I:I,E5)</x:f>
        <x:v>1</x:v>
      </x:c>
      <x:c r="G5" s="30" t="n">
        <x:f>F5/$B$7</x:f>
        <x:v>0.013888888888888888</x:v>
      </x:c>
    </x:row>
    <x:row r="6">
      <x:c r="A6" t="str">
        <x:v>B</x:v>
      </x:c>
      <x:c r="B6" t="n">
        <x:f>COUNTIF(Prospectos!F:F,A6)</x:f>
        <x:v>16</x:v>
      </x:c>
      <x:c r="C6" s="30" t="n">
        <x:f>B6/$B$7</x:f>
        <x:v>0.2222222222222222</x:v>
      </x:c>
      <x:c r="E6" t="str">
        <x:v>Agropartes / transmisiones / equipos viales</x:v>
      </x:c>
      <x:c r="F6" t="n">
        <x:f>COUNTIF(Prospectos!I:I,E6)</x:f>
        <x:v>0</x:v>
      </x:c>
      <x:c r="G6" s="30" t="n">
        <x:f>F6/$B$7</x:f>
        <x:v>0</x:v>
      </x:c>
    </x:row>
    <x:row r="7">
      <x:c r="A7" s="24" t="str">
        <x:v>TOTAL</x:v>
      </x:c>
      <x:c r="B7" s="24" t="n">
        <x:f>COUNTA(Prospectos!H:H)-1</x:f>
        <x:v>72</x:v>
      </x:c>
      <x:c r="C7" s="24"/>
      <x:c r="E7" t="str">
        <x:v>Auxilio / grúas</x:v>
      </x:c>
      <x:c r="F7" t="n">
        <x:f>COUNTIF(Prospectos!I:I,E7)</x:f>
        <x:v>1</x:v>
      </x:c>
      <x:c r="G7" s="30" t="n">
        <x:f>F7/$B$7</x:f>
        <x:v>0.013888888888888888</x:v>
      </x:c>
    </x:row>
    <x:row r="8">
      <x:c r="E8" t="str">
        <x:v>Bloques / materiales de construcción</x:v>
      </x:c>
      <x:c r="F8" t="n">
        <x:f>COUNTIF(Prospectos!I:I,E8)</x:f>
        <x:v>1</x:v>
      </x:c>
      <x:c r="G8" s="30" t="n">
        <x:f>F8/$B$7</x:f>
        <x:v>0.013888888888888888</x:v>
      </x:c>
    </x:row>
    <x:row r="9">
      <x:c r="E9" t="str">
        <x:v>Cilindros hidráulicos agrícola/vial/industrial</x:v>
      </x:c>
      <x:c r="F9" t="n">
        <x:f>COUNTIF(Prospectos!I:I,E9)</x:f>
        <x:v>1</x:v>
      </x:c>
      <x:c r="G9" s="30" t="n">
        <x:f>F9/$B$7</x:f>
        <x:v>0.013888888888888888</x:v>
      </x:c>
    </x:row>
    <x:row r="10">
      <x:c r="E10" t="str">
        <x:v>Concesionario / proveedor de maquinaria agrícola</x:v>
      </x:c>
      <x:c r="F10" t="n">
        <x:f>COUNTIF(Prospectos!I:I,E10)</x:f>
        <x:v>1</x:v>
      </x:c>
      <x:c r="G10" s="30" t="n">
        <x:f>F10/$B$7</x:f>
        <x:v>0.013888888888888888</x:v>
      </x:c>
    </x:row>
    <x:row r="11">
      <x:c r="E11" t="str">
        <x:v>Concesionario de tractores / maquinaria</x:v>
      </x:c>
      <x:c r="F11" t="n">
        <x:f>COUNTIF(Prospectos!I:I,E11)</x:f>
        <x:v>0</x:v>
      </x:c>
      <x:c r="G11" s="30" t="n">
        <x:f>F11/$B$7</x:f>
        <x:v>0</x:v>
      </x:c>
    </x:row>
    <x:row r="12">
      <x:c r="E12" t="str">
        <x:v>Concesionario integral de maquinaria agrícola</x:v>
      </x:c>
      <x:c r="F12" t="n">
        <x:f>COUNTIF(Prospectos!I:I,E12)</x:f>
        <x:v>1</x:v>
      </x:c>
      <x:c r="G12" s="30" t="n">
        <x:f>F12/$B$7</x:f>
        <x:v>0.013888888888888888</x:v>
      </x:c>
    </x:row>
    <x:row r="13">
      <x:c r="E13" t="str">
        <x:v>Concesionario maquinaria agrícola</x:v>
      </x:c>
      <x:c r="F13" t="n">
        <x:f>COUNTIF(Prospectos!I:I,E13)</x:f>
        <x:v>1</x:v>
      </x:c>
      <x:c r="G13" s="30" t="n">
        <x:f>F13/$B$7</x:f>
        <x:v>0.013888888888888888</x:v>
      </x:c>
    </x:row>
    <x:row r="14">
      <x:c r="E14" t="str">
        <x:v>Concesionario maquinaria agrícola nueva/usada</x:v>
      </x:c>
      <x:c r="F14" t="n">
        <x:f>COUNTIF(Prospectos!I:I,E14)</x:f>
        <x:v>1</x:v>
      </x:c>
      <x:c r="G14" s="30" t="n">
        <x:f>F14/$B$7</x:f>
        <x:v>0.013888888888888888</x:v>
      </x:c>
    </x:row>
    <x:row r="15">
      <x:c r="E15" t="str">
        <x:v>Concesionario multimarca agrícola y construcción</x:v>
      </x:c>
      <x:c r="F15" t="n">
        <x:f>COUNTIF(Prospectos!I:I,E15)</x:f>
        <x:v>1</x:v>
      </x:c>
      <x:c r="G15" s="30" t="n">
        <x:f>F15/$B$7</x:f>
        <x:v>0.013888888888888888</x:v>
      </x:c>
    </x:row>
    <x:row r="16">
      <x:c r="E16" t="str">
        <x:v>Construcción / materiales</x:v>
      </x:c>
      <x:c r="F16" t="n">
        <x:f>COUNTIF(Prospectos!I:I,E16)</x:f>
        <x:v>1</x:v>
      </x:c>
      <x:c r="G16" s="30" t="n">
        <x:f>F16/$B$7</x:f>
        <x:v>0.013888888888888888</x:v>
      </x:c>
    </x:row>
    <x:row r="17">
      <x:c r="E17" t="str">
        <x:v>Contratista de construcción</x:v>
      </x:c>
      <x:c r="F17" t="n">
        <x:f>COUNTIF(Prospectos!I:I,E17)</x:f>
        <x:v>1</x:v>
      </x:c>
      <x:c r="G17" s="30" t="n">
        <x:f>F17/$B$7</x:f>
        <x:v>0.013888888888888888</x:v>
      </x:c>
    </x:row>
    <x:row r="18">
      <x:c r="E18" t="str">
        <x:v>Distribución / repuestos Pauny</x:v>
      </x:c>
      <x:c r="F18" t="n">
        <x:f>COUNTIF(Prospectos!I:I,E18)</x:f>
        <x:v>1</x:v>
      </x:c>
      <x:c r="G18" s="30" t="n">
        <x:f>F18/$B$7</x:f>
        <x:v>0.013888888888888888</x:v>
      </x:c>
    </x:row>
    <x:row r="19">
      <x:c r="E19" t="str">
        <x:v>Empresa constructora</x:v>
      </x:c>
      <x:c r="F19" t="n">
        <x:f>COUNTIF(Prospectos!I:I,E19)</x:f>
        <x:v>2</x:v>
      </x:c>
      <x:c r="G19" s="30" t="n">
        <x:f>F19/$B$7</x:f>
        <x:v>0.027777777777777776</x:v>
      </x:c>
    </x:row>
    <x:row r="20">
      <x:c r="E20" t="str">
        <x:v>Estructuras metálicas</x:v>
      </x:c>
      <x:c r="F20" t="n">
        <x:f>COUNTIF(Prospectos!I:I,E20)</x:f>
        <x:v>1</x:v>
      </x:c>
      <x:c r="G20" s="30" t="n">
        <x:f>F20/$B$7</x:f>
        <x:v>0.013888888888888888</x:v>
      </x:c>
    </x:row>
    <x:row r="21">
      <x:c r="E21" t="str">
        <x:v>Fabricante de implementos agrícolas</x:v>
      </x:c>
      <x:c r="F21" t="n">
        <x:f>COUNTIF(Prospectos!I:I,E21)</x:f>
        <x:v>1</x:v>
      </x:c>
      <x:c r="G21" s="30" t="n">
        <x:f>F21/$B$7</x:f>
        <x:v>0.013888888888888888</x:v>
      </x:c>
    </x:row>
    <x:row r="22">
      <x:c r="E22" t="str">
        <x:v>Fundición / componentes pesados</x:v>
      </x:c>
      <x:c r="F22" t="n">
        <x:f>COUNTIF(Prospectos!I:I,E22)</x:f>
        <x:v>1</x:v>
      </x:c>
      <x:c r="G22" s="30" t="n">
        <x:f>F22/$B$7</x:f>
        <x:v>0.013888888888888888</x:v>
      </x:c>
    </x:row>
    <x:row r="23">
      <x:c r="E23" t="str">
        <x:v>Fábrica de acoplados y semirremolques</x:v>
      </x:c>
      <x:c r="F23" t="n">
        <x:f>COUNTIF(Prospectos!I:I,E23)</x:f>
        <x:v>1</x:v>
      </x:c>
      <x:c r="G23" s="30" t="n">
        <x:f>F23/$B$7</x:f>
        <x:v>0.013888888888888888</x:v>
      </x:c>
    </x:row>
    <x:row r="24">
      <x:c r="E24" t="str">
        <x:v>Fábrica de equipos forrajeros y viales</x:v>
      </x:c>
      <x:c r="F24" t="n">
        <x:f>COUNTIF(Prospectos!I:I,E24)</x:f>
        <x:v>1</x:v>
      </x:c>
      <x:c r="G24" s="30" t="n">
        <x:f>F24/$B$7</x:f>
        <x:v>0.013888888888888888</x:v>
      </x:c>
    </x:row>
    <x:row r="25">
      <x:c r="E25" t="str">
        <x:v>Fábrica de implementos agrícolas</x:v>
      </x:c>
      <x:c r="F25" t="n">
        <x:f>COUNTIF(Prospectos!I:I,E25)</x:f>
        <x:v>2</x:v>
      </x:c>
      <x:c r="G25" s="30" t="n">
        <x:f>F25/$B$7</x:f>
        <x:v>0.027777777777777776</x:v>
      </x:c>
    </x:row>
    <x:row r="26">
      <x:c r="E26" t="str">
        <x:v>Fábrica de implementos agrícolas y viales</x:v>
      </x:c>
      <x:c r="F26" t="n">
        <x:f>COUNTIF(Prospectos!I:I,E26)</x:f>
        <x:v>1</x:v>
      </x:c>
      <x:c r="G26" s="30" t="n">
        <x:f>F26/$B$7</x:f>
        <x:v>0.013888888888888888</x:v>
      </x:c>
    </x:row>
    <x:row r="27">
      <x:c r="E27" t="str">
        <x:v>Fábrica de maquinaria</x:v>
      </x:c>
      <x:c r="F27" t="n">
        <x:f>COUNTIF(Prospectos!I:I,E27)</x:f>
        <x:v>1</x:v>
      </x:c>
      <x:c r="G27" s="30" t="n">
        <x:f>F27/$B$7</x:f>
        <x:v>0.013888888888888888</x:v>
      </x:c>
    </x:row>
    <x:row r="28">
      <x:c r="E28" t="str">
        <x:v>Fábrica de maquinaria agrícola</x:v>
      </x:c>
      <x:c r="F28" t="n">
        <x:f>COUNTIF(Prospectos!I:I,E28)</x:f>
        <x:v>1</x:v>
      </x:c>
      <x:c r="G28" s="30" t="n">
        <x:f>F28/$B$7</x:f>
        <x:v>0.013888888888888888</x:v>
      </x:c>
    </x:row>
    <x:row r="29">
      <x:c r="E29" t="str">
        <x:v>Fábrica de maquinaria agrícola y vial</x:v>
      </x:c>
      <x:c r="F29" t="n">
        <x:f>COUNTIF(Prospectos!I:I,E29)</x:f>
        <x:v>2</x:v>
      </x:c>
      <x:c r="G29" s="30" t="n">
        <x:f>F29/$B$7</x:f>
        <x:v>0.027777777777777776</x:v>
      </x:c>
    </x:row>
    <x:row r="30">
      <x:c r="E30" t="str">
        <x:v>Fábrica de mobiliario</x:v>
      </x:c>
      <x:c r="F30" t="n">
        <x:f>COUNTIF(Prospectos!I:I,E30)</x:f>
        <x:v>1</x:v>
      </x:c>
      <x:c r="G30" s="30" t="n">
        <x:f>F30/$B$7</x:f>
        <x:v>0.013888888888888888</x:v>
      </x:c>
    </x:row>
    <x:row r="31">
      <x:c r="E31" t="str">
        <x:v>Fábrica de molinos y agropartes</x:v>
      </x:c>
      <x:c r="F31" t="n">
        <x:f>COUNTIF(Prospectos!I:I,E31)</x:f>
        <x:v>1</x:v>
      </x:c>
      <x:c r="G31" s="30" t="n">
        <x:f>F31/$B$7</x:f>
        <x:v>0.013888888888888888</x:v>
      </x:c>
    </x:row>
    <x:row r="32">
      <x:c r="E32" t="str">
        <x:v>Fábrica de plantas asfálticas y equipos viales</x:v>
      </x:c>
      <x:c r="F32" t="n">
        <x:f>COUNTIF(Prospectos!I:I,E32)</x:f>
        <x:v>1</x:v>
      </x:c>
      <x:c r="G32" s="30" t="n">
        <x:f>F32/$B$7</x:f>
        <x:v>0.013888888888888888</x:v>
      </x:c>
    </x:row>
    <x:row r="33">
      <x:c r="E33" t="str">
        <x:v>Fábrica de sembradoras, tolvas y equipos agrícolas</x:v>
      </x:c>
      <x:c r="F33" t="n">
        <x:f>COUNTIF(Prospectos!I:I,E33)</x:f>
        <x:v>1</x:v>
      </x:c>
      <x:c r="G33" s="30" t="n">
        <x:f>F33/$B$7</x:f>
        <x:v>0.013888888888888888</x:v>
      </x:c>
    </x:row>
    <x:row r="34">
      <x:c r="E34" t="str">
        <x:v>Fábrica de tractores y maquinaria agrícola/vial</x:v>
      </x:c>
      <x:c r="F34" t="n">
        <x:f>COUNTIF(Prospectos!I:I,E34)</x:f>
        <x:v>1</x:v>
      </x:c>
      <x:c r="G34" s="30" t="n">
        <x:f>F34/$B$7</x:f>
        <x:v>0.013888888888888888</x:v>
      </x:c>
    </x:row>
    <x:row r="35">
      <x:c r="E35" t="str">
        <x:v>Fábrica de tractores y maquinaria vial</x:v>
      </x:c>
      <x:c r="F35" t="n">
        <x:f>COUNTIF(Prospectos!I:I,E35)</x:f>
        <x:v>1</x:v>
      </x:c>
      <x:c r="G35" s="30" t="n">
        <x:f>F35/$B$7</x:f>
        <x:v>0.013888888888888888</x:v>
      </x:c>
    </x:row>
    <x:row r="36">
      <x:c r="E36" t="str">
        <x:v>Fábrica plástica</x:v>
      </x:c>
      <x:c r="F36" t="n">
        <x:f>COUNTIF(Prospectos!I:I,E36)</x:f>
        <x:v>1</x:v>
      </x:c>
      <x:c r="G36" s="30" t="n">
        <x:f>F36/$B$7</x:f>
        <x:v>0.013888888888888888</x:v>
      </x:c>
    </x:row>
    <x:row r="37">
      <x:c r="E37" t="str">
        <x:v>Hidráulica / acoplados / reparación</x:v>
      </x:c>
      <x:c r="F37" t="n">
        <x:f>COUNTIF(Prospectos!I:I,E37)</x:f>
        <x:v>1</x:v>
      </x:c>
      <x:c r="G37" s="30" t="n">
        <x:f>F37/$B$7</x:f>
        <x:v>0.013888888888888888</x:v>
      </x:c>
    </x:row>
    <x:row r="38">
      <x:c r="E38" t="str">
        <x:v>Industria plástica / fabricación</x:v>
      </x:c>
      <x:c r="F38" t="n">
        <x:f>COUNTIF(Prospectos!I:I,E38)</x:f>
        <x:v>1</x:v>
      </x:c>
      <x:c r="G38" s="30" t="n">
        <x:f>F38/$B$7</x:f>
        <x:v>0.013888888888888888</x:v>
      </x:c>
    </x:row>
    <x:row r="39">
      <x:c r="E39" t="str">
        <x:v>Insumos agro / químicos</x:v>
      </x:c>
      <x:c r="F39" t="n">
        <x:f>COUNTIF(Prospectos!I:I,E39)</x:f>
        <x:v>1</x:v>
      </x:c>
      <x:c r="G39" s="30" t="n">
        <x:f>F39/$B$7</x:f>
        <x:v>0.013888888888888888</x:v>
      </x:c>
    </x:row>
    <x:row r="40">
      <x:c r="E40" t="str">
        <x:v>Insumos y servicios para agro</x:v>
      </x:c>
      <x:c r="F40" t="n">
        <x:f>COUNTIF(Prospectos!I:I,E40)</x:f>
        <x:v>1</x:v>
      </x:c>
      <x:c r="G40" s="30" t="n">
        <x:f>F40/$B$7</x:f>
        <x:v>0.013888888888888888</x:v>
      </x:c>
    </x:row>
    <x:row r="41">
      <x:c r="E41" t="str">
        <x:v>Maquinaria agrícola / productos agro</x:v>
      </x:c>
      <x:c r="F41" t="n">
        <x:f>COUNTIF(Prospectos!I:I,E41)</x:f>
        <x:v>1</x:v>
      </x:c>
      <x:c r="G41" s="30" t="n">
        <x:f>F41/$B$7</x:f>
        <x:v>0.013888888888888888</x:v>
      </x:c>
    </x:row>
    <x:row r="42">
      <x:c r="E42" t="str">
        <x:v>Maquinaria agrícola-ganadera / equipamiento forestal</x:v>
      </x:c>
      <x:c r="F42" t="n">
        <x:f>COUNTIF(Prospectos!I:I,E42)</x:f>
        <x:v>1</x:v>
      </x:c>
      <x:c r="G42" s="30" t="n">
        <x:f>F42/$B$7</x:f>
        <x:v>0.013888888888888888</x:v>
      </x:c>
    </x:row>
    <x:row r="43">
      <x:c r="E43" t="str">
        <x:v>Maquinaria vial, tractores y maquinaria agrícola</x:v>
      </x:c>
      <x:c r="F43" t="n">
        <x:f>COUNTIF(Prospectos!I:I,E43)</x:f>
        <x:v>1</x:v>
      </x:c>
      <x:c r="G43" s="30" t="n">
        <x:f>F43/$B$7</x:f>
        <x:v>0.013888888888888888</x:v>
      </x:c>
    </x:row>
    <x:row r="44">
      <x:c r="E44" t="str">
        <x:v>Materiales / construcción</x:v>
      </x:c>
      <x:c r="F44" t="n">
        <x:f>COUNTIF(Prospectos!I:I,E44)</x:f>
        <x:v>1</x:v>
      </x:c>
      <x:c r="G44" s="30" t="n">
        <x:f>F44/$B$7</x:f>
        <x:v>0.013888888888888888</x:v>
      </x:c>
    </x:row>
    <x:row r="45">
      <x:c r="E45" t="str">
        <x:v>Materiales de construcción</x:v>
      </x:c>
      <x:c r="F45" t="n">
        <x:f>COUNTIF(Prospectos!I:I,E45)</x:f>
        <x:v>2</x:v>
      </x:c>
      <x:c r="G45" s="30" t="n">
        <x:f>F45/$B$7</x:f>
        <x:v>0.027777777777777776</x:v>
      </x:c>
    </x:row>
    <x:row r="46">
      <x:c r="E46" t="str">
        <x:v>Metalmecánica / mecanizados</x:v>
      </x:c>
      <x:c r="F46" t="n">
        <x:f>COUNTIF(Prospectos!I:I,E46)</x:f>
        <x:v>1</x:v>
      </x:c>
      <x:c r="G46" s="30" t="n">
        <x:f>F46/$B$7</x:f>
        <x:v>0.013888888888888888</x:v>
      </x:c>
    </x:row>
    <x:row r="47">
      <x:c r="E47" t="str">
        <x:v>Metalúrgica</x:v>
      </x:c>
      <x:c r="F47" t="n">
        <x:f>COUNTIF(Prospectos!I:I,E47)</x:f>
        <x:v>2</x:v>
      </x:c>
      <x:c r="G47" s="30" t="n">
        <x:f>F47/$B$7</x:f>
        <x:v>0.027777777777777776</x:v>
      </x:c>
    </x:row>
    <x:row r="48">
      <x:c r="E48" t="str">
        <x:v>Reparación de sistemas hidráulicos</x:v>
      </x:c>
      <x:c r="F48" t="n">
        <x:f>COUNTIF(Prospectos!I:I,E48)</x:f>
        <x:v>1</x:v>
      </x:c>
      <x:c r="G48" s="30" t="n">
        <x:f>F48/$B$7</x:f>
        <x:v>0.013888888888888888</x:v>
      </x:c>
    </x:row>
    <x:row r="49">
      <x:c r="E49" t="str">
        <x:v>Repuestos / engranajes para maquinaria</x:v>
      </x:c>
      <x:c r="F49" t="n">
        <x:f>COUNTIF(Prospectos!I:I,E49)</x:f>
        <x:v>1</x:v>
      </x:c>
      <x:c r="G49" s="30" t="n">
        <x:f>F49/$B$7</x:f>
        <x:v>0.013888888888888888</x:v>
      </x:c>
    </x:row>
    <x:row r="50">
      <x:c r="E50" t="str">
        <x:v>Repuestos / maquinaria</x:v>
      </x:c>
      <x:c r="F50" t="n">
        <x:f>COUNTIF(Prospectos!I:I,E50)</x:f>
        <x:v>1</x:v>
      </x:c>
      <x:c r="G50" s="30" t="n">
        <x:f>F50/$B$7</x:f>
        <x:v>0.013888888888888888</x:v>
      </x:c>
    </x:row>
    <x:row r="51">
      <x:c r="E51" t="str">
        <x:v>Repuestos para maquinaria</x:v>
      </x:c>
      <x:c r="F51" t="n">
        <x:f>COUNTIF(Prospectos!I:I,E51)</x:f>
        <x:v>1</x:v>
      </x:c>
      <x:c r="G51" s="30" t="n">
        <x:f>F51/$B$7</x:f>
        <x:v>0.013888888888888888</x:v>
      </x:c>
    </x:row>
    <x:row r="52">
      <x:c r="E52" t="str">
        <x:v>Repuestos para maquinaria / ruedas / acoplados</x:v>
      </x:c>
      <x:c r="F52" t="n">
        <x:f>COUNTIF(Prospectos!I:I,E52)</x:f>
        <x:v>1</x:v>
      </x:c>
      <x:c r="G52" s="30" t="n">
        <x:f>F52/$B$7</x:f>
        <x:v>0.013888888888888888</x:v>
      </x:c>
    </x:row>
    <x:row r="53">
      <x:c r="E53" t="str">
        <x:v>Service / repuestos / tractores</x:v>
      </x:c>
      <x:c r="F53" t="n">
        <x:f>COUNTIF(Prospectos!I:I,E53)</x:f>
        <x:v>1</x:v>
      </x:c>
      <x:c r="G53" s="30" t="n">
        <x:f>F53/$B$7</x:f>
        <x:v>0.013888888888888888</x:v>
      </x:c>
    </x:row>
    <x:row r="54">
      <x:c r="E54" t="str">
        <x:v>Servicio agrícola / maquinaria</x:v>
      </x:c>
      <x:c r="F54" t="n">
        <x:f>COUNTIF(Prospectos!I:I,E54)</x:f>
        <x:v>1</x:v>
      </x:c>
      <x:c r="G54" s="30" t="n">
        <x:f>F54/$B$7</x:f>
        <x:v>0.013888888888888888</x:v>
      </x:c>
    </x:row>
    <x:row r="55">
      <x:c r="E55" t="str">
        <x:v>Servicio de grúa</x:v>
      </x:c>
      <x:c r="F55" t="n">
        <x:f>COUNTIF(Prospectos!I:I,E55)</x:f>
        <x:v>1</x:v>
      </x:c>
      <x:c r="G55" s="30" t="n">
        <x:f>F55/$B$7</x:f>
        <x:v>0.013888888888888888</x:v>
      </x:c>
    </x:row>
    <x:row r="56">
      <x:c r="E56" t="str">
        <x:v>Servicio hidráulico agrícola</x:v>
      </x:c>
      <x:c r="F56" t="n">
        <x:f>COUNTIF(Prospectos!I:I,E56)</x:f>
        <x:v>1</x:v>
      </x:c>
      <x:c r="G56" s="30" t="n">
        <x:f>F56/$B$7</x:f>
        <x:v>0.013888888888888888</x:v>
      </x:c>
    </x:row>
    <x:row r="57">
      <x:c r="E57" t="str">
        <x:v>Servicios agro / picado / transporte de maquinaria</x:v>
      </x:c>
      <x:c r="F57" t="n">
        <x:f>COUNTIF(Prospectos!I:I,E57)</x:f>
        <x:v>1</x:v>
      </x:c>
      <x:c r="G57" s="30" t="n">
        <x:f>F57/$B$7</x:f>
        <x:v>0.013888888888888888</x:v>
      </x:c>
    </x:row>
    <x:row r="58">
      <x:c r="E58" t="str">
        <x:v>Servicios agrícolas</x:v>
      </x:c>
      <x:c r="F58" t="n">
        <x:f>COUNTIF(Prospectos!I:I,E58)</x:f>
        <x:v>1</x:v>
      </x:c>
      <x:c r="G58" s="30" t="n">
        <x:f>F58/$B$7</x:f>
        <x:v>0.013888888888888888</x:v>
      </x:c>
    </x:row>
    <x:row r="59">
      <x:c r="E59" t="str">
        <x:v>Servicios de maquinaria agrícola</x:v>
      </x:c>
      <x:c r="F59" t="n">
        <x:f>COUNTIF(Prospectos!I:I,E59)</x:f>
        <x:v>1</x:v>
      </x:c>
      <x:c r="G59" s="30" t="n">
        <x:f>F59/$B$7</x:f>
        <x:v>0.013888888888888888</x:v>
      </x:c>
    </x:row>
    <x:row r="60">
      <x:c r="E60" t="str">
        <x:v>Tanques, cisternas y equipos sobre camión</x:v>
      </x:c>
      <x:c r="F60" t="n">
        <x:f>COUNTIF(Prospectos!I:I,E60)</x:f>
        <x:v>1</x:v>
      </x:c>
      <x:c r="G60" s="30" t="n">
        <x:f>F60/$B$7</x:f>
        <x:v>0.013888888888888888</x:v>
      </x:c>
    </x:row>
    <x:row r="61">
      <x:c r="E61" t="str">
        <x:v>Transporte / alianza logística</x:v>
      </x:c>
      <x:c r="F61" t="n">
        <x:f>COUNTIF(Prospectos!I:I,E61)</x:f>
        <x:v>1</x:v>
      </x:c>
      <x:c r="G61" s="30" t="n">
        <x:f>F61/$B$7</x:f>
        <x:v>0.013888888888888888</x:v>
      </x:c>
    </x:row>
    <x:row r="62">
      <x:c r="E62" t="str">
        <x:v>Transporte / logística</x:v>
      </x:c>
      <x:c r="F62" t="n">
        <x:f>COUNTIF(Prospectos!I:I,E62)</x:f>
        <x:v>1</x:v>
      </x:c>
      <x:c r="G62" s="30" t="n">
        <x:f>F62/$B$7</x:f>
        <x:v>0.013888888888888888</x:v>
      </x:c>
    </x:row>
    <x:row r="63">
      <x:c r="E63" t="str">
        <x:v>Transporte de mercancías</x:v>
      </x:c>
      <x:c r="F63" t="n">
        <x:f>COUNTIF(Prospectos!I:I,E63)</x:f>
        <x:v>1</x:v>
      </x:c>
      <x:c r="G63" s="30" t="n">
        <x:f>F63/$B$7</x:f>
        <x:v>0.013888888888888888</x:v>
      </x:c>
    </x:row>
    <x:row r="64">
      <x:c r="E64" t="str">
        <x:v>Transporte por camión</x:v>
      </x:c>
      <x:c r="F64" t="n">
        <x:f>COUNTIF(Prospectos!I:I,E64)</x:f>
        <x:v>2</x:v>
      </x:c>
      <x:c r="G64" s="30" t="n">
        <x:f>F64/$B$7</x:f>
        <x:v>0.027777777777777776</x:v>
      </x:c>
    </x:row>
    <x:row r="65">
      <x:c r="E65" t="str">
        <x:v>Venta de maquinaria agrícola y vial</x:v>
      </x:c>
      <x:c r="F65" t="n">
        <x:f>COUNTIF(Prospectos!I:I,E65)</x:f>
        <x:v>0</x:v>
      </x:c>
      <x:c r="G65" s="30" t="n">
        <x:f>F65/$B$7</x:f>
        <x:v>0</x:v>
      </x:c>
    </x:row>
    <x:row r="66">
      <x:c r="E66" t="str">
        <x:v>Venta mayorista de maquinaria / tractores / grúas</x:v>
      </x:c>
      <x:c r="F66" t="n">
        <x:f>COUNTIF(Prospectos!I:I,E66)</x:f>
        <x:v>1</x:v>
      </x:c>
      <x:c r="G66" s="30" t="n">
        <x:f>F66/$B$7</x:f>
        <x:v>0.013888888888888888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e21060a76684428c"/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4" hidden="0" customWidth="1"/>
    <x:col min="3" max="3" width="20" hidden="0" customWidth="1"/>
    <x:col min="4" max="4" width="34" hidden="0" customWidth="1"/>
    <x:col min="5" max="5" width="8" hidden="0" customWidth="1"/>
    <x:col min="6" max="6" width="38" hidden="0" customWidth="1"/>
    <x:col min="7" max="7" width="24" hidden="0" customWidth="1"/>
    <x:col min="8" max="8" width="44" hidden="0" customWidth="1"/>
    <x:col min="9" max="9" width="28" hidden="0" customWidth="1"/>
    <x:col min="10" max="10" width="42" hidden="0" customWidth="1"/>
    <x:col min="11" max="11" width="40" hidden="0" customWidth="1"/>
    <x:col min="12" max="12" width="40" hidden="0" customWidth="1"/>
  </x:cols>
  <x:sheetData>
    <x:row r="1">
      <x:c r="A1" s="17" t="str">
        <x:v>FOCO A+ · VISITA / LLAMADA PRIORITARIA</x:v>
      </x:c>
      <x:c r="B1" s="17"/>
      <x:c r="C1" s="17"/>
      <x:c r="D1" s="17"/>
      <x:c r="E1" s="17"/>
      <x:c r="F1" s="17"/>
      <x:c r="G1" s="17"/>
      <x:c r="H1" s="17"/>
      <x:c r="I1" s="17"/>
      <x:c r="J1" s="17"/>
      <x:c r="K1" s="17"/>
      <x:c r="L1" s="17"/>
    </x:row>
    <x:row r="3">
      <x:c r="A3" s="6" t="str">
        <x:v>Orden</x:v>
      </x:c>
      <x:c r="B3" s="6" t="str">
        <x:v>Área</x:v>
      </x:c>
      <x:c r="C3" s="6" t="str">
        <x:v>Localidad</x:v>
      </x:c>
      <x:c r="D3" s="6" t="str">
        <x:v>Empresa</x:v>
      </x:c>
      <x:c r="E3" s="6" t="str">
        <x:v>Score</x:v>
      </x:c>
      <x:c r="F3" s="6" t="str">
        <x:v>Categoría</x:v>
      </x:c>
      <x:c r="G3" s="6" t="str">
        <x:v>Teléfono</x:v>
      </x:c>
      <x:c r="H3" s="6" t="str">
        <x:v>Dirección</x:v>
      </x:c>
      <x:c r="I3" s="6" t="str">
        <x:v>Preguntar por</x:v>
      </x:c>
      <x:c r="J3" s="6" t="str">
        <x:v>Necesidad</x:v>
      </x:c>
      <x:c r="K3" s="6" t="str">
        <x:v>Acción</x:v>
      </x:c>
      <x:c r="L3" s="6" t="str">
        <x:v>Google Maps</x:v>
      </x:c>
    </x:row>
    <x:row r="4">
      <x:c r="A4" s="12" t="n">
        <x:v>1</x:v>
      </x:c>
      <x:c r="B4" s="12" t="str">
        <x:v>Núcleo</x:v>
      </x:c>
      <x:c r="C4" s="12" t="str">
        <x:v>Las Varillas</x:v>
      </x:c>
      <x:c r="D4" s="12" t="str">
        <x:v>CMZ S.A. - Zanello</x:v>
      </x:c>
      <x:c r="E4" s="12" t="n">
        <x:v>100</x:v>
      </x:c>
      <x:c r="F4" s="12" t="str">
        <x:v>Fábrica de tractores y maquinaria vial</x:v>
      </x:c>
      <x:c r="G4" s="12" t="str">
        <x:v>+54 3533 681523</x:v>
      </x:c>
      <x:c r="H4" s="12" t="str">
        <x:v>Buenos Aires 582, Las Varillas, Córdoba</x:v>
      </x:c>
      <x:c r="I4" s="12" t="str">
        <x:v>expedición / ventas / logística / posventa</x:v>
      </x:c>
      <x:c r="J4" s="12" t="str">
        <x:v>Entrega/retiro de maquinaria, usados, equipos de service y despachos de fábrica.</x:v>
      </x:c>
      <x:c r="K4" s="12" t="str">
        <x:v>Pedir logística/expedición/posventa y relevar cantidad de movimientos mensuales.</x:v>
      </x:c>
      <x:c r="L4" s="12" t="str">
        <x:v>https://www.google.com/maps/search/?api=1&amp;query=CMZ+S.A.+-+Zanello%2C+Buenos+Aires+582%2C+Las+Varillas%2C+C%C3%B3rdoba</x:v>
      </x:c>
    </x:row>
    <x:row r="5">
      <x:c r="A5" s="12" t="n">
        <x:v>2</x:v>
      </x:c>
      <x:c r="B5" s="12" t="str">
        <x:v>Núcleo</x:v>
      </x:c>
      <x:c r="C5" s="12" t="str">
        <x:v>Las Varillas</x:v>
      </x:c>
      <x:c r="D5" s="12" t="str">
        <x:v>LRV Agro S.A.S.</x:v>
      </x:c>
      <x:c r="E5" s="12" t="n">
        <x:v>100</x:v>
      </x:c>
      <x:c r="F5" s="12" t="str">
        <x:v>Concesionario integral de maquinaria agrícola</x:v>
      </x:c>
      <x:c r="G5" s="12" t="str">
        <x:v>A verificar</x:v>
      </x:c>
      <x:c r="H5" s="12" t="str">
        <x:v>Av. Int. José Irazusta 423, Las Varillas, Córdoba</x:v>
      </x:c>
      <x:c r="I5" s="12" t="str">
        <x:v>ventas / logística / posventa / usados</x:v>
      </x:c>
      <x:c r="J5" s="12" t="str">
        <x:v>Entrega/retiro de maquinaria, usados, equipos de service y despachos de fábrica.</x:v>
      </x:c>
      <x:c r="K5" s="12" t="str">
        <x:v>Pedir logística/expedición/posventa y relevar cantidad de movimientos mensuales.</x:v>
      </x:c>
      <x:c r="L5" s="12" t="str">
        <x:v>https://www.google.com/maps/search/?api=1&amp;query=LRV+Agro+S.A.S.%2C+Av.+Int.+Jos%C3%A9+Irazusta+423%2C+Las+Varillas%2C+C%C3%B3rdoba</x:v>
      </x:c>
    </x:row>
    <x:row r="6">
      <x:c r="A6" s="12" t="n">
        <x:v>3</x:v>
      </x:c>
      <x:c r="B6" s="12" t="str">
        <x:v>Núcleo</x:v>
      </x:c>
      <x:c r="C6" s="12" t="str">
        <x:v>Las Varillas</x:v>
      </x:c>
      <x:c r="D6" s="12" t="str">
        <x:v>LUCAAL S.R.L.</x:v>
      </x:c>
      <x:c r="E6" s="12" t="n">
        <x:v>100</x:v>
      </x:c>
      <x:c r="F6" s="12" t="str">
        <x:v>Fábrica de plantas asfálticas y equipos viales</x:v>
      </x:c>
      <x:c r="G6" s="12" t="str">
        <x:v>03533 420682</x:v>
      </x:c>
      <x:c r="H6" s="12" t="str">
        <x:v>Malvinas 340, Las Varillas, Córdoba</x:v>
      </x:c>
      <x:c r="I6" s="12" t="str">
        <x:v>expedición / proyectos / logística</x:v>
      </x:c>
      <x:c r="J6" s="12" t="str">
        <x:v>Despacho y traslado de conjuntos pesados, acoplados, equipos viales o módulos especiales.</x:v>
      </x:c>
      <x:c r="K6" s="12" t="str">
        <x:v>Pedir expedición/logística/producción y consultar pesos/dimensiones máximas.</x:v>
      </x:c>
      <x:c r="L6" s="12" t="str">
        <x:v>https://www.google.com/maps/search/?api=1&amp;query=LUCAAL+S.R.L.%2C+Malvinas+340%2C+Las+Varillas%2C+C%C3%B3rdoba</x:v>
      </x:c>
    </x:row>
    <x:row r="7">
      <x:c r="A7" s="12" t="n">
        <x:v>4</x:v>
      </x:c>
      <x:c r="B7" s="12" t="str">
        <x:v>Núcleo</x:v>
      </x:c>
      <x:c r="C7" s="12" t="str">
        <x:v>Las Varillas</x:v>
      </x:c>
      <x:c r="D7" s="12" t="str">
        <x:v>Pauny S.A.</x:v>
      </x:c>
      <x:c r="E7" s="12" t="n">
        <x:v>100</x:v>
      </x:c>
      <x:c r="F7" s="12" t="str">
        <x:v>Fábrica de tractores y maquinaria agrícola/vial</x:v>
      </x:c>
      <x:c r="G7" s="12" t="str">
        <x:v>+54 3533 423609</x:v>
      </x:c>
      <x:c r="H7" s="12" t="str">
        <x:v>Maipú 494, Las Varillas, Córdoba</x:v>
      </x:c>
      <x:c r="I7" s="12" t="str">
        <x:v>logística / expedición / posventa / compras</x:v>
      </x:c>
      <x:c r="J7" s="12" t="str">
        <x:v>Entrega/retiro de maquinaria, usados, equipos de service y despachos de fábrica.</x:v>
      </x:c>
      <x:c r="K7" s="12" t="str">
        <x:v>Pedir logística/expedición/posventa y relevar cantidad de movimientos mensuales.</x:v>
      </x:c>
      <x:c r="L7" s="12" t="str">
        <x:v>https://www.google.com/maps/search/?api=1&amp;query=Pauny+S.A.%2C+Maip%C3%BA+494%2C+Las+Varillas%2C+C%C3%B3rdoba</x:v>
      </x:c>
    </x:row>
    <x:row r="8">
      <x:c r="A8" s="12" t="n">
        <x:v>5</x:v>
      </x:c>
      <x:c r="B8" s="12" t="str">
        <x:v>Núcleo</x:v>
      </x:c>
      <x:c r="C8" s="12" t="str">
        <x:v>Las Varillas</x:v>
      </x:c>
      <x:c r="D8" s="12" t="str">
        <x:v>Serviagro</x:v>
      </x:c>
      <x:c r="E8" s="12" t="n">
        <x:v>100</x:v>
      </x:c>
      <x:c r="F8" s="12" t="str">
        <x:v>Servicios agro / picado / transporte de maquinaria</x:v>
      </x:c>
      <x:c r="G8" s="12" t="str">
        <x:v>+54 9 3533 686024 / 443139 / 685161</x:v>
      </x:c>
      <x:c r="H8" s="12" t="str">
        <x:v>Paraná 100, Las Varillas, Córdoba</x:v>
      </x:c>
      <x:c r="I8" s="12" t="str">
        <x:v>operaciones / logística / flota</x:v>
      </x:c>
      <x:c r="J8" s="12" t="str">
        <x:v>Overflow, rescates o derivación de cargas/equipos que requieren plataforma, malacate o hidrogrúa.</x:v>
      </x:c>
      <x:c r="K8" s="12" t="str">
        <x:v>Pedir operaciones/tráfico y ofrecer acuerdo de derivaciones.</x:v>
      </x:c>
      <x:c r="L8" s="12" t="str">
        <x:v>https://www.google.com/maps/search/?api=1&amp;query=Serviagro%2C+Paran%C3%A1+100%2C+Las+Varillas%2C+C%C3%B3rdoba</x:v>
      </x:c>
    </x:row>
    <x:row r="9">
      <x:c r="A9" s="12" t="n">
        <x:v>6</x:v>
      </x:c>
      <x:c r="B9" s="12" t="str">
        <x:v>Núcleo</x:v>
      </x:c>
      <x:c r="C9" s="12" t="str">
        <x:v>Las Varillas</x:v>
      </x:c>
      <x:c r="D9" s="12" t="str">
        <x:v>TBeH Equipos Agro Viales S.A.</x:v>
      </x:c>
      <x:c r="E9" s="12" t="n">
        <x:v>100</x:v>
      </x:c>
      <x:c r="F9" s="12" t="str">
        <x:v>Fábrica de maquinaria agrícola y vial</x:v>
      </x:c>
      <x:c r="G9" s="12" t="str">
        <x:v>03533 421281</x:v>
      </x:c>
      <x:c r="H9" s="12" t="str">
        <x:v>Irazuzta 260, Las Varillas, Córdoba</x:v>
      </x:c>
      <x:c r="I9" s="12" t="str">
        <x:v>expedición / logística / ventas / posventa</x:v>
      </x:c>
      <x:c r="J9" s="12" t="str">
        <x:v>Entrega/retiro de maquinaria, usados, equipos de service y despachos de fábrica.</x:v>
      </x:c>
      <x:c r="K9" s="12" t="str">
        <x:v>Pedir logística/expedición/posventa y relevar cantidad de movimientos mensuales.</x:v>
      </x:c>
      <x:c r="L9" s="12" t="str">
        <x:v>https://www.google.com/maps/search/?api=1&amp;query=TBeH+Equipos+Agro+Viales+S.A.%2C+Irazuzta+260%2C+Las+Varillas%2C+C%C3%B3rdoba</x:v>
      </x:c>
    </x:row>
    <x:row r="10">
      <x:c r="A10" s="12" t="n">
        <x:v>7</x:v>
      </x:c>
      <x:c r="B10" s="12" t="str">
        <x:v>Núcleo</x:v>
      </x:c>
      <x:c r="C10" s="12" t="str">
        <x:v>Las Varillas</x:v>
      </x:c>
      <x:c r="D10" s="12" t="str">
        <x:v>TRAMACO S.A.</x:v>
      </x:c>
      <x:c r="E10" s="12" t="n">
        <x:v>100</x:v>
      </x:c>
      <x:c r="F10" s="12" t="str">
        <x:v>Concesionario maquinaria agrícola</x:v>
      </x:c>
      <x:c r="G10" s="12" t="str">
        <x:v>3533 686240 / 3516 211426</x:v>
      </x:c>
      <x:c r="H10" s="12" t="str">
        <x:v>RP13 km 121,1, Las Varillas, Córdoba</x:v>
      </x:c>
      <x:c r="I10" s="12" t="str">
        <x:v>ventas / logística / usados / posventa</x:v>
      </x:c>
      <x:c r="J10" s="12" t="str">
        <x:v>Entrega/retiro de maquinaria, usados, equipos de service y despachos de fábrica.</x:v>
      </x:c>
      <x:c r="K10" s="12" t="str">
        <x:v>Pedir logística/expedición/posventa y relevar cantidad de movimientos mensuales.</x:v>
      </x:c>
      <x:c r="L10" s="12" t="str">
        <x:v>https://www.google.com/maps/search/?api=1&amp;query=TRAMACO+S.A.%2C+RP13+km+121%2C1%2C+Las+Varillas%2C+C%C3%B3rdoba</x:v>
      </x:c>
    </x:row>
    <x:row r="11">
      <x:c r="A11" s="12" t="n">
        <x:v>8</x:v>
      </x:c>
      <x:c r="B11" s="12" t="str">
        <x:v>Núcleo</x:v>
      </x:c>
      <x:c r="C11" s="12" t="str">
        <x:v>Las Varillas</x:v>
      </x:c>
      <x:c r="D11" s="12" t="str">
        <x:v>Dachsa S.A. / Cerutti</x:v>
      </x:c>
      <x:c r="E11" s="12" t="n">
        <x:v>99</x:v>
      </x:c>
      <x:c r="F11" s="12" t="str">
        <x:v>Fábrica de sembradoras, tolvas y equipos agrícolas</x:v>
      </x:c>
      <x:c r="G11" s="12" t="str">
        <x:v>03533 421363</x:v>
      </x:c>
      <x:c r="H11" s="12" t="str">
        <x:v>Bv. Mitre 1050, Las Varillas, Córdoba</x:v>
      </x:c>
      <x:c r="I11" s="12" t="str">
        <x:v>expedición / logística / ventas</x:v>
      </x:c>
      <x:c r="J11" s="12" t="str">
        <x:v>Movimientos de equipos o cargas especiales asociados a su operación.</x:v>
      </x:c>
      <x:c r="K11" s="12" t="str">
        <x:v>Contactar logística/operaciones y relevar necesidad real.</x:v>
      </x:c>
      <x:c r="L11" s="12" t="str">
        <x:v>https://www.google.com/maps/search/?api=1&amp;query=Dachsa+S.A.+%2F+Cerutti%2C+Bv.+Mitre+1050%2C+Las+Varillas%2C+C%C3%B3rdoba</x:v>
      </x:c>
    </x:row>
    <x:row r="12">
      <x:c r="A12" s="12" t="n">
        <x:v>9</x:v>
      </x:c>
      <x:c r="B12" s="12" t="str">
        <x:v>Núcleo</x:v>
      </x:c>
      <x:c r="C12" s="12" t="str">
        <x:v>Las Varillas</x:v>
      </x:c>
      <x:c r="D12" s="12" t="str">
        <x:v>Ferrari Maquinarias</x:v>
      </x:c>
      <x:c r="E12" s="12" t="n">
        <x:v>99</x:v>
      </x:c>
      <x:c r="F12" s="12" t="str">
        <x:v>Concesionario maquinaria agrícola nueva/usada</x:v>
      </x:c>
      <x:c r="G12" s="12" t="str">
        <x:v>03533 686174</x:v>
      </x:c>
      <x:c r="H12" s="12" t="str">
        <x:v>Av. Martín Fierro 98, Las Varillas, Córdoba</x:v>
      </x:c>
      <x:c r="I12" s="12" t="str">
        <x:v>ventas / logística / usados / posventa</x:v>
      </x:c>
      <x:c r="J12" s="12" t="str">
        <x:v>Entrega/retiro de maquinaria, usados, equipos de service y despachos de fábrica.</x:v>
      </x:c>
      <x:c r="K12" s="12" t="str">
        <x:v>Pedir logística/expedición/posventa y relevar cantidad de movimientos mensuales.</x:v>
      </x:c>
      <x:c r="L12" s="12" t="str">
        <x:v>https://www.google.com/maps/search/?api=1&amp;query=Ferrari+Maquinarias%2C+Av.+Mart%C3%ADn+Fierro+98%2C+Las+Varillas%2C+C%C3%B3rdoba</x:v>
      </x:c>
    </x:row>
    <x:row r="13">
      <x:c r="A13" s="12" t="n">
        <x:v>10</x:v>
      </x:c>
      <x:c r="B13" s="12" t="str">
        <x:v>Núcleo</x:v>
      </x:c>
      <x:c r="C13" s="12" t="str">
        <x:v>Las Varillas</x:v>
      </x:c>
      <x:c r="D13" s="12" t="str">
        <x:v>Grosspal</x:v>
      </x:c>
      <x:c r="E13" s="12" t="n">
        <x:v>99</x:v>
      </x:c>
      <x:c r="F13" s="12" t="str">
        <x:v>Fábrica de implementos agrícolas</x:v>
      </x:c>
      <x:c r="G13" s="12" t="str">
        <x:v>03533 421968</x:v>
      </x:c>
      <x:c r="H13" s="12" t="str">
        <x:v>B. Mitre 900 / RN158, Las Varillas, Córdoba</x:v>
      </x:c>
      <x:c r="I13" s="12" t="str">
        <x:v>expedición / ventas / logística</x:v>
      </x:c>
      <x:c r="J13" s="12" t="str">
        <x:v>Entrega/retiro de maquinaria, usados, equipos de service y despachos de fábrica.</x:v>
      </x:c>
      <x:c r="K13" s="12" t="str">
        <x:v>Pedir logística/expedición/posventa y relevar cantidad de movimientos mensuales.</x:v>
      </x:c>
      <x:c r="L13" s="12" t="str">
        <x:v>https://www.google.com/maps/search/?api=1&amp;query=Grosspal%2C+B.+Mitre+900+%2F+RN158%2C+Las+Varillas%2C+C%C3%B3rdoba</x:v>
      </x:c>
    </x:row>
    <x:row r="14">
      <x:c r="A14" s="12" t="n">
        <x:v>11</x:v>
      </x:c>
      <x:c r="B14" s="12" t="str">
        <x:v>Núcleo</x:v>
      </x:c>
      <x:c r="C14" s="12" t="str">
        <x:v>Las Varillas</x:v>
      </x:c>
      <x:c r="D14" s="12" t="str">
        <x:v>J. Boeris Maquinarias</x:v>
      </x:c>
      <x:c r="E14" s="12" t="n">
        <x:v>99</x:v>
      </x:c>
      <x:c r="F14" s="12" t="str">
        <x:v>Concesionario multimarca agrícola y construcción</x:v>
      </x:c>
      <x:c r="G14" s="12" t="str">
        <x:v>A verificar</x:v>
      </x:c>
      <x:c r="H14" s="12" t="str">
        <x:v>Int. Irazusta 377, Las Varillas, Córdoba</x:v>
      </x:c>
      <x:c r="I14" s="12" t="str">
        <x:v>ventas / logística / posventa</x:v>
      </x:c>
      <x:c r="J14" s="12" t="str">
        <x:v>Entrega/retiro de maquinaria, usados, equipos de service y despachos de fábrica.</x:v>
      </x:c>
      <x:c r="K14" s="12" t="str">
        <x:v>Pedir logística/expedición/posventa y relevar cantidad de movimientos mensuales.</x:v>
      </x:c>
      <x:c r="L14" s="12" t="str">
        <x:v>https://www.google.com/maps/search/?api=1&amp;query=J.+Boeris+Maquinarias%2C+Int.+Irazusta+377%2C+Las+Varillas%2C+C%C3%B3rdoba</x:v>
      </x:c>
    </x:row>
    <x:row r="15">
      <x:c r="A15" s="12" t="n">
        <x:v>12</x:v>
      </x:c>
      <x:c r="B15" s="12" t="str">
        <x:v>Núcleo</x:v>
      </x:c>
      <x:c r="C15" s="12" t="str">
        <x:v>Las Varillas</x:v>
      </x:c>
      <x:c r="D15" s="12" t="str">
        <x:v>AMG / Metalúrgica Acosta</x:v>
      </x:c>
      <x:c r="E15" s="12" t="n">
        <x:v>98</x:v>
      </x:c>
      <x:c r="F15" s="12" t="str">
        <x:v>Maquinaria agrícola-ganadera / equipamiento forestal</x:v>
      </x:c>
      <x:c r="G15" s="12" t="str">
        <x:v>03533 420027 / 3533 457370</x:v>
      </x:c>
      <x:c r="H15" s="12" t="str">
        <x:v>Martín Fierro 693, Las Varillas, Córdoba</x:v>
      </x:c>
      <x:c r="I15" s="12" t="str">
        <x:v>ventas / expedición / producción</x:v>
      </x:c>
      <x:c r="J15" s="12" t="str">
        <x:v>Entrega/retiro de maquinaria, usados, equipos de service y despachos de fábrica.</x:v>
      </x:c>
      <x:c r="K15" s="12" t="str">
        <x:v>Pedir logística/expedición/posventa y relevar cantidad de movimientos mensuales.</x:v>
      </x:c>
      <x:c r="L15" s="12" t="str">
        <x:v>https://www.google.com/maps/search/?api=1&amp;query=AMG+%2F+Metal%C3%BArgica+Acosta%2C+Mart%C3%ADn+Fierro+693%2C+Las+Varillas%2C+C%C3%B3rdoba</x:v>
      </x:c>
    </x:row>
    <x:row r="16">
      <x:c r="A16" s="12" t="n">
        <x:v>13</x:v>
      </x:c>
      <x:c r="B16" s="12" t="str">
        <x:v>Núcleo</x:v>
      </x:c>
      <x:c r="C16" s="12" t="str">
        <x:v>Las Varillas</x:v>
      </x:c>
      <x:c r="D16" s="12" t="str">
        <x:v>Industrias Gallo S.A.</x:v>
      </x:c>
      <x:c r="E16" s="12" t="n">
        <x:v>98</x:v>
      </x:c>
      <x:c r="F16" s="12" t="str">
        <x:v>Fábrica de acoplados y semirremolques</x:v>
      </x:c>
      <x:c r="G16" s="12" t="str">
        <x:v>03533 420556</x:v>
      </x:c>
      <x:c r="H16" s="12" t="str">
        <x:v>Mitre 655, Las Varillas, Córdoba</x:v>
      </x:c>
      <x:c r="I16" s="12" t="str">
        <x:v>expedición / logística / producción</x:v>
      </x:c>
      <x:c r="J16" s="12" t="str">
        <x:v>Despacho y traslado de conjuntos pesados, acoplados, equipos viales o módulos especiales.</x:v>
      </x:c>
      <x:c r="K16" s="12" t="str">
        <x:v>Pedir expedición/logística/producción y consultar pesos/dimensiones máximas.</x:v>
      </x:c>
      <x:c r="L16" s="12" t="str">
        <x:v>https://www.google.com/maps/search/?api=1&amp;query=Industrias+Gallo+S.A.%2C+Mitre+655%2C+Las+Varillas%2C+C%C3%B3rdoba</x:v>
      </x:c>
    </x:row>
    <x:row r="17">
      <x:c r="A17" s="12" t="n">
        <x:v>14</x:v>
      </x:c>
      <x:c r="B17" s="12" t="str">
        <x:v>Núcleo</x:v>
      </x:c>
      <x:c r="C17" s="12" t="str">
        <x:v>Las Varillas</x:v>
      </x:c>
      <x:c r="D17" s="12" t="str">
        <x:v>Cagliero Maquinarias S.A.</x:v>
      </x:c>
      <x:c r="E17" s="12" t="n">
        <x:v>97</x:v>
      </x:c>
      <x:c r="F17" s="12" t="str">
        <x:v>Venta mayorista de maquinaria / tractores / grúas</x:v>
      </x:c>
      <x:c r="G17" s="12" t="str">
        <x:v>03533 421713</x:v>
      </x:c>
      <x:c r="H17" s="12" t="str">
        <x:v>RN158 s/n, Las Varillas, Córdoba</x:v>
      </x:c>
      <x:c r="I17" s="12" t="str">
        <x:v>ventas / logística / service</x:v>
      </x:c>
      <x:c r="J17" s="12" t="str">
        <x:v>Entrega/retiro de maquinaria, usados, equipos de service y despachos de fábrica.</x:v>
      </x:c>
      <x:c r="K17" s="12" t="str">
        <x:v>Pedir logística/expedición/posventa y relevar cantidad de movimientos mensuales.</x:v>
      </x:c>
      <x:c r="L17" s="12" t="str">
        <x:v>https://www.google.com/maps/search/?api=1&amp;query=Cagliero+Maquinarias+S.A.%2C+RN158+s%2Fn%2C+Las+Varillas%2C+C%C3%B3rdoba</x:v>
      </x:c>
    </x:row>
    <x:row r="18">
      <x:c r="A18" s="12" t="n">
        <x:v>15</x:v>
      </x:c>
      <x:c r="B18" s="12" t="str">
        <x:v>Núcleo</x:v>
      </x:c>
      <x:c r="C18" s="12" t="str">
        <x:v>Las Varillas</x:v>
      </x:c>
      <x:c r="D18" s="12" t="str">
        <x:v>Doffo - Maquinarias Agrícolas y Viales</x:v>
      </x:c>
      <x:c r="E18" s="12" t="n">
        <x:v>99</x:v>
      </x:c>
      <x:c r="F18" s="12" t="str">
        <x:v>Venta de maquinaria agrícola y vial pesada</x:v>
      </x:c>
      <x:c r="G18" s="12" t="str">
        <x:v>03533 456851</x:v>
      </x:c>
      <x:c r="H18" s="12" t="str">
        <x:v>B. Rivadavia s/n, Las Varillas, Córdoba</x:v>
      </x:c>
      <x:c r="I18" s="12" t="str">
        <x:v>ventas / logística / usados / posventa</x:v>
      </x:c>
      <x:c r="J18" s="12" t="str">
        <x:v>Entrega/retiro de maquinaria, usados, equipos de service y movimientos de gran porte.</x:v>
      </x:c>
      <x:c r="K18" s="12" t="str">
        <x:v>Pedir logística/posventa/expedición; relevar pesos, dimensiones y movimientos mensuales.</x:v>
      </x:c>
      <x:c r="L18" s="12" t="str">
        <x:v>https://www.google.com/maps/search/?api=1&amp;query=Doffo+-+Maquinarias+Agr%C3%ADcolas+y+Viales%2C+B.+Rivadavia+s%2Fn%2C+Las+Varillas%2C+C%C3%B3rdoba</x:v>
      </x:c>
    </x:row>
    <x:row r="19">
      <x:c r="A19" s="12" t="n">
        <x:v>16</x:v>
      </x:c>
      <x:c r="B19" s="12" t="str">
        <x:v>Núcleo</x:v>
      </x:c>
      <x:c r="C19" s="12" t="str">
        <x:v>Las Varillas</x:v>
      </x:c>
      <x:c r="D19" s="12" t="str">
        <x:v>GRIFFA S.A. Las Varillas</x:v>
      </x:c>
      <x:c r="E19" s="12" t="n">
        <x:v>100</x:v>
      </x:c>
      <x:c r="F19" s="12" t="str">
        <x:v>Concesionario New Holland: tractores, cosechadoras, pulverizadoras y sembradoras</x:v>
      </x:c>
      <x:c r="G19" s="12" t="str">
        <x:v>3533 418506 / 3563 669009</x:v>
      </x:c>
      <x:c r="H19" s="12" t="str">
        <x:v>Av. Int. José Irazusta 272, Las Varillas, Córdoba</x:v>
      </x:c>
      <x:c r="I19" s="12" t="str">
        <x:v>ventas / logística / service / repuestos</x:v>
      </x:c>
      <x:c r="J19" s="12" t="str">
        <x:v>Entrega/retiro de maquinaria, usados, equipos de service y movimientos de gran porte.</x:v>
      </x:c>
      <x:c r="K19" s="12" t="str">
        <x:v>Pedir logística/posventa/expedición; relevar pesos, dimensiones y movimientos mensuales.</x:v>
      </x:c>
      <x:c r="L19" s="12" t="str">
        <x:v>https://www.google.com/maps/search/?api=1&amp;query=GRIFFA+S.A.+Las+Varillas%2C+Av.+Int.+Jos%C3%A9+Irazusta+272%2C+Las+Varillas%2C+C%C3%B3rdoba</x:v>
      </x:c>
    </x:row>
    <x:row r="20">
      <x:c r="A20" s="12" t="n">
        <x:v>17</x:v>
      </x:c>
      <x:c r="B20" s="12" t="str">
        <x:v>Núcleo</x:v>
      </x:c>
      <x:c r="C20" s="12" t="str">
        <x:v>Las Varillas</x:v>
      </x:c>
      <x:c r="D20" s="12" t="str">
        <x:v>Campra S.A.</x:v>
      </x:c>
      <x:c r="E20" s="12" t="n">
        <x:v>96</x:v>
      </x:c>
      <x:c r="F20" s="12" t="str">
        <x:v>Fábrica de implementos agrícolas</x:v>
      </x:c>
      <x:c r="G20" s="12" t="str">
        <x:v>+54 9 3533 474012</x:v>
      </x:c>
      <x:c r="H20" s="12" t="str">
        <x:v>J. J. Urquiza 201, Las Varillas, Córdoba</x:v>
      </x:c>
      <x:c r="I20" s="12" t="str">
        <x:v>producción / expedición / logística</x:v>
      </x:c>
      <x:c r="J20" s="12" t="str">
        <x:v>Entrega/retiro de maquinaria, usados, equipos de service y despachos de fábrica.</x:v>
      </x:c>
      <x:c r="K20" s="12" t="str">
        <x:v>Pedir logística/expedición/posventa y relevar cantidad de movimientos mensuales.</x:v>
      </x:c>
      <x:c r="L20" s="12" t="str">
        <x:v>https://www.google.com/maps/search/?api=1&amp;query=Campra+S.A.%2C+J.+J.+Urquiza+201%2C+Las+Varillas%2C+C%C3%B3rdoba</x:v>
      </x:c>
    </x:row>
    <x:row r="21">
      <x:c r="A21" s="12" t="n">
        <x:v>18</x:v>
      </x:c>
      <x:c r="B21" s="12" t="str">
        <x:v>Núcleo</x:v>
      </x:c>
      <x:c r="C21" s="12" t="str">
        <x:v>Las Varillas</x:v>
      </x:c>
      <x:c r="D21" s="12" t="str">
        <x:v>Produmat S.A.</x:v>
      </x:c>
      <x:c r="E21" s="12" t="n">
        <x:v>100</x:v>
      </x:c>
      <x:c r="F21" s="12" t="str">
        <x:v>Fabricante de retroexcavadoras, cargadores frontales y equipos viales</x:v>
      </x:c>
      <x:c r="G21" s="12" t="str">
        <x:v>03533 421594 / 423685</x:v>
      </x:c>
      <x:c r="H21" s="12" t="str">
        <x:v>Chacabuco 645, Las Varillas, Córdoba</x:v>
      </x:c>
      <x:c r="I21" s="12" t="str">
        <x:v>expedición / producción / logística</x:v>
      </x:c>
      <x:c r="J21" s="12" t="str">
        <x:v>Movimiento de motores, equipos completos, conjuntos mecánicos y maquinaria nueva/usada.</x:v>
      </x:c>
      <x:c r="K21" s="12" t="str">
        <x:v>Pedir ventas/taller/logística; relevar equipos completos y movimientos de service.</x:v>
      </x:c>
      <x:c r="L21" s="12" t="str">
        <x:v>https://www.google.com/maps/search/?api=1&amp;query=Produmat+S.A.%2C+Chacabuco+645%2C+Las+Varillas%2C+C%C3%B3rdoba</x:v>
      </x:c>
    </x:row>
    <x:row r="22">
      <x:c r="A22" s="12" t="n">
        <x:v>19</x:v>
      </x:c>
      <x:c r="B22" s="12" t="str">
        <x:v>Núcleo</x:v>
      </x:c>
      <x:c r="C22" s="12" t="str">
        <x:v>Las Varillas</x:v>
      </x:c>
      <x:c r="D22" s="12" t="str">
        <x:v>Walcrivic S.R.L.</x:v>
      </x:c>
      <x:c r="E22" s="12" t="n">
        <x:v>96</x:v>
      </x:c>
      <x:c r="F22" s="12" t="str">
        <x:v>Concesionario / proveedor de maquinaria agrícola</x:v>
      </x:c>
      <x:c r="G22" s="12" t="str">
        <x:v>03533 438747 / 425520</x:v>
      </x:c>
      <x:c r="H22" s="12" t="str">
        <x:v>Cura Brochero 820, Las Varillas, Córdoba</x:v>
      </x:c>
      <x:c r="I22" s="12" t="str">
        <x:v>ventas / logística / posventa</x:v>
      </x:c>
      <x:c r="J22" s="12" t="str">
        <x:v>Entrega/retiro de maquinaria, usados, equipos de service y despachos de fábrica.</x:v>
      </x:c>
      <x:c r="K22" s="12" t="str">
        <x:v>Pedir logística/expedición/posventa y relevar cantidad de movimientos mensuales.</x:v>
      </x:c>
      <x:c r="L22" s="12" t="str">
        <x:v>https://www.google.com/maps/search/?api=1&amp;query=Walcrivic+S.R.L.%2C+Cura+Brochero+820%2C+Las+Varillas%2C+C%C3%B3rdoba</x:v>
      </x:c>
    </x:row>
    <x:row r="23">
      <x:c r="A23" s="12" t="n">
        <x:v>20</x:v>
      </x:c>
      <x:c r="B23" s="12" t="str">
        <x:v>Núcleo</x:v>
      </x:c>
      <x:c r="C23" s="12" t="str">
        <x:v>Las Varillas</x:v>
      </x:c>
      <x:c r="D23" s="12" t="str">
        <x:v>Yaveza S.A.</x:v>
      </x:c>
      <x:c r="E23" s="12" t="n">
        <x:v>96</x:v>
      </x:c>
      <x:c r="F23" s="12" t="str">
        <x:v>Maquinaria vial, tractores y maquinaria agrícola</x:v>
      </x:c>
      <x:c r="G23" s="12" t="str">
        <x:v>03533 456785</x:v>
      </x:c>
      <x:c r="H23" s="12" t="str">
        <x:v>Rivadavia 721, Las Varillas, Córdoba</x:v>
      </x:c>
      <x:c r="I23" s="12" t="str">
        <x:v>ventas / logística / service</x:v>
      </x:c>
      <x:c r="J23" s="12" t="str">
        <x:v>Entrega/retiro de maquinaria, usados, equipos de service y despachos de fábrica.</x:v>
      </x:c>
      <x:c r="K23" s="12" t="str">
        <x:v>Pedir logística/expedición/posventa y relevar cantidad de movimientos mensuales.</x:v>
      </x:c>
      <x:c r="L23" s="12" t="str">
        <x:v>https://www.google.com/maps/search/?api=1&amp;query=Yaveza+S.A.%2C+Rivadavia+721%2C+Las+Varillas%2C+C%C3%B3rdoba</x:v>
      </x:c>
    </x:row>
    <x:row r="24">
      <x:c r="A24" s="12" t="n">
        <x:v>21</x:v>
      </x:c>
      <x:c r="B24" s="12" t="str">
        <x:v>Núcleo</x:v>
      </x:c>
      <x:c r="C24" s="12" t="str">
        <x:v>Las Varillas</x:v>
      </x:c>
      <x:c r="D24" s="12" t="str">
        <x:v>CILTON S.A.</x:v>
      </x:c>
      <x:c r="E24" s="12" t="n">
        <x:v>95</x:v>
      </x:c>
      <x:c r="F24" s="12" t="str">
        <x:v>Cilindros hidráulicos agrícola/vial/industrial</x:v>
      </x:c>
      <x:c r="G24" s="12" t="str">
        <x:v>03533 420821</x:v>
      </x:c>
      <x:c r="H24" s="12" t="str">
        <x:v>Antártida 67, Las Varillas, Córdoba</x:v>
      </x:c>
      <x:c r="I24" s="12" t="str">
        <x:v>producción / expedición / ingeniería</x:v>
      </x:c>
      <x:c r="J24" s="12" t="str">
        <x:v>Movimiento de piezas, conjuntos, implementos, estructuras o equipos de producción/mantenimiento.</x:v>
      </x:c>
      <x:c r="K24" s="12" t="str">
        <x:v>Pedir producción/expedición/mantenimiento y relevar piezas máximas/destinos.</x:v>
      </x:c>
      <x:c r="L24" s="12" t="str">
        <x:v>https://www.google.com/maps/search/?api=1&amp;query=CILTON+S.A.%2C+Ant%C3%A1rtida+67%2C+Las+Varillas%2C+C%C3%B3rdoba</x:v>
      </x:c>
    </x:row>
    <x:row r="25">
      <x:c r="A25" s="12" t="n">
        <x:v>22</x:v>
      </x:c>
      <x:c r="B25" s="12" t="str">
        <x:v>Núcleo</x:v>
      </x:c>
      <x:c r="C25" s="12" t="str">
        <x:v>Las Varillas</x:v>
      </x:c>
      <x:c r="D25" s="12" t="str">
        <x:v>Fundición PAUNY</x:v>
      </x:c>
      <x:c r="E25" s="12" t="n">
        <x:v>94</x:v>
      </x:c>
      <x:c r="F25" s="12" t="str">
        <x:v>Fundición / componentes pesados</x:v>
      </x:c>
      <x:c r="G25" s="12" t="str">
        <x:v>03533 456837</x:v>
      </x:c>
      <x:c r="H25" s="12" t="str">
        <x:v>Las Varillas, Córdoba</x:v>
      </x:c>
      <x:c r="I25" s="12" t="str">
        <x:v>planta / logística / mantenimiento</x:v>
      </x:c>
      <x:c r="J25" s="12" t="str">
        <x:v>Movimientos de equipos o cargas especiales asociados a su operación.</x:v>
      </x:c>
      <x:c r="K25" s="12" t="str">
        <x:v>Contactar logística/operaciones y relevar necesidad real.</x:v>
      </x:c>
      <x:c r="L25" s="12" t="str">
        <x:v>https://www.google.com/maps/search/?api=1&amp;query=Fundici%C3%B3n+PAUNY%2C+Las+Varillas%2C+C%C3%B3rdoba</x:v>
      </x:c>
    </x:row>
    <x:row r="26">
      <x:c r="A26" s="12" t="n">
        <x:v>23</x:v>
      </x:c>
      <x:c r="B26" s="12" t="str">
        <x:v>Núcleo</x:v>
      </x:c>
      <x:c r="C26" s="12" t="str">
        <x:v>Las Varillas</x:v>
      </x:c>
      <x:c r="D26" s="12" t="str">
        <x:v>Industrias Favorito S.A.</x:v>
      </x:c>
      <x:c r="E26" s="12" t="n">
        <x:v>94</x:v>
      </x:c>
      <x:c r="F26" s="12" t="str">
        <x:v>Fábrica de maquinaria agrícola</x:v>
      </x:c>
      <x:c r="G26" s="12" t="str">
        <x:v>03533 681254</x:v>
      </x:c>
      <x:c r="H26" s="12" t="str">
        <x:v>Irazusta 250, Las Varillas, Córdoba</x:v>
      </x:c>
      <x:c r="I26" s="12" t="str">
        <x:v>producción / expedición / ventas</x:v>
      </x:c>
      <x:c r="J26" s="12" t="str">
        <x:v>Entrega/retiro de maquinaria, usados, equipos de service y despachos de fábrica.</x:v>
      </x:c>
      <x:c r="K26" s="12" t="str">
        <x:v>Pedir logística/expedición/posventa y relevar cantidad de movimientos mensuales.</x:v>
      </x:c>
      <x:c r="L26" s="12" t="str">
        <x:v>https://www.google.com/maps/search/?api=1&amp;query=Industrias+Favorito+S.A.%2C+Irazusta+250%2C+Las+Varillas%2C+C%C3%B3rdoba</x:v>
      </x:c>
    </x:row>
    <x:row r="27">
      <x:c r="A27" s="12" t="n">
        <x:v>24</x:v>
      </x:c>
      <x:c r="B27" s="12" t="str">
        <x:v>Núcleo</x:v>
      </x:c>
      <x:c r="C27" s="12" t="str">
        <x:v>Las Varillas</x:v>
      </x:c>
      <x:c r="D27" s="12" t="str">
        <x:v>Jotas Agro Implementos</x:v>
      </x:c>
      <x:c r="E27" s="12" t="n">
        <x:v>94</x:v>
      </x:c>
      <x:c r="F27" s="12" t="str">
        <x:v>Fabricante de implementos agrícolas</x:v>
      </x:c>
      <x:c r="G27" s="12" t="str">
        <x:v>A verificar</x:v>
      </x:c>
      <x:c r="H27" s="12" t="str">
        <x:v>Las Varillas, Córdoba</x:v>
      </x:c>
      <x:c r="I27" s="12" t="str">
        <x:v>producción / expedición / ventas</x:v>
      </x:c>
      <x:c r="J27" s="12" t="str">
        <x:v>Entrega/retiro de maquinaria, usados, equipos de service y despachos de fábrica.</x:v>
      </x:c>
      <x:c r="K27" s="12" t="str">
        <x:v>Pedir logística/expedición/posventa y relevar cantidad de movimientos mensuales.</x:v>
      </x:c>
      <x:c r="L27" s="12" t="str">
        <x:v>https://www.google.com/maps/search/?api=1&amp;query=Jotas+Agro+Implementos%2C+Las+Varillas%2C+C%C3%B3rdoba</x:v>
      </x:c>
    </x:row>
    <x:row r="28">
      <x:c r="A28" s="12" t="n">
        <x:v>25</x:v>
      </x:c>
      <x:c r="B28" s="12" t="str">
        <x:v>Zona ampliada</x:v>
      </x:c>
      <x:c r="C28" s="12" t="str">
        <x:v>El Arañado</x:v>
      </x:c>
      <x:c r="D28" s="12" t="str">
        <x:v>Minari Implementos</x:v>
      </x:c>
      <x:c r="E28" s="12" t="n">
        <x:v>98</x:v>
      </x:c>
      <x:c r="F28" s="12" t="str">
        <x:v>Fábrica de equipos forrajeros y viales</x:v>
      </x:c>
      <x:c r="G28" s="12" t="str">
        <x:v>+54 3533 686666</x:v>
      </x:c>
      <x:c r="H28" s="12" t="str">
        <x:v>Av. San Martín 370, El Arañado, Córdoba</x:v>
      </x:c>
      <x:c r="I28" s="12" t="str">
        <x:v>producción / expedición / ventas</x:v>
      </x:c>
      <x:c r="J28" s="12" t="str">
        <x:v>Entrega/retiro de maquinaria, usados, equipos de service y despachos de fábrica.</x:v>
      </x:c>
      <x:c r="K28" s="12" t="str">
        <x:v>Pedir logística/expedición/posventa y relevar cantidad de movimientos mensuales.</x:v>
      </x:c>
      <x:c r="L28" s="12" t="str">
        <x:v>https://www.google.com/maps/search/?api=1&amp;query=Minari+Implementos%2C+Av.+San+Mart%C3%ADn+370%2C+El+Ara%C3%B1ado%2C+C%C3%B3rdoba</x:v>
      </x:c>
    </x:row>
    <x:row r="29">
      <x:c r="A29" s="12" t="n">
        <x:v>26</x:v>
      </x:c>
      <x:c r="B29" s="12" t="str">
        <x:v>Zona ampliada</x:v>
      </x:c>
      <x:c r="C29" s="12" t="str">
        <x:v>Alicia</x:v>
      </x:c>
      <x:c r="D29" s="12" t="str">
        <x:v>Centenario Implementos</x:v>
      </x:c>
      <x:c r="E29" s="12" t="n">
        <x:v>97</x:v>
      </x:c>
      <x:c r="F29" s="12" t="str">
        <x:v>Fábrica de implementos agrícolas y viales</x:v>
      </x:c>
      <x:c r="G29" s="12" t="str">
        <x:v>+54 3533 513477</x:v>
      </x:c>
      <x:c r="H29" s="12" t="str">
        <x:v>Rioja 560, Alicia, Córdoba</x:v>
      </x:c>
      <x:c r="I29" s="12" t="str">
        <x:v>producción / expedición / ventas</x:v>
      </x:c>
      <x:c r="J29" s="12" t="str">
        <x:v>Entrega/retiro de maquinaria, usados, equipos de service y despachos de fábrica.</x:v>
      </x:c>
      <x:c r="K29" s="12" t="str">
        <x:v>Pedir logística/expedición/posventa y relevar cantidad de movimientos mensuales.</x:v>
      </x:c>
      <x:c r="L29" s="12" t="str">
        <x:v>https://www.google.com/maps/search/?api=1&amp;query=Centenario+Implementos%2C+Rioja+560%2C+Alicia%2C+C%C3%B3rdoba</x:v>
      </x:c>
    </x:row>
    <x:row r="30">
      <x:c r="A30" s="12" t="n">
        <x:v>27</x:v>
      </x:c>
      <x:c r="B30" s="12" t="str">
        <x:v>Zona ampliada</x:v>
      </x:c>
      <x:c r="C30" s="12" t="str">
        <x:v>Sacanta</x:v>
      </x:c>
      <x:c r="D30" s="12" t="str">
        <x:v>Baudo S.R.L. - Molinos y Agropartes</x:v>
      </x:c>
      <x:c r="E30" s="12" t="n">
        <x:v>96</x:v>
      </x:c>
      <x:c r="F30" s="12" t="str">
        <x:v>Fábrica de molinos y agropartes</x:v>
      </x:c>
      <x:c r="G30" s="12" t="str">
        <x:v>+54 9 3533 404134 / 03533 492187</x:v>
      </x:c>
      <x:c r="H30" s="12" t="str">
        <x:v>25 de Mayo 314, Sacanta, Córdoba</x:v>
      </x:c>
      <x:c r="I30" s="12" t="str">
        <x:v>producción / expedición / logística</x:v>
      </x:c>
      <x:c r="J30" s="12" t="str">
        <x:v>Movimiento de piezas, conjuntos, implementos, estructuras o equipos de producción/mantenimiento.</x:v>
      </x:c>
      <x:c r="K30" s="12" t="str">
        <x:v>Pedir producción/expedición/mantenimiento y relevar piezas máximas/destinos.</x:v>
      </x:c>
      <x:c r="L30" s="12" t="str">
        <x:v>https://www.google.com/maps/search/?api=1&amp;query=Baudo+S.R.L.+-+Molinos+y+Agropartes%2C+25+de+Mayo+314%2C+Sacanta%2C+C%C3%B3rdoba</x:v>
      </x:c>
    </x:row>
    <x:row r="31">
      <x:c r="A31" s="12" t="n">
        <x:v>28</x:v>
      </x:c>
      <x:c r="B31" s="12" t="str">
        <x:v>Zona ampliada</x:v>
      </x:c>
      <x:c r="C31" s="12" t="str">
        <x:v>El Arañado</x:v>
      </x:c>
      <x:c r="D31" s="12" t="str">
        <x:v>Nymaco Implementos Agrícolas y Viales</x:v>
      </x:c>
      <x:c r="E31" s="12" t="n">
        <x:v>96</x:v>
      </x:c>
      <x:c r="F31" s="12" t="str">
        <x:v>Fábrica de maquinaria agrícola y vial</x:v>
      </x:c>
      <x:c r="G31" s="12" t="str">
        <x:v>+54 3471 15592664</x:v>
      </x:c>
      <x:c r="H31" s="12" t="str">
        <x:v>San Martín 370, El Arañado, Córdoba</x:v>
      </x:c>
      <x:c r="I31" s="12" t="str">
        <x:v>producción / expedición</x:v>
      </x:c>
      <x:c r="J31" s="12" t="str">
        <x:v>Entrega/retiro de maquinaria, usados, equipos de service y despachos de fábrica.</x:v>
      </x:c>
      <x:c r="K31" s="12" t="str">
        <x:v>Pedir logística/expedición/posventa y relevar cantidad de movimientos mensuales.</x:v>
      </x:c>
      <x:c r="L31" s="12" t="str">
        <x:v>https://www.google.com/maps/search/?api=1&amp;query=Nymaco+Implementos+Agr%C3%ADcolas+y+Viales%2C+San+Mart%C3%ADn+370%2C+El+Ara%C3%B1ado%2C+C%C3%B3rdoba</x:v>
      </x:c>
    </x:row>
    <x:row r="32">
      <x:c r="A32" s="12" t="n">
        <x:v>29</x:v>
      </x:c>
      <x:c r="B32" s="12" t="str">
        <x:v>Zona ampliada</x:v>
      </x:c>
      <x:c r="C32" s="12" t="str">
        <x:v>Saturnino M. Laspiur</x:v>
      </x:c>
      <x:c r="D32" s="12" t="str">
        <x:v>Plásticos Laspiur S.R.L.</x:v>
      </x:c>
      <x:c r="E32" s="12" t="n">
        <x:v>94</x:v>
      </x:c>
      <x:c r="F32" s="12" t="str">
        <x:v>Tanques, cisternas y equipos sobre camión</x:v>
      </x:c>
      <x:c r="G32" s="12" t="str">
        <x:v>03533 491414 / 491441 / 491558</x:v>
      </x:c>
      <x:c r="H32" s="12" t="str">
        <x:v>Av. Dr. Bornancini 525, Saturnino María Laspiur, Córdoba</x:v>
      </x:c>
      <x:c r="I32" s="12" t="str">
        <x:v>producción / expedición / logística</x:v>
      </x:c>
      <x:c r="J32" s="12" t="str">
        <x:v>Despacho y traslado de conjuntos pesados, acoplados, equipos viales o módulos especiales.</x:v>
      </x:c>
      <x:c r="K32" s="12" t="str">
        <x:v>Pedir expedición/logística/producción y consultar pesos/dimensiones máximas.</x:v>
      </x:c>
      <x:c r="L32" s="12" t="str">
        <x:v>https://www.google.com/maps/search/?api=1&amp;query=Pl%C3%A1sticos+Laspiur+S.R.L.%2C+Av.+Dr.+Bornancini+525%2C+Saturnino+Mar%C3%ADa+Laspiur%2C+C%C3%B3rdoba</x:v>
      </x:c>
    </x:row>
    <x:row r="33">
      <x:c r="A33" t="n">
        <x:v>30</x:v>
      </x:c>
      <x:c r="B33" t="str">
        <x:v>Núcleo</x:v>
      </x:c>
      <x:c r="C33" t="str">
        <x:v>Las Varillas</x:v>
      </x:c>
      <x:c r="D33" t="str">
        <x:v>Ricardo Venturino S.A. - Las Varillas</x:v>
      </x:c>
      <x:c r="E33" t="n">
        <x:v>100</x:v>
      </x:c>
      <x:c r="F33" t="str">
        <x:v>Concesionario oficial John Deere y PLA / tractores / cosechadoras</x:v>
      </x:c>
      <x:c r="G33" t="str">
        <x:v>+54 9 3462 566606</x:v>
      </x:c>
      <x:c r="H33" t="str">
        <x:v>Martín Fierro 741, Las Varillas, Córdoba</x:v>
      </x:c>
      <x:c r="I33" t="str">
        <x:v>gerencia / logística / posventa / usados</x:v>
      </x:c>
      <x:c r="J33" t="str">
        <x:v>Entrega/retiro de maquinaria, usados, equipos de service y movimientos de gran porte.</x:v>
      </x:c>
      <x:c r="K33" t="str">
        <x:v>Pedir logística/posventa/expedición; relevar pesos, dimensiones y movimientos mensuales.</x:v>
      </x:c>
      <x:c r="L33" t="str">
        <x:v>https://www.google.com/maps/search/?api=1&amp;query=Ricardo+Venturino+S.A.+-+Las+Varillas%2C+Mart%C3%ADn+Fierro+741%2C+Las+Varillas%2C+C%C3%B3rdoba</x:v>
      </x:c>
    </x:row>
    <x:row r="34">
      <x:c r="A34" t="n">
        <x:v>31</x:v>
      </x:c>
      <x:c r="B34" t="str">
        <x:v>Núcleo</x:v>
      </x:c>
      <x:c r="C34" t="str">
        <x:v>Las Varillas</x:v>
      </x:c>
      <x:c r="D34" t="str">
        <x:v>Escobedo Motores y Repuestos</x:v>
      </x:c>
      <x:c r="E34" t="n">
        <x:v>99</x:v>
      </x:c>
      <x:c r="F34" t="str">
        <x:v>Motores, autoelevadores, minicargadoras y maquinaria vial</x:v>
      </x:c>
      <x:c r="G34" t="str">
        <x:v>03533 423475</x:v>
      </x:c>
      <x:c r="H34" t="str">
        <x:v>Las Varillas, Córdoba</x:v>
      </x:c>
      <x:c r="I34" t="str">
        <x:v>ventas / logística / taller / service</x:v>
      </x:c>
      <x:c r="J34" t="str">
        <x:v>Entrega/retiro de maquinaria, usados, equipos de service y movimientos de gran porte.</x:v>
      </x:c>
      <x:c r="K34" t="str">
        <x:v>Pedir logística/posventa/expedición; relevar pesos, dimensiones y movimientos mensuales.</x:v>
      </x:c>
      <x:c r="L34" t="str">
        <x:v>https://www.google.com/maps/search/?api=1&amp;query=Escobedo+Motores+y+Repuestos%2C+Las+Varillas%2C+C%C3%B3rdoba</x:v>
      </x:c>
    </x:row>
    <x:row r="35">
      <x:c r="A35" t="n">
        <x:v>32</x:v>
      </x:c>
      <x:c r="B35" t="str">
        <x:v>Núcleo</x:v>
      </x:c>
      <x:c r="C35" t="str">
        <x:v>Las Varillas</x:v>
      </x:c>
      <x:c r="D35" t="str">
        <x:v>Riego &amp; Silos</x:v>
      </x:c>
      <x:c r="E35" t="n">
        <x:v>98</x:v>
      </x:c>
      <x:c r="F35" t="str">
        <x:v>Ingeniería, construcción y montaje de plantas de silos</x:v>
      </x:c>
      <x:c r="G35" t="str">
        <x:v>03533 421323 / +54 9 3537 598997</x:v>
      </x:c>
      <x:c r="H35" t="str">
        <x:v>Mitre 150, Las Varillas, Córdoba</x:v>
      </x:c>
      <x:c r="I35" t="str">
        <x:v>proyectos / logística / obras / montaje</x:v>
      </x:c>
      <x:c r="J35" t="str">
        <x:v>Traslado de estructuras, componentes, equipos de montaje y cargas especiales hacia obras y plantas.</x:v>
      </x:c>
      <x:c r="K35" t="str">
        <x:v>Pedir proyectos/logística/obras; relevar pesos, largos y destinos frecuentes.</x:v>
      </x:c>
      <x:c r="L35" t="str">
        <x:v>https://www.google.com/maps/search/?api=1&amp;query=Riego+%26+Silos%2C+Mitre+150%2C+Las+Varillas%2C+C%C3%B3rdoba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e7ae510b92c240e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2" hidden="0" customWidth="1"/>
    <x:col min="3" max="3" width="8" hidden="0" customWidth="1"/>
    <x:col min="4" max="4" width="8" hidden="0" customWidth="1"/>
    <x:col min="5" max="5" width="34" hidden="0" customWidth="1"/>
    <x:col min="6" max="6" width="38" hidden="0" customWidth="1"/>
    <x:col min="7" max="7" width="24" hidden="0" customWidth="1"/>
    <x:col min="8" max="8" width="44" hidden="0" customWidth="1"/>
    <x:col min="9" max="9" width="28" hidden="0" customWidth="1"/>
    <x:col min="10" max="10" width="42" hidden="0" customWidth="1"/>
    <x:col min="11" max="11" width="28" hidden="0" customWidth="1"/>
    <x:col min="12" max="12" width="40" hidden="0" customWidth="1"/>
  </x:cols>
  <x:sheetData>
    <x:row r="1">
      <x:c r="A1" s="17" t="str">
        <x:v>ZONA AMPLIADA · CORREDOR REGIONAL</x:v>
      </x:c>
      <x:c r="B1" s="17"/>
      <x:c r="C1" s="17"/>
      <x:c r="D1" s="17"/>
      <x:c r="E1" s="17"/>
      <x:c r="F1" s="17"/>
      <x:c r="G1" s="17"/>
      <x:c r="H1" s="17"/>
      <x:c r="I1" s="17"/>
      <x:c r="J1" s="17"/>
      <x:c r="K1" s="17"/>
      <x:c r="L1" s="17"/>
    </x:row>
    <x:row r="2">
      <x:c r="A2" s="21" t="str">
        <x:v>Localidades incluidas: Alicia, El Arañado, Saturnino M. Laspiur y Sacanta. Separadas del núcleo para planificar otra jornada.</x:v>
      </x:c>
      <x:c r="B2" s="21"/>
      <x:c r="C2" s="21"/>
      <x:c r="D2" s="21"/>
      <x:c r="E2" s="21"/>
      <x:c r="F2" s="21"/>
      <x:c r="G2" s="21"/>
      <x:c r="H2" s="21"/>
      <x:c r="I2" s="21"/>
      <x:c r="J2" s="21"/>
      <x:c r="K2" s="21"/>
      <x:c r="L2" s="21"/>
    </x:row>
    <x:row r="4">
      <x:c r="A4" s="6" t="str">
        <x:v>ID</x:v>
      </x:c>
      <x:c r="B4" s="6" t="str">
        <x:v>Localidad</x:v>
      </x:c>
      <x:c r="C4" s="6" t="str">
        <x:v>Clase</x:v>
      </x:c>
      <x:c r="D4" s="6" t="str">
        <x:v>Score</x:v>
      </x:c>
      <x:c r="E4" s="6" t="str">
        <x:v>Empresa</x:v>
      </x:c>
      <x:c r="F4" s="6" t="str">
        <x:v>Categoría</x:v>
      </x:c>
      <x:c r="G4" s="6" t="str">
        <x:v>Teléfono</x:v>
      </x:c>
      <x:c r="H4" s="6" t="str">
        <x:v>Dirección</x:v>
      </x:c>
      <x:c r="I4" s="6" t="str">
        <x:v>Preguntar por</x:v>
      </x:c>
      <x:c r="J4" s="6" t="str">
        <x:v>Acción</x:v>
      </x:c>
      <x:c r="K4" s="6" t="str">
        <x:v>Fuente</x:v>
      </x:c>
      <x:c r="L4" s="6" t="str">
        <x:v>Google Maps</x:v>
      </x:c>
    </x:row>
    <x:row r="5">
      <x:c r="A5" s="12" t="str">
        <x:v>LV-057</x:v>
      </x:c>
      <x:c r="B5" s="12" t="str">
        <x:v>El Arañado</x:v>
      </x:c>
      <x:c r="C5" s="12" t="str">
        <x:v>A+</x:v>
      </x:c>
      <x:c r="D5" s="12" t="n">
        <x:v>98</x:v>
      </x:c>
      <x:c r="E5" s="12" t="str">
        <x:v>Minari Implementos</x:v>
      </x:c>
      <x:c r="F5" s="12" t="str">
        <x:v>Fábrica de equipos forrajeros y viales</x:v>
      </x:c>
      <x:c r="G5" s="12" t="str">
        <x:v>+54 3533 686666</x:v>
      </x:c>
      <x:c r="H5" s="12" t="str">
        <x:v>Av. San Martín 370, El Arañado, Córdoba</x:v>
      </x:c>
      <x:c r="I5" s="12" t="str">
        <x:v>producción / expedición / ventas</x:v>
      </x:c>
      <x:c r="J5" s="12" t="str">
        <x:v>Pedir logística/expedición/posventa y relevar cantidad de movimientos mensuales.</x:v>
      </x:c>
      <x:c r="K5" s="12" t="str">
        <x:v>Maquinac</x:v>
      </x:c>
      <x:c r="L5" s="12" t="str">
        <x:v>https://www.google.com/maps/search/?api=1&amp;query=Minari+Implementos%2C+Av.+San+Mart%C3%ADn+370%2C+El+Ara%C3%B1ado%2C+C%C3%B3rdoba</x:v>
      </x:c>
    </x:row>
    <x:row r="6">
      <x:c r="A6" s="12" t="str">
        <x:v>LV-058</x:v>
      </x:c>
      <x:c r="B6" s="12" t="str">
        <x:v>Alicia</x:v>
      </x:c>
      <x:c r="C6" s="12" t="str">
        <x:v>A+</x:v>
      </x:c>
      <x:c r="D6" s="12" t="n">
        <x:v>97</x:v>
      </x:c>
      <x:c r="E6" s="12" t="str">
        <x:v>Centenario Implementos</x:v>
      </x:c>
      <x:c r="F6" s="12" t="str">
        <x:v>Fábrica de implementos agrícolas y viales</x:v>
      </x:c>
      <x:c r="G6" s="12" t="str">
        <x:v>+54 3533 513477</x:v>
      </x:c>
      <x:c r="H6" s="12" t="str">
        <x:v>Rioja 560, Alicia, Córdoba</x:v>
      </x:c>
      <x:c r="I6" s="12" t="str">
        <x:v>producción / expedición / ventas</x:v>
      </x:c>
      <x:c r="J6" s="12" t="str">
        <x:v>Pedir logística/expedición/posventa y relevar cantidad de movimientos mensuales.</x:v>
      </x:c>
      <x:c r="K6" s="12" t="str">
        <x:v>Web oficial</x:v>
      </x:c>
      <x:c r="L6" s="12" t="str">
        <x:v>https://www.google.com/maps/search/?api=1&amp;query=Centenario+Implementos%2C+Rioja+560%2C+Alicia%2C+C%C3%B3rdoba</x:v>
      </x:c>
    </x:row>
    <x:row r="7">
      <x:c r="A7" s="12" t="str">
        <x:v>LV-059</x:v>
      </x:c>
      <x:c r="B7" s="12" t="str">
        <x:v>Sacanta</x:v>
      </x:c>
      <x:c r="C7" s="12" t="str">
        <x:v>A+</x:v>
      </x:c>
      <x:c r="D7" s="12" t="n">
        <x:v>96</x:v>
      </x:c>
      <x:c r="E7" s="12" t="str">
        <x:v>Baudo S.R.L. - Molinos y Agropartes</x:v>
      </x:c>
      <x:c r="F7" s="12" t="str">
        <x:v>Fábrica de molinos y agropartes</x:v>
      </x:c>
      <x:c r="G7" s="12" t="str">
        <x:v>+54 9 3533 404134 / 03533 492187</x:v>
      </x:c>
      <x:c r="H7" s="12" t="str">
        <x:v>25 de Mayo 314, Sacanta, Córdoba</x:v>
      </x:c>
      <x:c r="I7" s="12" t="str">
        <x:v>producción / expedición / logística</x:v>
      </x:c>
      <x:c r="J7" s="12" t="str">
        <x:v>Pedir producción/expedición/mantenimiento y relevar piezas máximas/destinos.</x:v>
      </x:c>
      <x:c r="K7" s="12" t="str">
        <x:v>Web oficial</x:v>
      </x:c>
      <x:c r="L7" s="12" t="str">
        <x:v>https://www.google.com/maps/search/?api=1&amp;query=Baudo+S.R.L.+-+Molinos+y+Agropartes%2C+25+de+Mayo+314%2C+Sacanta%2C+C%C3%B3rdoba</x:v>
      </x:c>
    </x:row>
    <x:row r="8">
      <x:c r="A8" s="12" t="str">
        <x:v>LV-060</x:v>
      </x:c>
      <x:c r="B8" s="12" t="str">
        <x:v>El Arañado</x:v>
      </x:c>
      <x:c r="C8" s="12" t="str">
        <x:v>A+</x:v>
      </x:c>
      <x:c r="D8" s="12" t="n">
        <x:v>96</x:v>
      </x:c>
      <x:c r="E8" s="12" t="str">
        <x:v>Nymaco Implementos Agrícolas y Viales</x:v>
      </x:c>
      <x:c r="F8" s="12" t="str">
        <x:v>Fábrica de maquinaria agrícola y vial</x:v>
      </x:c>
      <x:c r="G8" s="12" t="str">
        <x:v>+54 3471 15592664</x:v>
      </x:c>
      <x:c r="H8" s="12" t="str">
        <x:v>San Martín 370, El Arañado, Córdoba</x:v>
      </x:c>
      <x:c r="I8" s="12" t="str">
        <x:v>producción / expedición</x:v>
      </x:c>
      <x:c r="J8" s="12" t="str">
        <x:v>Pedir logística/expedición/posventa y relevar cantidad de movimientos mensuales.</x:v>
      </x:c>
      <x:c r="K8" s="12" t="str">
        <x:v>Maquinac</x:v>
      </x:c>
      <x:c r="L8" s="12" t="str">
        <x:v>https://www.google.com/maps/search/?api=1&amp;query=Nymaco+Implementos+Agr%C3%ADcolas+y+Viales%2C+San+Mart%C3%ADn+370%2C+El+Ara%C3%B1ado%2C+C%C3%B3rdoba</x:v>
      </x:c>
    </x:row>
    <x:row r="9">
      <x:c r="A9" s="12" t="str">
        <x:v>LV-061</x:v>
      </x:c>
      <x:c r="B9" s="12" t="str">
        <x:v>Saturnino M. Laspiur</x:v>
      </x:c>
      <x:c r="C9" s="12" t="str">
        <x:v>A+</x:v>
      </x:c>
      <x:c r="D9" s="12" t="n">
        <x:v>94</x:v>
      </x:c>
      <x:c r="E9" s="12" t="str">
        <x:v>Plásticos Laspiur S.R.L.</x:v>
      </x:c>
      <x:c r="F9" s="12" t="str">
        <x:v>Tanques, cisternas y equipos sobre camión</x:v>
      </x:c>
      <x:c r="G9" s="12" t="str">
        <x:v>03533 491414 / 491441 / 491558</x:v>
      </x:c>
      <x:c r="H9" s="12" t="str">
        <x:v>Av. Dr. Bornancini 525, Saturnino María Laspiur, Córdoba</x:v>
      </x:c>
      <x:c r="I9" s="12" t="str">
        <x:v>producción / expedición / logística</x:v>
      </x:c>
      <x:c r="J9" s="12" t="str">
        <x:v>Pedir expedición/logística/producción y consultar pesos/dimensiones máximas.</x:v>
      </x:c>
      <x:c r="K9" s="12" t="str">
        <x:v>Web oficial</x:v>
      </x:c>
      <x:c r="L9" s="12" t="str">
        <x:v>https://www.google.com/maps/search/?api=1&amp;query=Pl%C3%A1sticos+Laspiur+S.R.L.%2C+Av.+Dr.+Bornancini+525%2C+Saturnino+Mar%C3%ADa+Laspiur%2C+C%C3%B3rdoba</x:v>
      </x:c>
    </x:row>
    <x:row r="10">
      <x:c r="A10" s="12" t="str">
        <x:v>LV-062</x:v>
      </x:c>
      <x:c r="B10" s="12" t="str">
        <x:v>El Arañado</x:v>
      </x:c>
      <x:c r="C10" s="12" t="str">
        <x:v>A</x:v>
      </x:c>
      <x:c r="D10" s="12" t="n">
        <x:v>84</x:v>
      </x:c>
      <x:c r="E10" s="12" t="str">
        <x:v>Gobetto Metalúrgica</x:v>
      </x:c>
      <x:c r="F10" s="12" t="str">
        <x:v>Metalúrgica</x:v>
      </x:c>
      <x:c r="G10" s="12" t="str">
        <x:v> +54 9 3533 444833</x:v>
      </x:c>
      <x:c r="H10" s="12" t="str">
        <x:v>RP13, El Arañado, Córdoba</x:v>
      </x:c>
      <x:c r="I10" s="12" t="str">
        <x:v>producción / expedición</x:v>
      </x:c>
      <x:c r="J10" s="12" t="str">
        <x:v>Pedir producción/expedición/mantenimiento y relevar piezas máximas/destinos.</x:v>
      </x:c>
      <x:c r="K10" s="12" t="str">
        <x:v>Google Business</x:v>
      </x:c>
      <x:c r="L10" s="12" t="str">
        <x:v>https://www.google.com/maps/search/?api=1&amp;query=Gobetto+Metal%C3%BArgica%2C+RP13%2C+El+Ara%C3%B1ado%2C+C%C3%B3rdoba</x:v>
      </x:c>
    </x:row>
    <x:row r="11">
      <x:c r="A11" s="12" t="str">
        <x:v>LV-063</x:v>
      </x:c>
      <x:c r="B11" s="12" t="str">
        <x:v>Alicia</x:v>
      </x:c>
      <x:c r="C11" s="12" t="str">
        <x:v>A</x:v>
      </x:c>
      <x:c r="D11" s="12" t="n">
        <x:v>82</x:v>
      </x:c>
      <x:c r="E11" s="12" t="str">
        <x:v>G y C S.R.L.</x:v>
      </x:c>
      <x:c r="F11" s="12" t="str">
        <x:v>Servicios de maquinaria agrícola</x:v>
      </x:c>
      <x:c r="G11" s="12" t="str">
        <x:v>A verificar</x:v>
      </x:c>
      <x:c r="H11" s="12" t="str">
        <x:v>Sarmiento 1009, Alicia, Córdoba</x:v>
      </x:c>
      <x:c r="I11" s="12" t="str">
        <x:v>operaciones / maquinaria / logística</x:v>
      </x:c>
      <x:c r="J11" s="12" t="str">
        <x:v>Pedir logística/expedición/posventa y relevar cantidad de movimientos mensuales.</x:v>
      </x:c>
      <x:c r="K11" s="12" t="str">
        <x:v>Registro 2026</x:v>
      </x:c>
      <x:c r="L11" s="12" t="str">
        <x:v>https://www.google.com/maps/search/?api=1&amp;query=G+y+C+S.R.L.%2C+Sarmiento+1009%2C+Alicia%2C+C%C3%B3rdoba</x:v>
      </x:c>
    </x:row>
    <x:row r="12">
      <x:c r="A12" s="12" t="str">
        <x:v>LV-064</x:v>
      </x:c>
      <x:c r="B12" s="12" t="str">
        <x:v>Saturnino M. Laspiur</x:v>
      </x:c>
      <x:c r="C12" s="12" t="str">
        <x:v>A</x:v>
      </x:c>
      <x:c r="D12" s="12" t="n">
        <x:v>76</x:v>
      </x:c>
      <x:c r="E12" s="12" t="str">
        <x:v>Transporte Daghero</x:v>
      </x:c>
      <x:c r="F12" s="12" t="str">
        <x:v>Transporte de mercancías</x:v>
      </x:c>
      <x:c r="G12" s="12" t="str">
        <x:v>+54 9 3533 451375</x:v>
      </x:c>
      <x:c r="H12" s="12" t="str">
        <x:v>San Martín 360, Saturnino M. Laspiur, Córdoba</x:v>
      </x:c>
      <x:c r="I12" s="12" t="str">
        <x:v>tráfico / operaciones</x:v>
      </x:c>
      <x:c r="J12" s="12" t="str">
        <x:v>Pedir operaciones/tráfico y ofrecer acuerdo de derivaciones.</x:v>
      </x:c>
      <x:c r="K12" s="12" t="str">
        <x:v>Google Business</x:v>
      </x:c>
      <x:c r="L12" s="12" t="str">
        <x:v>https://www.google.com/maps/search/?api=1&amp;query=Transporte+Daghero%2C+San+Mart%C3%ADn+360%2C+Saturnino+M.+Laspiur%2C+C%C3%B3rdoba</x:v>
      </x:c>
    </x:row>
    <x:row r="13">
      <x:c r="A13" s="12" t="str">
        <x:v>LV-065</x:v>
      </x:c>
      <x:c r="B13" s="12" t="str">
        <x:v>Sacanta</x:v>
      </x:c>
      <x:c r="C13" s="12" t="str">
        <x:v>A</x:v>
      </x:c>
      <x:c r="D13" s="12" t="n">
        <x:v>76</x:v>
      </x:c>
      <x:c r="E13" s="12" t="str">
        <x:v>Transportes Barrionuevo Hnos.</x:v>
      </x:c>
      <x:c r="F13" s="12" t="str">
        <x:v>Transporte / logística</x:v>
      </x:c>
      <x:c r="G13" s="12" t="str">
        <x:v>03533 451584</x:v>
      </x:c>
      <x:c r="H13" s="12" t="str">
        <x:v>RP13 km 82, Sacanta, Córdoba</x:v>
      </x:c>
      <x:c r="I13" s="12" t="str">
        <x:v>tráfico / operaciones</x:v>
      </x:c>
      <x:c r="J13" s="12" t="str">
        <x:v>Pedir operaciones/tráfico y ofrecer acuerdo de derivaciones.</x:v>
      </x:c>
      <x:c r="K13" s="12" t="str">
        <x:v>Google Business</x:v>
      </x:c>
      <x:c r="L13" s="12" t="str">
        <x:v>https://www.google.com/maps/search/?api=1&amp;query=Transportes+Barrionuevo+Hnos.%2C+RP13+km+82%2C+Sacanta%2C+C%C3%B3rdoba</x:v>
      </x:c>
    </x:row>
    <x:row r="14">
      <x:c r="A14" s="12" t="str">
        <x:v>LV-066</x:v>
      </x:c>
      <x:c r="B14" s="12" t="str">
        <x:v>Sacanta</x:v>
      </x:c>
      <x:c r="C14" s="12" t="str">
        <x:v>A</x:v>
      </x:c>
      <x:c r="D14" s="12" t="n">
        <x:v>74</x:v>
      </x:c>
      <x:c r="E14" s="12" t="str">
        <x:v>Gaviglio Sacanta</x:v>
      </x:c>
      <x:c r="F14" s="12" t="str">
        <x:v>Servicio agrícola / maquinaria</x:v>
      </x:c>
      <x:c r="G14" s="12" t="str">
        <x:v>03533 438670</x:v>
      </x:c>
      <x:c r="H14" s="12" t="str">
        <x:v>RP13 km 81, Sacanta, Córdoba</x:v>
      </x:c>
      <x:c r="I14" s="12" t="str">
        <x:v>operaciones / maquinaria</x:v>
      </x:c>
      <x:c r="J14" s="12" t="str">
        <x:v>Pedir logística/operaciones/compras y calificar frecuencia.</x:v>
      </x:c>
      <x:c r="K14" s="12" t="str">
        <x:v>Google Business</x:v>
      </x:c>
      <x:c r="L14" s="12" t="str">
        <x:v>https://www.google.com/maps/search/?api=1&amp;query=Gaviglio+Sacanta%2C+RP13+km+81%2C+Sacanta%2C+C%C3%B3rdoba</x:v>
      </x:c>
    </x:row>
    <x:row r="15">
      <x:c r="A15" s="12" t="str">
        <x:v>LV-067</x:v>
      </x:c>
      <x:c r="B15" s="12" t="str">
        <x:v>Saturnino M. Laspiur</x:v>
      </x:c>
      <x:c r="C15" s="12" t="str">
        <x:v>B</x:v>
      </x:c>
      <x:c r="D15" s="12" t="n">
        <x:v>68</x:v>
      </x:c>
      <x:c r="E15" s="12" t="str">
        <x:v>Agroservicio Los Dos Hermanos</x:v>
      </x:c>
      <x:c r="F15" s="12" t="str">
        <x:v>Servicios agrícolas</x:v>
      </x:c>
      <x:c r="G15" s="12" t="str">
        <x:v>03533 686767</x:v>
      </x:c>
      <x:c r="H15" s="12" t="str">
        <x:v>General Paz 228, Saturnino M. Laspiur, Córdoba</x:v>
      </x:c>
      <x:c r="I15" s="12" t="str">
        <x:v>operaciones / maquinaria</x:v>
      </x:c>
      <x:c r="J15" s="12" t="str">
        <x:v>Pedir logística/operaciones/compras y calificar frecuencia.</x:v>
      </x:c>
      <x:c r="K15" s="12" t="str">
        <x:v>Google Business</x:v>
      </x:c>
      <x:c r="L15" s="12" t="str">
        <x:v>https://www.google.com/maps/search/?api=1&amp;query=Agroservicio+Los+Dos+Hermanos%2C+General+Paz+228%2C+Saturnino+M.+Laspiur%2C+C%C3%B3rdoba</x:v>
      </x:c>
    </x:row>
    <x:row r="16">
      <x:c r="A16" s="12" t="str">
        <x:v>LV-068</x:v>
      </x:c>
      <x:c r="B16" s="12" t="str">
        <x:v>Saturnino M. Laspiur</x:v>
      </x:c>
      <x:c r="C16" s="12" t="str">
        <x:v>B</x:v>
      </x:c>
      <x:c r="D16" s="12" t="n">
        <x:v>68</x:v>
      </x:c>
      <x:c r="E16" s="12" t="str">
        <x:v>Metalúrgica Don Pancho</x:v>
      </x:c>
      <x:c r="F16" s="12" t="str">
        <x:v>Metalúrgica</x:v>
      </x:c>
      <x:c r="G16" s="12" t="str">
        <x:v>A verificar</x:v>
      </x:c>
      <x:c r="H16" s="12" t="str">
        <x:v>Avellaneda 38, Saturnino M. Laspiur, Córdoba</x:v>
      </x:c>
      <x:c r="I16" s="12" t="str">
        <x:v>producción / logística</x:v>
      </x:c>
      <x:c r="J16" s="12" t="str">
        <x:v>Pedir producción/expedición/mantenimiento y relevar piezas máximas/destinos.</x:v>
      </x:c>
      <x:c r="K16" s="12" t="str">
        <x:v>Google Business</x:v>
      </x:c>
      <x:c r="L16" s="12" t="str">
        <x:v>https://www.google.com/maps/search/?api=1&amp;query=Metal%C3%BArgica+Don+Pancho%2C+Avellaneda+38%2C+Saturnino+M.+Laspiur%2C+C%C3%B3rdoba</x:v>
      </x:c>
    </x:row>
    <x:row r="17">
      <x:c r="A17" s="12" t="str">
        <x:v>LV-069</x:v>
      </x:c>
      <x:c r="B17" s="12" t="str">
        <x:v>Sacanta</x:v>
      </x:c>
      <x:c r="C17" s="12" t="str">
        <x:v>B</x:v>
      </x:c>
      <x:c r="D17" s="12" t="n">
        <x:v>65</x:v>
      </x:c>
      <x:c r="E17" s="12" t="str">
        <x:v>Construcciones Vitelli</x:v>
      </x:c>
      <x:c r="F17" s="12" t="str">
        <x:v>Contratista de construcción</x:v>
      </x:c>
      <x:c r="G17" s="12" t="str">
        <x:v>03533 519102</x:v>
      </x:c>
      <x:c r="H17" s="12" t="str">
        <x:v>Sacanta, Córdoba</x:v>
      </x:c>
      <x:c r="I17" s="12" t="str">
        <x:v>obras / logística</x:v>
      </x:c>
      <x:c r="J17" s="12" t="str">
        <x:v>Pedir obras/logística/equipos; relevar maquinaria propia y frecuencia.</x:v>
      </x:c>
      <x:c r="K17" s="12" t="str">
        <x:v>Google Business</x:v>
      </x:c>
      <x:c r="L17" s="12" t="str">
        <x:v>https://www.google.com/maps/search/?api=1&amp;query=Construcciones+Vitelli%2C+Sacanta%2C+C%C3%B3rdoba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0ee658f45cf64f11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8" hidden="0" customWidth="1"/>
    <x:col min="3" max="3" width="34" hidden="0" customWidth="1"/>
    <x:col min="4" max="4" width="20" hidden="0" customWidth="1"/>
    <x:col min="5" max="5" width="24" hidden="0" customWidth="1"/>
    <x:col min="6" max="6" width="36" hidden="0" customWidth="1"/>
    <x:col min="7" max="7" width="28" hidden="0" customWidth="1"/>
    <x:col min="8" max="8" width="44" hidden="0" customWidth="1"/>
    <x:col min="9" max="9" width="28" hidden="0" customWidth="1"/>
    <x:col min="10" max="10" width="52" hidden="0" customWidth="1"/>
  </x:cols>
  <x:sheetData>
    <x:row r="1">
      <x:c r="A1" s="6" t="str">
        <x:v>ID</x:v>
      </x:c>
      <x:c r="B1" s="6" t="str">
        <x:v>Clase</x:v>
      </x:c>
      <x:c r="C1" s="6" t="str">
        <x:v>Empresa</x:v>
      </x:c>
      <x:c r="D1" s="6" t="str">
        <x:v>Localidad</x:v>
      </x:c>
      <x:c r="E1" s="6" t="str">
        <x:v>Teléfono</x:v>
      </x:c>
      <x:c r="F1" s="6" t="str">
        <x:v>Estado</x:v>
      </x:c>
      <x:c r="G1" s="6" t="str">
        <x:v>Preguntar por</x:v>
      </x:c>
      <x:c r="H1" s="6" t="str">
        <x:v>Dirección</x:v>
      </x:c>
      <x:c r="I1" s="6" t="str">
        <x:v>Fuente</x:v>
      </x:c>
      <x:c r="J1" s="6" t="str">
        <x:v>URL</x:v>
      </x:c>
    </x:row>
    <x:row r="2">
      <x:c r="A2" s="12" t="str">
        <x:v>LV-002</x:v>
      </x:c>
      <x:c r="B2" s="12" t="str">
        <x:v>A+</x:v>
      </x:c>
      <x:c r="C2" s="12" t="str">
        <x:v>LRV Agro S.A.S.</x:v>
      </x:c>
      <x:c r="D2" s="12" t="str">
        <x:v>Las Varillas</x:v>
      </x:c>
      <x:c r="E2" s="12" t="str">
        <x:v>A verificar</x:v>
      </x:c>
      <x:c r="F2" s="12" t="str">
        <x:v>Operativo / verificar antes de visita</x:v>
      </x:c>
      <x:c r="G2" s="12" t="str">
        <x:v>ventas / logística / posventa / usados</x:v>
      </x:c>
      <x:c r="H2" s="12" t="str">
        <x:v>Av. Int. José Irazusta 423, Las Varillas, Córdoba</x:v>
      </x:c>
      <x:c r="I2" s="12" t="str">
        <x:v>Diario Las Varillas 2026</x:v>
      </x:c>
      <x:c r="J2" s="12" t="str">
        <x:v>https://diariodelasvarillas.com.ar/lrv-agro-un-concesionario-de-maquinaria-agricola-en-plena-expansion/</x:v>
      </x:c>
    </x:row>
    <x:row r="3">
      <x:c r="A3" s="12" t="str">
        <x:v>LV-011</x:v>
      </x:c>
      <x:c r="B3" s="12" t="str">
        <x:v>A+</x:v>
      </x:c>
      <x:c r="C3" s="12" t="str">
        <x:v>J. Boeris Maquinarias</x:v>
      </x:c>
      <x:c r="D3" s="12" t="str">
        <x:v>Las Varillas</x:v>
      </x:c>
      <x:c r="E3" s="12" t="str">
        <x:v>A verificar</x:v>
      </x:c>
      <x:c r="F3" s="12" t="str">
        <x:v>Operativo / verificar antes de visita</x:v>
      </x:c>
      <x:c r="G3" s="12" t="str">
        <x:v>ventas / logística / posventa</x:v>
      </x:c>
      <x:c r="H3" s="12" t="str">
        <x:v>Int. Irazusta 377, Las Varillas, Córdoba</x:v>
      </x:c>
      <x:c r="I3" s="12" t="str">
        <x:v>Web oficial</x:v>
      </x:c>
      <x:c r="J3" s="12" t="str">
        <x:v>https://boerismaquinarias.com/</x:v>
      </x:c>
    </x:row>
    <x:row r="4">
      <x:c r="A4" s="12" t="str">
        <x:v>LV-024</x:v>
      </x:c>
      <x:c r="B4" s="12" t="str">
        <x:v>A+</x:v>
      </x:c>
      <x:c r="C4" s="12" t="str">
        <x:v>Jotas Agro Implementos</x:v>
      </x:c>
      <x:c r="D4" s="12" t="str">
        <x:v>Las Varillas</x:v>
      </x:c>
      <x:c r="E4" s="12" t="str">
        <x:v>A verificar</x:v>
      </x:c>
      <x:c r="F4" s="12" t="str">
        <x:v>Operativo / verificar antes de visita</x:v>
      </x:c>
      <x:c r="G4" s="12" t="str">
        <x:v>producción / expedición / ventas</x:v>
      </x:c>
      <x:c r="H4" s="12" t="str">
        <x:v>Las Varillas, Córdoba</x:v>
      </x:c>
      <x:c r="I4" s="12" t="str">
        <x:v>Gobierno de Córdoba / Agroactiva 2026</x:v>
      </x:c>
      <x:c r="J4" s="12" t="str">
        <x:v>https://actualidadcordobesa.com/2026/06/02/cordoba-participara-en-agroactiva-2026-con-21-emprendedores-y-maquinaria-agricola/</x:v>
      </x:c>
    </x:row>
    <x:row r="5">
      <x:c r="A5" s="12" t="str">
        <x:v>LV-042</x:v>
      </x:c>
      <x:c r="B5" s="12" t="str">
        <x:v>A</x:v>
      </x:c>
      <x:c r="C5" s="12" t="str">
        <x:v>Transportes CV S.A.</x:v>
      </x:c>
      <x:c r="D5" s="12" t="str">
        <x:v>Las Varillas</x:v>
      </x:c>
      <x:c r="E5" s="12" t="str">
        <x:v>A verificar</x:v>
      </x:c>
      <x:c r="F5" s="12" t="str">
        <x:v>Operativo / verificar antes de visita</x:v>
      </x:c>
      <x:c r="G5" s="12" t="str">
        <x:v>tráfico / operaciones</x:v>
      </x:c>
      <x:c r="H5" s="12" t="str">
        <x:v>Escribano Luis Morelli 700, Las Varillas, Córdoba</x:v>
      </x:c>
      <x:c r="I5" s="12" t="str">
        <x:v>Google Business</x:v>
      </x:c>
      <x:c r="J5" s="12" t="str">
        <x:v>https://www.google.com/maps/search/?api=1&amp;query=Transportes+CV+SA%2C+Escribano+Luis+Morelli+700%2C+Las+Varillas%2C+C%C3%B3rdoba</x:v>
      </x:c>
    </x:row>
    <x:row r="6">
      <x:c r="A6" s="12" t="str">
        <x:v>LV-044</x:v>
      </x:c>
      <x:c r="B6" s="12" t="str">
        <x:v>B</x:v>
      </x:c>
      <x:c r="C6" s="12" t="str">
        <x:v>NOVA Construcciones S.A.</x:v>
      </x:c>
      <x:c r="D6" s="12" t="str">
        <x:v>Las Varillas</x:v>
      </x:c>
      <x:c r="E6" s="12" t="str">
        <x:v>A verificar</x:v>
      </x:c>
      <x:c r="F6" s="12" t="str">
        <x:v>Operativo / verificar antes de visita</x:v>
      </x:c>
      <x:c r="G6" s="12" t="str">
        <x:v>compras / logística / obras</x:v>
      </x:c>
      <x:c r="H6" s="12" t="str">
        <x:v>Güemes 33, Las Varillas, Córdoba</x:v>
      </x:c>
      <x:c r="I6" s="12" t="str">
        <x:v>Registro 2026</x:v>
      </x:c>
      <x:c r="J6" s="12" t="str">
        <x:v>https://www.dateas.com/es/empresa/nova-construcciones-sa-30716304635</x:v>
      </x:c>
    </x:row>
    <x:row r="7">
      <x:c r="A7" s="12" t="str">
        <x:v>LV-045</x:v>
      </x:c>
      <x:c r="B7" s="12" t="str">
        <x:v>B</x:v>
      </x:c>
      <x:c r="C7" s="12" t="str">
        <x:v>SC Oleohidráulica</x:v>
      </x:c>
      <x:c r="D7" s="12" t="str">
        <x:v>Las Varillas</x:v>
      </x:c>
      <x:c r="E7" s="12" t="str">
        <x:v>A verificar</x:v>
      </x:c>
      <x:c r="F7" s="12" t="str">
        <x:v>Operativo / verificar antes de visita</x:v>
      </x:c>
      <x:c r="G7" s="12" t="str">
        <x:v>taller / service</x:v>
      </x:c>
      <x:c r="H7" s="12" t="str">
        <x:v>Santa Cruz 141, Las Varillas, Córdoba</x:v>
      </x:c>
      <x:c r="I7" s="12" t="str">
        <x:v>Google Business</x:v>
      </x:c>
      <x:c r="J7" s="12" t="str">
        <x:v>https://www.google.com/maps/search/?api=1&amp;query=SC+Oleohidr%C3%A1ulica%2C+Santa+Cruz+141%2C+Las+Varillas%2C+C%C3%B3rdoba</x:v>
      </x:c>
    </x:row>
    <x:row r="8">
      <x:c r="A8" s="12" t="str">
        <x:v>LV-051</x:v>
      </x:c>
      <x:c r="B8" s="12" t="str">
        <x:v>B</x:v>
      </x:c>
      <x:c r="C8" s="12" t="str">
        <x:v>Variagro Maquinarias S.A.</x:v>
      </x:c>
      <x:c r="D8" s="12" t="str">
        <x:v>Las Varillas</x:v>
      </x:c>
      <x:c r="E8" s="12" t="str">
        <x:v>A verificar</x:v>
      </x:c>
      <x:c r="F8" s="12" t="str">
        <x:v>VALIDAR OPERACIÓN COMERCIAL</x:v>
      </x:c>
      <x:c r="G8" s="12" t="str">
        <x:v>ventas / logística</x:v>
      </x:c>
      <x:c r="H8" s="12" t="str">
        <x:v>San Martín 837, Las Varillas, Córdoba</x:v>
      </x:c>
      <x:c r="I8" s="12" t="str">
        <x:v>Registro 2026</x:v>
      </x:c>
      <x:c r="J8" s="12" t="str">
        <x:v>https://indicadores.ar/empresa/30717955087</x:v>
      </x:c>
    </x:row>
    <x:row r="9">
      <x:c r="A9" s="12" t="str">
        <x:v>LV-056</x:v>
      </x:c>
      <x:c r="B9" s="12" t="str">
        <x:v>B</x:v>
      </x:c>
      <x:c r="C9" s="12" t="str">
        <x:v>Auxilio y Grúas Ottero</x:v>
      </x:c>
      <x:c r="D9" s="12" t="str">
        <x:v>Las Varillas</x:v>
      </x:c>
      <x:c r="E9" s="12" t="str">
        <x:v>03533 421681</x:v>
      </x:c>
      <x:c r="F9" s="12" t="str">
        <x:v>VALIDAR ACTIVIDAD: Google lo marca temporalmente cerrado</x:v>
      </x:c>
      <x:c r="G9" s="12" t="str">
        <x:v>operaciones / grúas</x:v>
      </x:c>
      <x:c r="H9" s="12" t="str">
        <x:v>Santa Rosa 54, Las Varillas, Córdoba</x:v>
      </x:c>
      <x:c r="I9" s="12" t="str">
        <x:v>Guía Urbana / Google Business</x:v>
      </x:c>
      <x:c r="J9" s="12" t="str">
        <x:v>https://www.guiaurbana.com.ar/empresas/auxilio-y-gruas-ottero-las-varillas</x:v>
      </x:c>
    </x:row>
    <x:row r="10">
      <x:c r="A10" s="12" t="str">
        <x:v>LV-063</x:v>
      </x:c>
      <x:c r="B10" s="12" t="str">
        <x:v>A</x:v>
      </x:c>
      <x:c r="C10" s="12" t="str">
        <x:v>G y C S.R.L.</x:v>
      </x:c>
      <x:c r="D10" s="12" t="str">
        <x:v>Alicia</x:v>
      </x:c>
      <x:c r="E10" s="12" t="str">
        <x:v>A verificar</x:v>
      </x:c>
      <x:c r="F10" s="12" t="str">
        <x:v>Operativo / verificar antes de visita</x:v>
      </x:c>
      <x:c r="G10" s="12" t="str">
        <x:v>operaciones / maquinaria / logística</x:v>
      </x:c>
      <x:c r="H10" s="12" t="str">
        <x:v>Sarmiento 1009, Alicia, Córdoba</x:v>
      </x:c>
      <x:c r="I10" s="12" t="str">
        <x:v>Registro 2026</x:v>
      </x:c>
      <x:c r="J10" s="12" t="str">
        <x:v>https://indicadores.ar/empresa/30708732644-g-y-c-s-r-l</x:v>
      </x:c>
    </x:row>
    <x:row r="11">
      <x:c r="A11" s="12" t="str">
        <x:v>LV-068</x:v>
      </x:c>
      <x:c r="B11" s="12" t="str">
        <x:v>B</x:v>
      </x:c>
      <x:c r="C11" s="12" t="str">
        <x:v>Metalúrgica Don Pancho</x:v>
      </x:c>
      <x:c r="D11" s="12" t="str">
        <x:v>Saturnino M. Laspiur</x:v>
      </x:c>
      <x:c r="E11" s="12" t="str">
        <x:v>A verificar</x:v>
      </x:c>
      <x:c r="F11" s="12" t="str">
        <x:v>Operativo / verificar antes de visita</x:v>
      </x:c>
      <x:c r="G11" s="12" t="str">
        <x:v>producción / logística</x:v>
      </x:c>
      <x:c r="H11" s="12" t="str">
        <x:v>Avellaneda 38, Saturnino M. Laspiur, Córdoba</x:v>
      </x:c>
      <x:c r="I11" s="12" t="str">
        <x:v>Google Business</x:v>
      </x:c>
      <x:c r="J11" s="12" t="str">
        <x:v>https://www.google.com/maps/search/?api=1&amp;query=Metal%C3%BArgica+Don+Pancho%2C+Avellaneda+38%2C+Saturnino+Mar%C3%ADa+Laspiur%2C+C%C3%B3rdoba</x:v>
      </x:c>
    </x:row>
    <x:row r="12">
      <x:c r="A12" t="str">
        <x:v>LV-070</x:v>
      </x:c>
      <x:c r="B12" t="str">
        <x:v>A+</x:v>
      </x:c>
      <x:c r="C12" t="str">
        <x:v>Ricardo Venturino S.A. - Las Varillas</x:v>
      </x:c>
      <x:c r="D12" t="str">
        <x:v>Las Varillas</x:v>
      </x:c>
      <x:c r="E12" t="str">
        <x:v>+54 9 3462 566606</x:v>
      </x:c>
      <x:c r="F12" t="str">
        <x:v>Operativo / verificar antes de visita</x:v>
      </x:c>
      <x:c r="G12" t="str">
        <x:v>gerencia / logística / posventa / usados</x:v>
      </x:c>
      <x:c r="H12" t="str">
        <x:v>Martín Fierro 741, Las Varillas, Córdoba</x:v>
      </x:c>
      <x:c r="I12" t="str">
        <x:v>Web oficial Venturino</x:v>
      </x:c>
      <x:c r="J12" t="str">
        <x:v>https://ricardoventurino.com.ar/contacto</x:v>
      </x:c>
    </x:row>
    <x:row r="13">
      <x:c r="A13" t="str">
        <x:v>LV-071</x:v>
      </x:c>
      <x:c r="B13" t="str">
        <x:v>A+</x:v>
      </x:c>
      <x:c r="C13" t="str">
        <x:v>Escobedo Motores y Repuestos</x:v>
      </x:c>
      <x:c r="D13" t="str">
        <x:v>Las Varillas</x:v>
      </x:c>
      <x:c r="E13" t="str">
        <x:v>03533 423475</x:v>
      </x:c>
      <x:c r="F13" t="str">
        <x:v>Operativo / verificar antes de visita</x:v>
      </x:c>
      <x:c r="G13" t="str">
        <x:v>ventas / logística / taller / service</x:v>
      </x:c>
      <x:c r="H13" t="str">
        <x:v>Las Varillas, Córdoba</x:v>
      </x:c>
      <x:c r="I13" t="str">
        <x:v>Agroads + redes oficiales</x:v>
      </x:c>
      <x:c r="J13" t="str">
        <x:v>https://www.agroads.com.ar/e/escobedo-motores-y-repuestos/</x:v>
      </x:c>
    </x:row>
    <x:row r="14">
      <x:c r="A14" t="str">
        <x:v>LV-072</x:v>
      </x:c>
      <x:c r="B14" t="str">
        <x:v>A+</x:v>
      </x:c>
      <x:c r="C14" t="str">
        <x:v>Riego &amp; Silos</x:v>
      </x:c>
      <x:c r="D14" t="str">
        <x:v>Las Varillas</x:v>
      </x:c>
      <x:c r="E14" t="str">
        <x:v>03533 421323 / +54 9 3537 598997</x:v>
      </x:c>
      <x:c r="F14" t="str">
        <x:v>Operativo / verificar antes de visita</x:v>
      </x:c>
      <x:c r="G14" t="str">
        <x:v>proyectos / logística / obras / montaje</x:v>
      </x:c>
      <x:c r="H14" t="str">
        <x:v>Mitre 150, Las Varillas, Córdoba</x:v>
      </x:c>
      <x:c r="I14" t="str">
        <x:v>Comil + LinkedIn</x:v>
      </x:c>
      <x:c r="J14" t="str">
        <x:v>https://comil.com.br/es/area-de-actuacion/</x:v>
      </x:c>
    </x:row>
  </x:sheetData>
  <x:pageMargins left="0.7" right="0.7" top="0.75" bottom="0.75" header="0.3" footer="0.3"/>
  <x:tableParts count="1">
    <x:tablePart xmlns:r="http://schemas.openxmlformats.org/officeDocument/2006/relationships" r:id="R7b0f8cce064a4130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50" hidden="0" customWidth="1"/>
    <x:col min="3" max="3" width="20" hidden="0" customWidth="1"/>
    <x:col min="4" max="4" width="16" hidden="0" customWidth="1"/>
  </x:cols>
  <x:sheetData>
    <x:row r="1">
      <x:c r="A1" s="17" t="str">
        <x:v>SERVICIOS PRESOL · OPORTUNIDAD EN ZONA LAS VARILLAS</x:v>
      </x:c>
      <x:c r="B1" s="17"/>
      <x:c r="C1" s="17"/>
      <x:c r="D1" s="17"/>
    </x:row>
    <x:row r="3">
      <x:c r="A3" s="6" t="str">
        <x:v>Servicio</x:v>
      </x:c>
      <x:c r="B3" s="6" t="str">
        <x:v>Uso</x:v>
      </x:c>
      <x:c r="C3" s="6" t="str">
        <x:v>Prospectos compatibles</x:v>
      </x:c>
      <x:c r="D3" s="6" t="str">
        <x:v>% universo</x:v>
      </x:c>
    </x:row>
    <x:row r="4">
      <x:c r="A4" t="str">
        <x:v>Plataforma 20 tn</x:v>
      </x:c>
      <x:c r="B4" t="str">
        <x:v>Maquinaria, tractores, implementos y equipos pesados.</x:v>
      </x:c>
      <x:c r="C4" t="n">
        <x:f>COUNTIF(Prospectos!AE:AE,"*Plataforma*")</x:f>
        <x:v>0</x:v>
      </x:c>
      <x:c r="D4" s="30" t="n">
        <x:f>C4/(COUNTA(Prospectos!H:H)-1)</x:f>
        <x:v>0</x:v>
      </x:c>
    </x:row>
    <x:row r="5">
      <x:c r="A5" t="str">
        <x:v>Hidrogrúa</x:v>
      </x:c>
      <x:c r="B5" t="str">
        <x:v>Carga/descarga y posicionamiento de piezas/equipos.</x:v>
      </x:c>
      <x:c r="C5" t="n">
        <x:f>COUNTIF(Prospectos!AE:AE,"*Hidrogrúa*")</x:f>
        <x:v>0</x:v>
      </x:c>
      <x:c r="D5" s="30" t="n">
        <x:f>C5/(COUNTA(Prospectos!H:H)-1)</x:f>
        <x:v>0</x:v>
      </x:c>
    </x:row>
    <x:row r="6">
      <x:c r="A6" t="str">
        <x:v>Malacate</x:v>
      </x:c>
      <x:c r="B6" t="str">
        <x:v>Carga de equipos sin autonomía o averiados.</x:v>
      </x:c>
      <x:c r="C6" t="n">
        <x:f>COUNTIF(Prospectos!AE:AE,"*Malacate*")</x:f>
        <x:v>0</x:v>
      </x:c>
      <x:c r="D6" s="30" t="n">
        <x:f>C6/(COUNTA(Prospectos!H:H)-1)</x:f>
        <x:v>0</x:v>
      </x:c>
    </x:row>
    <x:row r="7">
      <x:c r="A7" t="str">
        <x:v>Percha para pallets</x:v>
      </x:c>
      <x:c r="B7" t="str">
        <x:v>Pallets y cargas compatibles.</x:v>
      </x:c>
      <x:c r="C7" t="n">
        <x:f>COUNTIF(Prospectos!AE:AE,"*Percha*")</x:f>
        <x:v>0</x:v>
      </x:c>
      <x:c r="D7" s="30" t="n">
        <x:f>C7/(COUNTA(Prospectos!H:H)-1)</x:f>
        <x:v>0</x:v>
      </x:c>
    </x:row>
    <x:row r="8">
      <x:c r="A8" t="str">
        <x:v>Entrega/retiro maquinaria</x:v>
      </x:c>
      <x:c r="B8" t="str">
        <x:v>Concesionarios, fábricas y service.</x:v>
      </x:c>
      <x:c r="C8" t="n">
        <x:f>COUNTIF(Prospectos!AE:AE,"*Entrega/retiro*")</x:f>
        <x:v>0</x:v>
      </x:c>
      <x:c r="D8" s="30" t="n">
        <x:f>C8/(COUNTA(Prospectos!H:H)-1)</x:f>
        <x:v>0</x:v>
      </x:c>
    </x:row>
    <x:row r="9">
      <x:c r="A9" t="str">
        <x:v>Traslados interobra</x:v>
      </x:c>
      <x:c r="B9" t="str">
        <x:v>Constructoras y equipos viales.</x:v>
      </x:c>
      <x:c r="C9" t="n">
        <x:f>COUNTIF(Prospectos!AE:AE,"*Traslados*")</x:f>
        <x:v>0</x:v>
      </x:c>
      <x:c r="D9" s="30" t="n">
        <x:f>C9/(COUNTA(Prospectos!H:H)-1)</x:f>
        <x:v>0</x:v>
      </x:c>
    </x:row>
    <x:row r="10">
      <x:c r="A10" t="str">
        <x:v>Seguro/GPS</x:v>
      </x:c>
      <x:c r="B10" t="str">
        <x:v>Equipos de alto valor.</x:v>
      </x:c>
      <x:c r="C10" t="n">
        <x:f>COUNTIF(Prospectos!AE:AE,"*Seguro/GPS*")</x:f>
        <x:v>0</x:v>
      </x:c>
      <x:c r="D10" s="30" t="n">
        <x:f>C10/(COUNTA(Prospectos!H:H)-1)</x:f>
        <x:v>0</x:v>
      </x:c>
    </x:row>
    <x:row r="11">
      <x:c r="A11" t="str">
        <x:v>Subcontratación</x:v>
      </x:c>
      <x:c r="B11" t="str">
        <x:v>Transportistas y grúas como socios/overflow.</x:v>
      </x:c>
      <x:c r="C11" t="n">
        <x:f>COUNTIF(Prospectos!AE:AE,"*Subcontratación*")</x:f>
        <x:v>0</x:v>
      </x:c>
      <x:c r="D11" s="30" t="n">
        <x:f>C11/(COUNTA(Prospectos!H:H)-1)</x:f>
        <x:v>0</x:v>
      </x:c>
    </x:row>
  </x:sheetData>
  <x:mergeCells>
    <x:mergeCell ref="A1:D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96" hidden="0" customWidth="1"/>
  </x:cols>
  <x:sheetData>
    <x:row r="1">
      <x:c r="A1" s="17" t="str">
        <x:v>GUÍA DE USO · LAS VARILLAS</x:v>
      </x:c>
      <x:c r="B1" s="17"/>
      <x:c r="C1" s="17"/>
      <x:c r="D1" s="17"/>
      <x:c r="E1" s="17"/>
      <x:c r="F1" s="17"/>
    </x:row>
    <x:row r="3">
      <x:c r="A3" s="6" t="str">
        <x:v>Tema</x:v>
      </x:c>
      <x:c r="B3" s="6" t="str">
        <x:v>Criterio</x:v>
      </x:c>
    </x:row>
    <x:row r="4">
      <x:c r="A4" s="32" t="str">
        <x:v>ALCANCE</x:v>
      </x:c>
      <x:c r="B4" s="12" t="str">
        <x:v>Núcleo Las Varillas + zona ampliada operativamente cercana: Alicia, El Arañado, Saturnino M. Laspiur y Sacanta.</x:v>
      </x:c>
    </x:row>
    <x:row r="5">
      <x:c r="A5" s="32" t="str">
        <x:v>OBJETIVO</x:v>
      </x:c>
      <x:c r="B5" s="12" t="str">
        <x:v>Encontrar clientes o aliados con necesidad de carretón/plataforma, hidrogrúa, malacate, movimientos interobra o cargas especiales.</x:v>
      </x:c>
    </x:row>
    <x:row r="6">
      <x:c r="A6" s="32" t="str">
        <x:v>A+</x:v>
      </x:c>
      <x:c r="B6" s="12" t="str">
        <x:v>Fabricantes, concesionarios, maquinaria vial/agro, transportistas de maquinaria y operaciones con equipos de gran porte.</x:v>
      </x:c>
    </x:row>
    <x:row r="7">
      <x:c r="A7" s="32" t="str">
        <x:v>A</x:v>
      </x:c>
      <x:c r="B7" s="12" t="str">
        <x:v>Metalmecánicas, estructuras, hidráulica, constructoras y transportistas con afinidad alta.</x:v>
      </x:c>
    </x:row>
    <x:row r="8">
      <x:c r="A8" s="32" t="str">
        <x:v>B</x:v>
      </x:c>
      <x:c r="B8" s="12" t="str">
        <x:v>Materiales, insumos, industrias menores o registros que requieren calificación/validación.</x:v>
      </x:c>
    </x:row>
    <x:row r="9">
      <x:c r="A9" s="32" t="str">
        <x:v>FUENTES</x:v>
      </x:c>
      <x:c r="B9" s="12" t="str">
        <x:v>Webs oficiales, Google Business, Municipalidad, AFAMAC/Maquinac, directorios sectoriales y registros empresariales actualizados.</x:v>
      </x:c>
    </x:row>
    <x:row r="10">
      <x:c r="A10" s="32" t="str">
        <x:v>VERIFICACIÓN</x:v>
      </x:c>
      <x:c r="B10" s="12" t="str">
        <x:v>Los registros marcados 'A verificar' o 'VALIDAR' no deben visitarse sin llamada previa.</x:v>
      </x:c>
    </x:row>
    <x:row r="11">
      <x:c r="A11" s="32" t="str">
        <x:v>RUTA</x:v>
      </x:c>
      <x:c r="B11" s="12" t="str">
        <x:v>La hoja Foco A+ sirve como universo de primera jornada. La Zona ampliada conviene recorrerla en una jornada separada.</x:v>
      </x:c>
    </x:row>
    <x:row r="12">
      <x:c r="A12" s="32" t="str">
        <x:v>SIGUIENTE PASO</x:v>
      </x:c>
      <x:c r="B12" s="12" t="str">
        <x:v>Llamar primero a A+ y preguntar por logística/expedición/posventa. Registrar pesos, medidas, frecuencia y proveedor actual.</x:v>
      </x:c>
    </x:row>
  </x:sheetData>
  <x:mergeCells>
    <x:mergeCell ref="A1:F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8" hidden="0" customWidth="1"/>
    <x:col min="4" max="4" width="8" hidden="0" customWidth="1"/>
    <x:col min="5" max="5" width="36" hidden="0" customWidth="1"/>
    <x:col min="6" max="6" width="44" hidden="0" customWidth="1"/>
    <x:col min="7" max="7" width="24" hidden="0" customWidth="1"/>
    <x:col min="8" max="8" width="46" hidden="0" customWidth="1"/>
    <x:col min="9" max="9" width="30" hidden="0" customWidth="1"/>
    <x:col min="10" max="10" width="58" hidden="0" customWidth="1"/>
    <x:col min="11" max="11" width="52" hidden="0" customWidth="1"/>
  </x:cols>
  <x:sheetData>
    <x:row r="1">
      <x:c r="A1" s="35" t="str">
        <x:v>LAS VARILLAS · REFINAMIENTO MAQUINARIA / DEALERS / MONTAJE</x:v>
      </x:c>
      <x:c r="B1" s="35"/>
      <x:c r="C1" s="35"/>
      <x:c r="D1" s="35"/>
      <x:c r="E1" s="35"/>
      <x:c r="F1" s="35"/>
      <x:c r="G1" s="35"/>
      <x:c r="H1" s="35"/>
      <x:c r="I1" s="35"/>
      <x:c r="J1" s="35"/>
      <x:c r="K1" s="35"/>
    </x:row>
    <x:row r="2">
      <x:c r="A2" s="37" t="str">
        <x:v>Altas nuevas del segundo barrido + revalorización de concesionarios/fabricantes ya presentes.</x:v>
      </x:c>
      <x:c r="B2" s="37"/>
      <x:c r="C2" s="37"/>
      <x:c r="D2" s="37"/>
      <x:c r="E2" s="37"/>
      <x:c r="F2" s="37"/>
      <x:c r="G2" s="37"/>
      <x:c r="H2" s="37"/>
      <x:c r="I2" s="37"/>
      <x:c r="J2" s="37"/>
      <x:c r="K2" s="37"/>
    </x:row>
    <x:row r="4">
      <x:c r="A4" s="40" t="str">
        <x:v>Tipo</x:v>
      </x:c>
      <x:c r="B4" s="40" t="str">
        <x:v>ID</x:v>
      </x:c>
      <x:c r="C4" s="40" t="str">
        <x:v>Clase</x:v>
      </x:c>
      <x:c r="D4" s="40" t="str">
        <x:v>Score</x:v>
      </x:c>
      <x:c r="E4" s="40" t="str">
        <x:v>Empresa</x:v>
      </x:c>
      <x:c r="F4" s="40" t="str">
        <x:v>Rubro</x:v>
      </x:c>
      <x:c r="G4" s="40" t="str">
        <x:v>Teléfono</x:v>
      </x:c>
      <x:c r="H4" s="40" t="str">
        <x:v>Dirección</x:v>
      </x:c>
      <x:c r="I4" s="40" t="str">
        <x:v>Preguntar por</x:v>
      </x:c>
      <x:c r="J4" s="40" t="str">
        <x:v>Por qué interesa a PRESOL</x:v>
      </x:c>
      <x:c r="K4" s="40" t="str">
        <x:v>Fuente</x:v>
      </x:c>
    </x:row>
    <x:row r="5">
      <x:c r="A5" s="12" t="str">
        <x:v>REVISADO</x:v>
      </x:c>
      <x:c r="B5" s="12" t="str">
        <x:v>LV-015</x:v>
      </x:c>
      <x:c r="C5" s="12" t="str">
        <x:v>A+</x:v>
      </x:c>
      <x:c r="D5" s="12" t="n">
        <x:v>99</x:v>
      </x:c>
      <x:c r="E5" s="12" t="str">
        <x:v>Doffo - Maquinarias Agrícolas y Viales</x:v>
      </x:c>
      <x:c r="F5" s="12" t="str">
        <x:v>Maquinaria agrícola y vial pesada</x:v>
      </x:c>
      <x:c r="G5" s="12" t="str">
        <x:v>03533 456851</x:v>
      </x:c>
      <x:c r="H5" s="12" t="str">
        <x:v>B. Rivadavia s/n, Las Varillas, Córdoba</x:v>
      </x:c>
      <x:c r="I5" s="12" t="str">
        <x:v>ventas / logística / usados / posventa</x:v>
      </x:c>
      <x:c r="J5" s="12" t="str">
        <x:v>Publica palas cargadoras Michigan, tractores Hanomag y equipos viales: afinidad directa con plataforma.</x:v>
      </x:c>
      <x:c r="K5" s="12" t="str">
        <x:v>https://www.agroads.com.ar/seccion.asp?loc=198&amp;prov=8&amp;subcat=122&amp;tipo=nuevo</x:v>
      </x:c>
    </x:row>
    <x:row r="6">
      <x:c r="A6" s="12" t="str">
        <x:v>REVISADO</x:v>
      </x:c>
      <x:c r="B6" s="12" t="str">
        <x:v>LV-016</x:v>
      </x:c>
      <x:c r="C6" s="12" t="str">
        <x:v>A+</x:v>
      </x:c>
      <x:c r="D6" s="12" t="n">
        <x:v>100</x:v>
      </x:c>
      <x:c r="E6" s="12" t="str">
        <x:v>GRIFFA S.A. Las Varillas</x:v>
      </x:c>
      <x:c r="F6" s="12" t="str">
        <x:v>New Holland: tractores, cosechadoras, pulverizadoras y sembradoras</x:v>
      </x:c>
      <x:c r="G6" s="12" t="str">
        <x:v>3533 418506 / 3563 669009</x:v>
      </x:c>
      <x:c r="H6" s="12" t="str">
        <x:v>Av. Int. José Irazusta 272, Las Varillas, Córdoba</x:v>
      </x:c>
      <x:c r="I6" s="12" t="str">
        <x:v>ventas / logística / service / repuestos</x:v>
      </x:c>
      <x:c r="J6" s="12" t="str">
        <x:v>Concesionario oficial New Holland con taller y postventa; alto flujo potencial de equipos.</x:v>
      </x:c>
      <x:c r="K6" s="12" t="str">
        <x:v>https://griffasa.com.ar/maquinarias/</x:v>
      </x:c>
    </x:row>
    <x:row r="7">
      <x:c r="A7" s="12" t="str">
        <x:v>REVISADO</x:v>
      </x:c>
      <x:c r="B7" s="12" t="str">
        <x:v>LV-018</x:v>
      </x:c>
      <x:c r="C7" s="12" t="str">
        <x:v>A+</x:v>
      </x:c>
      <x:c r="D7" s="12" t="n">
        <x:v>100</x:v>
      </x:c>
      <x:c r="E7" s="12" t="str">
        <x:v>Produmat S.A.</x:v>
      </x:c>
      <x:c r="F7" s="12" t="str">
        <x:v>Retroexcavadoras, cargadores frontales y equipos viales</x:v>
      </x:c>
      <x:c r="G7" s="12" t="str">
        <x:v>03533 421594 / 423685</x:v>
      </x:c>
      <x:c r="H7" s="12" t="str">
        <x:v>Chacabuco 645, Las Varillas, Córdoba</x:v>
      </x:c>
      <x:c r="I7" s="12" t="str">
        <x:v>producción / expedición / logística</x:v>
      </x:c>
      <x:c r="J7" s="12" t="str">
        <x:v>Además de agropartes fabrica maquinaria autopropulsada y equipos viales, elevando mucho su afinidad.</x:v>
      </x:c>
      <x:c r="K7" s="12" t="str">
        <x:v>https://maquinac.com/empresas/produmat/</x:v>
      </x:c>
    </x:row>
    <x:row r="8">
      <x:c r="A8" s="12" t="str">
        <x:v>NUEVO</x:v>
      </x:c>
      <x:c r="B8" s="12" t="str">
        <x:v>LV-070</x:v>
      </x:c>
      <x:c r="C8" s="12" t="str">
        <x:v>A+</x:v>
      </x:c>
      <x:c r="D8" s="12" t="n">
        <x:v>100</x:v>
      </x:c>
      <x:c r="E8" s="12" t="str">
        <x:v>Ricardo Venturino S.A. - Las Varillas</x:v>
      </x:c>
      <x:c r="F8" s="12" t="str">
        <x:v>Concesionario oficial John Deere y PLA / tractores / cosechadoras</x:v>
      </x:c>
      <x:c r="G8" s="12" t="str">
        <x:v>+54 9 3462 566606</x:v>
      </x:c>
      <x:c r="H8" s="12" t="str">
        <x:v>Martín Fierro 741, Las Varillas, Córdoba</x:v>
      </x:c>
      <x:c r="I8" s="12" t="str">
        <x:v>gerencia / logística / posventa / usados</x:v>
      </x:c>
      <x:c r="J8" s="12" t="str">
        <x:v>Sucursal oficial Las Varillas activa en 2026; venta, posventa y tecnología John Deere/PLA. Tiene técnicos de tractores y bodega de repuestos.</x:v>
      </x:c>
      <x:c r="K8" s="12" t="str">
        <x:v>https://ricardoventurino.com.ar/contacto</x:v>
      </x:c>
    </x:row>
    <x:row r="9">
      <x:c r="A9" s="12" t="str">
        <x:v>NUEVO</x:v>
      </x:c>
      <x:c r="B9" s="12" t="str">
        <x:v>LV-071</x:v>
      </x:c>
      <x:c r="C9" s="12" t="str">
        <x:v>A+</x:v>
      </x:c>
      <x:c r="D9" s="12" t="n">
        <x:v>99</x:v>
      </x:c>
      <x:c r="E9" s="12" t="str">
        <x:v>Escobedo Motores y Repuestos</x:v>
      </x:c>
      <x:c r="F9" s="12" t="str">
        <x:v>Motores, autoelevadores, minicargadoras y maquinaria vial</x:v>
      </x:c>
      <x:c r="G9" s="12" t="str">
        <x:v>03533 423475</x:v>
      </x:c>
      <x:c r="H9" s="12" t="str">
        <x:v>Las Varillas, Córdoba</x:v>
      </x:c>
      <x:c r="I9" s="12" t="str">
        <x:v>ventas / logística / taller / service</x:v>
      </x:c>
      <x:c r="J9" s="12" t="str">
        <x:v>Comercio activo desde 2009; publica motores, cajas, repuestos para tractores/camiones y autoelevadores/minicargadoras XCMG con entrega inmediata.</x:v>
      </x:c>
      <x:c r="K9" s="12" t="str">
        <x:v>https://www.agroads.com.ar/e/escobedo-motores-y-repuestos/</x:v>
      </x:c>
    </x:row>
    <x:row r="10">
      <x:c r="A10" s="12" t="str">
        <x:v>NUEVO</x:v>
      </x:c>
      <x:c r="B10" s="12" t="str">
        <x:v>LV-072</x:v>
      </x:c>
      <x:c r="C10" s="12" t="str">
        <x:v>A+</x:v>
      </x:c>
      <x:c r="D10" s="12" t="n">
        <x:v>98</x:v>
      </x:c>
      <x:c r="E10" s="12" t="str">
        <x:v>Riego &amp; Silos</x:v>
      </x:c>
      <x:c r="F10" s="12" t="str">
        <x:v>Ingeniería, construcción y montaje de plantas de silos</x:v>
      </x:c>
      <x:c r="G10" s="12" t="str">
        <x:v>03533 421323 / +54 9 3537 598997</x:v>
      </x:c>
      <x:c r="H10" s="12" t="str">
        <x:v>Mitre 150, Las Varillas, Córdoba</x:v>
      </x:c>
      <x:c r="I10" s="12" t="str">
        <x:v>proyectos / logística / obras / montaje</x:v>
      </x:c>
      <x:c r="J10" s="12" t="str">
        <x:v>Empresa de Las Varillas dedicada a ingeniería, construcción y puesta en marcha de plantas de almacenamiento de granos, subproductos y fertilizantes.</x:v>
      </x:c>
      <x:c r="K10" s="12" t="str">
        <x:v>https://comil.com.br/es/area-de-actuacion/</x:v>
      </x:c>
    </x:row>
    <x:row r="13">
      <x:c r="A13" s="41" t="str">
        <x:v>CONTROL DE FALSOS POSITIVOS / DUPLICADOS</x:v>
      </x:c>
      <x:c r="B13" s="41"/>
      <x:c r="C13" s="41"/>
      <x:c r="D13" s="41"/>
      <x:c r="E13" s="41"/>
      <x:c r="F13" s="41"/>
      <x:c r="G13" s="41"/>
      <x:c r="H13" s="41"/>
      <x:c r="I13" s="41"/>
      <x:c r="J13" s="41"/>
      <x:c r="K13" s="41"/>
    </x:row>
    <x:row r="14">
      <x:c r="A14" s="42" t="str">
        <x:v>Vanderhoeven Agrícola</x:v>
      </x:c>
      <x:c r="B14" s="12" t="str">
        <x:v>No se agregó: la cobertura John Deere de Las Varillas fue asumida por Venturino; usar el contacto actual de Venturino.</x:v>
      </x:c>
    </x:row>
    <x:row r="15">
      <x:c r="A15" s="42" t="str">
        <x:v>Maquinarias Ibarrola</x:v>
      </x:c>
      <x:c r="B15" s="12" t="str">
        <x:v>No se agregó: publica equipos ubicados en Las Varillas, pero su base comercial está en Salliqueló, Buenos Aires.</x:v>
      </x:c>
    </x:row>
    <x:row r="16">
      <x:c r="A16" s="42" t="str">
        <x:v>Tracción Sur S.A.</x:v>
      </x:c>
      <x:c r="B16" s="12" t="str">
        <x:v>No se agregó: avisos pueden figurar ubicados en Las Varillas, pero el vendedor está radicado fuera de la zona.</x:v>
      </x:c>
    </x:row>
  </x:sheetData>
  <x:mergeCells>
    <x:mergeCell ref="A1:K1"/>
    <x:mergeCell ref="A2:K2"/>
    <x:mergeCell ref="A13:K13"/>
  </x:mergeCells>
  <x:conditionalFormatting sqref="C5:C10">
    <x:cfRule type="expression" dxfId="7" priority="1">
      <x:formula>C5="A+"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4f28aa0bb0a489e"/>
  </x:tableParts>
</x:worksheet>
</file>