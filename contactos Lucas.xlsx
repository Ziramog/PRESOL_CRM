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5840"/>
  </bookViews>
  <sheets>
    <sheet name="Prospectos Resumen" sheetId="1" r:id="rId1"/>
    <sheet name="Prospectos" sheetId="2" r:id="rId2"/>
    <sheet name="Indicadores" sheetId="3" r:id="rId3"/>
    <sheet name="Contactos a verificar" sheetId="4" r:id="rId4"/>
    <sheet name="Servicios PRESOL" sheetId="5" r:id="rId5"/>
    <sheet name="Guía de uso" sheetId="6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7" i="1" l="1"/>
  <c r="E297" i="1"/>
  <c r="F297" i="1"/>
  <c r="G297" i="1"/>
  <c r="H297" i="1"/>
  <c r="I297" i="1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D296" i="1"/>
  <c r="I296" i="1"/>
  <c r="H296" i="1"/>
  <c r="G296" i="1"/>
  <c r="F296" i="1"/>
  <c r="E296" i="1"/>
  <c r="B9" i="5" l="1"/>
  <c r="B8" i="5"/>
  <c r="E37" i="3"/>
  <c r="D37" i="3"/>
  <c r="C37" i="3"/>
  <c r="F37" i="3" s="1"/>
  <c r="F36" i="3"/>
  <c r="E36" i="3"/>
  <c r="D36" i="3"/>
  <c r="C36" i="3"/>
  <c r="E35" i="3"/>
  <c r="D35" i="3"/>
  <c r="C35" i="3"/>
  <c r="F35" i="3" s="1"/>
  <c r="F34" i="3"/>
  <c r="E34" i="3"/>
  <c r="D34" i="3"/>
  <c r="C34" i="3"/>
  <c r="E33" i="3"/>
  <c r="D33" i="3"/>
  <c r="C33" i="3"/>
  <c r="F33" i="3" s="1"/>
  <c r="F32" i="3"/>
  <c r="E32" i="3"/>
  <c r="D32" i="3"/>
  <c r="C32" i="3"/>
  <c r="E31" i="3"/>
  <c r="D31" i="3"/>
  <c r="C31" i="3"/>
  <c r="F31" i="3" s="1"/>
  <c r="F30" i="3"/>
  <c r="E30" i="3"/>
  <c r="D30" i="3"/>
  <c r="C30" i="3"/>
  <c r="E29" i="3"/>
  <c r="D29" i="3"/>
  <c r="C29" i="3"/>
  <c r="F29" i="3" s="1"/>
  <c r="F28" i="3"/>
  <c r="E28" i="3"/>
  <c r="D28" i="3"/>
  <c r="C28" i="3"/>
  <c r="E27" i="3"/>
  <c r="D27" i="3"/>
  <c r="C27" i="3"/>
  <c r="F27" i="3" s="1"/>
  <c r="F26" i="3"/>
  <c r="E26" i="3"/>
  <c r="D26" i="3"/>
  <c r="C26" i="3"/>
  <c r="E25" i="3"/>
  <c r="D25" i="3"/>
  <c r="C25" i="3"/>
  <c r="F25" i="3" s="1"/>
  <c r="F24" i="3"/>
  <c r="E24" i="3"/>
  <c r="D24" i="3"/>
  <c r="C24" i="3"/>
  <c r="E23" i="3"/>
  <c r="D23" i="3"/>
  <c r="C23" i="3"/>
  <c r="F23" i="3" s="1"/>
  <c r="F22" i="3"/>
  <c r="E22" i="3"/>
  <c r="D22" i="3"/>
  <c r="C22" i="3"/>
  <c r="E21" i="3"/>
  <c r="D21" i="3"/>
  <c r="C21" i="3"/>
  <c r="F21" i="3" s="1"/>
  <c r="F20" i="3"/>
  <c r="E20" i="3"/>
  <c r="D20" i="3"/>
  <c r="C20" i="3"/>
  <c r="E19" i="3"/>
  <c r="D19" i="3"/>
  <c r="C19" i="3"/>
  <c r="F19" i="3" s="1"/>
  <c r="F18" i="3"/>
  <c r="E18" i="3"/>
  <c r="D18" i="3"/>
  <c r="C18" i="3"/>
  <c r="E17" i="3"/>
  <c r="D17" i="3"/>
  <c r="C17" i="3"/>
  <c r="F17" i="3" s="1"/>
  <c r="F16" i="3"/>
  <c r="E16" i="3"/>
  <c r="D16" i="3"/>
  <c r="C16" i="3"/>
  <c r="E15" i="3"/>
  <c r="D15" i="3"/>
  <c r="C15" i="3"/>
  <c r="F15" i="3" s="1"/>
  <c r="J14" i="3"/>
  <c r="I14" i="3"/>
  <c r="E14" i="3"/>
  <c r="D14" i="3"/>
  <c r="C14" i="3"/>
  <c r="F14" i="3" s="1"/>
  <c r="I13" i="3"/>
  <c r="J13" i="3" s="1"/>
  <c r="F13" i="3"/>
  <c r="E13" i="3"/>
  <c r="D13" i="3"/>
  <c r="C13" i="3"/>
  <c r="I12" i="3"/>
  <c r="J12" i="3" s="1"/>
  <c r="E12" i="3"/>
  <c r="D12" i="3"/>
  <c r="C12" i="3"/>
  <c r="F12" i="3" s="1"/>
  <c r="I11" i="3"/>
  <c r="J11" i="3" s="1"/>
  <c r="I10" i="3"/>
  <c r="J10" i="3" s="1"/>
  <c r="I9" i="3"/>
  <c r="J9" i="3" s="1"/>
  <c r="J8" i="3"/>
  <c r="I8" i="3"/>
  <c r="C8" i="3"/>
  <c r="B8" i="3"/>
  <c r="I7" i="3"/>
  <c r="J7" i="3" s="1"/>
  <c r="B7" i="3"/>
  <c r="C7" i="3" s="1"/>
  <c r="J6" i="3"/>
  <c r="I6" i="3"/>
  <c r="B6" i="3"/>
  <c r="C6" i="3" s="1"/>
  <c r="I5" i="3"/>
  <c r="J5" i="3" s="1"/>
  <c r="B5" i="3"/>
  <c r="C5" i="3" s="1"/>
  <c r="J295" i="1"/>
  <c r="I295" i="1"/>
  <c r="H295" i="1"/>
  <c r="G295" i="1"/>
  <c r="F295" i="1"/>
  <c r="E295" i="1"/>
  <c r="D295" i="1"/>
  <c r="C295" i="1"/>
  <c r="B295" i="1"/>
  <c r="J294" i="1"/>
  <c r="I294" i="1"/>
  <c r="H294" i="1"/>
  <c r="G294" i="1"/>
  <c r="F294" i="1"/>
  <c r="E294" i="1"/>
  <c r="D294" i="1"/>
  <c r="C294" i="1"/>
  <c r="B294" i="1"/>
  <c r="J293" i="1"/>
  <c r="I293" i="1"/>
  <c r="H293" i="1"/>
  <c r="G293" i="1"/>
  <c r="F293" i="1"/>
  <c r="E293" i="1"/>
  <c r="D293" i="1"/>
  <c r="C293" i="1"/>
  <c r="B293" i="1"/>
  <c r="J292" i="1"/>
  <c r="I292" i="1"/>
  <c r="H292" i="1"/>
  <c r="G292" i="1"/>
  <c r="F292" i="1"/>
  <c r="E292" i="1"/>
  <c r="D292" i="1"/>
  <c r="C292" i="1"/>
  <c r="B292" i="1"/>
  <c r="J291" i="1"/>
  <c r="I291" i="1"/>
  <c r="H291" i="1"/>
  <c r="G291" i="1"/>
  <c r="F291" i="1"/>
  <c r="E291" i="1"/>
  <c r="D291" i="1"/>
  <c r="C291" i="1"/>
  <c r="B291" i="1"/>
  <c r="J290" i="1"/>
  <c r="I290" i="1"/>
  <c r="H290" i="1"/>
  <c r="G290" i="1"/>
  <c r="F290" i="1"/>
  <c r="E290" i="1"/>
  <c r="D290" i="1"/>
  <c r="C290" i="1"/>
  <c r="B290" i="1"/>
  <c r="J289" i="1"/>
  <c r="I289" i="1"/>
  <c r="H289" i="1"/>
  <c r="G289" i="1"/>
  <c r="F289" i="1"/>
  <c r="E289" i="1"/>
  <c r="D289" i="1"/>
  <c r="C289" i="1"/>
  <c r="B289" i="1"/>
  <c r="J288" i="1"/>
  <c r="I288" i="1"/>
  <c r="H288" i="1"/>
  <c r="G288" i="1"/>
  <c r="F288" i="1"/>
  <c r="E288" i="1"/>
  <c r="D288" i="1"/>
  <c r="C288" i="1"/>
  <c r="B288" i="1"/>
  <c r="J287" i="1"/>
  <c r="I287" i="1"/>
  <c r="H287" i="1"/>
  <c r="G287" i="1"/>
  <c r="F287" i="1"/>
  <c r="E287" i="1"/>
  <c r="D287" i="1"/>
  <c r="C287" i="1"/>
  <c r="B287" i="1"/>
  <c r="J286" i="1"/>
  <c r="I286" i="1"/>
  <c r="H286" i="1"/>
  <c r="G286" i="1"/>
  <c r="F286" i="1"/>
  <c r="E286" i="1"/>
  <c r="D286" i="1"/>
  <c r="C286" i="1"/>
  <c r="B286" i="1"/>
  <c r="J285" i="1"/>
  <c r="I285" i="1"/>
  <c r="H285" i="1"/>
  <c r="G285" i="1"/>
  <c r="F285" i="1"/>
  <c r="E285" i="1"/>
  <c r="D285" i="1"/>
  <c r="C285" i="1"/>
  <c r="B285" i="1"/>
  <c r="J284" i="1"/>
  <c r="I284" i="1"/>
  <c r="H284" i="1"/>
  <c r="G284" i="1"/>
  <c r="F284" i="1"/>
  <c r="E284" i="1"/>
  <c r="D284" i="1"/>
  <c r="C284" i="1"/>
  <c r="B284" i="1"/>
  <c r="J283" i="1"/>
  <c r="I283" i="1"/>
  <c r="H283" i="1"/>
  <c r="G283" i="1"/>
  <c r="F283" i="1"/>
  <c r="E283" i="1"/>
  <c r="D283" i="1"/>
  <c r="C283" i="1"/>
  <c r="B283" i="1"/>
  <c r="J282" i="1"/>
  <c r="I282" i="1"/>
  <c r="H282" i="1"/>
  <c r="G282" i="1"/>
  <c r="F282" i="1"/>
  <c r="E282" i="1"/>
  <c r="D282" i="1"/>
  <c r="C282" i="1"/>
  <c r="B282" i="1"/>
  <c r="J281" i="1"/>
  <c r="I281" i="1"/>
  <c r="H281" i="1"/>
  <c r="G281" i="1"/>
  <c r="F281" i="1"/>
  <c r="E281" i="1"/>
  <c r="D281" i="1"/>
  <c r="C281" i="1"/>
  <c r="B281" i="1"/>
  <c r="J280" i="1"/>
  <c r="I280" i="1"/>
  <c r="H280" i="1"/>
  <c r="G280" i="1"/>
  <c r="F280" i="1"/>
  <c r="E280" i="1"/>
  <c r="D280" i="1"/>
  <c r="C280" i="1"/>
  <c r="B280" i="1"/>
  <c r="J279" i="1"/>
  <c r="I279" i="1"/>
  <c r="H279" i="1"/>
  <c r="G279" i="1"/>
  <c r="F279" i="1"/>
  <c r="E279" i="1"/>
  <c r="D279" i="1"/>
  <c r="C279" i="1"/>
  <c r="B279" i="1"/>
  <c r="J278" i="1"/>
  <c r="I278" i="1"/>
  <c r="H278" i="1"/>
  <c r="G278" i="1"/>
  <c r="F278" i="1"/>
  <c r="E278" i="1"/>
  <c r="D278" i="1"/>
  <c r="C278" i="1"/>
  <c r="B278" i="1"/>
  <c r="J277" i="1"/>
  <c r="I277" i="1"/>
  <c r="H277" i="1"/>
  <c r="G277" i="1"/>
  <c r="F277" i="1"/>
  <c r="E277" i="1"/>
  <c r="D277" i="1"/>
  <c r="C277" i="1"/>
  <c r="B277" i="1"/>
  <c r="J276" i="1"/>
  <c r="I276" i="1"/>
  <c r="H276" i="1"/>
  <c r="G276" i="1"/>
  <c r="F276" i="1"/>
  <c r="E276" i="1"/>
  <c r="D276" i="1"/>
  <c r="C276" i="1"/>
  <c r="B276" i="1"/>
  <c r="J275" i="1"/>
  <c r="I275" i="1"/>
  <c r="H275" i="1"/>
  <c r="G275" i="1"/>
  <c r="F275" i="1"/>
  <c r="E275" i="1"/>
  <c r="D275" i="1"/>
  <c r="C275" i="1"/>
  <c r="B275" i="1"/>
  <c r="J274" i="1"/>
  <c r="I274" i="1"/>
  <c r="H274" i="1"/>
  <c r="G274" i="1"/>
  <c r="F274" i="1"/>
  <c r="E274" i="1"/>
  <c r="D274" i="1"/>
  <c r="C274" i="1"/>
  <c r="B274" i="1"/>
  <c r="J273" i="1"/>
  <c r="I273" i="1"/>
  <c r="H273" i="1"/>
  <c r="G273" i="1"/>
  <c r="F273" i="1"/>
  <c r="E273" i="1"/>
  <c r="D273" i="1"/>
  <c r="C273" i="1"/>
  <c r="B273" i="1"/>
  <c r="J272" i="1"/>
  <c r="I272" i="1"/>
  <c r="H272" i="1"/>
  <c r="G272" i="1"/>
  <c r="F272" i="1"/>
  <c r="E272" i="1"/>
  <c r="D272" i="1"/>
  <c r="C272" i="1"/>
  <c r="B272" i="1"/>
  <c r="J271" i="1"/>
  <c r="I271" i="1"/>
  <c r="H271" i="1"/>
  <c r="G271" i="1"/>
  <c r="F271" i="1"/>
  <c r="E271" i="1"/>
  <c r="D271" i="1"/>
  <c r="C271" i="1"/>
  <c r="B271" i="1"/>
  <c r="J270" i="1"/>
  <c r="I270" i="1"/>
  <c r="H270" i="1"/>
  <c r="G270" i="1"/>
  <c r="F270" i="1"/>
  <c r="E270" i="1"/>
  <c r="D270" i="1"/>
  <c r="C270" i="1"/>
  <c r="B270" i="1"/>
  <c r="J269" i="1"/>
  <c r="I269" i="1"/>
  <c r="H269" i="1"/>
  <c r="G269" i="1"/>
  <c r="F269" i="1"/>
  <c r="E269" i="1"/>
  <c r="D269" i="1"/>
  <c r="C269" i="1"/>
  <c r="B269" i="1"/>
  <c r="J268" i="1"/>
  <c r="I268" i="1"/>
  <c r="H268" i="1"/>
  <c r="G268" i="1"/>
  <c r="F268" i="1"/>
  <c r="E268" i="1"/>
  <c r="D268" i="1"/>
  <c r="C268" i="1"/>
  <c r="B268" i="1"/>
  <c r="J267" i="1"/>
  <c r="I267" i="1"/>
  <c r="H267" i="1"/>
  <c r="G267" i="1"/>
  <c r="F267" i="1"/>
  <c r="E267" i="1"/>
  <c r="D267" i="1"/>
  <c r="C267" i="1"/>
  <c r="B267" i="1"/>
  <c r="J266" i="1"/>
  <c r="I266" i="1"/>
  <c r="H266" i="1"/>
  <c r="G266" i="1"/>
  <c r="F266" i="1"/>
  <c r="E266" i="1"/>
  <c r="D266" i="1"/>
  <c r="C266" i="1"/>
  <c r="B266" i="1"/>
  <c r="J265" i="1"/>
  <c r="I265" i="1"/>
  <c r="H265" i="1"/>
  <c r="G265" i="1"/>
  <c r="F265" i="1"/>
  <c r="E265" i="1"/>
  <c r="D265" i="1"/>
  <c r="C265" i="1"/>
  <c r="B265" i="1"/>
  <c r="J264" i="1"/>
  <c r="I264" i="1"/>
  <c r="H264" i="1"/>
  <c r="G264" i="1"/>
  <c r="F264" i="1"/>
  <c r="E264" i="1"/>
  <c r="D264" i="1"/>
  <c r="C264" i="1"/>
  <c r="B264" i="1"/>
  <c r="J263" i="1"/>
  <c r="I263" i="1"/>
  <c r="H263" i="1"/>
  <c r="G263" i="1"/>
  <c r="F263" i="1"/>
  <c r="E263" i="1"/>
  <c r="D263" i="1"/>
  <c r="C263" i="1"/>
  <c r="B263" i="1"/>
  <c r="J262" i="1"/>
  <c r="I262" i="1"/>
  <c r="H262" i="1"/>
  <c r="G262" i="1"/>
  <c r="F262" i="1"/>
  <c r="E262" i="1"/>
  <c r="D262" i="1"/>
  <c r="C262" i="1"/>
  <c r="B262" i="1"/>
  <c r="J261" i="1"/>
  <c r="I261" i="1"/>
  <c r="H261" i="1"/>
  <c r="G261" i="1"/>
  <c r="F261" i="1"/>
  <c r="E261" i="1"/>
  <c r="D261" i="1"/>
  <c r="C261" i="1"/>
  <c r="B261" i="1"/>
  <c r="J260" i="1"/>
  <c r="I260" i="1"/>
  <c r="H260" i="1"/>
  <c r="G260" i="1"/>
  <c r="F260" i="1"/>
  <c r="E260" i="1"/>
  <c r="D260" i="1"/>
  <c r="C260" i="1"/>
  <c r="B260" i="1"/>
  <c r="J259" i="1"/>
  <c r="I259" i="1"/>
  <c r="H259" i="1"/>
  <c r="G259" i="1"/>
  <c r="F259" i="1"/>
  <c r="E259" i="1"/>
  <c r="D259" i="1"/>
  <c r="C259" i="1"/>
  <c r="B259" i="1"/>
  <c r="J258" i="1"/>
  <c r="I258" i="1"/>
  <c r="H258" i="1"/>
  <c r="G258" i="1"/>
  <c r="F258" i="1"/>
  <c r="E258" i="1"/>
  <c r="D258" i="1"/>
  <c r="C258" i="1"/>
  <c r="B258" i="1"/>
  <c r="J257" i="1"/>
  <c r="I257" i="1"/>
  <c r="H257" i="1"/>
  <c r="G257" i="1"/>
  <c r="F257" i="1"/>
  <c r="E257" i="1"/>
  <c r="D257" i="1"/>
  <c r="C257" i="1"/>
  <c r="B257" i="1"/>
  <c r="J256" i="1"/>
  <c r="I256" i="1"/>
  <c r="H256" i="1"/>
  <c r="G256" i="1"/>
  <c r="F256" i="1"/>
  <c r="E256" i="1"/>
  <c r="D256" i="1"/>
  <c r="C256" i="1"/>
  <c r="B256" i="1"/>
  <c r="J255" i="1"/>
  <c r="I255" i="1"/>
  <c r="H255" i="1"/>
  <c r="G255" i="1"/>
  <c r="F255" i="1"/>
  <c r="E255" i="1"/>
  <c r="D255" i="1"/>
  <c r="C255" i="1"/>
  <c r="B255" i="1"/>
  <c r="J254" i="1"/>
  <c r="I254" i="1"/>
  <c r="H254" i="1"/>
  <c r="G254" i="1"/>
  <c r="F254" i="1"/>
  <c r="E254" i="1"/>
  <c r="D254" i="1"/>
  <c r="C254" i="1"/>
  <c r="B254" i="1"/>
  <c r="J253" i="1"/>
  <c r="I253" i="1"/>
  <c r="H253" i="1"/>
  <c r="G253" i="1"/>
  <c r="F253" i="1"/>
  <c r="E253" i="1"/>
  <c r="D253" i="1"/>
  <c r="C253" i="1"/>
  <c r="B253" i="1"/>
  <c r="J252" i="1"/>
  <c r="I252" i="1"/>
  <c r="H252" i="1"/>
  <c r="G252" i="1"/>
  <c r="F252" i="1"/>
  <c r="E252" i="1"/>
  <c r="D252" i="1"/>
  <c r="C252" i="1"/>
  <c r="B252" i="1"/>
  <c r="J251" i="1"/>
  <c r="I251" i="1"/>
  <c r="H251" i="1"/>
  <c r="G251" i="1"/>
  <c r="F251" i="1"/>
  <c r="E251" i="1"/>
  <c r="D251" i="1"/>
  <c r="C251" i="1"/>
  <c r="B251" i="1"/>
  <c r="J250" i="1"/>
  <c r="I250" i="1"/>
  <c r="H250" i="1"/>
  <c r="G250" i="1"/>
  <c r="F250" i="1"/>
  <c r="E250" i="1"/>
  <c r="D250" i="1"/>
  <c r="C250" i="1"/>
  <c r="B250" i="1"/>
  <c r="J249" i="1"/>
  <c r="I249" i="1"/>
  <c r="H249" i="1"/>
  <c r="G249" i="1"/>
  <c r="F249" i="1"/>
  <c r="E249" i="1"/>
  <c r="D249" i="1"/>
  <c r="C249" i="1"/>
  <c r="B249" i="1"/>
  <c r="J248" i="1"/>
  <c r="I248" i="1"/>
  <c r="H248" i="1"/>
  <c r="G248" i="1"/>
  <c r="F248" i="1"/>
  <c r="E248" i="1"/>
  <c r="D248" i="1"/>
  <c r="C248" i="1"/>
  <c r="B248" i="1"/>
  <c r="J247" i="1"/>
  <c r="I247" i="1"/>
  <c r="H247" i="1"/>
  <c r="G247" i="1"/>
  <c r="F247" i="1"/>
  <c r="E247" i="1"/>
  <c r="D247" i="1"/>
  <c r="C247" i="1"/>
  <c r="B247" i="1"/>
  <c r="J246" i="1"/>
  <c r="I246" i="1"/>
  <c r="H246" i="1"/>
  <c r="G246" i="1"/>
  <c r="F246" i="1"/>
  <c r="E246" i="1"/>
  <c r="D246" i="1"/>
  <c r="C246" i="1"/>
  <c r="B246" i="1"/>
  <c r="J245" i="1"/>
  <c r="I245" i="1"/>
  <c r="H245" i="1"/>
  <c r="G245" i="1"/>
  <c r="F245" i="1"/>
  <c r="E245" i="1"/>
  <c r="D245" i="1"/>
  <c r="C245" i="1"/>
  <c r="B245" i="1"/>
  <c r="J244" i="1"/>
  <c r="I244" i="1"/>
  <c r="H244" i="1"/>
  <c r="G244" i="1"/>
  <c r="F244" i="1"/>
  <c r="E244" i="1"/>
  <c r="D244" i="1"/>
  <c r="C244" i="1"/>
  <c r="B244" i="1"/>
  <c r="J243" i="1"/>
  <c r="I243" i="1"/>
  <c r="H243" i="1"/>
  <c r="G243" i="1"/>
  <c r="F243" i="1"/>
  <c r="E243" i="1"/>
  <c r="D243" i="1"/>
  <c r="C243" i="1"/>
  <c r="B243" i="1"/>
  <c r="J242" i="1"/>
  <c r="I242" i="1"/>
  <c r="H242" i="1"/>
  <c r="G242" i="1"/>
  <c r="F242" i="1"/>
  <c r="E242" i="1"/>
  <c r="D242" i="1"/>
  <c r="C242" i="1"/>
  <c r="B242" i="1"/>
  <c r="J241" i="1"/>
  <c r="I241" i="1"/>
  <c r="H241" i="1"/>
  <c r="G241" i="1"/>
  <c r="F241" i="1"/>
  <c r="E241" i="1"/>
  <c r="D241" i="1"/>
  <c r="C241" i="1"/>
  <c r="B241" i="1"/>
  <c r="J240" i="1"/>
  <c r="I240" i="1"/>
  <c r="H240" i="1"/>
  <c r="G240" i="1"/>
  <c r="F240" i="1"/>
  <c r="E240" i="1"/>
  <c r="D240" i="1"/>
  <c r="C240" i="1"/>
  <c r="B240" i="1"/>
  <c r="J239" i="1"/>
  <c r="I239" i="1"/>
  <c r="H239" i="1"/>
  <c r="G239" i="1"/>
  <c r="F239" i="1"/>
  <c r="E239" i="1"/>
  <c r="D239" i="1"/>
  <c r="C239" i="1"/>
  <c r="B239" i="1"/>
  <c r="J238" i="1"/>
  <c r="I238" i="1"/>
  <c r="H238" i="1"/>
  <c r="G238" i="1"/>
  <c r="F238" i="1"/>
  <c r="E238" i="1"/>
  <c r="D238" i="1"/>
  <c r="C238" i="1"/>
  <c r="B238" i="1"/>
  <c r="J237" i="1"/>
  <c r="I237" i="1"/>
  <c r="H237" i="1"/>
  <c r="G237" i="1"/>
  <c r="F237" i="1"/>
  <c r="E237" i="1"/>
  <c r="D237" i="1"/>
  <c r="C237" i="1"/>
  <c r="B237" i="1"/>
  <c r="J236" i="1"/>
  <c r="I236" i="1"/>
  <c r="H236" i="1"/>
  <c r="G236" i="1"/>
  <c r="F236" i="1"/>
  <c r="E236" i="1"/>
  <c r="D236" i="1"/>
  <c r="C236" i="1"/>
  <c r="B236" i="1"/>
  <c r="J235" i="1"/>
  <c r="I235" i="1"/>
  <c r="H235" i="1"/>
  <c r="G235" i="1"/>
  <c r="F235" i="1"/>
  <c r="E235" i="1"/>
  <c r="D235" i="1"/>
  <c r="C235" i="1"/>
  <c r="B235" i="1"/>
  <c r="J234" i="1"/>
  <c r="I234" i="1"/>
  <c r="H234" i="1"/>
  <c r="G234" i="1"/>
  <c r="F234" i="1"/>
  <c r="E234" i="1"/>
  <c r="D234" i="1"/>
  <c r="C234" i="1"/>
  <c r="B234" i="1"/>
  <c r="J233" i="1"/>
  <c r="I233" i="1"/>
  <c r="H233" i="1"/>
  <c r="G233" i="1"/>
  <c r="F233" i="1"/>
  <c r="E233" i="1"/>
  <c r="D233" i="1"/>
  <c r="C233" i="1"/>
  <c r="B233" i="1"/>
  <c r="J232" i="1"/>
  <c r="I232" i="1"/>
  <c r="H232" i="1"/>
  <c r="G232" i="1"/>
  <c r="F232" i="1"/>
  <c r="E232" i="1"/>
  <c r="D232" i="1"/>
  <c r="C232" i="1"/>
  <c r="B232" i="1"/>
  <c r="J231" i="1"/>
  <c r="I231" i="1"/>
  <c r="H231" i="1"/>
  <c r="G231" i="1"/>
  <c r="F231" i="1"/>
  <c r="E231" i="1"/>
  <c r="D231" i="1"/>
  <c r="C231" i="1"/>
  <c r="B231" i="1"/>
  <c r="J230" i="1"/>
  <c r="I230" i="1"/>
  <c r="H230" i="1"/>
  <c r="G230" i="1"/>
  <c r="F230" i="1"/>
  <c r="E230" i="1"/>
  <c r="D230" i="1"/>
  <c r="C230" i="1"/>
  <c r="B230" i="1"/>
  <c r="J229" i="1"/>
  <c r="I229" i="1"/>
  <c r="H229" i="1"/>
  <c r="G229" i="1"/>
  <c r="F229" i="1"/>
  <c r="E229" i="1"/>
  <c r="D229" i="1"/>
  <c r="C229" i="1"/>
  <c r="B229" i="1"/>
  <c r="J228" i="1"/>
  <c r="I228" i="1"/>
  <c r="H228" i="1"/>
  <c r="G228" i="1"/>
  <c r="F228" i="1"/>
  <c r="E228" i="1"/>
  <c r="D228" i="1"/>
  <c r="C228" i="1"/>
  <c r="B228" i="1"/>
  <c r="J227" i="1"/>
  <c r="I227" i="1"/>
  <c r="H227" i="1"/>
  <c r="G227" i="1"/>
  <c r="F227" i="1"/>
  <c r="E227" i="1"/>
  <c r="D227" i="1"/>
  <c r="C227" i="1"/>
  <c r="B227" i="1"/>
  <c r="J226" i="1"/>
  <c r="I226" i="1"/>
  <c r="H226" i="1"/>
  <c r="G226" i="1"/>
  <c r="F226" i="1"/>
  <c r="E226" i="1"/>
  <c r="D226" i="1"/>
  <c r="C226" i="1"/>
  <c r="B226" i="1"/>
  <c r="J225" i="1"/>
  <c r="I225" i="1"/>
  <c r="H225" i="1"/>
  <c r="G225" i="1"/>
  <c r="F225" i="1"/>
  <c r="E225" i="1"/>
  <c r="D225" i="1"/>
  <c r="C225" i="1"/>
  <c r="B225" i="1"/>
  <c r="J224" i="1"/>
  <c r="I224" i="1"/>
  <c r="H224" i="1"/>
  <c r="G224" i="1"/>
  <c r="F224" i="1"/>
  <c r="E224" i="1"/>
  <c r="D224" i="1"/>
  <c r="C224" i="1"/>
  <c r="B224" i="1"/>
  <c r="I223" i="1"/>
  <c r="H223" i="1"/>
  <c r="G223" i="1"/>
  <c r="F223" i="1"/>
  <c r="E223" i="1"/>
  <c r="D223" i="1"/>
  <c r="C223" i="1"/>
  <c r="B223" i="1"/>
  <c r="J222" i="1"/>
  <c r="I222" i="1"/>
  <c r="H222" i="1"/>
  <c r="G222" i="1"/>
  <c r="F222" i="1"/>
  <c r="E222" i="1"/>
  <c r="D222" i="1"/>
  <c r="C222" i="1"/>
  <c r="B222" i="1"/>
  <c r="J221" i="1"/>
  <c r="I221" i="1"/>
  <c r="H221" i="1"/>
  <c r="G221" i="1"/>
  <c r="F221" i="1"/>
  <c r="E221" i="1"/>
  <c r="D221" i="1"/>
  <c r="C221" i="1"/>
  <c r="B221" i="1"/>
  <c r="J220" i="1"/>
  <c r="I220" i="1"/>
  <c r="H220" i="1"/>
  <c r="G220" i="1"/>
  <c r="F220" i="1"/>
  <c r="E220" i="1"/>
  <c r="D220" i="1"/>
  <c r="C220" i="1"/>
  <c r="B220" i="1"/>
  <c r="J219" i="1"/>
  <c r="I219" i="1"/>
  <c r="H219" i="1"/>
  <c r="G219" i="1"/>
  <c r="F219" i="1"/>
  <c r="E219" i="1"/>
  <c r="D219" i="1"/>
  <c r="C219" i="1"/>
  <c r="B219" i="1"/>
  <c r="J218" i="1"/>
  <c r="I218" i="1"/>
  <c r="H218" i="1"/>
  <c r="G218" i="1"/>
  <c r="F218" i="1"/>
  <c r="E218" i="1"/>
  <c r="D218" i="1"/>
  <c r="C218" i="1"/>
  <c r="B218" i="1"/>
  <c r="J217" i="1"/>
  <c r="I217" i="1"/>
  <c r="H217" i="1"/>
  <c r="G217" i="1"/>
  <c r="F217" i="1"/>
  <c r="E217" i="1"/>
  <c r="D217" i="1"/>
  <c r="C217" i="1"/>
  <c r="B217" i="1"/>
  <c r="J216" i="1"/>
  <c r="I216" i="1"/>
  <c r="H216" i="1"/>
  <c r="G216" i="1"/>
  <c r="F216" i="1"/>
  <c r="E216" i="1"/>
  <c r="D216" i="1"/>
  <c r="C216" i="1"/>
  <c r="B216" i="1"/>
  <c r="J215" i="1"/>
  <c r="I215" i="1"/>
  <c r="H215" i="1"/>
  <c r="G215" i="1"/>
  <c r="F215" i="1"/>
  <c r="E215" i="1"/>
  <c r="D215" i="1"/>
  <c r="C215" i="1"/>
  <c r="B215" i="1"/>
  <c r="J214" i="1"/>
  <c r="I214" i="1"/>
  <c r="H214" i="1"/>
  <c r="G214" i="1"/>
  <c r="F214" i="1"/>
  <c r="E214" i="1"/>
  <c r="D214" i="1"/>
  <c r="C214" i="1"/>
  <c r="B214" i="1"/>
  <c r="J213" i="1"/>
  <c r="I213" i="1"/>
  <c r="H213" i="1"/>
  <c r="G213" i="1"/>
  <c r="F213" i="1"/>
  <c r="E213" i="1"/>
  <c r="D213" i="1"/>
  <c r="C213" i="1"/>
  <c r="B213" i="1"/>
  <c r="J212" i="1"/>
  <c r="I212" i="1"/>
  <c r="H212" i="1"/>
  <c r="G212" i="1"/>
  <c r="F212" i="1"/>
  <c r="E212" i="1"/>
  <c r="D212" i="1"/>
  <c r="C212" i="1"/>
  <c r="B212" i="1"/>
  <c r="J211" i="1"/>
  <c r="I211" i="1"/>
  <c r="H211" i="1"/>
  <c r="G211" i="1"/>
  <c r="F211" i="1"/>
  <c r="E211" i="1"/>
  <c r="D211" i="1"/>
  <c r="C211" i="1"/>
  <c r="B211" i="1"/>
  <c r="J210" i="1"/>
  <c r="I210" i="1"/>
  <c r="H210" i="1"/>
  <c r="G210" i="1"/>
  <c r="F210" i="1"/>
  <c r="E210" i="1"/>
  <c r="D210" i="1"/>
  <c r="C210" i="1"/>
  <c r="B210" i="1"/>
  <c r="J209" i="1"/>
  <c r="I209" i="1"/>
  <c r="H209" i="1"/>
  <c r="G209" i="1"/>
  <c r="F209" i="1"/>
  <c r="E209" i="1"/>
  <c r="D209" i="1"/>
  <c r="C209" i="1"/>
  <c r="B209" i="1"/>
  <c r="J208" i="1"/>
  <c r="I208" i="1"/>
  <c r="H208" i="1"/>
  <c r="G208" i="1"/>
  <c r="F208" i="1"/>
  <c r="E208" i="1"/>
  <c r="D208" i="1"/>
  <c r="C208" i="1"/>
  <c r="B208" i="1"/>
  <c r="J207" i="1"/>
  <c r="I207" i="1"/>
  <c r="H207" i="1"/>
  <c r="G207" i="1"/>
  <c r="F207" i="1"/>
  <c r="E207" i="1"/>
  <c r="D207" i="1"/>
  <c r="C207" i="1"/>
  <c r="B207" i="1"/>
  <c r="J206" i="1"/>
  <c r="I206" i="1"/>
  <c r="H206" i="1"/>
  <c r="G206" i="1"/>
  <c r="F206" i="1"/>
  <c r="E206" i="1"/>
  <c r="D206" i="1"/>
  <c r="C206" i="1"/>
  <c r="B206" i="1"/>
  <c r="J205" i="1"/>
  <c r="I205" i="1"/>
  <c r="H205" i="1"/>
  <c r="G205" i="1"/>
  <c r="F205" i="1"/>
  <c r="E205" i="1"/>
  <c r="D205" i="1"/>
  <c r="C205" i="1"/>
  <c r="B205" i="1"/>
  <c r="J204" i="1"/>
  <c r="I204" i="1"/>
  <c r="H204" i="1"/>
  <c r="G204" i="1"/>
  <c r="F204" i="1"/>
  <c r="E204" i="1"/>
  <c r="D204" i="1"/>
  <c r="C204" i="1"/>
  <c r="B204" i="1"/>
  <c r="J203" i="1"/>
  <c r="I203" i="1"/>
  <c r="H203" i="1"/>
  <c r="G203" i="1"/>
  <c r="F203" i="1"/>
  <c r="E203" i="1"/>
  <c r="D203" i="1"/>
  <c r="C203" i="1"/>
  <c r="B203" i="1"/>
  <c r="J202" i="1"/>
  <c r="I202" i="1"/>
  <c r="H202" i="1"/>
  <c r="G202" i="1"/>
  <c r="F202" i="1"/>
  <c r="E202" i="1"/>
  <c r="D202" i="1"/>
  <c r="C202" i="1"/>
  <c r="B202" i="1"/>
  <c r="J201" i="1"/>
  <c r="I201" i="1"/>
  <c r="H201" i="1"/>
  <c r="G201" i="1"/>
  <c r="F201" i="1"/>
  <c r="E201" i="1"/>
  <c r="D201" i="1"/>
  <c r="C201" i="1"/>
  <c r="B201" i="1"/>
  <c r="J200" i="1"/>
  <c r="I200" i="1"/>
  <c r="H200" i="1"/>
  <c r="G200" i="1"/>
  <c r="F200" i="1"/>
  <c r="E200" i="1"/>
  <c r="D200" i="1"/>
  <c r="C200" i="1"/>
  <c r="B200" i="1"/>
  <c r="J199" i="1"/>
  <c r="I199" i="1"/>
  <c r="H199" i="1"/>
  <c r="G199" i="1"/>
  <c r="F199" i="1"/>
  <c r="E199" i="1"/>
  <c r="D199" i="1"/>
  <c r="C199" i="1"/>
  <c r="B199" i="1"/>
  <c r="J198" i="1"/>
  <c r="I198" i="1"/>
  <c r="H198" i="1"/>
  <c r="G198" i="1"/>
  <c r="F198" i="1"/>
  <c r="E198" i="1"/>
  <c r="D198" i="1"/>
  <c r="C198" i="1"/>
  <c r="B198" i="1"/>
  <c r="J197" i="1"/>
  <c r="I197" i="1"/>
  <c r="H197" i="1"/>
  <c r="G197" i="1"/>
  <c r="F197" i="1"/>
  <c r="E197" i="1"/>
  <c r="D197" i="1"/>
  <c r="C197" i="1"/>
  <c r="B197" i="1"/>
  <c r="J196" i="1"/>
  <c r="I196" i="1"/>
  <c r="H196" i="1"/>
  <c r="G196" i="1"/>
  <c r="F196" i="1"/>
  <c r="E196" i="1"/>
  <c r="D196" i="1"/>
  <c r="C196" i="1"/>
  <c r="B196" i="1"/>
  <c r="J195" i="1"/>
  <c r="I195" i="1"/>
  <c r="H195" i="1"/>
  <c r="G195" i="1"/>
  <c r="F195" i="1"/>
  <c r="E195" i="1"/>
  <c r="D195" i="1"/>
  <c r="C195" i="1"/>
  <c r="B195" i="1"/>
  <c r="J194" i="1"/>
  <c r="I194" i="1"/>
  <c r="H194" i="1"/>
  <c r="G194" i="1"/>
  <c r="F194" i="1"/>
  <c r="E194" i="1"/>
  <c r="D194" i="1"/>
  <c r="C194" i="1"/>
  <c r="B194" i="1"/>
  <c r="J193" i="1"/>
  <c r="I193" i="1"/>
  <c r="H193" i="1"/>
  <c r="G193" i="1"/>
  <c r="F193" i="1"/>
  <c r="E193" i="1"/>
  <c r="D193" i="1"/>
  <c r="C193" i="1"/>
  <c r="B193" i="1"/>
  <c r="J192" i="1"/>
  <c r="I192" i="1"/>
  <c r="H192" i="1"/>
  <c r="G192" i="1"/>
  <c r="F192" i="1"/>
  <c r="E192" i="1"/>
  <c r="D192" i="1"/>
  <c r="C192" i="1"/>
  <c r="B192" i="1"/>
  <c r="J191" i="1"/>
  <c r="I191" i="1"/>
  <c r="H191" i="1"/>
  <c r="G191" i="1"/>
  <c r="F191" i="1"/>
  <c r="E191" i="1"/>
  <c r="D191" i="1"/>
  <c r="C191" i="1"/>
  <c r="B191" i="1"/>
  <c r="J190" i="1"/>
  <c r="I190" i="1"/>
  <c r="H190" i="1"/>
  <c r="G190" i="1"/>
  <c r="F190" i="1"/>
  <c r="E190" i="1"/>
  <c r="D190" i="1"/>
  <c r="C190" i="1"/>
  <c r="B190" i="1"/>
  <c r="J189" i="1"/>
  <c r="I189" i="1"/>
  <c r="H189" i="1"/>
  <c r="G189" i="1"/>
  <c r="F189" i="1"/>
  <c r="E189" i="1"/>
  <c r="D189" i="1"/>
  <c r="C189" i="1"/>
  <c r="B189" i="1"/>
  <c r="J188" i="1"/>
  <c r="I188" i="1"/>
  <c r="H188" i="1"/>
  <c r="G188" i="1"/>
  <c r="F188" i="1"/>
  <c r="E188" i="1"/>
  <c r="D188" i="1"/>
  <c r="C188" i="1"/>
  <c r="B188" i="1"/>
  <c r="J187" i="1"/>
  <c r="I187" i="1"/>
  <c r="H187" i="1"/>
  <c r="G187" i="1"/>
  <c r="F187" i="1"/>
  <c r="E187" i="1"/>
  <c r="D187" i="1"/>
  <c r="C187" i="1"/>
  <c r="B187" i="1"/>
  <c r="J186" i="1"/>
  <c r="I186" i="1"/>
  <c r="H186" i="1"/>
  <c r="G186" i="1"/>
  <c r="F186" i="1"/>
  <c r="E186" i="1"/>
  <c r="D186" i="1"/>
  <c r="C186" i="1"/>
  <c r="B186" i="1"/>
  <c r="J185" i="1"/>
  <c r="I185" i="1"/>
  <c r="H185" i="1"/>
  <c r="G185" i="1"/>
  <c r="F185" i="1"/>
  <c r="E185" i="1"/>
  <c r="D185" i="1"/>
  <c r="C185" i="1"/>
  <c r="B185" i="1"/>
  <c r="J184" i="1"/>
  <c r="I184" i="1"/>
  <c r="H184" i="1"/>
  <c r="G184" i="1"/>
  <c r="F184" i="1"/>
  <c r="E184" i="1"/>
  <c r="D184" i="1"/>
  <c r="C184" i="1"/>
  <c r="B184" i="1"/>
  <c r="J183" i="1"/>
  <c r="I183" i="1"/>
  <c r="H183" i="1"/>
  <c r="G183" i="1"/>
  <c r="F183" i="1"/>
  <c r="E183" i="1"/>
  <c r="D183" i="1"/>
  <c r="C183" i="1"/>
  <c r="B183" i="1"/>
  <c r="J182" i="1"/>
  <c r="I182" i="1"/>
  <c r="H182" i="1"/>
  <c r="G182" i="1"/>
  <c r="F182" i="1"/>
  <c r="E182" i="1"/>
  <c r="D182" i="1"/>
  <c r="C182" i="1"/>
  <c r="B182" i="1"/>
  <c r="J181" i="1"/>
  <c r="I181" i="1"/>
  <c r="H181" i="1"/>
  <c r="G181" i="1"/>
  <c r="F181" i="1"/>
  <c r="E181" i="1"/>
  <c r="D181" i="1"/>
  <c r="C181" i="1"/>
  <c r="B181" i="1"/>
  <c r="J180" i="1"/>
  <c r="I180" i="1"/>
  <c r="H180" i="1"/>
  <c r="G180" i="1"/>
  <c r="F180" i="1"/>
  <c r="E180" i="1"/>
  <c r="D180" i="1"/>
  <c r="C180" i="1"/>
  <c r="B180" i="1"/>
  <c r="J179" i="1"/>
  <c r="I179" i="1"/>
  <c r="H179" i="1"/>
  <c r="G179" i="1"/>
  <c r="F179" i="1"/>
  <c r="E179" i="1"/>
  <c r="D179" i="1"/>
  <c r="C179" i="1"/>
  <c r="B179" i="1"/>
  <c r="J178" i="1"/>
  <c r="I178" i="1"/>
  <c r="H178" i="1"/>
  <c r="G178" i="1"/>
  <c r="F178" i="1"/>
  <c r="E178" i="1"/>
  <c r="D178" i="1"/>
  <c r="C178" i="1"/>
  <c r="B178" i="1"/>
  <c r="J177" i="1"/>
  <c r="I177" i="1"/>
  <c r="H177" i="1"/>
  <c r="G177" i="1"/>
  <c r="F177" i="1"/>
  <c r="E177" i="1"/>
  <c r="D177" i="1"/>
  <c r="C177" i="1"/>
  <c r="B177" i="1"/>
  <c r="J176" i="1"/>
  <c r="I176" i="1"/>
  <c r="H176" i="1"/>
  <c r="G176" i="1"/>
  <c r="F176" i="1"/>
  <c r="E176" i="1"/>
  <c r="D176" i="1"/>
  <c r="C176" i="1"/>
  <c r="B176" i="1"/>
  <c r="J175" i="1"/>
  <c r="I175" i="1"/>
  <c r="H175" i="1"/>
  <c r="G175" i="1"/>
  <c r="F175" i="1"/>
  <c r="E175" i="1"/>
  <c r="D175" i="1"/>
  <c r="C175" i="1"/>
  <c r="B175" i="1"/>
  <c r="J174" i="1"/>
  <c r="I174" i="1"/>
  <c r="H174" i="1"/>
  <c r="G174" i="1"/>
  <c r="F174" i="1"/>
  <c r="E174" i="1"/>
  <c r="D174" i="1"/>
  <c r="C174" i="1"/>
  <c r="B174" i="1"/>
  <c r="J173" i="1"/>
  <c r="I173" i="1"/>
  <c r="H173" i="1"/>
  <c r="G173" i="1"/>
  <c r="F173" i="1"/>
  <c r="E173" i="1"/>
  <c r="D173" i="1"/>
  <c r="C173" i="1"/>
  <c r="B173" i="1"/>
  <c r="J172" i="1"/>
  <c r="I172" i="1"/>
  <c r="H172" i="1"/>
  <c r="G172" i="1"/>
  <c r="F172" i="1"/>
  <c r="E172" i="1"/>
  <c r="D172" i="1"/>
  <c r="C172" i="1"/>
  <c r="B172" i="1"/>
  <c r="J171" i="1"/>
  <c r="I171" i="1"/>
  <c r="H171" i="1"/>
  <c r="G171" i="1"/>
  <c r="F171" i="1"/>
  <c r="E171" i="1"/>
  <c r="D171" i="1"/>
  <c r="C171" i="1"/>
  <c r="B171" i="1"/>
  <c r="J170" i="1"/>
  <c r="I170" i="1"/>
  <c r="H170" i="1"/>
  <c r="G170" i="1"/>
  <c r="F170" i="1"/>
  <c r="E170" i="1"/>
  <c r="D170" i="1"/>
  <c r="C170" i="1"/>
  <c r="B170" i="1"/>
  <c r="J169" i="1"/>
  <c r="I169" i="1"/>
  <c r="H169" i="1"/>
  <c r="G169" i="1"/>
  <c r="F169" i="1"/>
  <c r="E169" i="1"/>
  <c r="D169" i="1"/>
  <c r="C169" i="1"/>
  <c r="B169" i="1"/>
  <c r="J168" i="1"/>
  <c r="I168" i="1"/>
  <c r="H168" i="1"/>
  <c r="G168" i="1"/>
  <c r="F168" i="1"/>
  <c r="E168" i="1"/>
  <c r="D168" i="1"/>
  <c r="C168" i="1"/>
  <c r="B168" i="1"/>
  <c r="J167" i="1"/>
  <c r="I167" i="1"/>
  <c r="H167" i="1"/>
  <c r="G167" i="1"/>
  <c r="F167" i="1"/>
  <c r="E167" i="1"/>
  <c r="D167" i="1"/>
  <c r="C167" i="1"/>
  <c r="B167" i="1"/>
  <c r="J166" i="1"/>
  <c r="I166" i="1"/>
  <c r="H166" i="1"/>
  <c r="G166" i="1"/>
  <c r="F166" i="1"/>
  <c r="E166" i="1"/>
  <c r="D166" i="1"/>
  <c r="C166" i="1"/>
  <c r="B166" i="1"/>
  <c r="J165" i="1"/>
  <c r="I165" i="1"/>
  <c r="H165" i="1"/>
  <c r="G165" i="1"/>
  <c r="F165" i="1"/>
  <c r="E165" i="1"/>
  <c r="D165" i="1"/>
  <c r="C165" i="1"/>
  <c r="B165" i="1"/>
  <c r="J164" i="1"/>
  <c r="I164" i="1"/>
  <c r="H164" i="1"/>
  <c r="G164" i="1"/>
  <c r="F164" i="1"/>
  <c r="E164" i="1"/>
  <c r="D164" i="1"/>
  <c r="C164" i="1"/>
  <c r="B164" i="1"/>
  <c r="J163" i="1"/>
  <c r="I163" i="1"/>
  <c r="H163" i="1"/>
  <c r="G163" i="1"/>
  <c r="F163" i="1"/>
  <c r="E163" i="1"/>
  <c r="D163" i="1"/>
  <c r="C163" i="1"/>
  <c r="B163" i="1"/>
  <c r="J162" i="1"/>
  <c r="I162" i="1"/>
  <c r="H162" i="1"/>
  <c r="G162" i="1"/>
  <c r="F162" i="1"/>
  <c r="E162" i="1"/>
  <c r="D162" i="1"/>
  <c r="C162" i="1"/>
  <c r="B162" i="1"/>
  <c r="J161" i="1"/>
  <c r="I161" i="1"/>
  <c r="H161" i="1"/>
  <c r="G161" i="1"/>
  <c r="F161" i="1"/>
  <c r="E161" i="1"/>
  <c r="D161" i="1"/>
  <c r="C161" i="1"/>
  <c r="B161" i="1"/>
  <c r="J160" i="1"/>
  <c r="I160" i="1"/>
  <c r="H160" i="1"/>
  <c r="G160" i="1"/>
  <c r="F160" i="1"/>
  <c r="E160" i="1"/>
  <c r="D160" i="1"/>
  <c r="C160" i="1"/>
  <c r="B160" i="1"/>
  <c r="J159" i="1"/>
  <c r="I159" i="1"/>
  <c r="H159" i="1"/>
  <c r="G159" i="1"/>
  <c r="F159" i="1"/>
  <c r="E159" i="1"/>
  <c r="D159" i="1"/>
  <c r="C159" i="1"/>
  <c r="B159" i="1"/>
  <c r="J158" i="1"/>
  <c r="I158" i="1"/>
  <c r="H158" i="1"/>
  <c r="G158" i="1"/>
  <c r="F158" i="1"/>
  <c r="E158" i="1"/>
  <c r="D158" i="1"/>
  <c r="C158" i="1"/>
  <c r="B158" i="1"/>
  <c r="J157" i="1"/>
  <c r="I157" i="1"/>
  <c r="H157" i="1"/>
  <c r="G157" i="1"/>
  <c r="F157" i="1"/>
  <c r="E157" i="1"/>
  <c r="D157" i="1"/>
  <c r="C157" i="1"/>
  <c r="B157" i="1"/>
  <c r="J156" i="1"/>
  <c r="I156" i="1"/>
  <c r="H156" i="1"/>
  <c r="G156" i="1"/>
  <c r="F156" i="1"/>
  <c r="E156" i="1"/>
  <c r="D156" i="1"/>
  <c r="C156" i="1"/>
  <c r="B156" i="1"/>
  <c r="J155" i="1"/>
  <c r="I155" i="1"/>
  <c r="H155" i="1"/>
  <c r="G155" i="1"/>
  <c r="F155" i="1"/>
  <c r="E155" i="1"/>
  <c r="D155" i="1"/>
  <c r="C155" i="1"/>
  <c r="B155" i="1"/>
  <c r="J154" i="1"/>
  <c r="I154" i="1"/>
  <c r="H154" i="1"/>
  <c r="G154" i="1"/>
  <c r="F154" i="1"/>
  <c r="E154" i="1"/>
  <c r="D154" i="1"/>
  <c r="C154" i="1"/>
  <c r="B154" i="1"/>
  <c r="J153" i="1"/>
  <c r="I153" i="1"/>
  <c r="H153" i="1"/>
  <c r="G153" i="1"/>
  <c r="F153" i="1"/>
  <c r="E153" i="1"/>
  <c r="D153" i="1"/>
  <c r="C153" i="1"/>
  <c r="B153" i="1"/>
  <c r="J152" i="1"/>
  <c r="I152" i="1"/>
  <c r="H152" i="1"/>
  <c r="G152" i="1"/>
  <c r="F152" i="1"/>
  <c r="E152" i="1"/>
  <c r="D152" i="1"/>
  <c r="C152" i="1"/>
  <c r="B152" i="1"/>
  <c r="J151" i="1"/>
  <c r="I151" i="1"/>
  <c r="H151" i="1"/>
  <c r="G151" i="1"/>
  <c r="F151" i="1"/>
  <c r="E151" i="1"/>
  <c r="D151" i="1"/>
  <c r="C151" i="1"/>
  <c r="B151" i="1"/>
  <c r="J150" i="1"/>
  <c r="I150" i="1"/>
  <c r="H150" i="1"/>
  <c r="G150" i="1"/>
  <c r="F150" i="1"/>
  <c r="E150" i="1"/>
  <c r="D150" i="1"/>
  <c r="C150" i="1"/>
  <c r="B150" i="1"/>
  <c r="J149" i="1"/>
  <c r="I149" i="1"/>
  <c r="H149" i="1"/>
  <c r="G149" i="1"/>
  <c r="F149" i="1"/>
  <c r="E149" i="1"/>
  <c r="D149" i="1"/>
  <c r="C149" i="1"/>
  <c r="B149" i="1"/>
  <c r="J148" i="1"/>
  <c r="I148" i="1"/>
  <c r="H148" i="1"/>
  <c r="G148" i="1"/>
  <c r="F148" i="1"/>
  <c r="E148" i="1"/>
  <c r="D148" i="1"/>
  <c r="C148" i="1"/>
  <c r="B148" i="1"/>
  <c r="J147" i="1"/>
  <c r="I147" i="1"/>
  <c r="H147" i="1"/>
  <c r="G147" i="1"/>
  <c r="F147" i="1"/>
  <c r="E147" i="1"/>
  <c r="D147" i="1"/>
  <c r="C147" i="1"/>
  <c r="B147" i="1"/>
  <c r="J146" i="1"/>
  <c r="I146" i="1"/>
  <c r="H146" i="1"/>
  <c r="G146" i="1"/>
  <c r="F146" i="1"/>
  <c r="E146" i="1"/>
  <c r="D146" i="1"/>
  <c r="C146" i="1"/>
  <c r="B146" i="1"/>
  <c r="J145" i="1"/>
  <c r="I145" i="1"/>
  <c r="H145" i="1"/>
  <c r="G145" i="1"/>
  <c r="F145" i="1"/>
  <c r="E145" i="1"/>
  <c r="D145" i="1"/>
  <c r="C145" i="1"/>
  <c r="B145" i="1"/>
  <c r="J144" i="1"/>
  <c r="I144" i="1"/>
  <c r="H144" i="1"/>
  <c r="G144" i="1"/>
  <c r="F144" i="1"/>
  <c r="E144" i="1"/>
  <c r="D144" i="1"/>
  <c r="C144" i="1"/>
  <c r="B144" i="1"/>
  <c r="J143" i="1"/>
  <c r="I143" i="1"/>
  <c r="H143" i="1"/>
  <c r="G143" i="1"/>
  <c r="F143" i="1"/>
  <c r="E143" i="1"/>
  <c r="D143" i="1"/>
  <c r="C143" i="1"/>
  <c r="B143" i="1"/>
  <c r="J142" i="1"/>
  <c r="I142" i="1"/>
  <c r="H142" i="1"/>
  <c r="G142" i="1"/>
  <c r="F142" i="1"/>
  <c r="E142" i="1"/>
  <c r="D142" i="1"/>
  <c r="C142" i="1"/>
  <c r="B142" i="1"/>
  <c r="J141" i="1"/>
  <c r="I141" i="1"/>
  <c r="H141" i="1"/>
  <c r="G141" i="1"/>
  <c r="F141" i="1"/>
  <c r="E141" i="1"/>
  <c r="D141" i="1"/>
  <c r="C141" i="1"/>
  <c r="B141" i="1"/>
  <c r="J140" i="1"/>
  <c r="I140" i="1"/>
  <c r="H140" i="1"/>
  <c r="G140" i="1"/>
  <c r="F140" i="1"/>
  <c r="E140" i="1"/>
  <c r="D140" i="1"/>
  <c r="C140" i="1"/>
  <c r="B140" i="1"/>
  <c r="J139" i="1"/>
  <c r="I139" i="1"/>
  <c r="H139" i="1"/>
  <c r="G139" i="1"/>
  <c r="F139" i="1"/>
  <c r="E139" i="1"/>
  <c r="D139" i="1"/>
  <c r="C139" i="1"/>
  <c r="B139" i="1"/>
  <c r="J138" i="1"/>
  <c r="I138" i="1"/>
  <c r="H138" i="1"/>
  <c r="G138" i="1"/>
  <c r="F138" i="1"/>
  <c r="E138" i="1"/>
  <c r="D138" i="1"/>
  <c r="C138" i="1"/>
  <c r="B138" i="1"/>
  <c r="J137" i="1"/>
  <c r="I137" i="1"/>
  <c r="H137" i="1"/>
  <c r="G137" i="1"/>
  <c r="F137" i="1"/>
  <c r="E137" i="1"/>
  <c r="D137" i="1"/>
  <c r="C137" i="1"/>
  <c r="B137" i="1"/>
  <c r="J136" i="1"/>
  <c r="I136" i="1"/>
  <c r="H136" i="1"/>
  <c r="G136" i="1"/>
  <c r="F136" i="1"/>
  <c r="E136" i="1"/>
  <c r="D136" i="1"/>
  <c r="C136" i="1"/>
  <c r="B136" i="1"/>
  <c r="J135" i="1"/>
  <c r="I135" i="1"/>
  <c r="H135" i="1"/>
  <c r="G135" i="1"/>
  <c r="F135" i="1"/>
  <c r="E135" i="1"/>
  <c r="D135" i="1"/>
  <c r="C135" i="1"/>
  <c r="B135" i="1"/>
  <c r="J134" i="1"/>
  <c r="I134" i="1"/>
  <c r="H134" i="1"/>
  <c r="G134" i="1"/>
  <c r="F134" i="1"/>
  <c r="E134" i="1"/>
  <c r="D134" i="1"/>
  <c r="C134" i="1"/>
  <c r="B134" i="1"/>
  <c r="J133" i="1"/>
  <c r="I133" i="1"/>
  <c r="H133" i="1"/>
  <c r="G133" i="1"/>
  <c r="F133" i="1"/>
  <c r="E133" i="1"/>
  <c r="D133" i="1"/>
  <c r="C133" i="1"/>
  <c r="B133" i="1"/>
  <c r="J132" i="1"/>
  <c r="I132" i="1"/>
  <c r="H132" i="1"/>
  <c r="G132" i="1"/>
  <c r="F132" i="1"/>
  <c r="E132" i="1"/>
  <c r="D132" i="1"/>
  <c r="C132" i="1"/>
  <c r="B132" i="1"/>
  <c r="J131" i="1"/>
  <c r="I131" i="1"/>
  <c r="H131" i="1"/>
  <c r="G131" i="1"/>
  <c r="F131" i="1"/>
  <c r="E131" i="1"/>
  <c r="D131" i="1"/>
  <c r="C131" i="1"/>
  <c r="B131" i="1"/>
  <c r="J130" i="1"/>
  <c r="I130" i="1"/>
  <c r="H130" i="1"/>
  <c r="G130" i="1"/>
  <c r="F130" i="1"/>
  <c r="E130" i="1"/>
  <c r="D130" i="1"/>
  <c r="C130" i="1"/>
  <c r="B130" i="1"/>
  <c r="J129" i="1"/>
  <c r="I129" i="1"/>
  <c r="H129" i="1"/>
  <c r="G129" i="1"/>
  <c r="F129" i="1"/>
  <c r="E129" i="1"/>
  <c r="D129" i="1"/>
  <c r="C129" i="1"/>
  <c r="B129" i="1"/>
  <c r="J128" i="1"/>
  <c r="I128" i="1"/>
  <c r="H128" i="1"/>
  <c r="G128" i="1"/>
  <c r="F128" i="1"/>
  <c r="E128" i="1"/>
  <c r="D128" i="1"/>
  <c r="C128" i="1"/>
  <c r="B128" i="1"/>
  <c r="J127" i="1"/>
  <c r="I127" i="1"/>
  <c r="H127" i="1"/>
  <c r="G127" i="1"/>
  <c r="F127" i="1"/>
  <c r="E127" i="1"/>
  <c r="D127" i="1"/>
  <c r="C127" i="1"/>
  <c r="B127" i="1"/>
  <c r="J126" i="1"/>
  <c r="I126" i="1"/>
  <c r="H126" i="1"/>
  <c r="G126" i="1"/>
  <c r="F126" i="1"/>
  <c r="E126" i="1"/>
  <c r="D126" i="1"/>
  <c r="C126" i="1"/>
  <c r="B126" i="1"/>
  <c r="J125" i="1"/>
  <c r="I125" i="1"/>
  <c r="H125" i="1"/>
  <c r="G125" i="1"/>
  <c r="F125" i="1"/>
  <c r="E125" i="1"/>
  <c r="D125" i="1"/>
  <c r="C125" i="1"/>
  <c r="B125" i="1"/>
  <c r="J124" i="1"/>
  <c r="I124" i="1"/>
  <c r="H124" i="1"/>
  <c r="G124" i="1"/>
  <c r="F124" i="1"/>
  <c r="E124" i="1"/>
  <c r="D124" i="1"/>
  <c r="C124" i="1"/>
  <c r="B124" i="1"/>
  <c r="J123" i="1"/>
  <c r="I123" i="1"/>
  <c r="H123" i="1"/>
  <c r="G123" i="1"/>
  <c r="F123" i="1"/>
  <c r="E123" i="1"/>
  <c r="D123" i="1"/>
  <c r="C123" i="1"/>
  <c r="B123" i="1"/>
  <c r="J122" i="1"/>
  <c r="I122" i="1"/>
  <c r="H122" i="1"/>
  <c r="G122" i="1"/>
  <c r="F122" i="1"/>
  <c r="E122" i="1"/>
  <c r="D122" i="1"/>
  <c r="C122" i="1"/>
  <c r="B122" i="1"/>
  <c r="J121" i="1"/>
  <c r="I121" i="1"/>
  <c r="H121" i="1"/>
  <c r="G121" i="1"/>
  <c r="F121" i="1"/>
  <c r="E121" i="1"/>
  <c r="D121" i="1"/>
  <c r="C121" i="1"/>
  <c r="B121" i="1"/>
  <c r="J120" i="1"/>
  <c r="I120" i="1"/>
  <c r="H120" i="1"/>
  <c r="G120" i="1"/>
  <c r="F120" i="1"/>
  <c r="E120" i="1"/>
  <c r="D120" i="1"/>
  <c r="C120" i="1"/>
  <c r="B120" i="1"/>
  <c r="J119" i="1"/>
  <c r="I119" i="1"/>
  <c r="H119" i="1"/>
  <c r="G119" i="1"/>
  <c r="F119" i="1"/>
  <c r="E119" i="1"/>
  <c r="D119" i="1"/>
  <c r="C119" i="1"/>
  <c r="B119" i="1"/>
  <c r="J118" i="1"/>
  <c r="I118" i="1"/>
  <c r="H118" i="1"/>
  <c r="G118" i="1"/>
  <c r="F118" i="1"/>
  <c r="E118" i="1"/>
  <c r="D118" i="1"/>
  <c r="C118" i="1"/>
  <c r="B118" i="1"/>
  <c r="J117" i="1"/>
  <c r="I117" i="1"/>
  <c r="H117" i="1"/>
  <c r="G117" i="1"/>
  <c r="F117" i="1"/>
  <c r="E117" i="1"/>
  <c r="D117" i="1"/>
  <c r="C117" i="1"/>
  <c r="B117" i="1"/>
  <c r="J116" i="1"/>
  <c r="I116" i="1"/>
  <c r="H116" i="1"/>
  <c r="G116" i="1"/>
  <c r="F116" i="1"/>
  <c r="E116" i="1"/>
  <c r="D116" i="1"/>
  <c r="C116" i="1"/>
  <c r="B116" i="1"/>
  <c r="J115" i="1"/>
  <c r="I115" i="1"/>
  <c r="H115" i="1"/>
  <c r="G115" i="1"/>
  <c r="F115" i="1"/>
  <c r="E115" i="1"/>
  <c r="D115" i="1"/>
  <c r="C115" i="1"/>
  <c r="B115" i="1"/>
  <c r="J114" i="1"/>
  <c r="I114" i="1"/>
  <c r="H114" i="1"/>
  <c r="G114" i="1"/>
  <c r="F114" i="1"/>
  <c r="E114" i="1"/>
  <c r="D114" i="1"/>
  <c r="C114" i="1"/>
  <c r="B114" i="1"/>
  <c r="J113" i="1"/>
  <c r="I113" i="1"/>
  <c r="H113" i="1"/>
  <c r="G113" i="1"/>
  <c r="F113" i="1"/>
  <c r="E113" i="1"/>
  <c r="D113" i="1"/>
  <c r="C113" i="1"/>
  <c r="B113" i="1"/>
  <c r="J112" i="1"/>
  <c r="I112" i="1"/>
  <c r="H112" i="1"/>
  <c r="G112" i="1"/>
  <c r="F112" i="1"/>
  <c r="E112" i="1"/>
  <c r="D112" i="1"/>
  <c r="C112" i="1"/>
  <c r="B112" i="1"/>
  <c r="J111" i="1"/>
  <c r="I111" i="1"/>
  <c r="H111" i="1"/>
  <c r="G111" i="1"/>
  <c r="F111" i="1"/>
  <c r="E111" i="1"/>
  <c r="D111" i="1"/>
  <c r="C111" i="1"/>
  <c r="B111" i="1"/>
  <c r="J110" i="1"/>
  <c r="I110" i="1"/>
  <c r="H110" i="1"/>
  <c r="G110" i="1"/>
  <c r="F110" i="1"/>
  <c r="E110" i="1"/>
  <c r="D110" i="1"/>
  <c r="C110" i="1"/>
  <c r="B110" i="1"/>
  <c r="J109" i="1"/>
  <c r="I109" i="1"/>
  <c r="H109" i="1"/>
  <c r="G109" i="1"/>
  <c r="F109" i="1"/>
  <c r="E109" i="1"/>
  <c r="D109" i="1"/>
  <c r="C109" i="1"/>
  <c r="B109" i="1"/>
  <c r="J108" i="1"/>
  <c r="I108" i="1"/>
  <c r="H108" i="1"/>
  <c r="G108" i="1"/>
  <c r="F108" i="1"/>
  <c r="E108" i="1"/>
  <c r="D108" i="1"/>
  <c r="C108" i="1"/>
  <c r="B108" i="1"/>
  <c r="J107" i="1"/>
  <c r="I107" i="1"/>
  <c r="H107" i="1"/>
  <c r="G107" i="1"/>
  <c r="F107" i="1"/>
  <c r="E107" i="1"/>
  <c r="D107" i="1"/>
  <c r="C107" i="1"/>
  <c r="B107" i="1"/>
  <c r="J106" i="1"/>
  <c r="I106" i="1"/>
  <c r="H106" i="1"/>
  <c r="G106" i="1"/>
  <c r="F106" i="1"/>
  <c r="E106" i="1"/>
  <c r="D106" i="1"/>
  <c r="C106" i="1"/>
  <c r="B106" i="1"/>
  <c r="J105" i="1"/>
  <c r="I105" i="1"/>
  <c r="H105" i="1"/>
  <c r="G105" i="1"/>
  <c r="F105" i="1"/>
  <c r="E105" i="1"/>
  <c r="D105" i="1"/>
  <c r="C105" i="1"/>
  <c r="B105" i="1"/>
  <c r="J104" i="1"/>
  <c r="I104" i="1"/>
  <c r="H104" i="1"/>
  <c r="G104" i="1"/>
  <c r="F104" i="1"/>
  <c r="E104" i="1"/>
  <c r="D104" i="1"/>
  <c r="C104" i="1"/>
  <c r="B104" i="1"/>
  <c r="J103" i="1"/>
  <c r="I103" i="1"/>
  <c r="H103" i="1"/>
  <c r="G103" i="1"/>
  <c r="F103" i="1"/>
  <c r="E103" i="1"/>
  <c r="D103" i="1"/>
  <c r="C103" i="1"/>
  <c r="B103" i="1"/>
  <c r="J102" i="1"/>
  <c r="I102" i="1"/>
  <c r="H102" i="1"/>
  <c r="G102" i="1"/>
  <c r="F102" i="1"/>
  <c r="E102" i="1"/>
  <c r="D102" i="1"/>
  <c r="C102" i="1"/>
  <c r="B102" i="1"/>
  <c r="J101" i="1"/>
  <c r="I101" i="1"/>
  <c r="H101" i="1"/>
  <c r="G101" i="1"/>
  <c r="F101" i="1"/>
  <c r="E101" i="1"/>
  <c r="D101" i="1"/>
  <c r="C101" i="1"/>
  <c r="B101" i="1"/>
  <c r="J100" i="1"/>
  <c r="I100" i="1"/>
  <c r="H100" i="1"/>
  <c r="G100" i="1"/>
  <c r="F100" i="1"/>
  <c r="E100" i="1"/>
  <c r="D100" i="1"/>
  <c r="C100" i="1"/>
  <c r="B100" i="1"/>
  <c r="J99" i="1"/>
  <c r="I99" i="1"/>
  <c r="H99" i="1"/>
  <c r="G99" i="1"/>
  <c r="F99" i="1"/>
  <c r="E99" i="1"/>
  <c r="D99" i="1"/>
  <c r="C99" i="1"/>
  <c r="B99" i="1"/>
  <c r="J98" i="1"/>
  <c r="I98" i="1"/>
  <c r="H98" i="1"/>
  <c r="G98" i="1"/>
  <c r="F98" i="1"/>
  <c r="E98" i="1"/>
  <c r="D98" i="1"/>
  <c r="C98" i="1"/>
  <c r="B98" i="1"/>
  <c r="J97" i="1"/>
  <c r="I97" i="1"/>
  <c r="H97" i="1"/>
  <c r="G97" i="1"/>
  <c r="F97" i="1"/>
  <c r="E97" i="1"/>
  <c r="D97" i="1"/>
  <c r="C97" i="1"/>
  <c r="B97" i="1"/>
  <c r="J96" i="1"/>
  <c r="I96" i="1"/>
  <c r="H96" i="1"/>
  <c r="G96" i="1"/>
  <c r="F96" i="1"/>
  <c r="E96" i="1"/>
  <c r="D96" i="1"/>
  <c r="C96" i="1"/>
  <c r="B96" i="1"/>
  <c r="J95" i="1"/>
  <c r="I95" i="1"/>
  <c r="H95" i="1"/>
  <c r="G95" i="1"/>
  <c r="F95" i="1"/>
  <c r="E95" i="1"/>
  <c r="D95" i="1"/>
  <c r="C95" i="1"/>
  <c r="B95" i="1"/>
  <c r="J94" i="1"/>
  <c r="I94" i="1"/>
  <c r="H94" i="1"/>
  <c r="G94" i="1"/>
  <c r="F94" i="1"/>
  <c r="E94" i="1"/>
  <c r="D94" i="1"/>
  <c r="C94" i="1"/>
  <c r="B94" i="1"/>
  <c r="J93" i="1"/>
  <c r="I93" i="1"/>
  <c r="H93" i="1"/>
  <c r="G93" i="1"/>
  <c r="F93" i="1"/>
  <c r="E93" i="1"/>
  <c r="D93" i="1"/>
  <c r="C93" i="1"/>
  <c r="B93" i="1"/>
  <c r="J92" i="1"/>
  <c r="I92" i="1"/>
  <c r="H92" i="1"/>
  <c r="G92" i="1"/>
  <c r="F92" i="1"/>
  <c r="E92" i="1"/>
  <c r="D92" i="1"/>
  <c r="C92" i="1"/>
  <c r="B92" i="1"/>
  <c r="J91" i="1"/>
  <c r="I91" i="1"/>
  <c r="H91" i="1"/>
  <c r="G91" i="1"/>
  <c r="F91" i="1"/>
  <c r="E91" i="1"/>
  <c r="D91" i="1"/>
  <c r="C91" i="1"/>
  <c r="B91" i="1"/>
  <c r="J90" i="1"/>
  <c r="I90" i="1"/>
  <c r="H90" i="1"/>
  <c r="G90" i="1"/>
  <c r="F90" i="1"/>
  <c r="E90" i="1"/>
  <c r="D90" i="1"/>
  <c r="C90" i="1"/>
  <c r="B90" i="1"/>
  <c r="J89" i="1"/>
  <c r="I89" i="1"/>
  <c r="H89" i="1"/>
  <c r="G89" i="1"/>
  <c r="F89" i="1"/>
  <c r="E89" i="1"/>
  <c r="D89" i="1"/>
  <c r="C89" i="1"/>
  <c r="B89" i="1"/>
  <c r="J88" i="1"/>
  <c r="I88" i="1"/>
  <c r="H88" i="1"/>
  <c r="G88" i="1"/>
  <c r="F88" i="1"/>
  <c r="E88" i="1"/>
  <c r="D88" i="1"/>
  <c r="C88" i="1"/>
  <c r="B88" i="1"/>
  <c r="J87" i="1"/>
  <c r="I87" i="1"/>
  <c r="H87" i="1"/>
  <c r="G87" i="1"/>
  <c r="F87" i="1"/>
  <c r="E87" i="1"/>
  <c r="D87" i="1"/>
  <c r="C87" i="1"/>
  <c r="B87" i="1"/>
  <c r="J86" i="1"/>
  <c r="I86" i="1"/>
  <c r="H86" i="1"/>
  <c r="G86" i="1"/>
  <c r="F86" i="1"/>
  <c r="E86" i="1"/>
  <c r="D86" i="1"/>
  <c r="C86" i="1"/>
  <c r="B86" i="1"/>
  <c r="J85" i="1"/>
  <c r="I85" i="1"/>
  <c r="H85" i="1"/>
  <c r="G85" i="1"/>
  <c r="F85" i="1"/>
  <c r="E85" i="1"/>
  <c r="D85" i="1"/>
  <c r="C85" i="1"/>
  <c r="B85" i="1"/>
  <c r="J84" i="1"/>
  <c r="I84" i="1"/>
  <c r="H84" i="1"/>
  <c r="G84" i="1"/>
  <c r="F84" i="1"/>
  <c r="E84" i="1"/>
  <c r="D84" i="1"/>
  <c r="C84" i="1"/>
  <c r="B84" i="1"/>
  <c r="J83" i="1"/>
  <c r="I83" i="1"/>
  <c r="H83" i="1"/>
  <c r="G83" i="1"/>
  <c r="F83" i="1"/>
  <c r="E83" i="1"/>
  <c r="D83" i="1"/>
  <c r="C83" i="1"/>
  <c r="B83" i="1"/>
  <c r="J82" i="1"/>
  <c r="I82" i="1"/>
  <c r="H82" i="1"/>
  <c r="G82" i="1"/>
  <c r="F82" i="1"/>
  <c r="E82" i="1"/>
  <c r="D82" i="1"/>
  <c r="C82" i="1"/>
  <c r="B82" i="1"/>
  <c r="J81" i="1"/>
  <c r="I81" i="1"/>
  <c r="H81" i="1"/>
  <c r="G81" i="1"/>
  <c r="F81" i="1"/>
  <c r="E81" i="1"/>
  <c r="D81" i="1"/>
  <c r="C81" i="1"/>
  <c r="B81" i="1"/>
  <c r="J80" i="1"/>
  <c r="I80" i="1"/>
  <c r="H80" i="1"/>
  <c r="G80" i="1"/>
  <c r="F80" i="1"/>
  <c r="E80" i="1"/>
  <c r="D80" i="1"/>
  <c r="C80" i="1"/>
  <c r="B80" i="1"/>
  <c r="J79" i="1"/>
  <c r="I79" i="1"/>
  <c r="H79" i="1"/>
  <c r="G79" i="1"/>
  <c r="F79" i="1"/>
  <c r="E79" i="1"/>
  <c r="D79" i="1"/>
  <c r="C79" i="1"/>
  <c r="B79" i="1"/>
  <c r="J78" i="1"/>
  <c r="I78" i="1"/>
  <c r="H78" i="1"/>
  <c r="G78" i="1"/>
  <c r="F78" i="1"/>
  <c r="E78" i="1"/>
  <c r="D78" i="1"/>
  <c r="C78" i="1"/>
  <c r="B78" i="1"/>
  <c r="J77" i="1"/>
  <c r="I77" i="1"/>
  <c r="H77" i="1"/>
  <c r="G77" i="1"/>
  <c r="F77" i="1"/>
  <c r="E77" i="1"/>
  <c r="D77" i="1"/>
  <c r="C77" i="1"/>
  <c r="B77" i="1"/>
  <c r="J76" i="1"/>
  <c r="I76" i="1"/>
  <c r="H76" i="1"/>
  <c r="G76" i="1"/>
  <c r="F76" i="1"/>
  <c r="E76" i="1"/>
  <c r="D76" i="1"/>
  <c r="C76" i="1"/>
  <c r="B76" i="1"/>
  <c r="J75" i="1"/>
  <c r="I75" i="1"/>
  <c r="H75" i="1"/>
  <c r="G75" i="1"/>
  <c r="F75" i="1"/>
  <c r="E75" i="1"/>
  <c r="D75" i="1"/>
  <c r="C75" i="1"/>
  <c r="B75" i="1"/>
  <c r="J74" i="1"/>
  <c r="I74" i="1"/>
  <c r="H74" i="1"/>
  <c r="G74" i="1"/>
  <c r="F74" i="1"/>
  <c r="E74" i="1"/>
  <c r="D74" i="1"/>
  <c r="C74" i="1"/>
  <c r="B74" i="1"/>
  <c r="J73" i="1"/>
  <c r="I73" i="1"/>
  <c r="H73" i="1"/>
  <c r="G73" i="1"/>
  <c r="F73" i="1"/>
  <c r="E73" i="1"/>
  <c r="D73" i="1"/>
  <c r="C73" i="1"/>
  <c r="B73" i="1"/>
  <c r="J72" i="1"/>
  <c r="I72" i="1"/>
  <c r="H72" i="1"/>
  <c r="G72" i="1"/>
  <c r="F72" i="1"/>
  <c r="E72" i="1"/>
  <c r="D72" i="1"/>
  <c r="C72" i="1"/>
  <c r="B72" i="1"/>
  <c r="J71" i="1"/>
  <c r="I71" i="1"/>
  <c r="H71" i="1"/>
  <c r="G71" i="1"/>
  <c r="F71" i="1"/>
  <c r="E71" i="1"/>
  <c r="D71" i="1"/>
  <c r="C71" i="1"/>
  <c r="B71" i="1"/>
  <c r="J70" i="1"/>
  <c r="I70" i="1"/>
  <c r="H70" i="1"/>
  <c r="G70" i="1"/>
  <c r="F70" i="1"/>
  <c r="E70" i="1"/>
  <c r="D70" i="1"/>
  <c r="C70" i="1"/>
  <c r="B70" i="1"/>
  <c r="J69" i="1"/>
  <c r="I69" i="1"/>
  <c r="H69" i="1"/>
  <c r="G69" i="1"/>
  <c r="F69" i="1"/>
  <c r="E69" i="1"/>
  <c r="D69" i="1"/>
  <c r="C69" i="1"/>
  <c r="B69" i="1"/>
  <c r="J68" i="1"/>
  <c r="I68" i="1"/>
  <c r="H68" i="1"/>
  <c r="G68" i="1"/>
  <c r="F68" i="1"/>
  <c r="E68" i="1"/>
  <c r="D68" i="1"/>
  <c r="C68" i="1"/>
  <c r="B68" i="1"/>
  <c r="J67" i="1"/>
  <c r="I67" i="1"/>
  <c r="H67" i="1"/>
  <c r="G67" i="1"/>
  <c r="F67" i="1"/>
  <c r="E67" i="1"/>
  <c r="D67" i="1"/>
  <c r="C67" i="1"/>
  <c r="B67" i="1"/>
  <c r="J66" i="1"/>
  <c r="I66" i="1"/>
  <c r="H66" i="1"/>
  <c r="G66" i="1"/>
  <c r="F66" i="1"/>
  <c r="E66" i="1"/>
  <c r="D66" i="1"/>
  <c r="C66" i="1"/>
  <c r="B66" i="1"/>
  <c r="J65" i="1"/>
  <c r="I65" i="1"/>
  <c r="H65" i="1"/>
  <c r="G65" i="1"/>
  <c r="F65" i="1"/>
  <c r="E65" i="1"/>
  <c r="D65" i="1"/>
  <c r="C65" i="1"/>
  <c r="B65" i="1"/>
  <c r="J64" i="1"/>
  <c r="I64" i="1"/>
  <c r="H64" i="1"/>
  <c r="G64" i="1"/>
  <c r="F64" i="1"/>
  <c r="E64" i="1"/>
  <c r="D64" i="1"/>
  <c r="C64" i="1"/>
  <c r="B64" i="1"/>
  <c r="J63" i="1"/>
  <c r="I63" i="1"/>
  <c r="H63" i="1"/>
  <c r="G63" i="1"/>
  <c r="F63" i="1"/>
  <c r="E63" i="1"/>
  <c r="D63" i="1"/>
  <c r="C63" i="1"/>
  <c r="B63" i="1"/>
  <c r="J62" i="1"/>
  <c r="I62" i="1"/>
  <c r="H62" i="1"/>
  <c r="G62" i="1"/>
  <c r="F62" i="1"/>
  <c r="E62" i="1"/>
  <c r="D62" i="1"/>
  <c r="C62" i="1"/>
  <c r="B62" i="1"/>
  <c r="J61" i="1"/>
  <c r="I61" i="1"/>
  <c r="H61" i="1"/>
  <c r="G61" i="1"/>
  <c r="F61" i="1"/>
  <c r="E61" i="1"/>
  <c r="D61" i="1"/>
  <c r="C61" i="1"/>
  <c r="B61" i="1"/>
  <c r="J60" i="1"/>
  <c r="I60" i="1"/>
  <c r="H60" i="1"/>
  <c r="G60" i="1"/>
  <c r="F60" i="1"/>
  <c r="E60" i="1"/>
  <c r="D60" i="1"/>
  <c r="C60" i="1"/>
  <c r="B60" i="1"/>
  <c r="J59" i="1"/>
  <c r="I59" i="1"/>
  <c r="H59" i="1"/>
  <c r="G59" i="1"/>
  <c r="F59" i="1"/>
  <c r="E59" i="1"/>
  <c r="D59" i="1"/>
  <c r="C59" i="1"/>
  <c r="B59" i="1"/>
  <c r="J58" i="1"/>
  <c r="I58" i="1"/>
  <c r="H58" i="1"/>
  <c r="G58" i="1"/>
  <c r="F58" i="1"/>
  <c r="E58" i="1"/>
  <c r="D58" i="1"/>
  <c r="C58" i="1"/>
  <c r="B58" i="1"/>
  <c r="J57" i="1"/>
  <c r="I57" i="1"/>
  <c r="H57" i="1"/>
  <c r="G57" i="1"/>
  <c r="F57" i="1"/>
  <c r="E57" i="1"/>
  <c r="D57" i="1"/>
  <c r="C57" i="1"/>
  <c r="B57" i="1"/>
  <c r="J56" i="1"/>
  <c r="I56" i="1"/>
  <c r="H56" i="1"/>
  <c r="G56" i="1"/>
  <c r="F56" i="1"/>
  <c r="E56" i="1"/>
  <c r="D56" i="1"/>
  <c r="C56" i="1"/>
  <c r="B56" i="1"/>
  <c r="J55" i="1"/>
  <c r="I55" i="1"/>
  <c r="H55" i="1"/>
  <c r="G55" i="1"/>
  <c r="F55" i="1"/>
  <c r="E55" i="1"/>
  <c r="D55" i="1"/>
  <c r="C55" i="1"/>
  <c r="B55" i="1"/>
  <c r="J54" i="1"/>
  <c r="I54" i="1"/>
  <c r="H54" i="1"/>
  <c r="G54" i="1"/>
  <c r="F54" i="1"/>
  <c r="E54" i="1"/>
  <c r="D54" i="1"/>
  <c r="C54" i="1"/>
  <c r="B54" i="1"/>
  <c r="J53" i="1"/>
  <c r="I53" i="1"/>
  <c r="H53" i="1"/>
  <c r="G53" i="1"/>
  <c r="F53" i="1"/>
  <c r="E53" i="1"/>
  <c r="D53" i="1"/>
  <c r="C53" i="1"/>
  <c r="B53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F51" i="1"/>
  <c r="E51" i="1"/>
  <c r="D51" i="1"/>
  <c r="C51" i="1"/>
  <c r="B51" i="1"/>
  <c r="J50" i="1"/>
  <c r="I50" i="1"/>
  <c r="H50" i="1"/>
  <c r="G50" i="1"/>
  <c r="F50" i="1"/>
  <c r="E50" i="1"/>
  <c r="D50" i="1"/>
  <c r="C50" i="1"/>
  <c r="B50" i="1"/>
  <c r="J49" i="1"/>
  <c r="I49" i="1"/>
  <c r="H49" i="1"/>
  <c r="G49" i="1"/>
  <c r="F49" i="1"/>
  <c r="E49" i="1"/>
  <c r="D49" i="1"/>
  <c r="C49" i="1"/>
  <c r="B49" i="1"/>
  <c r="J48" i="1"/>
  <c r="I48" i="1"/>
  <c r="H48" i="1"/>
  <c r="G48" i="1"/>
  <c r="F48" i="1"/>
  <c r="E48" i="1"/>
  <c r="D48" i="1"/>
  <c r="C48" i="1"/>
  <c r="B48" i="1"/>
  <c r="J47" i="1"/>
  <c r="I47" i="1"/>
  <c r="H47" i="1"/>
  <c r="G47" i="1"/>
  <c r="F47" i="1"/>
  <c r="E47" i="1"/>
  <c r="D47" i="1"/>
  <c r="C47" i="1"/>
  <c r="B47" i="1"/>
  <c r="J46" i="1"/>
  <c r="I46" i="1"/>
  <c r="H46" i="1"/>
  <c r="G46" i="1"/>
  <c r="F46" i="1"/>
  <c r="E46" i="1"/>
  <c r="D46" i="1"/>
  <c r="C46" i="1"/>
  <c r="B46" i="1"/>
  <c r="J45" i="1"/>
  <c r="I45" i="1"/>
  <c r="H45" i="1"/>
  <c r="G45" i="1"/>
  <c r="F45" i="1"/>
  <c r="E45" i="1"/>
  <c r="D45" i="1"/>
  <c r="C45" i="1"/>
  <c r="B45" i="1"/>
  <c r="J44" i="1"/>
  <c r="I44" i="1"/>
  <c r="H44" i="1"/>
  <c r="G44" i="1"/>
  <c r="F44" i="1"/>
  <c r="E44" i="1"/>
  <c r="D44" i="1"/>
  <c r="C44" i="1"/>
  <c r="B44" i="1"/>
  <c r="J43" i="1"/>
  <c r="I43" i="1"/>
  <c r="H43" i="1"/>
  <c r="G43" i="1"/>
  <c r="F43" i="1"/>
  <c r="E43" i="1"/>
  <c r="D43" i="1"/>
  <c r="C43" i="1"/>
  <c r="B43" i="1"/>
  <c r="J42" i="1"/>
  <c r="I42" i="1"/>
  <c r="H42" i="1"/>
  <c r="G42" i="1"/>
  <c r="F42" i="1"/>
  <c r="E42" i="1"/>
  <c r="D42" i="1"/>
  <c r="C42" i="1"/>
  <c r="B42" i="1"/>
  <c r="J41" i="1"/>
  <c r="I41" i="1"/>
  <c r="H41" i="1"/>
  <c r="G41" i="1"/>
  <c r="F41" i="1"/>
  <c r="E41" i="1"/>
  <c r="D41" i="1"/>
  <c r="C41" i="1"/>
  <c r="B41" i="1"/>
  <c r="J40" i="1"/>
  <c r="I40" i="1"/>
  <c r="H40" i="1"/>
  <c r="G40" i="1"/>
  <c r="F40" i="1"/>
  <c r="E40" i="1"/>
  <c r="D40" i="1"/>
  <c r="C40" i="1"/>
  <c r="B40" i="1"/>
  <c r="J39" i="1"/>
  <c r="I39" i="1"/>
  <c r="H39" i="1"/>
  <c r="G39" i="1"/>
  <c r="F39" i="1"/>
  <c r="E39" i="1"/>
  <c r="D39" i="1"/>
  <c r="C39" i="1"/>
  <c r="B39" i="1"/>
  <c r="J38" i="1"/>
  <c r="I38" i="1"/>
  <c r="H38" i="1"/>
  <c r="G38" i="1"/>
  <c r="F38" i="1"/>
  <c r="E38" i="1"/>
  <c r="D38" i="1"/>
  <c r="C38" i="1"/>
  <c r="B38" i="1"/>
  <c r="J37" i="1"/>
  <c r="I37" i="1"/>
  <c r="H37" i="1"/>
  <c r="G37" i="1"/>
  <c r="F37" i="1"/>
  <c r="E37" i="1"/>
  <c r="D37" i="1"/>
  <c r="C37" i="1"/>
  <c r="B37" i="1"/>
  <c r="J36" i="1"/>
  <c r="I36" i="1"/>
  <c r="H36" i="1"/>
  <c r="G36" i="1"/>
  <c r="F36" i="1"/>
  <c r="E36" i="1"/>
  <c r="D36" i="1"/>
  <c r="C36" i="1"/>
  <c r="B36" i="1"/>
  <c r="J35" i="1"/>
  <c r="I35" i="1"/>
  <c r="H35" i="1"/>
  <c r="G35" i="1"/>
  <c r="F35" i="1"/>
  <c r="E35" i="1"/>
  <c r="D35" i="1"/>
  <c r="C35" i="1"/>
  <c r="B35" i="1"/>
  <c r="J34" i="1"/>
  <c r="I34" i="1"/>
  <c r="H34" i="1"/>
  <c r="G34" i="1"/>
  <c r="F34" i="1"/>
  <c r="E34" i="1"/>
  <c r="D34" i="1"/>
  <c r="C34" i="1"/>
  <c r="B34" i="1"/>
  <c r="J33" i="1"/>
  <c r="I33" i="1"/>
  <c r="H33" i="1"/>
  <c r="G33" i="1"/>
  <c r="F33" i="1"/>
  <c r="E33" i="1"/>
  <c r="D33" i="1"/>
  <c r="C33" i="1"/>
  <c r="B33" i="1"/>
  <c r="J32" i="1"/>
  <c r="I32" i="1"/>
  <c r="H32" i="1"/>
  <c r="G32" i="1"/>
  <c r="F32" i="1"/>
  <c r="E32" i="1"/>
  <c r="D32" i="1"/>
  <c r="C32" i="1"/>
  <c r="B32" i="1"/>
  <c r="J31" i="1"/>
  <c r="I31" i="1"/>
  <c r="H31" i="1"/>
  <c r="G31" i="1"/>
  <c r="F31" i="1"/>
  <c r="E31" i="1"/>
  <c r="D31" i="1"/>
  <c r="C31" i="1"/>
  <c r="B31" i="1"/>
  <c r="J30" i="1"/>
  <c r="I30" i="1"/>
  <c r="H30" i="1"/>
  <c r="G30" i="1"/>
  <c r="F30" i="1"/>
  <c r="E30" i="1"/>
  <c r="D30" i="1"/>
  <c r="C30" i="1"/>
  <c r="B30" i="1"/>
  <c r="J29" i="1"/>
  <c r="I29" i="1"/>
  <c r="H29" i="1"/>
  <c r="G29" i="1"/>
  <c r="F29" i="1"/>
  <c r="E29" i="1"/>
  <c r="D29" i="1"/>
  <c r="C29" i="1"/>
  <c r="B29" i="1"/>
  <c r="J28" i="1"/>
  <c r="I28" i="1"/>
  <c r="H28" i="1"/>
  <c r="G28" i="1"/>
  <c r="F28" i="1"/>
  <c r="E28" i="1"/>
  <c r="D28" i="1"/>
  <c r="C28" i="1"/>
  <c r="B28" i="1"/>
  <c r="J27" i="1"/>
  <c r="I27" i="1"/>
  <c r="H27" i="1"/>
  <c r="G27" i="1"/>
  <c r="F27" i="1"/>
  <c r="E27" i="1"/>
  <c r="D27" i="1"/>
  <c r="C27" i="1"/>
  <c r="B27" i="1"/>
  <c r="J26" i="1"/>
  <c r="I26" i="1"/>
  <c r="H26" i="1"/>
  <c r="G26" i="1"/>
  <c r="F26" i="1"/>
  <c r="E26" i="1"/>
  <c r="D26" i="1"/>
  <c r="C26" i="1"/>
  <c r="B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K5" i="1"/>
  <c r="I5" i="1"/>
  <c r="G5" i="1"/>
  <c r="E5" i="1"/>
  <c r="C5" i="1"/>
  <c r="A5" i="1"/>
</calcChain>
</file>

<file path=xl/sharedStrings.xml><?xml version="1.0" encoding="utf-8"?>
<sst xmlns="http://schemas.openxmlformats.org/spreadsheetml/2006/main" count="10237" uniqueCount="2900">
  <si>
    <t>PRESOL — Indicadores Comerciales</t>
  </si>
  <si>
    <t>Lectura rápida de cobertura, prioridad y calidad de contacto. Los datos se calculan desde la hoja Prospectos.</t>
  </si>
  <si>
    <t>PRESOL — Cola de Verificación</t>
  </si>
  <si>
    <t>Vista derivada para preparar llamados/visitas. No editar aquí: registrar cambios en Prospectos.</t>
  </si>
  <si>
    <t>PRESOL — Servicios y Argumentos Comerciales</t>
  </si>
  <si>
    <t>Referencia rápida para adaptar la conversación según el tipo de prospecto.</t>
  </si>
  <si>
    <t>Servicio</t>
  </si>
  <si>
    <t>Prospectos</t>
  </si>
  <si>
    <t>Uso comercial</t>
  </si>
  <si>
    <t>Primeros a llamar</t>
  </si>
  <si>
    <t>Transporte de áridos/materiales</t>
  </si>
  <si>
    <t>100</t>
  </si>
  <si>
    <t>Canteras, corralones, hormigón, premoldeados y obras con movimiento de material.</t>
  </si>
  <si>
    <t>Hormicor, Metalúrgica Monticelli, NT Construcciones, Sinfix SAS, Suragro - Implementos Agrícolas, Vial del Centro, HORMIWORK S.A., Alpha Construcciones Industriales S.A., D &amp; M ESTRUCTURAS, Duter S.A., ESISA, ISECO Construcción</t>
  </si>
  <si>
    <t>Barquilla hidrogrúa</t>
  </si>
  <si>
    <t>43</t>
  </si>
  <si>
    <t>Cooperativas, plantas, redes y mantenimiento en altura.</t>
  </si>
  <si>
    <t>Tres Eme S.A., Oleos San José S.R.L., Charrúa Implementos Agrícolas, Atanor / Albaugh, Grupo AVO S.A., AGD — Planta de Acopio Corralito, Trisoil S.A., DIEZTREINTA S.A.S., El Álamo S.R.L. - Tancacha, Alimentos Tancacha, Agroinsumos Tancacha SRL, RG Rodolfo Grosso</t>
  </si>
  <si>
    <t>Percha para pallets</t>
  </si>
  <si>
    <t>183</t>
  </si>
  <si>
    <t>Agroinsumos, fertilizantes, alimentos, repuestos, bolsones y materiales palletizados.</t>
  </si>
  <si>
    <t>Hormicor, Metalúrgica Monticelli, Metalúrgica Novaretti, Metalúrgica Río Tercero S.A., NT Construcciones, Sinfix SAS, Suragro - Implementos Agrícolas, Tres Eme S.A., Vial del Centro, HORMIWORK S.A., Alpha Construcciones Industriales S.A., Caon - Concesionario Oficial CASE IH</t>
  </si>
  <si>
    <t>Piletas / PRFV</t>
  </si>
  <si>
    <t>Maquinaria agrícola</t>
  </si>
  <si>
    <t>PRESOL — Guía de uso de la base</t>
  </si>
  <si>
    <t>Una sola fuente de verdad: toda actualización comercial se registra en Prospectos.</t>
  </si>
  <si>
    <t>Sección</t>
  </si>
  <si>
    <t>Para qué sirve</t>
  </si>
  <si>
    <t>Qué se edita</t>
  </si>
  <si>
    <t>Regla operativa</t>
  </si>
  <si>
    <t>Base maestra y seguimiento comercial.</t>
  </si>
  <si>
    <t>Sí.</t>
  </si>
  <si>
    <t>Registrar estado, responsable, resultado, fecha, próximo paso, notas y Nota Dirección.</t>
  </si>
  <si>
    <t>Indicadores</t>
  </si>
  <si>
    <t>Cobertura por clase, corredor y ciudad.</t>
  </si>
  <si>
    <t>No editar.</t>
  </si>
  <si>
    <t>Se calcula desde Prospectos.</t>
  </si>
  <si>
    <t>Contactos a verificar</t>
  </si>
  <si>
    <t>Cola de contactos con teléfono a confirmar o relevar.</t>
  </si>
  <si>
    <t>Resolver el dato y actualizar Calidad del teléfono en Prospectos.</t>
  </si>
  <si>
    <t>Servicios PRESOL</t>
  </si>
  <si>
    <t>Referencia de servicios y argumentos.</t>
  </si>
  <si>
    <t>Solo si cambia la oferta.</t>
  </si>
  <si>
    <t>Adaptar el mensaje al rubro; no cotizar sin un traslado concreto.</t>
  </si>
  <si>
    <t>Prioridades</t>
  </si>
  <si>
    <t>Clase A = primera pasada; B = segunda; C = oportunidad puntual.</t>
  </si>
  <si>
    <t>Clase se edita en Prospectos.</t>
  </si>
  <si>
    <t>Orden recomendado: corredor → ciudad → clase → puntaje.</t>
  </si>
  <si>
    <t>PRESOL — Prospectos | Resumen Ejecutivo</t>
  </si>
  <si>
    <t>Dirección · Filtrar por Categoría, Corredor o Ciudad · Completar libremente “Nota Dirección”</t>
  </si>
  <si>
    <t>TOTAL</t>
  </si>
  <si>
    <t>CLASE A</t>
  </si>
  <si>
    <t>CLASE B</t>
  </si>
  <si>
    <t>CLASE C</t>
  </si>
  <si>
    <t>TELÉFONOS OK</t>
  </si>
  <si>
    <t>A VERIFICAR</t>
  </si>
  <si>
    <t>ID</t>
  </si>
  <si>
    <t>Clase</t>
  </si>
  <si>
    <t>Empresa</t>
  </si>
  <si>
    <t>Categoría comercial</t>
  </si>
  <si>
    <t>Corredor</t>
  </si>
  <si>
    <t>Ciudad</t>
  </si>
  <si>
    <t>Teléfonos</t>
  </si>
  <si>
    <t>Preguntar por</t>
  </si>
  <si>
    <t>Necesidad probable</t>
  </si>
  <si>
    <t>Prioridad de visita</t>
  </si>
  <si>
    <t>Nota Dirección</t>
  </si>
  <si>
    <t>RT-054</t>
  </si>
  <si>
    <t>RT-001</t>
  </si>
  <si>
    <t>RT-002</t>
  </si>
  <si>
    <t>RT-003</t>
  </si>
  <si>
    <t>RT-004</t>
  </si>
  <si>
    <t>RT-005</t>
  </si>
  <si>
    <t>RT-064</t>
  </si>
  <si>
    <t>RT-006</t>
  </si>
  <si>
    <t>RT-007</t>
  </si>
  <si>
    <t>RT-008</t>
  </si>
  <si>
    <t>RT-009</t>
  </si>
  <si>
    <t>RT-010</t>
  </si>
  <si>
    <t>RT-062</t>
  </si>
  <si>
    <t>RT-055</t>
  </si>
  <si>
    <t>RT-056</t>
  </si>
  <si>
    <t>RT-057</t>
  </si>
  <si>
    <t>RT-065</t>
  </si>
  <si>
    <t>RT-011</t>
  </si>
  <si>
    <t>RT-012</t>
  </si>
  <si>
    <t>RT-013</t>
  </si>
  <si>
    <t>RT-014</t>
  </si>
  <si>
    <t>RT-015</t>
  </si>
  <si>
    <t>RT-016</t>
  </si>
  <si>
    <t>RT-017</t>
  </si>
  <si>
    <t>RT-018</t>
  </si>
  <si>
    <t>RT-019</t>
  </si>
  <si>
    <t>RT-058</t>
  </si>
  <si>
    <t>RT-059</t>
  </si>
  <si>
    <t>RT-020</t>
  </si>
  <si>
    <t>RT-060</t>
  </si>
  <si>
    <t>RT-021</t>
  </si>
  <si>
    <t>RT-022</t>
  </si>
  <si>
    <t>RT-023</t>
  </si>
  <si>
    <t>RT-024</t>
  </si>
  <si>
    <t>RT-025</t>
  </si>
  <si>
    <t>RT-026</t>
  </si>
  <si>
    <t>RT-027</t>
  </si>
  <si>
    <t>RT-028</t>
  </si>
  <si>
    <t>RT-029</t>
  </si>
  <si>
    <t>RT-030</t>
  </si>
  <si>
    <t>RT-031</t>
  </si>
  <si>
    <t>RT-032</t>
  </si>
  <si>
    <t>RT-033</t>
  </si>
  <si>
    <t>RT-034</t>
  </si>
  <si>
    <t>RT-035</t>
  </si>
  <si>
    <t>RT-061</t>
  </si>
  <si>
    <t>RT-063</t>
  </si>
  <si>
    <t>RT-036</t>
  </si>
  <si>
    <t>RT-037</t>
  </si>
  <si>
    <t>RT-038</t>
  </si>
  <si>
    <t>RT-039</t>
  </si>
  <si>
    <t>RT-040</t>
  </si>
  <si>
    <t>RT-041</t>
  </si>
  <si>
    <t>RT-042</t>
  </si>
  <si>
    <t>RT-043</t>
  </si>
  <si>
    <t>RT-044</t>
  </si>
  <si>
    <t>RT-045</t>
  </si>
  <si>
    <t>RT-046</t>
  </si>
  <si>
    <t>RT-047</t>
  </si>
  <si>
    <t>RT-048</t>
  </si>
  <si>
    <t>RT-049</t>
  </si>
  <si>
    <t>RT-050</t>
  </si>
  <si>
    <t>RT-051</t>
  </si>
  <si>
    <t>RT-052</t>
  </si>
  <si>
    <t>RT-053</t>
  </si>
  <si>
    <t>COR-001</t>
  </si>
  <si>
    <t>COR-002</t>
  </si>
  <si>
    <t>TAN-001</t>
  </si>
  <si>
    <t>TAN-002</t>
  </si>
  <si>
    <t>TAN-003</t>
  </si>
  <si>
    <t>TAN-004</t>
  </si>
  <si>
    <t>TAN-005</t>
  </si>
  <si>
    <t>TAN-006</t>
  </si>
  <si>
    <t>TAN-007</t>
  </si>
  <si>
    <t>TAN-008</t>
  </si>
  <si>
    <t>TAN-009</t>
  </si>
  <si>
    <t>TAN-010</t>
  </si>
  <si>
    <t>TAN-011</t>
  </si>
  <si>
    <t>TAN-012</t>
  </si>
  <si>
    <t>AG-001</t>
  </si>
  <si>
    <t>AG-002</t>
  </si>
  <si>
    <t>AG-003</t>
  </si>
  <si>
    <t>AG-010</t>
  </si>
  <si>
    <t>AG-009</t>
  </si>
  <si>
    <t>AG-008</t>
  </si>
  <si>
    <t>AG-004</t>
  </si>
  <si>
    <t>AG-005</t>
  </si>
  <si>
    <t>AG-006</t>
  </si>
  <si>
    <t>AG-007</t>
  </si>
  <si>
    <t>ANI-002</t>
  </si>
  <si>
    <t>ANI-001</t>
  </si>
  <si>
    <t>SIE-001</t>
  </si>
  <si>
    <t>CBA-017</t>
  </si>
  <si>
    <t>CBA-023</t>
  </si>
  <si>
    <t>CBA-015</t>
  </si>
  <si>
    <t>CBA-024</t>
  </si>
  <si>
    <t>CBA-016</t>
  </si>
  <si>
    <t>CBA-001</t>
  </si>
  <si>
    <t>CBA-018</t>
  </si>
  <si>
    <t>CBA-019</t>
  </si>
  <si>
    <t>CBA-020</t>
  </si>
  <si>
    <t>CBA-025</t>
  </si>
  <si>
    <t>CBA-021</t>
  </si>
  <si>
    <t>CBA-014</t>
  </si>
  <si>
    <t>CBA-022</t>
  </si>
  <si>
    <t>CBA-002</t>
  </si>
  <si>
    <t>CBA-003</t>
  </si>
  <si>
    <t>CBA-004</t>
  </si>
  <si>
    <t>CBA-005</t>
  </si>
  <si>
    <t>CBA-006</t>
  </si>
  <si>
    <t>CBA-007</t>
  </si>
  <si>
    <t>CBA-008</t>
  </si>
  <si>
    <t>CBA-009</t>
  </si>
  <si>
    <t>CBA-010</t>
  </si>
  <si>
    <t>CBA-011</t>
  </si>
  <si>
    <t>CBA-012</t>
  </si>
  <si>
    <t>CBA-013</t>
  </si>
  <si>
    <t>DES-001</t>
  </si>
  <si>
    <t>DES-004</t>
  </si>
  <si>
    <t>DES-002</t>
  </si>
  <si>
    <t>DES-003</t>
  </si>
  <si>
    <t>FER-001</t>
  </si>
  <si>
    <t>FER-002</t>
  </si>
  <si>
    <t>MAL-001</t>
  </si>
  <si>
    <t>MAL-004</t>
  </si>
  <si>
    <t>MAL-002</t>
  </si>
  <si>
    <t>MAL-003</t>
  </si>
  <si>
    <t>ONC-001</t>
  </si>
  <si>
    <t>ONC-002</t>
  </si>
  <si>
    <t>ONC-003</t>
  </si>
  <si>
    <t>ONC-004</t>
  </si>
  <si>
    <t>ONC-026</t>
  </si>
  <si>
    <t>ONC-005</t>
  </si>
  <si>
    <t>ONC-029</t>
  </si>
  <si>
    <t>ONC-027</t>
  </si>
  <si>
    <t>ONC-025</t>
  </si>
  <si>
    <t>ONC-023</t>
  </si>
  <si>
    <t>ONC-024</t>
  </si>
  <si>
    <t>ONC-028</t>
  </si>
  <si>
    <t>ONC-006</t>
  </si>
  <si>
    <t>ONC-007</t>
  </si>
  <si>
    <t>ONC-009</t>
  </si>
  <si>
    <t>ONC-008</t>
  </si>
  <si>
    <t>ONC-010</t>
  </si>
  <si>
    <t>ONC-011</t>
  </si>
  <si>
    <t>ONC-012</t>
  </si>
  <si>
    <t>ONC-013</t>
  </si>
  <si>
    <t>ONC-014</t>
  </si>
  <si>
    <t>ONC-015</t>
  </si>
  <si>
    <t>ONC-016</t>
  </si>
  <si>
    <t>ONC-017</t>
  </si>
  <si>
    <t>ONC-018</t>
  </si>
  <si>
    <t>ONC-019</t>
  </si>
  <si>
    <t>ONC-020</t>
  </si>
  <si>
    <t>ONC-021</t>
  </si>
  <si>
    <t>ONC-022</t>
  </si>
  <si>
    <t>AGI-001</t>
  </si>
  <si>
    <t>AGI-004</t>
  </si>
  <si>
    <t>AGI-005</t>
  </si>
  <si>
    <t>AGI-002</t>
  </si>
  <si>
    <t>AGI-006</t>
  </si>
  <si>
    <t>AGI-003</t>
  </si>
  <si>
    <t>BER-003</t>
  </si>
  <si>
    <t>BER-001</t>
  </si>
  <si>
    <t>BER-002</t>
  </si>
  <si>
    <t>CHU-001</t>
  </si>
  <si>
    <t>ELE-001</t>
  </si>
  <si>
    <t>ELE-003</t>
  </si>
  <si>
    <t>ELE-002</t>
  </si>
  <si>
    <t>ELE-004</t>
  </si>
  <si>
    <t>LAC-001</t>
  </si>
  <si>
    <t>LH-001</t>
  </si>
  <si>
    <t>RC-001</t>
  </si>
  <si>
    <t>RC-034</t>
  </si>
  <si>
    <t>RC-002</t>
  </si>
  <si>
    <t>RC-003</t>
  </si>
  <si>
    <t>RC-018</t>
  </si>
  <si>
    <t>RC-004</t>
  </si>
  <si>
    <t>RC-005</t>
  </si>
  <si>
    <t>RC-035</t>
  </si>
  <si>
    <t>RC-006</t>
  </si>
  <si>
    <t>RC-007</t>
  </si>
  <si>
    <t>RC-008</t>
  </si>
  <si>
    <t>RC-009</t>
  </si>
  <si>
    <t>RC-032</t>
  </si>
  <si>
    <t>RC-010</t>
  </si>
  <si>
    <t>RC-036</t>
  </si>
  <si>
    <t>RC-037</t>
  </si>
  <si>
    <t>RC-021</t>
  </si>
  <si>
    <t>RC-019</t>
  </si>
  <si>
    <t>RC-039</t>
  </si>
  <si>
    <t>RC-020</t>
  </si>
  <si>
    <t>RC-026</t>
  </si>
  <si>
    <t>RC-033</t>
  </si>
  <si>
    <t>RC-027</t>
  </si>
  <si>
    <t>RC-030</t>
  </si>
  <si>
    <t>RC-028</t>
  </si>
  <si>
    <t>RC-031</t>
  </si>
  <si>
    <t>RC-038</t>
  </si>
  <si>
    <t>RC-022</t>
  </si>
  <si>
    <t>RC-025</t>
  </si>
  <si>
    <t>RC-023</t>
  </si>
  <si>
    <t>RC-011</t>
  </si>
  <si>
    <t>RC-012</t>
  </si>
  <si>
    <t>RC-029</t>
  </si>
  <si>
    <t>RC-013</t>
  </si>
  <si>
    <t>RC-014</t>
  </si>
  <si>
    <t>RC-015</t>
  </si>
  <si>
    <t>RC-016</t>
  </si>
  <si>
    <t>RC-024</t>
  </si>
  <si>
    <t>RC-017</t>
  </si>
  <si>
    <t>VA-001</t>
  </si>
  <si>
    <t>VA-002</t>
  </si>
  <si>
    <t>VA-003</t>
  </si>
  <si>
    <t>VA-004</t>
  </si>
  <si>
    <t>ALM-003</t>
  </si>
  <si>
    <t>ALM-001</t>
  </si>
  <si>
    <t>ALM-002</t>
  </si>
  <si>
    <t>HER-001</t>
  </si>
  <si>
    <t>HER-002</t>
  </si>
  <si>
    <t>HER-003</t>
  </si>
  <si>
    <t>HER-018</t>
  </si>
  <si>
    <t>HER-019</t>
  </si>
  <si>
    <t>HER-017</t>
  </si>
  <si>
    <t>HER-021</t>
  </si>
  <si>
    <t>HER-004</t>
  </si>
  <si>
    <t>HER-005</t>
  </si>
  <si>
    <t>HER-006</t>
  </si>
  <si>
    <t>HER-007</t>
  </si>
  <si>
    <t>HER-008</t>
  </si>
  <si>
    <t>HER-009</t>
  </si>
  <si>
    <t>HER-010</t>
  </si>
  <si>
    <t>HER-020</t>
  </si>
  <si>
    <t>HER-011</t>
  </si>
  <si>
    <t>HER-012</t>
  </si>
  <si>
    <t>HER-014</t>
  </si>
  <si>
    <t>HER-013</t>
  </si>
  <si>
    <t>HER-015</t>
  </si>
  <si>
    <t>HER-016</t>
  </si>
  <si>
    <t>TP-001</t>
  </si>
  <si>
    <t>TP-002</t>
  </si>
  <si>
    <t>VM-044</t>
  </si>
  <si>
    <t>VM-021</t>
  </si>
  <si>
    <t>VM-001</t>
  </si>
  <si>
    <t>VM-002</t>
  </si>
  <si>
    <t>VM-003</t>
  </si>
  <si>
    <t>VM-043</t>
  </si>
  <si>
    <t>VM-004</t>
  </si>
  <si>
    <t>VM-037</t>
  </si>
  <si>
    <t>VM-023</t>
  </si>
  <si>
    <t>VM-024</t>
  </si>
  <si>
    <t>VM-045</t>
  </si>
  <si>
    <t>VM-038</t>
  </si>
  <si>
    <t>VM-040</t>
  </si>
  <si>
    <t>VM-022</t>
  </si>
  <si>
    <t>VM-033</t>
  </si>
  <si>
    <t>VM-042</t>
  </si>
  <si>
    <t>VM-041</t>
  </si>
  <si>
    <t>VM-030</t>
  </si>
  <si>
    <t>VM-035</t>
  </si>
  <si>
    <t>VM-005</t>
  </si>
  <si>
    <t>VM-034</t>
  </si>
  <si>
    <t>VM-006</t>
  </si>
  <si>
    <t>VM-039</t>
  </si>
  <si>
    <t>VM-026</t>
  </si>
  <si>
    <t>VM-032</t>
  </si>
  <si>
    <t>VM-007</t>
  </si>
  <si>
    <t>VM-009</t>
  </si>
  <si>
    <t>VM-008</t>
  </si>
  <si>
    <t>VM-010</t>
  </si>
  <si>
    <t>VM-011</t>
  </si>
  <si>
    <t>VM-012</t>
  </si>
  <si>
    <t>VM-013</t>
  </si>
  <si>
    <t>VM-014</t>
  </si>
  <si>
    <t>VM-015</t>
  </si>
  <si>
    <t>VM-031</t>
  </si>
  <si>
    <t>VM-025</t>
  </si>
  <si>
    <t>VM-036</t>
  </si>
  <si>
    <t>VM-027</t>
  </si>
  <si>
    <t>VM-028</t>
  </si>
  <si>
    <t>VM-029</t>
  </si>
  <si>
    <t>VM-016</t>
  </si>
  <si>
    <t>VM-017</t>
  </si>
  <si>
    <t>VM-018</t>
  </si>
  <si>
    <t>VM-019</t>
  </si>
  <si>
    <t>VM-020</t>
  </si>
  <si>
    <t>VN-001</t>
  </si>
  <si>
    <t>Estado de contacto</t>
  </si>
  <si>
    <t>Microzona</t>
  </si>
  <si>
    <t>Puntaje operativo</t>
  </si>
  <si>
    <t>Sector</t>
  </si>
  <si>
    <t>Calidad del teléfono</t>
  </si>
  <si>
    <t>Oferta PRESOL</t>
  </si>
  <si>
    <t>Gancho comercial</t>
  </si>
  <si>
    <t>Acción sugerida</t>
  </si>
  <si>
    <t>Responsable</t>
  </si>
  <si>
    <t>Resultado</t>
  </si>
  <si>
    <t>Fecha de visita</t>
  </si>
  <si>
    <t>Próximo paso</t>
  </si>
  <si>
    <t>Notas de campo</t>
  </si>
  <si>
    <t>Teléfono principal (tel:)</t>
  </si>
  <si>
    <t>Links telefónicos</t>
  </si>
  <si>
    <t>Dato pendiente</t>
  </si>
  <si>
    <t>Google Maps</t>
  </si>
  <si>
    <t>Fuente</t>
  </si>
  <si>
    <t>URL fuente</t>
  </si>
  <si>
    <t>Evidencia</t>
  </si>
  <si>
    <t>Calidad del dato</t>
  </si>
  <si>
    <t>Origen del registro</t>
  </si>
  <si>
    <t>Servicios PRESOL a ofrecer</t>
  </si>
  <si>
    <t>Rubro foco enriquecimiento</t>
  </si>
  <si>
    <t>Ciudad foco solicitada</t>
  </si>
  <si>
    <t>Prioridad visita sugerida</t>
  </si>
  <si>
    <t>Observación servicio nuevo</t>
  </si>
  <si>
    <t>Fuente unificación</t>
  </si>
  <si>
    <t>Notas de unificación</t>
  </si>
  <si>
    <t>Pendiente</t>
  </si>
  <si>
    <t>Base Río Tercero</t>
  </si>
  <si>
    <t>Río Tercero / zona industrial</t>
  </si>
  <si>
    <t>Río Tercero</t>
  </si>
  <si>
    <t>A</t>
  </si>
  <si>
    <t>Ascanelli S.A.</t>
  </si>
  <si>
    <t>Fabricante de tolvas, sembradoras, mixers y embolsadoras</t>
  </si>
  <si>
    <t>03571 423691</t>
  </si>
  <si>
    <t>OK</t>
  </si>
  <si>
    <t>logística / ventas / postventa</t>
  </si>
  <si>
    <t>Despacho de implementos, tolvas, sembradoras, estructuras, equipos terminados y componentes de gran porte hacia concesionarios, clientes, ferias o campo.</t>
  </si>
  <si>
    <t>Plataforma 20 tn para maquinaria/implementos + malacate e hidrogrúa según maniobra + seguro de carga + trazabilidad GPS.</t>
  </si>
  <si>
    <t>Proponer a PRESOL como transporte tercerizado para entregas, picos de producción, ferias y movimientos especiales sin inmovilizar flota propia.</t>
  </si>
  <si>
    <t>Llamada comercial prioritaria; pedir por logística/ventas/postventa y consultar próximo equipo a trasladar.</t>
  </si>
  <si>
    <t>tel:+543571423691</t>
  </si>
  <si>
    <t>Confirmar decisor y frecuencia de traslados.</t>
  </si>
  <si>
    <t>https://www.google.com/maps/search/?api=1&amp;query=Ascanelli+S.A.+R%C3%ADo+Tercero+C%C3%B3rdoba+Argentina</t>
  </si>
  <si>
    <t>AFAMAC / CIMCC</t>
  </si>
  <si>
    <t>https://afamac.com.ar/catalogo/asociados-afamac/ascanelli/</t>
  </si>
  <si>
    <t>Fabricante radicado en Río Tercero; produce tolvas autodescargables, sembradoras, mixers y embolsadoras.</t>
  </si>
  <si>
    <t>Alta</t>
  </si>
  <si>
    <t>Rastrillaje agro-maquinaria web 2026-09-07</t>
  </si>
  <si>
    <t>plataforma 20 tn para maquinaria/implementos | hidrogrúa para maniobras | malacate | seguro de carga | trazabilidad GPS</t>
  </si>
  <si>
    <t>fabricante/concesionario/servicio maquinaria agrícola</t>
  </si>
  <si>
    <t>Sí</t>
  </si>
  <si>
    <t>Muy alta</t>
  </si>
  <si>
    <t>Perfil específico maquinaria agrícola: validar pesos/dimensiones, tipo de carga y disponibilidad de medios de izaje antes de cotizar.</t>
  </si>
  <si>
    <t>Rastrillaje agro-maquinaria 2026-09-07</t>
  </si>
  <si>
    <t>Alta nueva luego de barrido específico de fabricantes, implementos, tractores, concesionarios y agropartes; cruzada contra la base maestra para evitar duplicados.</t>
  </si>
  <si>
    <t>Hormicor</t>
  </si>
  <si>
    <t>Hormigón elaborado</t>
  </si>
  <si>
    <t>Hormigón, áridos y materiales</t>
  </si>
  <si>
    <t>03571 500888 / 03571 510066</t>
  </si>
  <si>
    <t>planta / mantenimiento</t>
  </si>
  <si>
    <t>Movimiento de premoldeados, equipos de planta/cantera, bombas, moldes y cargas pesadas.</t>
  </si>
  <si>
    <t>Movimiento de equipos de cantera/planta; transporte de material suelto sujeto a confirmar unidad o esquema operativo.</t>
  </si>
  <si>
    <t>Ofrecer respaldo para picos de obra y traslados de equipos.</t>
  </si>
  <si>
    <t>Visita o llamada de validación; pedir próximo traslado concreto.</t>
  </si>
  <si>
    <t>tel:+543571500888</t>
  </si>
  <si>
    <t>tel:+543571500888 | tel:+543571510066</t>
  </si>
  <si>
    <t>Validar contacto decisor y necesidad inmediata.</t>
  </si>
  <si>
    <t>https://www.google.com/maps/search/?api=1&amp;query=-32.178000,-64.111000</t>
  </si>
  <si>
    <t>hormigonelaborado.com / Hormicor</t>
  </si>
  <si>
    <t>Registro curado en documento de dirección PRESOL 2026-09.</t>
  </si>
  <si>
    <t>Base curada PDF dirección</t>
  </si>
  <si>
    <t>transporte de áridos/materiales | hidrogrúa para carga/descarga | percha para pallets/bolsones</t>
  </si>
  <si>
    <t>áridos/construcción/premoldeados</t>
  </si>
  <si>
    <t>Áridos/materiales: confirmar modalidad de carga/descarga y tipo de unidad requerida antes de cotizar.</t>
  </si>
  <si>
    <t>GPT adjunto + Hermes</t>
  </si>
  <si>
    <t>Fusionado con base Hermes para completar teléfonos/fuentes/servicios.</t>
  </si>
  <si>
    <t>Metalúrgica Monticelli</t>
  </si>
  <si>
    <t>Fabricación de implementos agrícolas</t>
  </si>
  <si>
    <t>+54 3571 613058 / +54 3571 613060</t>
  </si>
  <si>
    <t>logística / despacho / postventa</t>
  </si>
  <si>
    <t>Traslado de maquinaria, implementos, equipos terminados y componentes de gran porte entre planta, cliente, obra o feria.</t>
  </si>
  <si>
    <t>Plataforma 20 tn + malacate/hidrogrúa según maniobra + seguro de carga + trazabilidad GPS.</t>
  </si>
  <si>
    <t>Fabricante con más de 30 años, ubicado en RP6 km 3,5; produce rastras, rolos, terraceadoras y otros implementos.</t>
  </si>
  <si>
    <t>Llamada prioritaria; pedir próximo traslado concreto y, si hay encaje, coordinar visita.</t>
  </si>
  <si>
    <t>tel:+543571613058</t>
  </si>
  <si>
    <t>tel:+543571613058 | tel:+543571613060</t>
  </si>
  <si>
    <t>Confirmar decisor, frecuencia de movimientos y vigencia del contacto antes de cotizar.</t>
  </si>
  <si>
    <t>https://www.google.com/maps/search/?api=1&amp;query=Metal%C3%BArgica+Monticelli+R%C3%ADo+Tercero+C%C3%B3rdoba+Argentina</t>
  </si>
  <si>
    <t>Web propia Metalúrgica Monticelli</t>
  </si>
  <si>
    <t>https://www.metalmonticelli.site/</t>
  </si>
  <si>
    <t>Enriquecimiento web 2026-09-07</t>
  </si>
  <si>
    <t>transporte de áridos/materiales | hidrogrúa para carga/descarga | percha para pallets/bolsones | plataforma 20 tn para maquinaria/piezas | hidrogrúa para maniobras | percha para pallets</t>
  </si>
  <si>
    <t>fabricante/servicio maquinaria agrícola</t>
  </si>
  <si>
    <t>GPT adjunto</t>
  </si>
  <si>
    <t>Metalúrgica Novaretti</t>
  </si>
  <si>
    <t>Recipientes y equipos metalmecánicos</t>
  </si>
  <si>
    <t>Metalúrgica y fabricación</t>
  </si>
  <si>
    <t>03571 414282 / 03571 606930</t>
  </si>
  <si>
    <t>despacho / producción</t>
  </si>
  <si>
    <t>Despacho seguro de estructuras, carrozados, tanques, piezas industriales y equipos sobre plataforma.</t>
  </si>
  <si>
    <t>Despacho de estructuras, tanques, transformadores, piezas de ingeniería y equipos sobre plataforma 20 tn.</t>
  </si>
  <si>
    <t>Cotizar despacho recurrente a plantas/obras.</t>
  </si>
  <si>
    <t>tel:+543571414282</t>
  </si>
  <si>
    <t>tel:+543571414282 | tel:+543571606930</t>
  </si>
  <si>
    <t>https://www.google.com/maps/search/?api=1&amp;query=-32.169000,-64.117000</t>
  </si>
  <si>
    <t>novaretti.com.ar</t>
  </si>
  <si>
    <t>plataforma 20 tn para maquinaria/piezas | hidrogrúa para maniobras | percha para pallets</t>
  </si>
  <si>
    <t>otro rubro factible</t>
  </si>
  <si>
    <t>Parque Industrial Leonardo Da Vinci</t>
  </si>
  <si>
    <t>Metalúrgica Río Tercero S.A.</t>
  </si>
  <si>
    <t>Equipamiento minero, vial y agroindustrial / fundición</t>
  </si>
  <si>
    <t>03571 430558</t>
  </si>
  <si>
    <t>Traslado de equipos de planta, silos, repuestos pesados, balanzas, implementos y cargas especiales.</t>
  </si>
  <si>
    <t>Transporte de repuestos/equipos/silos/implementos + coordinación de retiro y descarga.</t>
  </si>
  <si>
    <t>Produce equipamiento e insumos para minería, vial y agroindustria; encaje directo con cargas pesadas.</t>
  </si>
  <si>
    <t>Validar teléfono/contacto; si responde, pedir un caso concreto de traslado o próximo movimiento.</t>
  </si>
  <si>
    <t>tel:+543571430558</t>
  </si>
  <si>
    <t>Confirmar decisor y vigencia del dato antes de incluir en salida prioritaria.</t>
  </si>
  <si>
    <t>https://www.google.com/maps/search/?api=1&amp;query=Metal%C3%BArgica+R%C3%ADo+Tercero+S.A.+R%C3%ADo+Tercero+C%C3%B3rdoba+Argentina</t>
  </si>
  <si>
    <t>Maquinac / Parque Industrial Río Tercero</t>
  </si>
  <si>
    <t>https://maquinac.com/empresas/metalurgica-rio-tercero</t>
  </si>
  <si>
    <t>Maquinac informa dirección en Parque Industrial, teléfono y rubro minero/vial/agroindustrial.</t>
  </si>
  <si>
    <t>Nuevo enriquecimiento 2026-09-02</t>
  </si>
  <si>
    <t>Percha pallets: útil para insumos, bolsones, repuestos y materiales palletizados.</t>
  </si>
  <si>
    <t>Río Tercero / Av. Savio</t>
  </si>
  <si>
    <t>NT Construcciones</t>
  </si>
  <si>
    <t>Obras civiles industriales / montaje</t>
  </si>
  <si>
    <t>Construcción y obra vial</t>
  </si>
  <si>
    <t>+54 9 3571 597645</t>
  </si>
  <si>
    <t>operaciones / jefe de obra</t>
  </si>
  <si>
    <t>Traslado de maquinaria, módulos de obrador, estructuras, equipos y cargas pesadas entre frentes.</t>
  </si>
  <si>
    <t>Transporte especial de equipos/obrador + apoyo de hidrogrúa según maniobra + seguro/GPS.</t>
  </si>
  <si>
    <t>Obras civiles industriales, montaje de naves y mantenimiento en complejos fabriles; clientes industriales regionales.</t>
  </si>
  <si>
    <t>tel:+5493571597645</t>
  </si>
  <si>
    <t>https://www.google.com/maps/search/?api=1&amp;query=NT+Construcciones+R%C3%ADo+Tercero+C%C3%B3rdoba+Argentina</t>
  </si>
  <si>
    <t>Web propia NT Construcciones</t>
  </si>
  <si>
    <t>https://ntconstrucciones.com</t>
  </si>
  <si>
    <t>Servicios: obras civiles industriales, estructuras de hormigón, montaje de naves; teléfono y oficina publicados.</t>
  </si>
  <si>
    <t>Río Tercero / corredor agro</t>
  </si>
  <si>
    <t>SALA / Agrotecnología Sala — Río Tercero</t>
  </si>
  <si>
    <t>Concesionario John Deere / PLA / maquinaria agrícola / postventa</t>
  </si>
  <si>
    <t>+54 9 358 4843387</t>
  </si>
  <si>
    <t>logística / entregas / usados / postventa / gerente comercial</t>
  </si>
  <si>
    <t>Entrega y retiro de tractores, cosechadoras, pulverizadoras, sembradoras e implementos; movimientos por ventas, canjes, usados, service, demostraciones y ferias.</t>
  </si>
  <si>
    <t>Plataforma 20 tn para equipos e implementos + malacate/hidrogrúa según maniobra + seguro de carga + trazabilidad GPS + coordinación de entrega.</t>
  </si>
  <si>
    <t>Tercerizar entregas y retiros para no inmovilizar flota propia; absorber picos de campaña, ventas, canjes y service fuera de zona con un proveedor regional.</t>
  </si>
  <si>
    <t>Llamada prioritaria; pedir por logística/ventas/postventa y consultar cómo resuelven hoy el próximo equipo a entregar o retirar.</t>
  </si>
  <si>
    <t>tel:+5493584843387</t>
  </si>
  <si>
    <t>Confirmar decisor de logística/entregas y frecuencia mensual de movimientos de equipos.</t>
  </si>
  <si>
    <t>https://www.google.com/maps/search/?api=1&amp;query=SALA+%2F+Agrotecnolog%C3%ADa+Sala+%E2%80%94+R%C3%ADo+Tercero+R%C3%ADo+Tercero+C%C3%B3rdoba+Argentina</t>
  </si>
  <si>
    <t>Asociación de Concesionarios John Deere / SALA</t>
  </si>
  <si>
    <t>https://acjd.com.ar/concesionarios/</t>
  </si>
  <si>
    <t>La Asociación de Concesionarios John Deere publica a Agrotecnología Sala con sucursal en Río Tercero; punto local sobre RP6.</t>
  </si>
  <si>
    <t>Rastrillaje concesionarios agro 2026-09-07</t>
  </si>
  <si>
    <t>plataforma 20 tn para maquinaria agrícola | hidrogrúa para maniobras | malacate | seguro de carga | trazabilidad GPS | coordinación de entregas</t>
  </si>
  <si>
    <t>concesionario agro / maquinaria agrícola</t>
  </si>
  <si>
    <t>Concesionario: preguntar específicamente cómo resuelven entregas, retiros de usados, canjes, service fuera de zona y traslados a exposiciones.</t>
  </si>
  <si>
    <t>Alta nueva del barrido específico de concesionarios, sucursales y multimarca agro; cruzada contra la base maestra para evitar duplicados.</t>
  </si>
  <si>
    <t>Sinfix SAS</t>
  </si>
  <si>
    <t>Sinfines para agro e industria</t>
  </si>
  <si>
    <t>+54 9 3571 405077</t>
  </si>
  <si>
    <t>Despacho de estructuras, piezas, equipos y conjuntos metalmecánicos de gran porte hacia obras o clientes.</t>
  </si>
  <si>
    <t>Plataforma 20 tn para piezas/estructuras + seguro de carga + trazabilidad GPS + apoyo de hidrogrúa según maniobra.</t>
  </si>
  <si>
    <t>Fabrica sinfines para sectores agrícola, ganadero, minero y alimenticio; despacho nacional de piezas y conjuntos.</t>
  </si>
  <si>
    <t>tel:+5493571405077</t>
  </si>
  <si>
    <t>https://www.google.com/maps/search/?api=1&amp;query=Sinfix+SAS+R%C3%ADo+Tercero+C%C3%B3rdoba+Argentina</t>
  </si>
  <si>
    <t>Web propia SINFIX</t>
  </si>
  <si>
    <t>https://sinfix.com.ar/</t>
  </si>
  <si>
    <t>Suragro - Implementos Agrícolas</t>
  </si>
  <si>
    <t>Fabricación de maquinaria agrícola</t>
  </si>
  <si>
    <t>03571 424574</t>
  </si>
  <si>
    <t>Fabricante local de maquinaria agrícola; alto potencial de despachos de equipos terminados.</t>
  </si>
  <si>
    <t>tel:+543571424574</t>
  </si>
  <si>
    <t>https://www.google.com/maps/search/?api=1&amp;query=Suragro+-+Implementos+Agr%C3%ADcolas+R%C3%ADo+Tercero+C%C3%B3rdoba+Argentina</t>
  </si>
  <si>
    <t>Google Maps / ficha pública</t>
  </si>
  <si>
    <t>https://www.google.com/maps/search/?api=1&amp;query=Suragro+Implementos+Agr%C3%ADcolas+R%C3%ADo+Tercero+C%C3%B3rdoba+Argentina</t>
  </si>
  <si>
    <t>Tres Eme S.A.</t>
  </si>
  <si>
    <t>Silos y mecanización</t>
  </si>
  <si>
    <t>Agro, acopio y cooperativas</t>
  </si>
  <si>
    <t>03571 432190 / 03571 637720</t>
  </si>
  <si>
    <t>responsable de acopio / mantenimiento</t>
  </si>
  <si>
    <t>Movimiento de equipos de planta, silos, balanzas, repuestos y cargas especiales para acopios/agroindustria.</t>
  </si>
  <si>
    <t>Ofrecer flete + descarga/posicionamiento en obra rural.</t>
  </si>
  <si>
    <t>tel:+543571432190</t>
  </si>
  <si>
    <t>tel:+543571432190 | tel:+543571637720</t>
  </si>
  <si>
    <t>https://www.google.com/maps/search/?api=1&amp;query=-32.181000,-64.103000</t>
  </si>
  <si>
    <t>parqueindustrial.riotercero.gob.ar/empresa/Tres-Eme-S.A.</t>
  </si>
  <si>
    <t>plataforma 20 tn para maquinaria/piezas | hidrogrúa para maniobras | percha para pallets | percha para pallets de insumos | hidrogrúa para equipos/mantenimiento | barquilla para trabajos en altura</t>
  </si>
  <si>
    <t>Vial del Centro</t>
  </si>
  <si>
    <t>Obras de infraestructura vial</t>
  </si>
  <si>
    <t>0351 6411413</t>
  </si>
  <si>
    <t>operaciones / entregas</t>
  </si>
  <si>
    <t>Entrega y descarga de módulos/containers con plataforma, malacate e hidrogrúa según maniobra.</t>
  </si>
  <si>
    <t>Pedir próximo movimiento de maquinaria entre frentes.</t>
  </si>
  <si>
    <t>tel:+543516411413</t>
  </si>
  <si>
    <t>https://www.google.com/maps/search/?api=1&amp;query=-32.183000,-64.101000</t>
  </si>
  <si>
    <t>Parque Industrial Río Tercero</t>
  </si>
  <si>
    <t>HORMIWORK S.A.</t>
  </si>
  <si>
    <t>Premoldeados de hormigón pulido</t>
  </si>
  <si>
    <t>03571 565662 (portería parque)</t>
  </si>
  <si>
    <t>Verificar</t>
  </si>
  <si>
    <t>planta / despacho</t>
  </si>
  <si>
    <t>Movimiento de premoldeados, moldes, equipos de planta y cargas pesadas asociadas a obra.</t>
  </si>
  <si>
    <t>Transporte de premoldeados/equipos en plataforma + coordinación de descarga/posicionamiento con hidrogrúa cuando aplique.</t>
  </si>
  <si>
    <t>Empresa radicada para fabricar premoldeados de hormigón pulido; contacto por correo/parque.</t>
  </si>
  <si>
    <t>tel:+543571565662</t>
  </si>
  <si>
    <t>https://www.google.com/maps/search/?api=1&amp;query=HORMIWORK+S.A.+R%C3%ADo+Tercero+C%C3%B3rdoba+Argentina</t>
  </si>
  <si>
    <t>https://parqueindustrial.riotercero.gob.ar/empresa/HORMIWORK-S.A.</t>
  </si>
  <si>
    <t>Empresa radicada para fabricar premoldeados de hormigón pulido; contacto por correo/parque. | Ficha del parque: fabricación de premoldeados de hormigón pulido; dirección E. del Campo 1271; contacto hormiwork@gmail.com.</t>
  </si>
  <si>
    <t>Media</t>
  </si>
  <si>
    <t>Fusionado con base Hermes para completar teléfonos/fuentes/servicios. | ID fuente: RT-016</t>
  </si>
  <si>
    <t>Bartolomé Cerutti SRL — Río Tercero</t>
  </si>
  <si>
    <t>Concesionario New Holland / maquinaria agrícola y construcción</t>
  </si>
  <si>
    <t>03571 644022</t>
  </si>
  <si>
    <t>Entrega y retiro de tractores, cosechadoras, pulverizadoras, sembradoras e implementos; movimientos por venta, service, canje, demostraciones o ferias.</t>
  </si>
  <si>
    <t>Plataforma 20 tn para maquinaria agrícola + malacate/hidrogrúa según maniobra + seguro de carga + trazabilidad GPS.</t>
  </si>
  <si>
    <t>Ofrecer transporte tercerizado para entregas a clientes y retiros de usados/service, especialmente en picos de campaña y operaciones fuera de zona.</t>
  </si>
  <si>
    <t>tel:+543571644022</t>
  </si>
  <si>
    <t>https://www.google.com/maps/search/?api=1&amp;query=Bartolom%C3%A9+Cerutti+SRL+%E2%80%94+R%C3%ADo+Tercero+R%C3%ADo+Tercero+C%C3%B3rdoba+Argentina</t>
  </si>
  <si>
    <t>Web oficial Bartolomé Cerutti</t>
  </si>
  <si>
    <t>https://bartolomecerutti.com.ar/empresa/</t>
  </si>
  <si>
    <t>Sucursal Río Tercero de concesionario New Holland; punto comercial para maquinaria y equipos.</t>
  </si>
  <si>
    <t>Conax</t>
  </si>
  <si>
    <t>Venta e importación de tractores y maquinaria agrícola / vial</t>
  </si>
  <si>
    <t>+54 3571 348077</t>
  </si>
  <si>
    <t>tel:+543571348077</t>
  </si>
  <si>
    <t>https://www.google.com/maps/search/?api=1&amp;query=Conax+R%C3%ADo+Tercero+C%C3%B3rdoba+Argentina</t>
  </si>
  <si>
    <t>Web oficial CONAX</t>
  </si>
  <si>
    <t>https://conax.com.ar/</t>
  </si>
  <si>
    <t>Comercializa tractores, autoelevadores, minicargadoras y palas; centro de operaciones/showroom en Río Tercero.</t>
  </si>
  <si>
    <t>RSA Repuestos y Servicios</t>
  </si>
  <si>
    <t>Concesionario Ascanelli / maquinaria, repuestos y servicio técnico</t>
  </si>
  <si>
    <t>+54 9 3571 538080 / +54 9 3571 578870</t>
  </si>
  <si>
    <t>tel:+5493571538080</t>
  </si>
  <si>
    <t>https://www.google.com/maps/search/?api=1&amp;query=RSA+Repuestos+y+Servicios+R%C3%ADo+Tercero+C%C3%B3rdoba+Argentina</t>
  </si>
  <si>
    <t>Web oficial RSA</t>
  </si>
  <si>
    <t>https://rsaservicios.com.ar/</t>
  </si>
  <si>
    <t>Concesionario oficial Ascanelli en Río Tercero; venta de máquinas e implementos, repuestos, servicio técnico y logística nacional.</t>
  </si>
  <si>
    <t>Viejo Tala S.R.L. — Río Tercero</t>
  </si>
  <si>
    <t>Concesionario Pauny / tractores y maquinaria agrícola</t>
  </si>
  <si>
    <t>03571 643332 / +54 9 353 4221837</t>
  </si>
  <si>
    <t>tel:+543571643332</t>
  </si>
  <si>
    <t>https://www.google.com/maps/search/?api=1&amp;query=Viejo+Tala+S.R.L.+%E2%80%94+R%C3%ADo+Tercero+R%C3%ADo+Tercero+C%C3%B3rdoba+Argentina</t>
  </si>
  <si>
    <t>Red de concesionarios Pauny</t>
  </si>
  <si>
    <t>https://www.pauny.com.ar/</t>
  </si>
  <si>
    <t>Sucursal Río Tercero publicada en la red de concesionarios Pauny; perfil directo de tractores y maquinaria.</t>
  </si>
  <si>
    <t>Rino Maquinaria</t>
  </si>
  <si>
    <t>Concesionario de tractores / maquinaria agrícola</t>
  </si>
  <si>
    <t>+54 9 3571 681323</t>
  </si>
  <si>
    <t>tel:+5493571681323</t>
  </si>
  <si>
    <t>https://www.google.com/maps/search/?api=1&amp;query=Rino+Maquinaria+R%C3%ADo+Tercero+C%C3%B3rdoba+Argentina</t>
  </si>
  <si>
    <t>Google Business / AgroCanje</t>
  </si>
  <si>
    <t>https://www.google.com/maps/search/?api=1&amp;query=Rino+Maquinaria+Rio+Tercero</t>
  </si>
  <si>
    <t>Punto comercial de tractores en Río Tercero; perfil directo para entregas y retiros de equipos.</t>
  </si>
  <si>
    <t>Alpha Construcciones Industriales S.A.</t>
  </si>
  <si>
    <t>Construcción industrial / estructuras</t>
  </si>
  <si>
    <t>A relevar</t>
  </si>
  <si>
    <t>jefe de obra / operaciones</t>
  </si>
  <si>
    <t>Traslado de maquinaria, módulos de obrador, estructuras y equipos entre depósitos y frentes de obra.</t>
  </si>
  <si>
    <t>Transporte especial de equipos/obrador + plataforma 20 tn + apoyo de hidrogrúa según maniobra + seguro/GPS.</t>
  </si>
  <si>
    <t>Ficha pública ubica fábrica/constructora industrial sobre Av. Savio en Río Tercero.</t>
  </si>
  <si>
    <t>https://www.google.com/maps/search/?api=1&amp;query=Alpha+Construcciones+Industriales+S.A.+R%C3%ADo+Tercero+C%C3%B3rdoba+Argentina</t>
  </si>
  <si>
    <t>https://www.google.com/maps/search/?api=1&amp;query=Alpha+Construcciones+Industriales+SA+R%C3%ADo+Tercero+C%C3%B3rdoba+Argentina</t>
  </si>
  <si>
    <t>ID fuente: RT-010</t>
  </si>
  <si>
    <t>Caon - Concesionario Oficial CASE IH</t>
  </si>
  <si>
    <t>Maquinaria agrícola / servicio técnico</t>
  </si>
  <si>
    <t>03571 682141</t>
  </si>
  <si>
    <t>logística / entregas / postventa</t>
  </si>
  <si>
    <t>Traslado de maquinaria agrícola o vial entre sucursal, cliente, taller, campo y eventos.</t>
  </si>
  <si>
    <t>Traslado de maquinaria en plataforma 20 tn, coordinación de retiro/entrega y apoyo de hidrogrúa si corresponde.</t>
  </si>
  <si>
    <t>Concesionario CASE IH en Río Tercero; posible traslado de maquinaria a clientes, ferias o servicio.</t>
  </si>
  <si>
    <t>tel:+543571682141</t>
  </si>
  <si>
    <t>https://www.google.com/maps/search/?api=1&amp;query=Caon+-+Concesionario+Oficial+CASE+IH+R%C3%ADo+Tercero+C%C3%B3rdoba+Argentina</t>
  </si>
  <si>
    <t>https://www.google.com/maps/search/?api=1&amp;query=Caon+CASE+IH+R%C3%ADo+Tercero+C%C3%B3rdoba+Argentina</t>
  </si>
  <si>
    <t>ID fuente: RT-011</t>
  </si>
  <si>
    <t>Cimat SRL</t>
  </si>
  <si>
    <t>Equipos y maquinaria agrícola</t>
  </si>
  <si>
    <t>03571 422153</t>
  </si>
  <si>
    <t>Ficha pública en Río Tercero: proveedor de equipos agrícolas, con teléfono y local comercial.</t>
  </si>
  <si>
    <t>tel:+543571422153</t>
  </si>
  <si>
    <t>https://www.google.com/maps/search/?api=1&amp;query=Cimat+SRL+R%C3%ADo+Tercero+C%C3%B3rdoba+Argentina</t>
  </si>
  <si>
    <t>ID fuente: RT-012</t>
  </si>
  <si>
    <t>D &amp; M ESTRUCTURAS</t>
  </si>
  <si>
    <t>Estructuras metálicas</t>
  </si>
  <si>
    <t>Ficha pública local identifica empresa de construcciones metálicas.</t>
  </si>
  <si>
    <t>https://www.google.com/maps/search/?api=1&amp;query=D+%26+M+ESTRUCTURAS+R%C3%ADo+Tercero+C%C3%B3rdoba+Argentina</t>
  </si>
  <si>
    <t>ID fuente: RT-013</t>
  </si>
  <si>
    <t>Duter S.A.</t>
  </si>
  <si>
    <t>Fabricación de repuestos agrícolas</t>
  </si>
  <si>
    <t>03571 565177</t>
  </si>
  <si>
    <t>Empresa radicada en el Parque Industrial para fabricación de repuestos agrícolas; teléfono público local.</t>
  </si>
  <si>
    <t>tel:+543571565177</t>
  </si>
  <si>
    <t>https://www.google.com/maps/search/?api=1&amp;query=Duter+S.A.+R%C3%ADo+Tercero+C%C3%B3rdoba+Argentina</t>
  </si>
  <si>
    <t>Parque Industrial Río Tercero / ficha pública</t>
  </si>
  <si>
    <t>https://parqueindustrial.riotercero.gob.ar/empresas</t>
  </si>
  <si>
    <t>ID fuente: RT-014</t>
  </si>
  <si>
    <t>ESISA</t>
  </si>
  <si>
    <t>Viviendas/módulos industrializados</t>
  </si>
  <si>
    <t>Módulos y contenedores</t>
  </si>
  <si>
    <t>Portería parque: 03571 565662; mail esisaservicios@gmail.com</t>
  </si>
  <si>
    <t>Entrega, descarga y posicionamiento de módulos/containers en obra o cliente final.</t>
  </si>
  <si>
    <t>Socio natural para entregas de módulos a obra.</t>
  </si>
  <si>
    <t>https://www.google.com/maps/search/?api=1&amp;query=-32.182000,-64.107000</t>
  </si>
  <si>
    <t>Fusionado con base Hermes para completar teléfonos/fuentes/servicios. | ID fuente: RT-015</t>
  </si>
  <si>
    <t>ISECO Construcción</t>
  </si>
  <si>
    <t>Construcción industrial</t>
  </si>
  <si>
    <t>+54 9 3571 551917</t>
  </si>
  <si>
    <t>Constructora localizada en el Parque Industrial; posible movimiento de estructuras, equipos y obradores.</t>
  </si>
  <si>
    <t>tel:+5493571551917</t>
  </si>
  <si>
    <t>https://www.google.com/maps/search/?api=1&amp;query=ISECO+Construcci%C3%B3n+R%C3%ADo+Tercero+C%C3%B3rdoba+Argentina</t>
  </si>
  <si>
    <t>Luzenti Hnos S.A.</t>
  </si>
  <si>
    <t>Montaje industrial / construcciones metálicas</t>
  </si>
  <si>
    <t>03584 860532</t>
  </si>
  <si>
    <t>Empresa de construcciones metálicas y montaje industrial radicada en Río Tercero.</t>
  </si>
  <si>
    <t>tel:+543584860532</t>
  </si>
  <si>
    <t>https://www.google.com/maps/search/?api=1&amp;query=Luzenti+Hnos+S.A.+R%C3%ADo+Tercero+C%C3%B3rdoba+Argentina</t>
  </si>
  <si>
    <t>Google Maps / Parque Industrial</t>
  </si>
  <si>
    <t>https://www.google.com/maps/search/?api=1&amp;query=Luzenti+Hnos+SA+R%C3%ADo+Tercero+C%C3%B3rdoba+Argentina</t>
  </si>
  <si>
    <t>NEMETAL S.A.S</t>
  </si>
  <si>
    <t>Fabricación metalúrgica / reparación de maquinaria agrícola</t>
  </si>
  <si>
    <t>03571 550608</t>
  </si>
  <si>
    <t>Ficha pública en zona industrial; el listado del parque identifica NE Metalúrgica vinculada a reparación de maquinaria agrícola.</t>
  </si>
  <si>
    <t>tel:+543571550608</t>
  </si>
  <si>
    <t>https://www.google.com/maps/search/?api=1&amp;query=NEMETAL+S.A.S+R%C3%ADo+Tercero+C%C3%B3rdoba+Argentina</t>
  </si>
  <si>
    <t>Google Maps / Parque Industrial Río Tercero</t>
  </si>
  <si>
    <t>https://www.google.com/maps/search/?api=1&amp;query=NEMETAL+SAS+R%C3%ADo+Tercero+C%C3%B3rdoba+Argentina</t>
  </si>
  <si>
    <t>Paulucci Máquinas Agrícolas</t>
  </si>
  <si>
    <t>Venta de maquinaria e implementos agrícolas</t>
  </si>
  <si>
    <t>03571 424384</t>
  </si>
  <si>
    <t>tel:+543571424384</t>
  </si>
  <si>
    <t>https://www.google.com/maps/search/?api=1&amp;query=Paulucci+M%C3%A1quinas+Agr%C3%ADcolas+R%C3%ADo+Tercero+C%C3%B3rdoba+Argentina</t>
  </si>
  <si>
    <t>Red de concesionarios Conese</t>
  </si>
  <si>
    <t>https://conese.com.ar/</t>
  </si>
  <si>
    <t>Punto comercial de maquinaria agrícola en Av. Fuerza Aérea, Río Tercero.</t>
  </si>
  <si>
    <t>SAEMMA</t>
  </si>
  <si>
    <t>Maquinaria agrícola, construcción y minería / repuestos</t>
  </si>
  <si>
    <t>03571 432338</t>
  </si>
  <si>
    <t>tel:+543571432338</t>
  </si>
  <si>
    <t>Confirmar teléfono, decisor y vigencia del punto de venta.</t>
  </si>
  <si>
    <t>https://www.google.com/maps/search/?api=1&amp;query=SAEMMA+R%C3%ADo+Tercero+C%C3%B3rdoba+Argentina</t>
  </si>
  <si>
    <t>SAEMMA / directorios empresariales</t>
  </si>
  <si>
    <t>https://www.saemma.com/</t>
  </si>
  <si>
    <t>Empresa de Río Tercero vinculada a maquinaria especializada para agro, construcción y minería; validar contacto comercial actual.</t>
  </si>
  <si>
    <t>Sclauzero Metalúrgica</t>
  </si>
  <si>
    <t>Fabricación y provisión de máquinas / metalurgia</t>
  </si>
  <si>
    <t>03571 414014</t>
  </si>
  <si>
    <t>Ficha pública local: proveedor de máquinas de metal, con teléfono.</t>
  </si>
  <si>
    <t>tel:+543571414014</t>
  </si>
  <si>
    <t>https://www.google.com/maps/search/?api=1&amp;query=Sclauzero+Metal%C3%BArgica+R%C3%ADo+Tercero+C%C3%B3rdoba+Argentina</t>
  </si>
  <si>
    <t>Barrax Argentina S.A.</t>
  </si>
  <si>
    <t>Fabricante de sistemas de corte y agropartes para cosechadoras</t>
  </si>
  <si>
    <t>03571 421774 / 03571 420576</t>
  </si>
  <si>
    <t>Movimiento de agropartes, repuestos pesados, conjuntos y eventualmente implementos/equipos entre planta, concesionarios y clientes.</t>
  </si>
  <si>
    <t>Plataforma e hidrogrúa para conjuntos pesados + percha/pallets para repuestos + seguro y trazabilidad.</t>
  </si>
  <si>
    <t>Ofrecer respaldo flexible para despachos voluminosos y cargas que exceden el transporte convencional de repuestos.</t>
  </si>
  <si>
    <t>tel:+543571421774</t>
  </si>
  <si>
    <t>https://www.google.com/maps/search/?api=1&amp;query=Barrax+Argentina+S.A.+R%C3%ADo+Tercero+C%C3%B3rdoba+Argentina</t>
  </si>
  <si>
    <t>Web oficial Barrax</t>
  </si>
  <si>
    <t>https://www.barraxweb.com/</t>
  </si>
  <si>
    <t>Fabricante local de sistemas de corte y componentes para cosechadoras; despacho de conjuntos y agropartes.</t>
  </si>
  <si>
    <t>IMBAL S.A.</t>
  </si>
  <si>
    <t>Estructuras metálicas / montaje</t>
  </si>
  <si>
    <t>A relevar en terreno</t>
  </si>
  <si>
    <t>Fabrican y montan; pedir responsable de despacho/montaje.</t>
  </si>
  <si>
    <t>https://www.google.com/maps/search/?api=1&amp;query=-32.180000,-64.106000</t>
  </si>
  <si>
    <t>Parque Industrial Río Tercero / LinkedIn comercial</t>
  </si>
  <si>
    <t>Parque Industrial / PRFV</t>
  </si>
  <si>
    <t>B</t>
  </si>
  <si>
    <t>J.A.F. Plásticos Reforzados</t>
  </si>
  <si>
    <t>Plástico reforzado con fibra de vidrio / PRFV / piezas industriales y piletas</t>
  </si>
  <si>
    <t>PRFV y plásticos</t>
  </si>
  <si>
    <t>3571 533624 / 3571 579801 / portería parque 03571 565662</t>
  </si>
  <si>
    <t>producción / logística</t>
  </si>
  <si>
    <t>Retiro, traslado y descarga de piletas/fibra o piezas voluminosas livianas, con cuidado de maniobra.</t>
  </si>
  <si>
    <t>Plataforma + hidrogrúa para trasladar y descargar piletas/piezas PRFV; coordinar maniobra sin golpes.</t>
  </si>
  <si>
    <t>PRFV con aplicaciones industriales, tanques, piletones y piletas; piezas voluminosas de bajo peso con necesidad de cuidado en maniobra.</t>
  </si>
  <si>
    <t>Pedir por producción/logística y consultar si tercerizan traslados de piezas PRFV o entregas especiales.</t>
  </si>
  <si>
    <t>tel:+543571533624</t>
  </si>
  <si>
    <t>tel:+543571533624 | tel:+543571579801 | tel:+543571565662</t>
  </si>
  <si>
    <t>Confirmar punto operativo: ficha del parque Río Tercero y web con domicilio en Almafuerte.</t>
  </si>
  <si>
    <t>https://www.google.com/maps/search/?api=1&amp;query=J.A.F.+Pl%C3%A1sticos+Reforzados+R%C3%ADo+Tercero+C%C3%B3rdoba+Argentina</t>
  </si>
  <si>
    <t>Web propia + Parque Industrial Río Tercero</t>
  </si>
  <si>
    <t>https://jafplasticosreforzados.com</t>
  </si>
  <si>
    <t>Web informa PRFV, piletas/piezas, transporte/logística propia y teléfonos 3571 533624 / 3571 579801; ficha parque lista J.A.F. Plásticos Reforzados.</t>
  </si>
  <si>
    <t>Nuevo enriquecimiento zonas priorizadas 2026-09</t>
  </si>
  <si>
    <t>plataforma para piletas/fibra | hidrogrúa para descarga/posicionamiento</t>
  </si>
  <si>
    <t>piletas/plástico/PRFV</t>
  </si>
  <si>
    <t>Hermes único</t>
  </si>
  <si>
    <t>Alta única desde base Hermes; no estaba en el Excel GPT adjunto. | ID fuente: PRESOL-120</t>
  </si>
  <si>
    <t>Río Tercero / piletas y PRFV</t>
  </si>
  <si>
    <t>Tecnipiscinas</t>
  </si>
  <si>
    <t>Piletas de fibra / piscinas / accesorios</t>
  </si>
  <si>
    <t>+54 3571 412563</t>
  </si>
  <si>
    <t>ventas / logística / dueño</t>
  </si>
  <si>
    <t>Piletas de fibra y equipamiento; traslado y descarga de cascos/piezas voluminosas puede tercerizarse por temporada.</t>
  </si>
  <si>
    <t>Llamar y preguntar por entregas fuera de Río Tercero y si tercerizan traslado/descarga de cascos.</t>
  </si>
  <si>
    <t>tel:+543571412563</t>
  </si>
  <si>
    <t>Confirmar si fabrica localmente o actúa como punto de venta y volumen mensual de entregas.</t>
  </si>
  <si>
    <t>https://www.google.com/maps/search/?api=1&amp;query=Tecnipiscinas+R%C3%ADo+Tercero+C%C3%B3rdoba+Argentina</t>
  </si>
  <si>
    <t>Web propia / Moldear</t>
  </si>
  <si>
    <t>https://www.tecnipiscinas.com.ar</t>
  </si>
  <si>
    <t>Contacto publicado: Av. Pío X 485, Río Tercero; teléfono +54 3571 412563; rubro piscinas.</t>
  </si>
  <si>
    <t>Alta única desde base Hermes; no estaba en el Excel GPT adjunto. | ID fuente: PRESOL-118</t>
  </si>
  <si>
    <t>Indusplast Río Tercero</t>
  </si>
  <si>
    <t>Piletas de fibra / plástico reforzado</t>
  </si>
  <si>
    <t>+54 3571 57-5556</t>
  </si>
  <si>
    <t>ventas / dueño</t>
  </si>
  <si>
    <t>Fabricación/venta de piscinas de fibra; encaje para plataforma e hidrogrúa en temporada.</t>
  </si>
  <si>
    <t>Verificar teléfono por llamado corto y preguntar por entregas a clientes finales.</t>
  </si>
  <si>
    <t>tel:+543571575556</t>
  </si>
  <si>
    <t>Confirmar dirección operativa y si mueve cascos completos.</t>
  </si>
  <si>
    <t>https://www.google.com/maps/search/?api=1&amp;query=Indusplast+R%C3%ADo+Tercero+R%C3%ADo+Tercero+C%C3%B3rdoba+Argentina</t>
  </si>
  <si>
    <t>Facebook público / resultado de búsqueda</t>
  </si>
  <si>
    <t>https://www.facebook.com/indusplastrio3?locale=es_LA</t>
  </si>
  <si>
    <t>Resultado público informa Indusplast Río Tercero y contacto +54 3571 57-5556; rubro piscinas de fibra.</t>
  </si>
  <si>
    <t>Alta única desde base Hermes; no estaba en el Excel GPT adjunto. | ID fuente: PRESOL-119</t>
  </si>
  <si>
    <t>AGROTRAZIONE S.A.S</t>
  </si>
  <si>
    <t>Maquinaria e implementos agrícolas</t>
  </si>
  <si>
    <t>03571 528350</t>
  </si>
  <si>
    <t>Listado de servicios del sector agrícola ubica AGROTRAZIONE en 2 de Abril 1638, Río Tercero, con teléfono.</t>
  </si>
  <si>
    <t>Llamar para validar necesidad y frecuencia; visitar si confirma movimientos de equipos/cargas.</t>
  </si>
  <si>
    <t>tel:+543571528350</t>
  </si>
  <si>
    <t>https://www.google.com/maps/search/?api=1&amp;query=AGROTRAZIONE+S.A.S+R%C3%ADo+Tercero+C%C3%B3rdoba+Argentina</t>
  </si>
  <si>
    <t>Red de servicios Piersanti</t>
  </si>
  <si>
    <t>https://piersanti.com.ar/en/en_services/</t>
  </si>
  <si>
    <t>ID fuente: RT-022</t>
  </si>
  <si>
    <t>Cementados Juan Nadalin e Hijos S.A.</t>
  </si>
  <si>
    <t>Cementados / reparación de piezas agroindustriales</t>
  </si>
  <si>
    <t>Agroindustria y alimentos</t>
  </si>
  <si>
    <t>03571 420931</t>
  </si>
  <si>
    <t>Planta industrial local con actividad de cementados; teléfono público.</t>
  </si>
  <si>
    <t>tel:+543571420931</t>
  </si>
  <si>
    <t>https://www.google.com/maps/search/?api=1&amp;query=Cementados+Juan+Nadalin+e+Hijos+S.A.+R%C3%ADo+Tercero+C%C3%B3rdoba+Argentina</t>
  </si>
  <si>
    <t>https://www.google.com/maps/search/?api=1&amp;query=Cementados+Juan+Nadalin+e+Hijos+R%C3%ADo+Tercero+C%C3%B3rdoba+Argentina</t>
  </si>
  <si>
    <t>ID fuente: RT-023</t>
  </si>
  <si>
    <t>Cementados Río Tercero</t>
  </si>
  <si>
    <t>Cementado agroindustrial</t>
  </si>
  <si>
    <t>03571 319490</t>
  </si>
  <si>
    <t>Empresa local de cementados vinculados al agro; potencial traslado de piezas, sinfines e implementos.</t>
  </si>
  <si>
    <t>tel:+543571319490</t>
  </si>
  <si>
    <t>https://www.google.com/maps/search/?api=1&amp;query=Cementados+R%C3%ADo+Tercero+R%C3%ADo+Tercero+C%C3%B3rdoba+Argentina</t>
  </si>
  <si>
    <t>Parque Industrial / Google Maps</t>
  </si>
  <si>
    <t>ID fuente: RT-024</t>
  </si>
  <si>
    <t>Hidrobull</t>
  </si>
  <si>
    <t>Accesorios para minicargadoras</t>
  </si>
  <si>
    <t>Industria y mantenimiento</t>
  </si>
  <si>
    <t>03571 549612</t>
  </si>
  <si>
    <t>responsable de logística/compras</t>
  </si>
  <si>
    <t>Movimientos especiales de mantenimiento, repuestos pesados y mudanzas internas de equipos.</t>
  </si>
  <si>
    <t>Detectar el próximo movimiento pesado y convertirlo en cotización concreta.</t>
  </si>
  <si>
    <t>Preguntar si entregan accesorios con terceros.</t>
  </si>
  <si>
    <t>tel:+543571549612</t>
  </si>
  <si>
    <t>https://www.google.com/maps/search/?api=1&amp;query=-32.171500,-64.116500</t>
  </si>
  <si>
    <t>Facebook Hidrobull</t>
  </si>
  <si>
    <t>Fusionado con base Hermes para completar teléfonos/fuentes/servicios. | ID fuente: RT-025</t>
  </si>
  <si>
    <t>MetalMec S.R.L.</t>
  </si>
  <si>
    <t>Implementos y accesorios</t>
  </si>
  <si>
    <t>03571 681577 / 03571 506656</t>
  </si>
  <si>
    <t>Ofrecer retiro/entrega con monitoreo GPS.</t>
  </si>
  <si>
    <t>tel:+543571681577</t>
  </si>
  <si>
    <t>tel:+543571681577 | tel:+543571506656</t>
  </si>
  <si>
    <t>https://www.google.com/maps/search/?api=1&amp;query=-32.170500,-64.118500</t>
  </si>
  <si>
    <t>Facebook MetalMec</t>
  </si>
  <si>
    <t>Fusionado con base Hermes para completar teléfonos/fuentes/servicios. | ID fuente: RT-026</t>
  </si>
  <si>
    <t>Oleos San José S.R.L.</t>
  </si>
  <si>
    <t>Extrusado/aceite de soja</t>
  </si>
  <si>
    <t>03571 692471 / 03571 640630</t>
  </si>
  <si>
    <t>Entrar por mantenimiento/planta.</t>
  </si>
  <si>
    <t>tel:+543571692471</t>
  </si>
  <si>
    <t>tel:+543571692471 | tel:+543571640630</t>
  </si>
  <si>
    <t>https://www.google.com/maps/search/?api=1&amp;query=-32.182600,-64.102500</t>
  </si>
  <si>
    <t>Fusionado con base Hermes para completar teléfonos/fuentes/servicios. | ID fuente: RT-027</t>
  </si>
  <si>
    <t>Premolfran Premoldeados by d'Eco</t>
  </si>
  <si>
    <t>Premoldeados de hormigón</t>
  </si>
  <si>
    <t>03571 327594</t>
  </si>
  <si>
    <t>Ficha pública local identifica actividad de premoldeados y teléfono.</t>
  </si>
  <si>
    <t>tel:+543571327594</t>
  </si>
  <si>
    <t>https://www.google.com/maps/search/?api=1&amp;query=Premolfran+Premoldeados+by+d%27Eco+R%C3%ADo+Tercero+C%C3%B3rdoba+Argentina</t>
  </si>
  <si>
    <t>ID fuente: RT-028</t>
  </si>
  <si>
    <t>Río Metal</t>
  </si>
  <si>
    <t>+54 9 3571 52-9444</t>
  </si>
  <si>
    <t>Plataforma 20 tn para piezas/estructuras + seguro de carga + trazabilidad GPS.</t>
  </si>
  <si>
    <t>Fabricación de estructuras metálicas: posible salida de piezas a obra.</t>
  </si>
  <si>
    <t>tel:+5493571529444</t>
  </si>
  <si>
    <t>https://www.google.com/maps/search/?api=1&amp;query=R%C3%ADo+Metal+R%C3%ADo+Tercero+C%C3%B3rdoba+Argentina</t>
  </si>
  <si>
    <t>Parque Industrial Río Tercero / Facebook público</t>
  </si>
  <si>
    <t>Listado del parque + ficha social pública con teléfono informado.</t>
  </si>
  <si>
    <t>Fusionado con base Hermes para completar teléfonos/fuentes/servicios. | ID fuente: RT-029</t>
  </si>
  <si>
    <t>SILMAR Industrial</t>
  </si>
  <si>
    <t>Fabricación industrial</t>
  </si>
  <si>
    <t>03571 411073</t>
  </si>
  <si>
    <t>mantenimiento / despacho</t>
  </si>
  <si>
    <t>Movimientos especiales de mantenimiento, repuestos pesados, equipos y mudanzas internas o entre plantas.</t>
  </si>
  <si>
    <t>Traslados especiales de equipos y repuestos con plataforma 20 tn, seguro/GPS y apoyo de hidrogrúa.</t>
  </si>
  <si>
    <t>Fábrica local con teléfono público; validar tipo de piezas/equipos y frecuencia de despachos.</t>
  </si>
  <si>
    <t>tel:+543571411073</t>
  </si>
  <si>
    <t>https://www.google.com/maps/search/?api=1&amp;query=SILMAR+Industrial+R%C3%ADo+Tercero+C%C3%B3rdoba+Argentina</t>
  </si>
  <si>
    <t>ID fuente: RT-030</t>
  </si>
  <si>
    <t>TALFUND S.A.</t>
  </si>
  <si>
    <t>Tornería, matricería y fundición de aluminio</t>
  </si>
  <si>
    <t>03571 690418 / 03571 642555</t>
  </si>
  <si>
    <t>Produce componentes metálicos para agroindustria y exportación; teléfonos publicados por el parque.</t>
  </si>
  <si>
    <t>tel:+543571690418</t>
  </si>
  <si>
    <t>tel:+543571690418 | tel:+543571642555</t>
  </si>
  <si>
    <t>https://www.google.com/maps/search/?api=1&amp;query=TALFUND+S.A.+R%C3%ADo+Tercero+C%C3%B3rdoba+Argentina</t>
  </si>
  <si>
    <t>https://parqueindustrial.riotercero.gob.ar/empresa/TALFUND-S.A.</t>
  </si>
  <si>
    <t>ID fuente: RT-031</t>
  </si>
  <si>
    <t>Tello SRL Premoldeados de Hormigón</t>
  </si>
  <si>
    <t>0351 4576859</t>
  </si>
  <si>
    <t>Ficha pública ubica proveedor/contratista de premoldeados en Av. Savio, Río Tercero.</t>
  </si>
  <si>
    <t>tel:+543514576859</t>
  </si>
  <si>
    <t>https://www.google.com/maps/search/?api=1&amp;query=Tello+SRL+Premoldeados+de+Hormig%C3%B3n+R%C3%ADo+Tercero+C%C3%B3rdoba+Argentina</t>
  </si>
  <si>
    <t>ID fuente: RT-032</t>
  </si>
  <si>
    <t>Formia Repuestos</t>
  </si>
  <si>
    <t>Repuestos para tractores y maquinaria agrícola</t>
  </si>
  <si>
    <t>03571 422102</t>
  </si>
  <si>
    <t>Validar contacto y volumen de movimientos; si hay encaje, pedir un traslado concreto para cotizar.</t>
  </si>
  <si>
    <t>tel:+543571422102</t>
  </si>
  <si>
    <t>https://www.google.com/maps/search/?api=1&amp;query=Formia+Repuestos+R%C3%ADo+Tercero+C%C3%B3rdoba+Argentina</t>
  </si>
  <si>
    <t>Guía Urbana / ficha comercial</t>
  </si>
  <si>
    <t>https://www.guiaurbana.com.ar/empresas/formia-repuestos-rio-tercero</t>
  </si>
  <si>
    <t>Comercio de repuestos para tractores y líneas Deutz, AGCO, Valtra y Massey Ferguson.</t>
  </si>
  <si>
    <t>Hidráulica Río Tercero</t>
  </si>
  <si>
    <t>Hidráulica y repuestos para maquinaria agrícola</t>
  </si>
  <si>
    <t>03571 432041</t>
  </si>
  <si>
    <t>tel:+543571432041</t>
  </si>
  <si>
    <t>https://www.google.com/maps/search/?api=1&amp;query=Hidr%C3%A1ulica+R%C3%ADo+Tercero+R%C3%ADo+Tercero+C%C3%B3rdoba+Argentina</t>
  </si>
  <si>
    <t>Directorio comercial / Google Maps</t>
  </si>
  <si>
    <t>Taller/comercio hidráulico asociado a reparación y repuestos de maquinaria agrícola; validar vigencia.</t>
  </si>
  <si>
    <t>Baudino Hnos.</t>
  </si>
  <si>
    <t>03571 15600693 / 3571 457279 / 3571 458732</t>
  </si>
  <si>
    <t>Estructuras metálicas locales; buen encaje para transporte de piezas y montaje.</t>
  </si>
  <si>
    <t>tel:+5493571600693</t>
  </si>
  <si>
    <t>tel:+5493571600693 | tel:+543571457279 | tel:+543571458732</t>
  </si>
  <si>
    <t>https://www.google.com/maps/search/?api=1&amp;query=Baudino+Hnos.+R%C3%ADo+Tercero+C%C3%B3rdoba+Argentina</t>
  </si>
  <si>
    <t>Web pública Baudino Hnos. / resultado de búsqueda</t>
  </si>
  <si>
    <t>https://baudinohnos.wixsite.com/baudinohnos</t>
  </si>
  <si>
    <t>Resultado público indica dirección y teléfonos; verificar vigencia antes de visita.</t>
  </si>
  <si>
    <t>Fusionado con base Hermes para completar teléfonos/fuentes/servicios. | ID fuente: RT-033</t>
  </si>
  <si>
    <t>Charrúa Implementos Agrícolas</t>
  </si>
  <si>
    <t>Implementos agrícolas</t>
  </si>
  <si>
    <t>03571 619149 / 03571 503663 (a confirmar) / +54 9 3571 61 9149 / +54 9 3571 31 0086</t>
  </si>
  <si>
    <t>Pedir frecuencia de entregas a concesionarios/campos.</t>
  </si>
  <si>
    <t>tel:+543571619149</t>
  </si>
  <si>
    <t>tel:+543571619149 | tel:+543571503663 | tel:+5493571619149 | tel:+5493571310086</t>
  </si>
  <si>
    <t>https://www.google.com/maps/search/?api=1&amp;query=-32.168609,-64.118792</t>
  </si>
  <si>
    <t>Web/Facebook Charrúa | Web propia Charrúa Implementos Agrícolas</t>
  </si>
  <si>
    <t>https://charruaimplementosagricolas.com.ar</t>
  </si>
  <si>
    <t>Registro curado en documento de dirección PRESOL 2026-09. | Sitio propio: Catamarca 2167, Parque Industrial Río Tercero; teléfonos +54 9 3571 61-9149 / 31-0086; implementos agrícolas.</t>
  </si>
  <si>
    <t>Fusionado con base Hermes para completar teléfonos/fuentes/servicios. | ID fuente: RT-034</t>
  </si>
  <si>
    <t>HIDROSERVIS</t>
  </si>
  <si>
    <t>Cilindros hidráulicos</t>
  </si>
  <si>
    <t>Portería parque: 03571 565662</t>
  </si>
  <si>
    <t>Ofrecer servicio de retiro/entrega de equipos pesados.</t>
  </si>
  <si>
    <t>https://www.google.com/maps/search/?api=1&amp;query=-32.181800,-64.104800</t>
  </si>
  <si>
    <t>Fusionado con base Hermes para completar teléfonos/fuentes/servicios. | ID fuente: RT-035</t>
  </si>
  <si>
    <t>Hormilas S.A.</t>
  </si>
  <si>
    <t>03571 573231 (a confirmar)</t>
  </si>
  <si>
    <t>operaciones / planta</t>
  </si>
  <si>
    <t>Traslado de equipos de planta, bombas, premoldeados y apoyo a picos de obra.</t>
  </si>
  <si>
    <t>Visita breve: detectar si tercerizan fletes de planta.</t>
  </si>
  <si>
    <t>tel:+543571573231</t>
  </si>
  <si>
    <t>https://www.google.com/maps/search/?api=1&amp;query=-32.163876,-64.106999</t>
  </si>
  <si>
    <t>Parque Industrial Río Tercero / búsqueda web</t>
  </si>
  <si>
    <t>Fusionado con base Hermes para completar teléfonos/fuentes/servicios. | ID fuente: RT-036</t>
  </si>
  <si>
    <t>MoliCor</t>
  </si>
  <si>
    <t>Accesorios para industrias molineras</t>
  </si>
  <si>
    <t>A relevar vía parque</t>
  </si>
  <si>
    <t>Listado oficial del parque: accesorios para industrias molineras; contacto directo pendiente.</t>
  </si>
  <si>
    <t>https://www.google.com/maps/search/?api=1&amp;query=MoliCor+R%C3%ADo+Tercero+C%C3%B3rdoba+Argentina</t>
  </si>
  <si>
    <t>ID fuente: RT-037</t>
  </si>
  <si>
    <t>Taller RS S.A.</t>
  </si>
  <si>
    <t>Mantenimiento y calibración de válvulas industriales</t>
  </si>
  <si>
    <t>03571 422065</t>
  </si>
  <si>
    <t>Empresa del parque dedicada a válvulas industriales; potencial de movimientos de equipos y repuestos.</t>
  </si>
  <si>
    <t>tel:+543571422065</t>
  </si>
  <si>
    <t>https://www.google.com/maps/search/?api=1&amp;query=Taller+RS+S.A.+R%C3%ADo+Tercero+C%C3%B3rdoba+Argentina</t>
  </si>
  <si>
    <t>ID fuente: RT-038</t>
  </si>
  <si>
    <t>Atanor / Albaugh</t>
  </si>
  <si>
    <t>Química / agroquímicos</t>
  </si>
  <si>
    <t>No vender por puerta fría baja; pedir compras/mantenimiento.</t>
  </si>
  <si>
    <t>https://www.google.com/maps/search/?api=1&amp;query=-32.173000,-64.110000</t>
  </si>
  <si>
    <t>Albaugh / noticias sectoriales</t>
  </si>
  <si>
    <t>Fusionado con base Hermes para completar teléfonos/fuentes/servicios. | ID fuente: RT-039</t>
  </si>
  <si>
    <t>Bravo Gustavo y Guillermo</t>
  </si>
  <si>
    <t>Premoldeados</t>
  </si>
  <si>
    <t>Transporte de premoldeados/equipos; áridos sueltos solo sujeto a validar caja volcadora o tercerización.</t>
  </si>
  <si>
    <t>Premoldeados locales: potencial de transporte de piezas y reparto pesado regional.</t>
  </si>
  <si>
    <t>https://www.google.com/maps/search/?api=1&amp;query=Bravo+Gustavo+y+Guillermo+R%C3%ADo+Tercero+C%C3%B3rdoba+Argentina</t>
  </si>
  <si>
    <t>Listado del parque indica fabricación de premoldeados.</t>
  </si>
  <si>
    <t>Fusionado con base Hermes para completar teléfonos/fuentes/servicios. | ID fuente: RT-040</t>
  </si>
  <si>
    <t>Construcciones Sermanter S.R.L.</t>
  </si>
  <si>
    <t>Construcción, montaje y mantenimiento</t>
  </si>
  <si>
    <t>jefe de obra / mantenimiento</t>
  </si>
  <si>
    <t>Constructor/montajista local: puede demandar traslado de equipos, estructuras y materiales pesados.</t>
  </si>
  <si>
    <t>https://www.google.com/maps/search/?api=1&amp;query=Construcciones+Sermanter+S.R.L.+R%C3%ADo+Tercero+C%C3%B3rdoba+Argentina</t>
  </si>
  <si>
    <t>Empresa listada en Parque Industrial como construcción, montaje y mantenimiento.</t>
  </si>
  <si>
    <t>Fusionado con base Hermes para completar teléfonos/fuentes/servicios. | ID fuente: RT-041</t>
  </si>
  <si>
    <t>Fabri-Mec</t>
  </si>
  <si>
    <t>Tornería / hoyadoras hidráulicas para grúas y minicargadoras</t>
  </si>
  <si>
    <t>03571 412302 / 03571 579685</t>
  </si>
  <si>
    <t>Traslados especiales de mantenimiento, equipos y repuestos con seguro/GPS.</t>
  </si>
  <si>
    <t>Fabrica implementos hidráulicos vinculados a grúas/minicargadoras; probable movimiento de piezas/equipos.</t>
  </si>
  <si>
    <t>tel:+543571412302</t>
  </si>
  <si>
    <t>tel:+543571412302 | tel:+543571579685</t>
  </si>
  <si>
    <t>https://www.google.com/maps/search/?api=1&amp;query=Fabri-Mec+R%C3%ADo+Tercero+C%C3%B3rdoba+Argentina</t>
  </si>
  <si>
    <t>https://parqueindustrial.riotercero.gob.ar/empresas | https://parqueindustrial.riotercero.gob.ar/empresa/Fabri-Mec</t>
  </si>
  <si>
    <t>Listado del parque describe hoyadoras hidráulicas adaptables a grúas/minicargadoras. | Ficha del parque: hoyadoras hidráulicas adaptables a grúas, minicargadoras y tractores; teléfonos 03571412302 / 03571579685.</t>
  </si>
  <si>
    <t>Fusionado con base Hermes para completar teléfonos/fuentes/servicios. | ID fuente: RT-042</t>
  </si>
  <si>
    <t>Fábrica Militar Río Tercero</t>
  </si>
  <si>
    <t>Industria estatal / metalmecánica pesada</t>
  </si>
  <si>
    <t>Entrar por proveedores/subcontratistas antes que compra directa estatal.</t>
  </si>
  <si>
    <t>https://www.google.com/maps/search/?api=1&amp;query=-32.181966,-64.113216</t>
  </si>
  <si>
    <t>Fabricaciones Militares / informes previos</t>
  </si>
  <si>
    <t>Fusionado con base Hermes para completar teléfonos/fuentes/servicios. | ID fuente: RT-043</t>
  </si>
  <si>
    <t>LiftingMach S.A.</t>
  </si>
  <si>
    <t>Autoelevadores / maquinaria industrial</t>
  </si>
  <si>
    <t>Fabricación de autoelevadores vinculada a Metalúrgica Río Tercero / LiuGong; posible movimiento de equipos.</t>
  </si>
  <si>
    <t>https://www.google.com/maps/search/?api=1&amp;query=LiftingMach+S.A.+R%C3%ADo+Tercero+C%C3%B3rdoba+Argentina</t>
  </si>
  <si>
    <t>Parque Industrial Río Tercero / Maquinac</t>
  </si>
  <si>
    <t>Listado de empresas del Parque Industrial; Maquinac menciona conformación LiftingMach para autoelevadores.</t>
  </si>
  <si>
    <t>Fusionado con base Hermes para completar teléfonos/fuentes/servicios. | ID fuente: RT-044</t>
  </si>
  <si>
    <t>PROMETVA S.R.L.</t>
  </si>
  <si>
    <t>Ingeniería / fabricación industrial</t>
  </si>
  <si>
    <t>Ingeniería y fabricación: potencial despacho de piezas, estructuras o equipos.</t>
  </si>
  <si>
    <t>https://www.google.com/maps/search/?api=1&amp;query=PROMETVA+S.R.L.+R%C3%ADo+Tercero+C%C3%B3rdoba+Argentina</t>
  </si>
  <si>
    <t>Listado del parque indica experiencia en ingeniería y fabricación.</t>
  </si>
  <si>
    <t>Fusionado con base Hermes para completar teléfonos/fuentes/servicios. | ID fuente: RT-045</t>
  </si>
  <si>
    <t>Taller Sarmiento</t>
  </si>
  <si>
    <t>Servicios industriales / mantenimiento</t>
  </si>
  <si>
    <t>mantenimiento / compras</t>
  </si>
  <si>
    <t>Prestación de servicios industriales dentro del parque; posible movimiento de equipos o repuestos pesados.</t>
  </si>
  <si>
    <t>https://www.google.com/maps/search/?api=1&amp;query=Taller+Sarmiento+R%C3%ADo+Tercero+C%C3%B3rdoba+Argentina</t>
  </si>
  <si>
    <t>Empresa listada en Parque Industrial: servicios industriales desde 1992.</t>
  </si>
  <si>
    <t>Fusionado con base Hermes para completar teléfonos/fuentes/servicios. | ID fuente: RT-046</t>
  </si>
  <si>
    <t>C</t>
  </si>
  <si>
    <t>Grupo AVO S.A.</t>
  </si>
  <si>
    <t>Aceite de soja / balanceados</t>
  </si>
  <si>
    <t>Visitar si queda en ruta del parque.</t>
  </si>
  <si>
    <t>https://www.google.com/maps/search/?api=1&amp;query=-32.175431,-64.127787</t>
  </si>
  <si>
    <t>Baja / visitar solo por cercanía</t>
  </si>
  <si>
    <t>Fusionado con base Hermes para completar teléfonos/fuentes/servicios. | ID fuente: RT-047</t>
  </si>
  <si>
    <t>Transporte Sosa</t>
  </si>
  <si>
    <t>Fabricación y reparación de cajas volcadoras</t>
  </si>
  <si>
    <t>dueño / taller</t>
  </si>
  <si>
    <t>Contacto útil para validar/tercerizar caja volcadora o entender oferta local de volcadoras.</t>
  </si>
  <si>
    <t>https://www.google.com/maps/search/?api=1&amp;query=Transporte+Sosa+R%C3%ADo+Tercero+C%C3%B3rdoba+Argentina</t>
  </si>
  <si>
    <t>Listado del parque indica fabricación y reparación de cajas volcadoras.</t>
  </si>
  <si>
    <t>Fusionado con base Hermes para completar teléfonos/fuentes/servicios. | ID fuente: RT-049</t>
  </si>
  <si>
    <t>Volonte Marcelo</t>
  </si>
  <si>
    <t>Arenado, pintura industrial y servicio de izaje</t>
  </si>
  <si>
    <t>operaciones / taller</t>
  </si>
  <si>
    <t>Más que cliente, posible referencia/alianza/competencia para izajes y maniobras.</t>
  </si>
  <si>
    <t>https://www.google.com/maps/search/?api=1&amp;query=Volonte+Marcelo+R%C3%ADo+Tercero+C%C3%B3rdoba+Argentina</t>
  </si>
  <si>
    <t>Listado del parque: arenado, pintura industrial y servicio de izaje.</t>
  </si>
  <si>
    <t>Fusionado con base Hermes para completar teléfonos/fuentes/servicios. | ID fuente: RT-050</t>
  </si>
  <si>
    <t>Áridos S.A.</t>
  </si>
  <si>
    <t>Áridos / cantera</t>
  </si>
  <si>
    <t>Solo vender si se confirma caja volcadora o servicio tercerizable.</t>
  </si>
  <si>
    <t>https://www.google.com/maps/search/?api=1&amp;query=-32.175149,-64.110626</t>
  </si>
  <si>
    <t>EMIS / Instagram @aridos.sa</t>
  </si>
  <si>
    <t>Fusionado con base Hermes para completar teléfonos/fuentes/servicios. | ID fuente: RT-048</t>
  </si>
  <si>
    <t>Corralito / acceso secundario RN36</t>
  </si>
  <si>
    <t>Corralito · S-253 / S-372 hacia Autovía 36</t>
  </si>
  <si>
    <t>Corralito</t>
  </si>
  <si>
    <t>AGD — Planta de Acopio Corralito</t>
  </si>
  <si>
    <t>Acopio agroindustrial</t>
  </si>
  <si>
    <t>03571 492144 / 492172 / 492228</t>
  </si>
  <si>
    <t>Acopio AGD; pedir operaciones/mantenimiento.</t>
  </si>
  <si>
    <t>tel:+543571492144</t>
  </si>
  <si>
    <t>https://www.google.com/maps/search/?api=1&amp;query=-32.022500,-64.191000</t>
  </si>
  <si>
    <t>agd.com.ar/es/corralito-acopio</t>
  </si>
  <si>
    <t>cooperativa/acopio</t>
  </si>
  <si>
    <t>Barquilla: validar seguridad, seguro, permiso de trabajo y alcance de maniobra antes de cotizar. Percha pallets: útil para insumos, bolsones, repuestos y materiales palletizados.</t>
  </si>
  <si>
    <t>Trisoil S.A.</t>
  </si>
  <si>
    <t>Alimentos balanceados / aceite</t>
  </si>
  <si>
    <t>03571 502525 / 502526</t>
  </si>
  <si>
    <t>Traslados especiales de mantenimiento, repuestos pesados, mudanzas internas y cargas con seguro/GPS.</t>
  </si>
  <si>
    <t>Ofrecer fletes de repuestos/equipos y cargas especiales.</t>
  </si>
  <si>
    <t>tel:+543571502525</t>
  </si>
  <si>
    <t>https://www.google.com/maps/search/?api=1&amp;query=-32.030000,-64.183000</t>
  </si>
  <si>
    <t>trisoil.com.ar</t>
  </si>
  <si>
    <t>planta agroindustrial</t>
  </si>
  <si>
    <t>Tancacha / RP6 - satélite agroindustrial</t>
  </si>
  <si>
    <t>Tancacha</t>
  </si>
  <si>
    <t>A&amp;F / BRUNI Implementos Agrícolas</t>
  </si>
  <si>
    <t>Repuestos e implementos agrícolas</t>
  </si>
  <si>
    <t>+54 3571 576545 / +54 9 3571 314413</t>
  </si>
  <si>
    <t>Fabricante local con 50 años de experiencia en repuestos e implementos agrícolas.</t>
  </si>
  <si>
    <t>tel:+543571576545</t>
  </si>
  <si>
    <t>tel:+543571576545 | tel:+5493571314413</t>
  </si>
  <si>
    <t>https://www.google.com/maps/search/?api=1&amp;query=A%26F+Implementos+Agr%C3%ADcolas+Tancacha+C%C3%B3rdoba+Argentina</t>
  </si>
  <si>
    <t>Web propia A&amp;F | Google Maps / ficha pública</t>
  </si>
  <si>
    <t>https://implementosayf.com.ar/ | https://www.google.com/maps/search/?api=1&amp;query=BRUNI+implementos+Agricolas+Tancacha+C%C3%B3rdoba+Argentina</t>
  </si>
  <si>
    <t>Fabricante local con 50 años de experiencia en repuestos e implementos agrícolas. | Fabricante/proveedor local de implementos agrícolas con teléfono público. | Sitio propio: Tucumán 745, Tancacha; +54 3571 57 6545; fabricación de implementos agrícolas y repuestos.</t>
  </si>
  <si>
    <t>Alias GPT fusionado: A&amp;F Implementos Agrícolas + BRUNI Implementos Agrícolas | Fusionado con base Hermes para completar teléfonos/fuentes/servicios.</t>
  </si>
  <si>
    <t>DIEZTREINTA S.A.S.</t>
  </si>
  <si>
    <t>Construcción de redes / obras</t>
  </si>
  <si>
    <t>03571 460582 / 03571 15 545575 / 03571 15 514877</t>
  </si>
  <si>
    <t>Empresa constructora habilitada en Tancacha para obras de redes; teléfonos y domicilio publicados en registro 2026.</t>
  </si>
  <si>
    <t>tel:+543571460582</t>
  </si>
  <si>
    <t>tel:+543571460582 | tel:+5493571545575 | tel:+5493571514877</t>
  </si>
  <si>
    <t>https://www.google.com/maps/search/?api=1&amp;query=DIEZTREINTA+S.A.S.+Tancacha+C%C3%B3rdoba+Argentina</t>
  </si>
  <si>
    <t>Registro Ecogas 2026</t>
  </si>
  <si>
    <t>https://www.ecogas.com.ar/appweb/leo/ui-empresas-constructoras.php</t>
  </si>
  <si>
    <t>transporte de áridos/materiales | hidrogrúa para carga/descarga | percha para pallets/bolsones | barquilla de hidrogrúa para mantenimiento en altura | hidrogrúa para postes/equipos</t>
  </si>
  <si>
    <t>áridos/construcción/premoldeados | mantenimiento en altura/redes</t>
  </si>
  <si>
    <t>Barquilla: validar seguridad, seguro, permiso de trabajo y alcance de maniobra antes de cotizar.</t>
  </si>
  <si>
    <t>ID fuente: TAN-003</t>
  </si>
  <si>
    <t>El Álamo S.R.L. - Tancacha</t>
  </si>
  <si>
    <t>Acopio, fertilizantes, semillas y combustibles</t>
  </si>
  <si>
    <t>03571 460730</t>
  </si>
  <si>
    <t>Movimiento de equipos de planta, silos, balanzas, repuestos e implementos con plataforma e hidrogrúa según necesidad.</t>
  </si>
  <si>
    <t>Sucursal Tancacha en intersección RP E79 y RP6; opera acopio, fertilizantes e insumos.</t>
  </si>
  <si>
    <t>tel:+543571460730</t>
  </si>
  <si>
    <t>https://www.google.com/maps/search/?api=1&amp;query=El+%C3%81lamo+S.R.L.+-+Tancacha+Tancacha+C%C3%B3rdoba+Argentina</t>
  </si>
  <si>
    <t>Web propia El Álamo</t>
  </si>
  <si>
    <t>https://www.elalamosrl.com.ar/</t>
  </si>
  <si>
    <t>cooperativa/acopio | planta agroindustrial</t>
  </si>
  <si>
    <t>ID fuente: TAN-004</t>
  </si>
  <si>
    <t>Metalúrgica Gentilini</t>
  </si>
  <si>
    <t>Piezas y conjuntos metálicos de precisión</t>
  </si>
  <si>
    <t>03571 550083</t>
  </si>
  <si>
    <t>Metalúrgica radicada en Tancacha, fabrica piezas y conjuntos metálicos para empresas regionales y nacionales.</t>
  </si>
  <si>
    <t>tel:+543571550083</t>
  </si>
  <si>
    <t>https://www.google.com/maps/search/?api=1&amp;query=Metal%C3%BArgica+Gentilini+Tancacha+C%C3%B3rdoba+Argentina</t>
  </si>
  <si>
    <t>Web propia Metalúrgica Gentilini</t>
  </si>
  <si>
    <t>https://metalurgicagentilini.com.ar/</t>
  </si>
  <si>
    <t>ID fuente: TAN-005</t>
  </si>
  <si>
    <t>IMEGEN</t>
  </si>
  <si>
    <t>Metalurgia / servicios industriales</t>
  </si>
  <si>
    <t>03571 460242 / +54 3571 460242</t>
  </si>
  <si>
    <t>Taller metalúrgico sobre RP6 con teléfono público.</t>
  </si>
  <si>
    <t>tel:+543571460242</t>
  </si>
  <si>
    <t>https://www.google.com/maps/search/?api=1&amp;query=IMEGEN+Tancacha+C%C3%B3rdoba+Argentina</t>
  </si>
  <si>
    <t>Google Maps / ficha pública | Maquinac</t>
  </si>
  <si>
    <t>https://www.google.com/maps/search/?api=1&amp;query=IMEGEN+Tancacha+C%C3%B3rdoba+Argentina | https://maquinac.com/empresas/imegen</t>
  </si>
  <si>
    <t>Taller metalúrgico sobre RP6 con teléfono público. | Maquinac: Ruta Prov. 6 Km 27, Tancacha; +54 3571 460242; equipos industriales.</t>
  </si>
  <si>
    <t>Fusionado con base Hermes para completar teléfonos/fuentes/servicios. | ID fuente: TAN-007</t>
  </si>
  <si>
    <t>Alimentos Tancacha</t>
  </si>
  <si>
    <t>Alimentos balanceados / planta industrial</t>
  </si>
  <si>
    <t>+54 3571 50-2272</t>
  </si>
  <si>
    <t>mantenimiento / logística</t>
  </si>
  <si>
    <t>Planta industrial en Tancacha; potencial de repuestos/equipos y movimientos especiales.</t>
  </si>
  <si>
    <t>tel:+543571502272</t>
  </si>
  <si>
    <t>https://www.google.com/maps/search/?api=1&amp;query=Alimentos+Tancacha+Tancacha+C%C3%B3rdoba+Argentina</t>
  </si>
  <si>
    <t>Web propia Alimentos Tancacha</t>
  </si>
  <si>
    <t>http://www.alimentostancacha.com/contacto</t>
  </si>
  <si>
    <t>Sitio propio publica teléfono, mail y dirección de planta industrial en Tancacha. | Sitio propio: planta industrial 9 de Julio 1490, Tancacha; teléfono +54 3571 50-2272; alimentos/expeller/aceite/premezclas.</t>
  </si>
  <si>
    <t>Agroinsumos Tancacha SRL</t>
  </si>
  <si>
    <t>Agroquímicos e insumos agrícolas</t>
  </si>
  <si>
    <t>03571 461128</t>
  </si>
  <si>
    <t>Proveedor agropecuario local; fit para movimientos de equipos y cargas especiales de planta.</t>
  </si>
  <si>
    <t>tel:+543571461128</t>
  </si>
  <si>
    <t>https://www.google.com/maps/search/?api=1&amp;query=Agroinsumos+Tancacha+SRL+Tancacha+C%C3%B3rdoba+Argentina</t>
  </si>
  <si>
    <t>ID fuente: TAN-008</t>
  </si>
  <si>
    <t>RG Rodolfo Grosso</t>
  </si>
  <si>
    <t>Agroindustria / maquinaria o insumos</t>
  </si>
  <si>
    <t>3571 521091</t>
  </si>
  <si>
    <t>dueño / operaciones</t>
  </si>
  <si>
    <t>Empresa agroindustrial local; validar movimientos de equipos, repuestos o implementos.</t>
  </si>
  <si>
    <t>tel:+543571521091</t>
  </si>
  <si>
    <t>https://www.google.com/maps/search/?api=1&amp;query=RG+Rodolfo+Grosso+Tancacha+C%C3%B3rdoba+Argentina</t>
  </si>
  <si>
    <t>https://www.facebook.com/rgrodolfogrosso?locale=es_LA</t>
  </si>
  <si>
    <t>Resultado público indica ubicación Tancacha y WhatsApp 3571521091; verificar vigencia.</t>
  </si>
  <si>
    <t>Fusionado con base Hermes para completar teléfonos/fuentes/servicios. | ID fuente: TAN-009</t>
  </si>
  <si>
    <t>ACOGRA</t>
  </si>
  <si>
    <t>Fertilizantes líquidos / agroindustria</t>
  </si>
  <si>
    <t>planta / logística</t>
  </si>
  <si>
    <t>Producción de fertilizantes líquidos; validar movimientos de insumos, tanques, equipos y mantenimiento.</t>
  </si>
  <si>
    <t>https://www.google.com/maps/search/?api=1&amp;query=ACOGRA+Tancacha+C%C3%B3rdoba+Argentina</t>
  </si>
  <si>
    <t>Instagram público / resultado de búsqueda</t>
  </si>
  <si>
    <t>https://www.instagram.com/reel/DQet3NikYDU?hl=en</t>
  </si>
  <si>
    <t>Resultado público menciona empresa de Tancacha que produce fertilizantes líquidos y exporta.</t>
  </si>
  <si>
    <t>Fusionado con base Hermes para completar teléfonos/fuentes/servicios. | ID fuente: TAN-010</t>
  </si>
  <si>
    <t>Agricultores Unidos de Tancacha Coop. Agrícola Ltda.</t>
  </si>
  <si>
    <t>Cooperativa agropecuaria / insumos</t>
  </si>
  <si>
    <t>03571 460109 / 03571 460298 / 03571 460112</t>
  </si>
  <si>
    <t>compra de insumos / acopio</t>
  </si>
  <si>
    <t>Cooperativa local: posible entrada por insumos, acopio y mantenimiento.</t>
  </si>
  <si>
    <t>tel:+543571460109</t>
  </si>
  <si>
    <t>tel:+543571460109 | tel:+543571460298 | tel:+543571460112</t>
  </si>
  <si>
    <t>https://www.google.com/maps/search/?api=1&amp;query=Agricultores+Unidos+de+Tancacha+Coop.+Agr%C3%ADcola+Ltda.+Tancacha+C%C3%B3rdoba+Argentina</t>
  </si>
  <si>
    <t>LinkedIn público / búsqueda | Web propia Agricultores Unidos de Tancacha</t>
  </si>
  <si>
    <t>https://www.linkedin.com/in/maximiliano-mat%C3%A9lica-9b7885125 | https://agricultoresunidos.com.ar/contacto</t>
  </si>
  <si>
    <t>Perfil público referencia a encargado de compra de insumos agrícolas en la cooperativa. | Sitio propio: administración 03571 460109; planta central 03571 460298; planta Ex-Junta 03571 460112; acopio, agroinsumos, corralón y flota propia.</t>
  </si>
  <si>
    <t>Fusionado con base Hermes para completar teléfonos/fuentes/servicios. | ID fuente: TAN-011</t>
  </si>
  <si>
    <t>La Lomita de Oro</t>
  </si>
  <si>
    <t>Materiales para la construcción</t>
  </si>
  <si>
    <t>+54 9 3571 558020</t>
  </si>
  <si>
    <t>Comercio de materiales de construcción; fit secundario para entregas especiales o equipos.</t>
  </si>
  <si>
    <t>tel:+5493571558020</t>
  </si>
  <si>
    <t>https://www.google.com/maps/search/?api=1&amp;query=La+Lomita+de+Oro+Tancacha+C%C3%B3rdoba+Argentina</t>
  </si>
  <si>
    <t>ID fuente: TAN-012</t>
  </si>
  <si>
    <t>Repuestos Actis</t>
  </si>
  <si>
    <t>Repuestos usados de cosechadoras</t>
  </si>
  <si>
    <t>03571 537360</t>
  </si>
  <si>
    <t>Proveedor rural de repuestos de cosechadoras; validar si mueve componentes de gran porte.</t>
  </si>
  <si>
    <t>tel:+543571537360</t>
  </si>
  <si>
    <t>https://www.google.com/maps/search/?api=1&amp;query=Repuestos+Actis+Tancacha+C%C3%B3rdoba+Argentina</t>
  </si>
  <si>
    <t>https://www.google.com/maps/search/?api=1&amp;query=Repuestos+usados+de+cosechadoras+Actis+Tancacha+C%C3%B3rdoba+Argentina</t>
  </si>
  <si>
    <t>ID fuente: TAN-013</t>
  </si>
  <si>
    <t>Córdoba / RN36 norte</t>
  </si>
  <si>
    <t>Alta Gracia</t>
  </si>
  <si>
    <t>AG Viviendas Industrializadas</t>
  </si>
  <si>
    <t>Módulos / viviendas industrializadas</t>
  </si>
  <si>
    <t>3547 672399 / 3547 420854</t>
  </si>
  <si>
    <t>Cada venta necesita logística: proponer proveedor regional.</t>
  </si>
  <si>
    <t>tel:+543547672399</t>
  </si>
  <si>
    <t>tel:+543547672399 | tel:+543547420854</t>
  </si>
  <si>
    <t>https://www.google.com/maps/search/?api=1&amp;query=-31.655000,-64.420000</t>
  </si>
  <si>
    <t>Facebook AG Viviendas</t>
  </si>
  <si>
    <t>Alta Gracia / Ruta 5</t>
  </si>
  <si>
    <t>Miguel Ángel Premoldeados</t>
  </si>
  <si>
    <t>03547 430962 / 03547 15501860</t>
  </si>
  <si>
    <t>Premoldeados con línea infraestructura y piezas especiales; buen encaje para plataforma e hidrogrúa.</t>
  </si>
  <si>
    <t>tel:+543547430962</t>
  </si>
  <si>
    <t>tel:+543547430962 | tel:+5493547501860</t>
  </si>
  <si>
    <t>https://www.google.com/maps/search/?api=1&amp;query=Miguel+%C3%81ngel+Premoldeados+Alta+Gracia+C%C3%B3rdoba+Argentina</t>
  </si>
  <si>
    <t>Web propia Miguel Ángel Premoldeados</t>
  </si>
  <si>
    <t>https://miguelangelpremoldeados.com</t>
  </si>
  <si>
    <t>Sitio propio informa fabricación de premoldeados, infraestructura, piezas especiales, teléfonos y ruta 5 km 24.</t>
  </si>
  <si>
    <t>Precons S.R.L.</t>
  </si>
  <si>
    <t>Premoldeados / tanques / construcción</t>
  </si>
  <si>
    <t>3547 430993</t>
  </si>
  <si>
    <t>Parque en expansión; ofrecer servicio a clientes finales.</t>
  </si>
  <si>
    <t>tel:+543547430993</t>
  </si>
  <si>
    <t>https://www.google.com/maps/search/?api=1&amp;query=-31.662670,-64.414474</t>
  </si>
  <si>
    <t>eldirectorio.co / preconssrl.com.ar</t>
  </si>
  <si>
    <t>Alta Gracia / RP5</t>
  </si>
  <si>
    <t>HidroAg — Piscinas Marea</t>
  </si>
  <si>
    <t>Distribuidor e instalador de piscinas Marea PRFV / llave en mano</t>
  </si>
  <si>
    <t>+54 9 3547 342646</t>
  </si>
  <si>
    <t>logística / instalaciones / obras / ventas</t>
  </si>
  <si>
    <t>Traslado del casco PRFV hasta la obra y maniobra de descarga/posicionamiento dentro del lote, muchas veces sobre medianeras o con acceso limitado.</t>
  </si>
  <si>
    <t>Transporte del casco PRFV + hidrogrúa para colocación precisa en patio/excavación + coordinación horaria con equipo de instalación + seguro/GPS.</t>
  </si>
  <si>
    <t>Ofrecer un servicio llave en mano de logística para que el instalador pueda concentrarse en excavación, nivelación y conexiones, dejando transporte y grúa en manos de PRESOL.</t>
  </si>
  <si>
    <t>Llamada prioritaria; pedir por responsable de logística/instalaciones/obras y consultar cómo resuelven hoy el flete y la hidrogrúa de cada casco.</t>
  </si>
  <si>
    <t>tel:+5493547342646</t>
  </si>
  <si>
    <t>Confirmar decisor de logística/instalaciones y frecuencia mensual de entregas.</t>
  </si>
  <si>
    <t>https://www.google.com/maps/search/?api=1&amp;query=HidroAg+%E2%80%94+Piscinas+Marea+Alta+Gracia+C%C3%B3rdoba+Argentina</t>
  </si>
  <si>
    <t>Web oficial HidroAg</t>
  </si>
  <si>
    <t>https://www.hidroag.com/blog/posts/servicios-piscinas-alta-gracia-d00a2fa1fc1e</t>
  </si>
  <si>
    <t>Distribuidor e instalador oficial de piscinas de fibra Marea; ofrece instalación llave en mano y coordina flete/descarga.</t>
  </si>
  <si>
    <t>Rastrillaje piletas PRFV 2026-09-07</t>
  </si>
  <si>
    <t>transporte especial de cascos PRFV | hidrogrúa para descarga y posicionamiento | coordinación de entrega con instalador | seguro de carga | trazabilidad GPS</t>
  </si>
  <si>
    <t>Oportunidad de encaje directo: el casco es voluminoso y liviano; confirmar puntos de izaje, eslingado, radio de giro, obstáculos del lote y recomendaciones del fabricante antes de la maniobra.</t>
  </si>
  <si>
    <t>Rastrillaje PRFV 2026-09-07</t>
  </si>
  <si>
    <t>Alta nueva luego de barrido específico de fabricantes, franquicias y colocadores de piscinas de fibra; cruzada contra la base maestra para evitar duplicados.</t>
  </si>
  <si>
    <t>Punto Piscina Multimarca</t>
  </si>
  <si>
    <t>Venta e instalación de piscinas PRFV multimarca</t>
  </si>
  <si>
    <t>351 5146150 / 3547 423389</t>
  </si>
  <si>
    <t>tel:+543515146150</t>
  </si>
  <si>
    <t>https://www.google.com/maps/search/?api=1&amp;query=Punto+Piscina+Multimarca+Alta+Gracia+C%C3%B3rdoba+Argentina</t>
  </si>
  <si>
    <t>Web oficial Punto Piscina</t>
  </si>
  <si>
    <t>https://puntopiscina.com.ar/</t>
  </si>
  <si>
    <t>Declara venta de piscinas PRFV y proceso de instalación rápida; trabaja con varias marcas.</t>
  </si>
  <si>
    <t>Lombardi Maquinarias</t>
  </si>
  <si>
    <t>Venta de tractores, cosechadoras, sembradoras y maquinaria nueva/usada</t>
  </si>
  <si>
    <t>+54 9 3541 555549 / +54 9 3541 555553</t>
  </si>
  <si>
    <t>tel:+5493541555549</t>
  </si>
  <si>
    <t>https://www.google.com/maps/search/?api=1&amp;query=Lombardi+Maquinarias+Alta+Gracia+C%C3%B3rdoba+Argentina</t>
  </si>
  <si>
    <t>Web oficial Lombardi / red Tanzi</t>
  </si>
  <si>
    <t>https://www.lombardimaquinarias.com.ar/social.html</t>
  </si>
  <si>
    <t>Empresa especializada en maquinaria agrícola nueva/usada y repuestos; local en RP5 km 20, zona Alta Gracia/Santa Ana.</t>
  </si>
  <si>
    <t>Grupo Buglione</t>
  </si>
  <si>
    <t>Autopartes / remanufactura</t>
  </si>
  <si>
    <t>0351 6512408 / 0351 3271171 / 03547 432121</t>
  </si>
  <si>
    <t>Parque N°53; entrar por logística/compras.</t>
  </si>
  <si>
    <t>tel:+543516512408</t>
  </si>
  <si>
    <t>tel:+543516512408 | tel:+543513271171 | tel:+543547432121</t>
  </si>
  <si>
    <t>https://www.google.com/maps/search/?api=1&amp;query=-31.660000,-64.430000</t>
  </si>
  <si>
    <t>Facebook Grupo Buglione</t>
  </si>
  <si>
    <t>Mattsay Steel Frame</t>
  </si>
  <si>
    <t>Casas modulares / steel frame</t>
  </si>
  <si>
    <t>3547 477530</t>
  </si>
  <si>
    <t>Instalación en lote; preguntar si tercerizan traslados.</t>
  </si>
  <si>
    <t>tel:+543547477530</t>
  </si>
  <si>
    <t>https://www.google.com/maps/search/?api=1&amp;query=-31.653000,-64.428000</t>
  </si>
  <si>
    <t>mattsay.com</t>
  </si>
  <si>
    <t>Habitaciones Calificadas</t>
  </si>
  <si>
    <t>Módulos habitacionales</t>
  </si>
  <si>
    <t>Teléfono no confiable en web; relevar en visita/parque.</t>
  </si>
  <si>
    <t>https://www.google.com/maps/search/?api=1&amp;query=-31.650000,-64.421000</t>
  </si>
  <si>
    <t>Informe de mercado / parque Alta Gracia</t>
  </si>
  <si>
    <t>R5 Premoldeados</t>
  </si>
  <si>
    <t>Premoldeados / muros / cerramientos</t>
  </si>
  <si>
    <t>despacho / colocación</t>
  </si>
  <si>
    <t>Fábrica de premoldeados en Alta Gracia; validar si terceriza transporte/descarga.</t>
  </si>
  <si>
    <t>https://www.google.com/maps/search/?api=1&amp;query=R5+Premoldeados+Alta+Gracia+C%C3%B3rdoba+Argentina</t>
  </si>
  <si>
    <t>https://www.instagram.com/r5.premoldeados</t>
  </si>
  <si>
    <t>Resultado público indica fábrica de premoldeados en Alta Gracia, muros, cerramientos y estructuras.</t>
  </si>
  <si>
    <t>Anisacate / RP5</t>
  </si>
  <si>
    <t>Anisacate</t>
  </si>
  <si>
    <t>MPS Piscinas</t>
  </si>
  <si>
    <t>Venta e instalación de piscinas de fibra / cobertura provincial</t>
  </si>
  <si>
    <t>+54 9 3547 564603</t>
  </si>
  <si>
    <t>tel:+5493547564603</t>
  </si>
  <si>
    <t>https://www.google.com/maps/search/?api=1&amp;query=MPS+Piscinas+Anisacate+C%C3%B3rdoba+Argentina</t>
  </si>
  <si>
    <t>Web oficial MPS Piscinas</t>
  </si>
  <si>
    <t>https://www.mpspiscinas.com.ar/</t>
  </si>
  <si>
    <t>Instalador de piscinas de fibra con base en Anisacate y cobertura declarada en toda la provincia de Córdoba.</t>
  </si>
  <si>
    <t>Mar de Fondo — Anisacate</t>
  </si>
  <si>
    <t>Punto de venta Moldear / piscinas PRFV / instalación</t>
  </si>
  <si>
    <t>+54 9 3547 634032</t>
  </si>
  <si>
    <t>Entrega de piscinas de fibra desde depósito/franquicia hasta domicilio y apoyo de grúa cuando el casco debe superar medianeras, techos o accesos angostos.</t>
  </si>
  <si>
    <t>Flete de piscina PRFV + hidrogrúa para descarga/posicionamiento + coordinación con excavación e instalador + seguro de carga.</t>
  </si>
  <si>
    <t>Resolver la parte más crítica de la instalación —logística y maniobra— sin depender de proveedores distintos para camión y grúa.</t>
  </si>
  <si>
    <t>tel:+5493547634032</t>
  </si>
  <si>
    <t>https://www.google.com/maps/search/?api=1&amp;query=Mar+de+Fondo+%E2%80%94+Anisacate+Anisacate+C%C3%B3rdoba+Argentina</t>
  </si>
  <si>
    <t>Moldear</t>
  </si>
  <si>
    <t>https://www.moldear.com.ar/cordoba/anisacate/mar-de-fondo/</t>
  </si>
  <si>
    <t>Punto Moldear en Anisacate; comercializa piscinas y acompaña desde selección hasta instalación.</t>
  </si>
  <si>
    <t>Sierras / RN36-Ruta 5</t>
  </si>
  <si>
    <t>Córdoba / Sierras</t>
  </si>
  <si>
    <t>El Alto Áridos, Hormigón y Desarrollos</t>
  </si>
  <si>
    <t>Áridos / hormigón / desarrollos</t>
  </si>
  <si>
    <t>Proveedor de áridos y hormigón en sierras; validar si requiere traslados de equipos o apoyo en obras.</t>
  </si>
  <si>
    <t>https://www.google.com/maps/search/?api=1&amp;query=El+Alto+%C3%81ridos%2C+Hormig%C3%B3n+y+Desarrollos+C%C3%B3rdoba+%2F+Sierras+C%C3%B3rdoba+Argentina</t>
  </si>
  <si>
    <t>Web pública / resultado de búsqueda</t>
  </si>
  <si>
    <t>https://www.elalto.ar</t>
  </si>
  <si>
    <t>Resultado público lo describe como proveedor de áridos lavados, hormigón elaborado y desarrollos integrales.</t>
  </si>
  <si>
    <t>Fusionado con base Hermes para completar teléfonos/fuentes/servicios. | ID fuente: CSI-001</t>
  </si>
  <si>
    <t>Córdoba capital / área metropolitana</t>
  </si>
  <si>
    <t>Córdoba capital</t>
  </si>
  <si>
    <t>AquaFibra</t>
  </si>
  <si>
    <t>Fabricante e instalador de piscinas de fibra / cobertura provincial</t>
  </si>
  <si>
    <t>+54 9 351 3000650</t>
  </si>
  <si>
    <t>Despacho recurrente de cascos PRFV de gran volumen desde fábrica hacia obras, franquicias o domicilios; coordinación de descarga y posicionamiento en patios con accesos restringidos.</t>
  </si>
  <si>
    <t>Transporte especial de cascos PRFV + hidrogrúa para descarga y posicionamiento en patio/excavación + coordinación con equipo instalador + seguro de carga + trazabilidad GPS.</t>
  </si>
  <si>
    <t>Su propia web indica que cuando una piscina debe pasar por encima de una pared o techo gestionan grúa y logística. PRESOL puede convertirse en ese proveedor fijo de flete + hidrogrúa.</t>
  </si>
  <si>
    <t>tel:+5493513000650</t>
  </si>
  <si>
    <t>https://www.google.com/maps/search/?api=1&amp;query=AquaFibra+C%C3%B3rdoba+capital+C%C3%B3rdoba+Argentina</t>
  </si>
  <si>
    <t>Web oficial AquaFibra</t>
  </si>
  <si>
    <t>https://aquafibra.com.ar/</t>
  </si>
  <si>
    <t>Fabricante e instalador en toda Córdoba; su web indica que gestiona grúa y logística cuando la pileta debe pasar sobre paredes o techos.</t>
  </si>
  <si>
    <t>Córdoba capital / corredor agro</t>
  </si>
  <si>
    <t>CONCI — Córdoba</t>
  </si>
  <si>
    <t>Concesionario John Deere / maquinaria agrícola / repuestos / postventa</t>
  </si>
  <si>
    <t>0810 777 6666 / +54 9 351 2175220</t>
  </si>
  <si>
    <t>tel:+548107776666</t>
  </si>
  <si>
    <t>https://www.google.com/maps/search/?api=1&amp;query=CONCI+%E2%80%94+C%C3%B3rdoba+C%C3%B3rdoba+capital+C%C3%B3rdoba+Argentina</t>
  </si>
  <si>
    <t>Web oficial CONCI</t>
  </si>
  <si>
    <t>https://www.conci.com.ar/location</t>
  </si>
  <si>
    <t>Casa central en Juan B. Justo 6500, Córdoba; concesionario John Deere con ventas, repuestos y posventa.</t>
  </si>
  <si>
    <t>Moldear Piscinas</t>
  </si>
  <si>
    <t>Fabricante de piscinas de fibra de vidrio y red de puntos de venta</t>
  </si>
  <si>
    <t>0351 4864217 / 0351 5892541</t>
  </si>
  <si>
    <t>Proponer a PRESOL como operador logístico recurrente para entregas de fábrica: un solo proveedor para flete, descarga con hidrogrúa y posicionamiento final del casco.</t>
  </si>
  <si>
    <t>tel:+543514864217</t>
  </si>
  <si>
    <t>https://www.google.com/maps/search/?api=1&amp;query=Moldear+Piscinas+C%C3%B3rdoba+capital+C%C3%B3rdoba+Argentina</t>
  </si>
  <si>
    <t>Web oficial Moldear</t>
  </si>
  <si>
    <t>https://www.moldear.com.ar/</t>
  </si>
  <si>
    <t>Fabricante cordobés de piletas PRFV con amplia red de puntos de venta en la provincia.</t>
  </si>
  <si>
    <t>Máquinas del Centro — Córdoba</t>
  </si>
  <si>
    <t>Concesionario oficial Case IH / Crucianelli / Maizco / Toolking</t>
  </si>
  <si>
    <t>0351 7015555 / 0351 8722584</t>
  </si>
  <si>
    <t>tel:+543517015555</t>
  </si>
  <si>
    <t>https://www.google.com/maps/search/?api=1&amp;query=M%C3%A1quinas+del+Centro+%E2%80%94+C%C3%B3rdoba+C%C3%B3rdoba+capital+C%C3%B3rdoba+Argentina</t>
  </si>
  <si>
    <t>Web oficial Máquinas del Centro</t>
  </si>
  <si>
    <t>https://www.maquinasdelcentro.com.ar/contacto</t>
  </si>
  <si>
    <t>Sucursal Córdoba en Autopista Córdoba-Rosario km 701, Polo 52; vende equipos 0 km/usados y presta servicio técnico/postventa.</t>
  </si>
  <si>
    <t>Porto Piscinas</t>
  </si>
  <si>
    <t>Fabricante de piscinas de fibra / entrega directa</t>
  </si>
  <si>
    <t>0351 8786914</t>
  </si>
  <si>
    <t>tel:+543518786914</t>
  </si>
  <si>
    <t>https://www.google.com/maps/search/?api=1&amp;query=Porto+Piscinas+C%C3%B3rdoba+capital+C%C3%B3rdoba+Argentina</t>
  </si>
  <si>
    <t>Web oficial Porto Piscinas</t>
  </si>
  <si>
    <t>https://piscinasporto.com.ar/</t>
  </si>
  <si>
    <t>Fabricación propia en Parque Industrial Polo 52; coordina entregas domiciliarias en todo el país.</t>
  </si>
  <si>
    <t>Pretencord S.R.L.</t>
  </si>
  <si>
    <t>Pretensados y premoldeados de hormigón</t>
  </si>
  <si>
    <t>+54 351 2422363 / +54 351 2454059</t>
  </si>
  <si>
    <t>despacho / logística</t>
  </si>
  <si>
    <t>Despacha a corralones de todo el país; PRESOL puede ofrecer refuerzo logístico regional.</t>
  </si>
  <si>
    <t>tel:+543512422363</t>
  </si>
  <si>
    <t>tel:+543512422363 | tel:+543512454059</t>
  </si>
  <si>
    <t>https://www.google.com/maps/search/?api=1&amp;query=Pretencord+S.R.L.+C%C3%B3rdoba+capital+C%C3%B3rdoba+Argentina</t>
  </si>
  <si>
    <t>Web propia Pretencord</t>
  </si>
  <si>
    <t>https://pretencord.com</t>
  </si>
  <si>
    <t>Sitio informa fabricación propia, despacho nacional, red de corralones, WhatsApp/teléfono.</t>
  </si>
  <si>
    <t>Arizona Piscinas</t>
  </si>
  <si>
    <t>Fabricante e instalador de piscinas PRFV / Córdoba e interior</t>
  </si>
  <si>
    <t>+54 9 3541 683449</t>
  </si>
  <si>
    <t>tel:+5493541683449</t>
  </si>
  <si>
    <t>https://www.google.com/maps/search/?api=1&amp;query=Arizona+Piscinas+C%C3%B3rdoba+capital+C%C3%B3rdoba+Argentina</t>
  </si>
  <si>
    <t>Web oficial Arizona Piscinas</t>
  </si>
  <si>
    <t>https://arizonapiscinas.com.ar/</t>
  </si>
  <si>
    <t>Declara fabricación e instalación de piscinas PRFV y cobertura en Córdoba Capital e interior.</t>
  </si>
  <si>
    <t>Klor Piletas</t>
  </si>
  <si>
    <t>Venta e instalación llave en mano de piscinas de fibra / distribuidor Moldear</t>
  </si>
  <si>
    <t>351 8868899 / 351 8601829</t>
  </si>
  <si>
    <t>tel:+543518868899</t>
  </si>
  <si>
    <t>https://www.google.com/maps/search/?api=1&amp;query=Klor+Piletas+C%C3%B3rdoba+capital+C%C3%B3rdoba+Argentina</t>
  </si>
  <si>
    <t>Web oficial Klor</t>
  </si>
  <si>
    <t>https://klorpiletas.com.ar/instalacion-de-piletas-en-cordoba/</t>
  </si>
  <si>
    <t>Instala piscinas de fibra con movimiento de suelo, colocación y puesta en marcha; opera varias sucursales en Córdoba.</t>
  </si>
  <si>
    <t>Piletas Córdoba</t>
  </si>
  <si>
    <t>Diseño, venta e instalación de piscinas de fibra</t>
  </si>
  <si>
    <t>+54 9 351 6425474 / 3462 303611</t>
  </si>
  <si>
    <t>tel:+5493516425474</t>
  </si>
  <si>
    <t>https://www.google.com/maps/search/?api=1&amp;query=Piletas+C%C3%B3rdoba+C%C3%B3rdoba+capital+C%C3%B3rdoba+Argentina</t>
  </si>
  <si>
    <t>Web oficial Piletas Córdoba</t>
  </si>
  <si>
    <t>https://www.piletascordoba.ar/</t>
  </si>
  <si>
    <t>Empresa cordobesa que diseña e instala piscinas de fibra y coordina instalación y flete.</t>
  </si>
  <si>
    <t>Agronorte — Córdoba</t>
  </si>
  <si>
    <t>Concesionario/red John Deere / maquinaria agrícola</t>
  </si>
  <si>
    <t>0351 5890240</t>
  </si>
  <si>
    <t>tel:+543515890240</t>
  </si>
  <si>
    <t>https://www.google.com/maps/search/?api=1&amp;query=Agronorte+%E2%80%94+C%C3%B3rdoba+C%C3%B3rdoba+capital+C%C3%B3rdoba+Argentina</t>
  </si>
  <si>
    <t>Asociación de Concesionarios John Deere / ficha local</t>
  </si>
  <si>
    <t>La Asociación John Deere lista a Agronorte con sucursal en Córdoba; punto sobre Autopista Córdoba-Rosario.</t>
  </si>
  <si>
    <t>Aquapool Piscinas Córdoba</t>
  </si>
  <si>
    <t>Instalación de piscinas de fibra de vidrio / llave en mano</t>
  </si>
  <si>
    <t>351 3039080</t>
  </si>
  <si>
    <t>tel:+543513039080</t>
  </si>
  <si>
    <t>https://www.google.com/maps/search/?api=1&amp;query=Aquapool+Piscinas+C%C3%B3rdoba+C%C3%B3rdoba+capital+C%C3%B3rdoba+Argentina</t>
  </si>
  <si>
    <t>Web oficial Aquapool</t>
  </si>
  <si>
    <t>https://piscinasaquapool.com/</t>
  </si>
  <si>
    <t>Especialista en instalación de piscinas de fibra en Córdoba y alrededores; ofrece modalidades con materiales y logística.</t>
  </si>
  <si>
    <t>Semtraco — Córdoba</t>
  </si>
  <si>
    <t>Concesionario Case IH / maquinaria agrícola e implementos</t>
  </si>
  <si>
    <t>+54 9 351 8504937</t>
  </si>
  <si>
    <t>tel:+5493518504937</t>
  </si>
  <si>
    <t>https://www.google.com/maps/search/?api=1&amp;query=Semtraco+%E2%80%94+C%C3%B3rdoba+C%C3%B3rdoba+capital+C%C3%B3rdoba+Argentina</t>
  </si>
  <si>
    <t>Web oficial Semtraco</t>
  </si>
  <si>
    <t>https://www.semtraco.com.ar/</t>
  </si>
  <si>
    <t>Sucursal Córdoba de concesionario de maquinaria agrícola; potencial de movimientos interurbanos por corredor RN36.</t>
  </si>
  <si>
    <t>Vitro Piscinas Córdoba</t>
  </si>
  <si>
    <t>Piscinas de fibra / instalación completa</t>
  </si>
  <si>
    <t>3541 652624</t>
  </si>
  <si>
    <t>tel:+543541652624</t>
  </si>
  <si>
    <t>Validar teléfono directo, decisor y si la instalación/manipulación se realiza con equipo propio o tercerizado.</t>
  </si>
  <si>
    <t>https://www.google.com/maps/search/?api=1&amp;query=Vitro+Piscinas+C%C3%B3rdoba+C%C3%B3rdoba+capital+C%C3%B3rdoba+Argentina</t>
  </si>
  <si>
    <t>Web oficial Vitro Piscinas</t>
  </si>
  <si>
    <t>https://www.vitropiscinas.com/</t>
  </si>
  <si>
    <t>Publica proceso completo de excavación, colocación de piscina, equipo y terminaciones; validar contacto local.</t>
  </si>
  <si>
    <t>Boetto y Buttigliengo S.A.</t>
  </si>
  <si>
    <t>Constructora</t>
  </si>
  <si>
    <t>0351 4653272</t>
  </si>
  <si>
    <t>jefe de obra / logística</t>
  </si>
  <si>
    <t>Transporte de equipos, módulos de obrador, estructuras y materiales pesados; descarga o posicionamiento cuando aplique.</t>
  </si>
  <si>
    <t>Prospecto grande; mejor por obra/encargado que por administración.</t>
  </si>
  <si>
    <t>tel:+543514653272</t>
  </si>
  <si>
    <t>https://www.google.com/maps/search/?api=1&amp;query=-31.449963,-64.252114</t>
  </si>
  <si>
    <t>BNamericas / bbcsa.com.ar</t>
  </si>
  <si>
    <t>CABIAL Empresa Constructora</t>
  </si>
  <si>
    <t>0351 4822855 / 0351 4658599</t>
  </si>
  <si>
    <t>Cotizar traslado concreto, no presentación genérica.</t>
  </si>
  <si>
    <t>tel:+543514822855</t>
  </si>
  <si>
    <t>tel:+543514822855 | tel:+543514658599</t>
  </si>
  <si>
    <t>https://www.google.com/maps/search/?api=1&amp;query=-31.438000,-64.205000</t>
  </si>
  <si>
    <t>arempresas.com</t>
  </si>
  <si>
    <t>IngaV Constructora</t>
  </si>
  <si>
    <t>0351 5890684 / 0351 5579222 (verificar)</t>
  </si>
  <si>
    <t>Contacto directo WhatsApp; pedir próximo traslado.</t>
  </si>
  <si>
    <t>tel:+543515890684</t>
  </si>
  <si>
    <t>tel:+543515890684 | tel:+543515579222</t>
  </si>
  <si>
    <t>https://www.google.com/maps/search/?api=1&amp;query=-31.413163,-64.170080</t>
  </si>
  <si>
    <t>ingavconstructora.com.ar</t>
  </si>
  <si>
    <t>Contacto remoto / Jesús María</t>
  </si>
  <si>
    <t>Córdoba capital zona sur</t>
  </si>
  <si>
    <t>AG GROUP Industria</t>
  </si>
  <si>
    <t>Módulos / construcción industrializada</t>
  </si>
  <si>
    <t>3525 513210</t>
  </si>
  <si>
    <t>Aunque está en Jesús María, vende en Córdoba; ofrecer logística provincial.</t>
  </si>
  <si>
    <t>tel:+543525513210</t>
  </si>
  <si>
    <t>https://www.google.com/maps/search/?api=1&amp;query=-31.000000,-64.090000</t>
  </si>
  <si>
    <t>aggroupindustria.com.ar</t>
  </si>
  <si>
    <t>Fusionado con base Hermes para completar teléfonos/fuentes/servicios. | ID fuente: CZS-001</t>
  </si>
  <si>
    <t>Córdoba Sur-Oeste / canteras</t>
  </si>
  <si>
    <t>Canteras Ruiz</t>
  </si>
  <si>
    <t>0351 5570618 / 0351 4524228 / 0351 155508346</t>
  </si>
  <si>
    <t>Servicio de áridos sólo si se confirma volcador/tercerización.</t>
  </si>
  <si>
    <t>tel:+543515570618</t>
  </si>
  <si>
    <t>tel:+543515570618 | tel:+543514524228 | tel:+5493515508346</t>
  </si>
  <si>
    <t>https://www.google.com/maps/search/?api=1&amp;query=-31.475000,-64.235000</t>
  </si>
  <si>
    <t>canterasruiz.com</t>
  </si>
  <si>
    <t>Fusionado con base Hermes para completar teléfonos/fuentes/servicios. | ID fuente: CZS-002</t>
  </si>
  <si>
    <t>Córdoba Oeste / Av. Colón</t>
  </si>
  <si>
    <t>Corralón Mis Ladrillos</t>
  </si>
  <si>
    <t>Corralón mayorista</t>
  </si>
  <si>
    <t>0351 3705858</t>
  </si>
  <si>
    <t>Entrada rápida a mercado capitalino; ofrecer reparto pesado regional.</t>
  </si>
  <si>
    <t>tel:+543513705858</t>
  </si>
  <si>
    <t>https://www.google.com/maps/search/?api=1&amp;query=-31.396774,-64.251905</t>
  </si>
  <si>
    <t>Vuelta Canela / directorio</t>
  </si>
  <si>
    <t>Fusionado con base Hermes para completar teléfonos/fuentes/servicios. | ID fuente: CZS-003</t>
  </si>
  <si>
    <t>Córdoba Sur / RN36-Vélez Sarsfield</t>
  </si>
  <si>
    <t>Hormi Block S.A.</t>
  </si>
  <si>
    <t>0351 4939510 / 0351 4945800</t>
  </si>
  <si>
    <t>Av. Vélez Sarsfield 5801; entrada directa por corredor.</t>
  </si>
  <si>
    <t>tel:+543514939510</t>
  </si>
  <si>
    <t>tel:+543514939510 | tel:+543514945800</t>
  </si>
  <si>
    <t>https://www.google.com/maps/search/?api=1&amp;query=-31.481687,-64.203118</t>
  </si>
  <si>
    <t>InfoNegocios / Hormi Block</t>
  </si>
  <si>
    <t>Fusionado con base Hermes para completar teléfonos/fuentes/servicios. | ID fuente: CZS-004</t>
  </si>
  <si>
    <t>Córdoba Norte / Monseñor Pablo Cabrera</t>
  </si>
  <si>
    <t>Lucy’s House / Rental</t>
  </si>
  <si>
    <t>0351 2077113</t>
  </si>
  <si>
    <t>Muy buen encaje para planchada + malacate.</t>
  </si>
  <si>
    <t>tel:+543512077113</t>
  </si>
  <si>
    <t>https://www.google.com/maps/search/?api=1&amp;query=-31.368536,-64.205299</t>
  </si>
  <si>
    <t>Instagram Lucy’s House</t>
  </si>
  <si>
    <t>Fusionado con base Hermes para completar teléfonos/fuentes/servicios. | ID fuente: CZS-005</t>
  </si>
  <si>
    <t>Córdoba Norte-Oeste / Villa Belgrano</t>
  </si>
  <si>
    <t>MegaContainers</t>
  </si>
  <si>
    <t>Venta/alquiler de containers</t>
  </si>
  <si>
    <t>0351 5179179</t>
  </si>
  <si>
    <t>Proveedor natural: cada container vendido necesita logística.</t>
  </si>
  <si>
    <t>tel:+543515179179</t>
  </si>
  <si>
    <t>https://www.google.com/maps/search/?api=1&amp;query=-31.350332,-64.254449</t>
  </si>
  <si>
    <t>megacontainers.com.ar</t>
  </si>
  <si>
    <t>Fusionado con base Hermes para completar teléfonos/fuentes/servicios. | ID fuente: CZS-006</t>
  </si>
  <si>
    <t>Córdoba Sur / Camino San Antonio</t>
  </si>
  <si>
    <t>Porta Hnos.</t>
  </si>
  <si>
    <t>Industrial / alcohol / alimentos</t>
  </si>
  <si>
    <t>0351 4938400</t>
  </si>
  <si>
    <t>Camino San Antonio km 4,5: visitar si entra en ruta Córdoba sur.</t>
  </si>
  <si>
    <t>tel:+543514938400</t>
  </si>
  <si>
    <t>https://www.google.com/maps/search/?api=1&amp;query=-31.490145,-64.189401</t>
  </si>
  <si>
    <t>portahnos.com.ar</t>
  </si>
  <si>
    <t>Fusionado con base Hermes para completar teléfonos/fuentes/servicios. | ID fuente: CZS-007</t>
  </si>
  <si>
    <t>Bendito Corralón Mayorista</t>
  </si>
  <si>
    <t>0351 8741592 (a confirmar)</t>
  </si>
  <si>
    <t>Validar teléfono; si no, visita directa por local.</t>
  </si>
  <si>
    <t>tel:+543518741592</t>
  </si>
  <si>
    <t>https://www.google.com/maps/search/?api=1&amp;query=-31.463000,-64.202000</t>
  </si>
  <si>
    <t>Instagram / búsqueda web</t>
  </si>
  <si>
    <t>Fusionado con base Hermes para completar teléfonos/fuentes/servicios. | ID fuente: CZS-008</t>
  </si>
  <si>
    <t>Canteras Terra</t>
  </si>
  <si>
    <t>Teléfono web no confiable; relevar en terreno.</t>
  </si>
  <si>
    <t>https://www.google.com/maps/search/?api=1&amp;query=-31.462000,-64.360000</t>
  </si>
  <si>
    <t>Directorio de canteras / investigación web</t>
  </si>
  <si>
    <t>Fusionado con base Hermes para completar teléfonos/fuentes/servicios. | ID fuente: CZS-009</t>
  </si>
  <si>
    <t>Despeñaderos / RN36</t>
  </si>
  <si>
    <t>Despeñaderos</t>
  </si>
  <si>
    <t>AS Premoldeados</t>
  </si>
  <si>
    <t>Premoldeados de hormigón / galpones / techos</t>
  </si>
  <si>
    <t>3547 675513</t>
  </si>
  <si>
    <t>Tapias, galpones, techos y premoldeados; posibilidad de transporte y descarga de piezas.</t>
  </si>
  <si>
    <t>tel:+543547675513</t>
  </si>
  <si>
    <t>https://www.google.com/maps/search/?api=1&amp;query=AS+Premoldeados+Despe%C3%B1aderos+C%C3%B3rdoba+Argentina</t>
  </si>
  <si>
    <t>Web propia AS + Facebook público</t>
  </si>
  <si>
    <t>https://aspremoldeados.com.ar</t>
  </si>
  <si>
    <t>Sitio informa rubros y ubicación Despeñaderos; resultado público aporta teléfono, verificar vigencia.</t>
  </si>
  <si>
    <t>Servicios Agropecuarios S.R.L. — Despeñaderos</t>
  </si>
  <si>
    <t>Concesionario / maquinaria agrícola e implementos</t>
  </si>
  <si>
    <t>03547 492114 / 03547 492193</t>
  </si>
  <si>
    <t>tel:+543547492114</t>
  </si>
  <si>
    <t>https://www.google.com/maps/search/?api=1&amp;query=Servicios+Agropecuarios+S.R.L.+%E2%80%94+Despe%C3%B1aderos+Despe%C3%B1aderos+C%C3%B3rdoba+Argentina</t>
  </si>
  <si>
    <t>Red de concesionarios Conese / web propia</t>
  </si>
  <si>
    <t>https://serviciosagropecuariossrl.com/v2/</t>
  </si>
  <si>
    <t>Punto de maquinaria agrícola en RN36 km 765 Despeñaderos; encaje directo con corredor PRESOL.</t>
  </si>
  <si>
    <t>Metal-Ferr</t>
  </si>
  <si>
    <t>Metalúrgica agro/industria</t>
  </si>
  <si>
    <t>3547 525300 / 3547 492716</t>
  </si>
  <si>
    <t>Empresa local 25+ años; pedir producción/despacho.</t>
  </si>
  <si>
    <t>tel:+543547525300</t>
  </si>
  <si>
    <t>tel:+543547525300 | tel:+543547492716</t>
  </si>
  <si>
    <t>https://www.google.com/maps/search/?api=1&amp;query=-31.817000,-64.294000</t>
  </si>
  <si>
    <t>metal-ferr.com/contacto</t>
  </si>
  <si>
    <t>Parque Industrial Despeñaderos N°64</t>
  </si>
  <si>
    <t>Radicaciones industriales</t>
  </si>
  <si>
    <t>Institucional y parques</t>
  </si>
  <si>
    <t>A relevar vía municipio</t>
  </si>
  <si>
    <t>Acceso a padrón de empresas radicadas, obras de infraestructura y derivaciones a responsables.</t>
  </si>
  <si>
    <t>Pedir listado de empresas radicadas al municipio/parque.</t>
  </si>
  <si>
    <t>https://www.google.com/maps/search/?api=1&amp;query=-31.812000,-64.289000</t>
  </si>
  <si>
    <t>cba.gov.ar / despenaderos.gob.ar</t>
  </si>
  <si>
    <t>Ferreyra / Santa Isabel</t>
  </si>
  <si>
    <t>Iveco / CNH Ferreyra</t>
  </si>
  <si>
    <t>Automotriz / camiones</t>
  </si>
  <si>
    <t>011 20341400 (central)</t>
  </si>
  <si>
    <t>No entrar como pyme fría: buscar contratistas de montaje/mantenimiento.</t>
  </si>
  <si>
    <t>tel:+541120341400</t>
  </si>
  <si>
    <t>https://www.google.com/maps/search/?api=1&amp;query=-31.455000,-64.130000</t>
  </si>
  <si>
    <t>Iveco / CEDAC</t>
  </si>
  <si>
    <t>Fusionado con base Hermes para completar teléfonos/fuentes/servicios. | ID fuente: FSI-001</t>
  </si>
  <si>
    <t>Renault Planta Santa Isabel</t>
  </si>
  <si>
    <t>Automotriz</t>
  </si>
  <si>
    <t>0351 4268268</t>
  </si>
  <si>
    <t>Prospecto largo; entrar por proveedores, no por compra directa.</t>
  </si>
  <si>
    <t>tel:+543514268268</t>
  </si>
  <si>
    <t>https://www.google.com/maps/search/?api=1&amp;query=-31.455000,-64.160000</t>
  </si>
  <si>
    <t>renaultgroup.com Córdoba Plant</t>
  </si>
  <si>
    <t>Fusionado con base Hermes para completar teléfonos/fuentes/servicios. | ID fuente: FSI-002</t>
  </si>
  <si>
    <t>Malagueño</t>
  </si>
  <si>
    <t>Corblock</t>
  </si>
  <si>
    <t>Premoldeados y pretensados de hormigón</t>
  </si>
  <si>
    <t>0351 3568259</t>
  </si>
  <si>
    <t>Planta en Malagueño, premoldeados/pretensados; oportunidad para cargas regionales y reparto pesado.</t>
  </si>
  <si>
    <t>tel:+543513568259</t>
  </si>
  <si>
    <t>https://www.google.com/maps/search/?api=1&amp;query=Corblock+Malague%C3%B1o+C%C3%B3rdoba+Argentina</t>
  </si>
  <si>
    <t>Web propia Corblock</t>
  </si>
  <si>
    <t>https://www.corblock.com/productos/cordones-premoldeados</t>
  </si>
  <si>
    <t>Sitio informa Av. Italia s/n Malagueño, WhatsApp/teléfono y productos premoldeados.</t>
  </si>
  <si>
    <t>Malagueño / planta industrial</t>
  </si>
  <si>
    <t>Indusplast Piscinas — Planta Malagueño</t>
  </si>
  <si>
    <t>Fabricante industrial de piscinas de fibra de vidrio / red de franquicias</t>
  </si>
  <si>
    <t>0800 77 74724 / +54 9 3541 652624</t>
  </si>
  <si>
    <t>tel:+548007774724</t>
  </si>
  <si>
    <t>https://www.google.com/maps/search/?api=1&amp;query=Indusplast+Piscinas+%E2%80%94+Planta+Malague%C3%B1o+Malague%C3%B1o+C%C3%B3rdoba+Argentina</t>
  </si>
  <si>
    <t>Web oficial Indusplast</t>
  </si>
  <si>
    <t>https://indusplast.com/section/induspedia/que-es-indusplast-del-garage-en-villa-carlos-paz-a-la-mayor-fabrica-de-piscinas-de-fibra-de-vidrio-de-argentina</t>
  </si>
  <si>
    <t>Planta en Malagueño con producción a gran escala de piscinas de fibra y red nacional de franquicias.</t>
  </si>
  <si>
    <t>Grupo Calidra / Cal Malagueño</t>
  </si>
  <si>
    <t>Cal / minería / áridos</t>
  </si>
  <si>
    <t>Prospecto grande; entrar por mantenimiento/proveedores.</t>
  </si>
  <si>
    <t>https://www.google.com/maps/search/?api=1&amp;query=-31.467000,-64.358000</t>
  </si>
  <si>
    <t>calidra.com.ar / investigación web</t>
  </si>
  <si>
    <t>Corralón Bergese Hnos.</t>
  </si>
  <si>
    <t>Corralón / materiales</t>
  </si>
  <si>
    <t>0351 6870914 / 0351 2013895</t>
  </si>
  <si>
    <t>Ofrecer refuerzo logístico para envíos fuera de zona.</t>
  </si>
  <si>
    <t>tel:+543516870914</t>
  </si>
  <si>
    <t>tel:+543516870914 | tel:+543512013895</t>
  </si>
  <si>
    <t>https://www.google.com/maps/search/?api=1&amp;query=-31.441753,-64.439418</t>
  </si>
  <si>
    <t>ObraMaestra / corralonbergesehnos.com</t>
  </si>
  <si>
    <t>Oncativo / RN9</t>
  </si>
  <si>
    <t>Oncativo / RN9 - polo industrial</t>
  </si>
  <si>
    <t>Oncativo</t>
  </si>
  <si>
    <t>CLAAS Argentina S.A.U. - Oncativo</t>
  </si>
  <si>
    <t>03572 455981</t>
  </si>
  <si>
    <t>Sucursal/planta sobre AU9 km 628; movimiento de maquinaria agrícola de gran porte.</t>
  </si>
  <si>
    <t>tel:+543572455981</t>
  </si>
  <si>
    <t>https://www.google.com/maps/search/?api=1&amp;query=CLAAS+Argentina+S.A.U.+-+Oncativo+Oncativo+C%C3%B3rdoba+Argentina</t>
  </si>
  <si>
    <t>https://www.google.com/maps/search/?api=1&amp;query=CLAAS+Argentina+Oncativo+C%C3%B3rdoba+Argentina</t>
  </si>
  <si>
    <t>Dynamis S.R.L.</t>
  </si>
  <si>
    <t>Ingeniería, maquinaria agrícola e higiene urbana</t>
  </si>
  <si>
    <t>Diseña y gestiona fabricación de máquinas agrícolas y de higiene urbana; cuenta con planta de corte por plasma en Oncativo.</t>
  </si>
  <si>
    <t>https://www.google.com/maps/search/?api=1&amp;query=Dynamis+S.R.L.+Oncativo+C%C3%B3rdoba+Argentina</t>
  </si>
  <si>
    <t>Web propia Dynamis</t>
  </si>
  <si>
    <t>https://www.dynamis.com.ar/</t>
  </si>
  <si>
    <t>Establecimientos Metalúrgicos Oncativo S.A.</t>
  </si>
  <si>
    <t>Agropartes y maquinaria vial</t>
  </si>
  <si>
    <t>03572 466145 / +54 3572 466145 / +54 9 3572 532031</t>
  </si>
  <si>
    <t>Planta agroindustrial de 12.000 m²; fabrica repuestos agrícolas y productos para maquinaria vial.</t>
  </si>
  <si>
    <t>tel:+543572466145</t>
  </si>
  <si>
    <t>tel:+543572466145 | tel:+5493572532031</t>
  </si>
  <si>
    <t>https://www.google.com/maps/search/?api=1&amp;query=Establecimientos+Metal%C3%BArgicos+Oncativo+S.A.+Oncativo+C%C3%B3rdoba+Argentina</t>
  </si>
  <si>
    <t>Web propia Oncativo S.A. | Web propia + AFAMAC</t>
  </si>
  <si>
    <t>https://www.oncativosa.com.ar/about</t>
  </si>
  <si>
    <t>Planta agroindustrial de 12.000 m²; fabrica repuestos agrícolas y productos para maquinaria vial. | Web y AFAMAC: Mitre 749, Oncativo; +54 3572 466145; WhatsApp +54 9 3572 532031; agropartes y discos para maquinaria agrícola.</t>
  </si>
  <si>
    <t>Metalúrgica Cerquatti</t>
  </si>
  <si>
    <t>Cajas volcadoras, roll-off, contenedores y obradores</t>
  </si>
  <si>
    <t>03572 456573 / 03572 504462</t>
  </si>
  <si>
    <t>Fabricante en Polo Industrial Oncativo; produce cajas volcadoras, contenedores, volquetes y obradores.</t>
  </si>
  <si>
    <t>tel:+543572456573</t>
  </si>
  <si>
    <t>tel:+543572456573 | tel:+543572504462</t>
  </si>
  <si>
    <t>https://www.google.com/maps/search/?api=1&amp;query=Metal%C3%BArgica+Cerquatti+Oncativo+C%C3%B3rdoba+Argentina</t>
  </si>
  <si>
    <t>Web propia Cerquatti</t>
  </si>
  <si>
    <t>https://www.cerquatti.com/nosotros.html</t>
  </si>
  <si>
    <t>Oncativo / RN9 - polo agro</t>
  </si>
  <si>
    <t>Scaramuzza Maquinarias</t>
  </si>
  <si>
    <t>Concesionaria multimarca / tractores, sembradoras, pulverizadoras y equipos viales</t>
  </si>
  <si>
    <t>03572 583983</t>
  </si>
  <si>
    <t>tel:+543572583983</t>
  </si>
  <si>
    <t>https://www.google.com/maps/search/?api=1&amp;query=Scaramuzza+Maquinarias+Oncativo+C%C3%B3rdoba+Argentina</t>
  </si>
  <si>
    <t>Agroads</t>
  </si>
  <si>
    <t>https://www.agroads.com.ar/e/scaramuzza-maquinarias/</t>
  </si>
  <si>
    <t>Concesionaria de Oncativo con amplio stock de tractores, sembradoras, pulverizadoras, tolvas, carretones y usados.</t>
  </si>
  <si>
    <t>Scorza</t>
  </si>
  <si>
    <t>Equipos de higiene urbana y equipos especiales</t>
  </si>
  <si>
    <t>03572 466092 / 03572 665388</t>
  </si>
  <si>
    <t>Planta de producción de equipos de higiene urbana y especiales sobre RN9; fabricación y despacho nacional.</t>
  </si>
  <si>
    <t>tel:+543572466092</t>
  </si>
  <si>
    <t>tel:+543572466092 | tel:+543572665388</t>
  </si>
  <si>
    <t>https://www.google.com/maps/search/?api=1&amp;query=Scorza+Oncativo+C%C3%B3rdoba+Argentina</t>
  </si>
  <si>
    <t>Web propia Scorza</t>
  </si>
  <si>
    <t>https://scorza.com.ar/contacto/</t>
  </si>
  <si>
    <t>Ulla Maquinarias — Oncativo</t>
  </si>
  <si>
    <t>Concesionario oficial Case IH / tractores, cosechadoras, pulverizadoras y postventa</t>
  </si>
  <si>
    <t>03572 460280 / 03572 437309</t>
  </si>
  <si>
    <t>tel:+543572460280</t>
  </si>
  <si>
    <t>https://www.google.com/maps/search/?api=1&amp;query=Ulla+Maquinarias+%E2%80%94+Oncativo+Oncativo+C%C3%B3rdoba+Argentina</t>
  </si>
  <si>
    <t>Ulla Maquinarias / registros actuales</t>
  </si>
  <si>
    <t>https://www.ulla.com.ar/ulla-maquinarias/blog/2022/11/tractores-linea-puma-marcando-la-diferencia/</t>
  </si>
  <si>
    <t>Ulla declara sucursales en Oncativo, Villa María y Río Cuarto; empresa activa en 2026 y dedicada a venta mayorista de maquinaria agro.</t>
  </si>
  <si>
    <t>Gallagro — Oncativo</t>
  </si>
  <si>
    <t>Distribuidor de maquinaria agrícola 0 km/usada / repuestos / servicio técnico</t>
  </si>
  <si>
    <t>03572 516403 / +54 9 3584 11-3348</t>
  </si>
  <si>
    <t>tel:+543572516403</t>
  </si>
  <si>
    <t>https://www.google.com/maps/search/?api=1&amp;query=Gallagro+%E2%80%94+Oncativo+Oncativo+C%C3%B3rdoba+Argentina</t>
  </si>
  <si>
    <t>Web oficial Gallagro</t>
  </si>
  <si>
    <t>https://gallagro.com.ar/</t>
  </si>
  <si>
    <t>Sucursal Oncativo; comercializa maquinaria 0 km y usada, con repuestos y servicio técnico especializado.</t>
  </si>
  <si>
    <t>Oncativo / RN9 - polo comercial</t>
  </si>
  <si>
    <t>Zuppa Hermanos — Oncativo</t>
  </si>
  <si>
    <t>Venta e instalación de piscinas Moldear / materiales de construcción</t>
  </si>
  <si>
    <t>03572 455799 / +54 9 351 5646558</t>
  </si>
  <si>
    <t>tel:+543572455799</t>
  </si>
  <si>
    <t>https://www.google.com/maps/search/?api=1&amp;query=Zuppa+Hermanos+%E2%80%94+Oncativo+Oncativo+C%C3%B3rdoba+Argentina</t>
  </si>
  <si>
    <t>Zuppa Hermanos / Moldear</t>
  </si>
  <si>
    <t>https://www.zuppahermanos.com.ar/piscinas.html</t>
  </si>
  <si>
    <t>Sucursal Oncativo; comercializa piscinas Moldear y ofrece soluciones vinculadas a instalación y obra.</t>
  </si>
  <si>
    <t>Econovo Agrovial / Farmtrac</t>
  </si>
  <si>
    <t>Tractores Farmtrac y maquinaria agrícola / agrovial</t>
  </si>
  <si>
    <t>+54 3572 462665</t>
  </si>
  <si>
    <t>tel:+543572462665</t>
  </si>
  <si>
    <t>https://www.google.com/maps/search/?api=1&amp;query=Econovo+Agrovial+%2F+Farmtrac+Oncativo+C%C3%B3rdoba+Argentina</t>
  </si>
  <si>
    <t>Web oficial Econovo / Farmtrac</t>
  </si>
  <si>
    <t>https://econovoagrovial.com.ar/categoria-producto/maquinaria-agricola/</t>
  </si>
  <si>
    <t>Operación en RN9 km 628,5 Oncativo; comercializa tractores Farmtrac y maquinaria agrícola/agrovial.</t>
  </si>
  <si>
    <t>Quevedo Canavese</t>
  </si>
  <si>
    <t>Venta de tractores, sembradoras, pulverizadoras, tolvas y maquinaria</t>
  </si>
  <si>
    <t>+54 9 3572 532536 / +54 9 3572 548804</t>
  </si>
  <si>
    <t>tel:+5493572532536</t>
  </si>
  <si>
    <t>https://www.google.com/maps/search/?api=1&amp;query=Quevedo+Canavese+Oncativo+C%C3%B3rdoba+Argentina</t>
  </si>
  <si>
    <t>Web oficial Quevedo Canavese</t>
  </si>
  <si>
    <t>https://quevedocanavese.com.ar/contactos/</t>
  </si>
  <si>
    <t>Polo Industrial de Oncativo; comercializa maquinaria nueva/usada, tractores e implementos.</t>
  </si>
  <si>
    <t>Ramón A. Ramb Maquinaria</t>
  </si>
  <si>
    <t>Comercio/concesionaria multimarca de maquinaria agrícola nueva y usada</t>
  </si>
  <si>
    <t>03572 466841</t>
  </si>
  <si>
    <t>tel:+543572466841</t>
  </si>
  <si>
    <t>https://www.google.com/maps/search/?api=1&amp;query=Ram%C3%B3n+A.+Ramb+Maquinaria+Oncativo+C%C3%B3rdoba+Argentina</t>
  </si>
  <si>
    <t>Agroads / Conese</t>
  </si>
  <si>
    <t>https://www.agroads.com.ar/e/ramon-a-ramb-maquinaria/</t>
  </si>
  <si>
    <t>Stock activo de tractores, cosechadoras, sembradoras, cabezales, tolvas y otros equipos en Oncativo.</t>
  </si>
  <si>
    <t>Agropartes S.A.</t>
  </si>
  <si>
    <t>Repuestos y agropartes para maquinaria agrícola</t>
  </si>
  <si>
    <t>03572 456204 / 03572 466314</t>
  </si>
  <si>
    <t>Directorio local lista fábrica de repuestos/agropartes en Berutti, Oncativo.</t>
  </si>
  <si>
    <t>tel:+543572456204</t>
  </si>
  <si>
    <t>tel:+543572456204 | tel:+543572466314</t>
  </si>
  <si>
    <t>https://www.google.com/maps/search/?api=1&amp;query=Agropartes+S.A.+Oncativo+C%C3%B3rdoba+Argentina</t>
  </si>
  <si>
    <t>TeleXplorer directorio local</t>
  </si>
  <si>
    <t>https://www.telexplorer.com.ar/Maquinaria-agricola-repuestos-y-accesorios-EN-Oncativo</t>
  </si>
  <si>
    <t>Fertimaq</t>
  </si>
  <si>
    <t>Maquinaria y tecnología agrícola</t>
  </si>
  <si>
    <t>03572 458660</t>
  </si>
  <si>
    <t>Proveedor de maquinaria e implementos agrícolas en RN9 km 631; servicio técnico y repuestos.</t>
  </si>
  <si>
    <t>tel:+543572458660</t>
  </si>
  <si>
    <t>https://www.google.com/maps/search/?api=1&amp;query=Fertimaq+Oncativo+C%C3%B3rdoba+Argentina</t>
  </si>
  <si>
    <t>Web propia Fertimaq</t>
  </si>
  <si>
    <t>https://www.fertimaq.com.ar/</t>
  </si>
  <si>
    <t>San Isidro Maquinarias</t>
  </si>
  <si>
    <t>03572 561450</t>
  </si>
  <si>
    <t>Comercialización de maquinaria en acceso a autopista; potencial traslado de unidades a clientes.</t>
  </si>
  <si>
    <t>tel:+543572561450</t>
  </si>
  <si>
    <t>https://www.google.com/maps/search/?api=1&amp;query=San+Isidro+Maquinarias+Oncativo+C%C3%B3rdoba+Argentina</t>
  </si>
  <si>
    <t>ID fuente: ONC-008</t>
  </si>
  <si>
    <t>SICA S.A. - Fabricación y Venta</t>
  </si>
  <si>
    <t>03572 460958</t>
  </si>
  <si>
    <t>Fábrica sobre RN9 en Oncativo; validar línea de productos y despachos.</t>
  </si>
  <si>
    <t>tel:+543572460958</t>
  </si>
  <si>
    <t>https://www.google.com/maps/search/?api=1&amp;query=SICA+S.A.+-+Fabricaci%C3%B3n+y+Venta+Oncativo+C%C3%B3rdoba+Argentina</t>
  </si>
  <si>
    <t>https://www.google.com/maps/search/?api=1&amp;query=Sica+SA+Fabricacion+y+Venta+Oncativo+C%C3%B3rdoba+Argentina</t>
  </si>
  <si>
    <t>ID fuente: ONC-009</t>
  </si>
  <si>
    <t>Vial Truck S.A.</t>
  </si>
  <si>
    <t>Equipos viales / camiones</t>
  </si>
  <si>
    <t>03572 455688</t>
  </si>
  <si>
    <t>Empresa local vinculada a equipos viales/camiones; teléfono público.</t>
  </si>
  <si>
    <t>tel:+543572455688</t>
  </si>
  <si>
    <t>https://www.google.com/maps/search/?api=1&amp;query=Vial+Truck+S.A.+Oncativo+C%C3%B3rdoba+Argentina</t>
  </si>
  <si>
    <t>https://www.google.com/maps/search/?api=1&amp;query=Vial+Truck+SA+Oncativo+C%C3%B3rdoba+Argentina</t>
  </si>
  <si>
    <t>Metalúrgica Rosas</t>
  </si>
  <si>
    <t>Fabricación metalúrgica</t>
  </si>
  <si>
    <t>+54 9 3572 549003 / 03572 15617489</t>
  </si>
  <si>
    <t>Fábrica metalúrgica local con teléfono público.</t>
  </si>
  <si>
    <t>tel:+5493572549003</t>
  </si>
  <si>
    <t>tel:+5493572549003 | tel:+5493572617489</t>
  </si>
  <si>
    <t>https://www.google.com/maps/search/?api=1&amp;query=Metal%C3%BArgica+Rosas+Oncativo+C%C3%B3rdoba+Argentina</t>
  </si>
  <si>
    <t>Google Maps / ficha pública | Facebook público / resultado de búsqueda</t>
  </si>
  <si>
    <t>https://www.google.com/maps/search/?api=1&amp;query=Metal%C3%BArgica+Rosas+Oncativo+C%C3%B3rdoba+Argentina | https://www.facebook.com/metalurgicarosasoncativook?locale=es_LA</t>
  </si>
  <si>
    <t>Fábrica metalúrgica local con teléfono público. | Resultado público: fabrica de repuestos para cosechadoras multimarca; teléfono (03572)15617489; Oncativo.</t>
  </si>
  <si>
    <t>Percha para pallets: útil para insumos, bolsones, repuestos y materiales palletizados.</t>
  </si>
  <si>
    <t>Fusionado con base Hermes para completar teléfonos/fuentes/servicios. | ID fuente: ONC-013</t>
  </si>
  <si>
    <t>Bartolomé Cerutti SRL</t>
  </si>
  <si>
    <t>03572 460754</t>
  </si>
  <si>
    <t>Directorio local lista empresa de maquinaria agrícola en San Martín 1510.</t>
  </si>
  <si>
    <t>tel:+543572460754</t>
  </si>
  <si>
    <t>https://www.google.com/maps/search/?api=1&amp;query=Bartolom%C3%A9+Cerutti+SRL+Oncativo+C%C3%B3rdoba+Argentina</t>
  </si>
  <si>
    <t>ID fuente: ONC-011</t>
  </si>
  <si>
    <t>E Postacchini S.A.S.</t>
  </si>
  <si>
    <t>Servicio / maquinaria agrícola</t>
  </si>
  <si>
    <t>Listado sectorial ubica E Postacchini en Autopista Córdoba-Rosario km 628,3, Oncativo; correos comerciales publicados.</t>
  </si>
  <si>
    <t>https://www.google.com/maps/search/?api=1&amp;query=E+Postacchini+S.A.S.+Oncativo+C%C3%B3rdoba+Argentina</t>
  </si>
  <si>
    <t>ID fuente: ONC-012</t>
  </si>
  <si>
    <t>Serra Obras y Redes</t>
  </si>
  <si>
    <t>Obras y redes / construcción</t>
  </si>
  <si>
    <t>03572 436146</t>
  </si>
  <si>
    <t>Empresa constructora local; potencial movimiento de equipos, cañerías, obradores y materiales.</t>
  </si>
  <si>
    <t>tel:+543572436146</t>
  </si>
  <si>
    <t>https://www.google.com/maps/search/?api=1&amp;query=Serra+Obras+y+Redes+Oncativo+C%C3%B3rdoba+Argentina</t>
  </si>
  <si>
    <t>Tantucci Construcciones</t>
  </si>
  <si>
    <t>Construcción</t>
  </si>
  <si>
    <t>03572 402571</t>
  </si>
  <si>
    <t>Constructora local con teléfono público.</t>
  </si>
  <si>
    <t>tel:+543572402571</t>
  </si>
  <si>
    <t>https://www.google.com/maps/search/?api=1&amp;query=Tantucci+Construcciones+Oncativo+C%C3%B3rdoba+Argentina</t>
  </si>
  <si>
    <t>Agro Repuestos Oncativo</t>
  </si>
  <si>
    <t>Repuestos y accesorios de maquinaria agrícola</t>
  </si>
  <si>
    <t>03572 466328</t>
  </si>
  <si>
    <t>Directorio local lista repuestos agrícolas en 25 de Mayo 973.</t>
  </si>
  <si>
    <t>tel:+543572466328</t>
  </si>
  <si>
    <t>https://www.google.com/maps/search/?api=1&amp;query=Agro+Repuestos+Oncativo+Oncativo+C%C3%B3rdoba+Argentina</t>
  </si>
  <si>
    <t>Murature Oncativo S.A.</t>
  </si>
  <si>
    <t>Fertilizantes / agroinsumos</t>
  </si>
  <si>
    <t>Proveedor de fertilizantes en Oncativo; fit secundario para equipos de planta y movimientos especiales.</t>
  </si>
  <si>
    <t>https://www.google.com/maps/search/?api=1&amp;query=Murature+Oncativo+S.A.+Oncativo+C%C3%B3rdoba+Argentina</t>
  </si>
  <si>
    <t>https://www.google.com/maps/search/?api=1&amp;query=Murature+Oncativo+SA+Oncativo+C%C3%B3rdoba+Argentina</t>
  </si>
  <si>
    <t>Oncativo / RN9-RP10</t>
  </si>
  <si>
    <t>Oncativo / RN9 km 627</t>
  </si>
  <si>
    <t>Cooperativa Agrícola Ganadera y de Consumo de Oncativo Ltda.</t>
  </si>
  <si>
    <t>Cooperativa agrícola ganadera / acopio / consumo</t>
  </si>
  <si>
    <t>03572 456777 / 03572 15583757</t>
  </si>
  <si>
    <t>acopio / insumos / mantenimiento</t>
  </si>
  <si>
    <t>Traslado de insumos, pallets, fertilizantes, repuestos pesados, silos/equipos y apoyo de mantenimiento en planta.</t>
  </si>
  <si>
    <t>Plataforma + percha pallets + hidrogrúa/barquilla para insumos, repuestos, silos/equipos y mantenimiento.</t>
  </si>
  <si>
    <t>Cooperativa agroganadera sobre RN9; oportunidad en acopio, insumos, pallets y mantenimiento de planta.</t>
  </si>
  <si>
    <t>Pedir por acopio/insumos y ofrecer percha pallets, hidrogrúa y barquilla para mantenimiento en altura.</t>
  </si>
  <si>
    <t>tel:+543572456777</t>
  </si>
  <si>
    <t>tel:+543572456777 | tel:+5493572583757</t>
  </si>
  <si>
    <t>Validar responsables de acopio e insumos y picos de campaña.</t>
  </si>
  <si>
    <t>https://www.google.com/maps/search/?api=1&amp;query=Cooperativa+Agr%C3%ADcola+Ganadera+y+de+Consumo+de+Oncativo+Ltda.+Oncativo+C%C3%B3rdoba+Argentina</t>
  </si>
  <si>
    <t>ESSApp</t>
  </si>
  <si>
    <t>https://www.essapp.coop/cooperativa-agricola-ganadera-y-de-consumo-de-oncativo-ltda/sede-cooperativa-agricola-ganadera-y-de</t>
  </si>
  <si>
    <t>Ficha ESSApp: RN9 Km 627, Oncativo; 03572-456777 / 03572 15583757.</t>
  </si>
  <si>
    <t>percha para pallets de insumos | hidrogrúa para equipos/mantenimiento | barquilla para trabajos en altura</t>
  </si>
  <si>
    <t>Si se ofrece barquilla, validar condiciones de seguridad, seguro y habilitación de maniobra.</t>
  </si>
  <si>
    <t>Alta única desde base Hermes; no estaba en el Excel GPT adjunto. | ID fuente: PRESOL-130</t>
  </si>
  <si>
    <t>El Triunfo Oncativo</t>
  </si>
  <si>
    <t>Acopio / granos / fitosanitarios / fertilizantes / semillas</t>
  </si>
  <si>
    <t>03572 466288 / +54 9 3572 408824</t>
  </si>
  <si>
    <t>acopio / logística / insumos</t>
  </si>
  <si>
    <t>Acopio con insumos/fertilizantes/semillas; oportunidad para pallets, bolsones, repuestos y equipos.</t>
  </si>
  <si>
    <t>Llamar a acopio/logística y preguntar por terceros para movimientos de insumos y equipos.</t>
  </si>
  <si>
    <t>tel:+543572466288</t>
  </si>
  <si>
    <t>tel:+543572466288 | tel:+5493572408824</t>
  </si>
  <si>
    <t>Validar nombre de responsable operativo.</t>
  </si>
  <si>
    <t>https://www.google.com/maps/search/?api=1&amp;query=El+Triunfo+Oncativo+Oncativo+C%C3%B3rdoba+Argentina</t>
  </si>
  <si>
    <t>Web propia El Triunfo</t>
  </si>
  <si>
    <t>https://www.eltriunfo.com.ar/acopio</t>
  </si>
  <si>
    <t>Sitio informa acopio, venta de fitosanitarios/fertilizantes/semillas y teléfono 03572-466288; equipo cereales publica celulares.</t>
  </si>
  <si>
    <t>Si se ofrece barquilla, validar condiciones de seguridad, seguro y habilitación de maniobra. Percha para pallets: útil para insumos, bolsones, repuestos y materiales palletizados.</t>
  </si>
  <si>
    <t>Alta única desde base Hermes; no estaba en el Excel GPT adjunto. | ID fuente: PRESOL-131</t>
  </si>
  <si>
    <t>Oncativo / piletas</t>
  </si>
  <si>
    <t>IPC Oncativo / Piscinas IPC</t>
  </si>
  <si>
    <t>Piletas de fibra / piscinas PRFV</t>
  </si>
  <si>
    <t>3572 53-2233</t>
  </si>
  <si>
    <t>ventas / logística</t>
  </si>
  <si>
    <t>Sucursal/venta de piletas de fibra; posibilidad de traslado y descarga de cascos en temporada.</t>
  </si>
  <si>
    <t>Verificar teléfono y consultar si tercerizan entregas de piletas a clientes finales.</t>
  </si>
  <si>
    <t>tel:+543572532233</t>
  </si>
  <si>
    <t>Confirmar si es fabricante, sucursal o punto de venta.</t>
  </si>
  <si>
    <t>https://www.google.com/maps/search/?api=1&amp;query=IPC+Oncativo+%2F+Piscinas+IPC+Oncativo+C%C3%B3rdoba+Argentina</t>
  </si>
  <si>
    <t>https://www.facebook.com/siempre.util/posts/lleg%C3%B3-el-momento-de-tener-la-pileta-que-siempre-so%C3%B1aste-%EF%B8%8Fen-ipc-oncativo-te-lo-h/1716180416596562</t>
  </si>
  <si>
    <t>Resultado público: IPC Oncativo, piletas de fibra; teléfono 3572 53-2233.</t>
  </si>
  <si>
    <t>Alta única desde base Hermes; no estaba en el Excel GPT adjunto. | ID fuente: PRESOL-133</t>
  </si>
  <si>
    <t>Premoldeados Oncativo</t>
  </si>
  <si>
    <t>Premoldeados de hormigón / construcción</t>
  </si>
  <si>
    <t>03572 466096</t>
  </si>
  <si>
    <t>Movimiento de áridos, premoldeados, equipos de planta/cantera, moldes, bolsones y materiales de obra.</t>
  </si>
  <si>
    <t>Transporte de áridos/materiales, premoldeados y equipos; hidrogrúa para carga/descarga y percha para pallets.</t>
  </si>
  <si>
    <t>Premoldeados de hormigón; encaje directo con plataforma, hidrogrúa, pallets y materiales de obra.</t>
  </si>
  <si>
    <t>Verificar teléfono y preguntar por despachos de placas/piezas y necesidad de descarga en obra.</t>
  </si>
  <si>
    <t>tel:+543572466096</t>
  </si>
  <si>
    <t>Confirmar vigencia y domicilio Juan B. Justo 101.</t>
  </si>
  <si>
    <t>https://www.google.com/maps/search/?api=1&amp;query=Premoldeados+Oncativo+Oncativo+C%C3%B3rdoba+Argentina</t>
  </si>
  <si>
    <t>Portal Industrial / resultado de búsqueda</t>
  </si>
  <si>
    <t>https://www.portal-industrial.com.ar/rubro/premoldeados-de-hormigon/P-061550/12</t>
  </si>
  <si>
    <t>Resultado público: PREMOLDEADOS ONCATIVO, Juan B. Justo 101, Oncativo; tel. (03572) 46-6096.</t>
  </si>
  <si>
    <t>Para áridos, validar modalidad de carga/descarga y tipo de unidad requerida antes de cotizar.</t>
  </si>
  <si>
    <t>Alta única desde base Hermes; no estaba en el Excel GPT adjunto. | ID fuente: PRESOL-132</t>
  </si>
  <si>
    <t>Oncativo / servicios públicos</t>
  </si>
  <si>
    <t>CESOPOL Oncativo</t>
  </si>
  <si>
    <t>Cooperativa eléctrica / servicios públicos / redes / agua</t>
  </si>
  <si>
    <t>03572 455000 / +54 9 3572 593391</t>
  </si>
  <si>
    <t>mantenimiento / redes / compras</t>
  </si>
  <si>
    <t>Servicios públicos/redes: buen caso para barquilla de hidrogrúa, postes, bombas y mantenimiento.</t>
  </si>
  <si>
    <t>Pedir por mantenimiento/redes y ofrecer barquilla/hidrogrúa según necesidad puntual.</t>
  </si>
  <si>
    <t>tel:+543572455000</t>
  </si>
  <si>
    <t>tel:+543572455000 | tel:+5493572593391</t>
  </si>
  <si>
    <t>Validar contratación de terceros y requisitos de seguridad/seguro.</t>
  </si>
  <si>
    <t>https://www.google.com/maps/search/?api=1&amp;query=CESOPOL+Oncativo+Oncativo+C%C3%B3rdoba+Argentina</t>
  </si>
  <si>
    <t>Web propia CESOPOL</t>
  </si>
  <si>
    <t>https://www.oncativo.net.ar</t>
  </si>
  <si>
    <t>Sitio propio: Berutti 152, Oncativo; atención 03572-455000; servicios electricidad, agua, internet, parque solar.</t>
  </si>
  <si>
    <t>percha para pallets de insumos | hidrogrúa para equipos/mantenimiento | barquilla para trabajos en altura | barquilla de hidrogrúa para mantenimiento en altura | hidrogrúa para postes/equipos</t>
  </si>
  <si>
    <t>Alta única desde base Hermes; no estaba en el Excel GPT adjunto. | ID fuente: PRESOL-134</t>
  </si>
  <si>
    <t>Río Cuarto / RN36 sur</t>
  </si>
  <si>
    <t>Alcira Gigena</t>
  </si>
  <si>
    <t>Cotagro — Alcira Gigena</t>
  </si>
  <si>
    <t>Cooperativa agroindustrial / maní / acopio</t>
  </si>
  <si>
    <t>358 4393127 / 358 4125695 / 0358 4933333</t>
  </si>
  <si>
    <t>Cotagro concentra 4 puntos del corredor; pedir compras/logística.</t>
  </si>
  <si>
    <t>tel:+543584393127</t>
  </si>
  <si>
    <t>tel:+543584393127 | tel:+543584125695 | tel:+543584933333</t>
  </si>
  <si>
    <t>https://www.google.com/maps/search/?api=1&amp;query=-32.755782,-64.339199</t>
  </si>
  <si>
    <t>Facebook Cotagro / cotagroweb.com.ar</t>
  </si>
  <si>
    <t>transporte de áridos/materiales | hidrogrúa para carga/descarga | percha para pallets/bolsones | plataforma 20 tn para maquinaria/piezas | hidrogrúa para maniobras | percha para pallets | percha para pallets de insumos | hidrogrúa para equipos/mantenimiento | barquilla para trabajos en altura</t>
  </si>
  <si>
    <t>Fusionado con base Hermes para completar teléfonos/fuentes/servicios. | ID fuente: ALG-001</t>
  </si>
  <si>
    <t>Tecno Mac S.R.L.</t>
  </si>
  <si>
    <t>Concesionario / maquinaria agrícola, tractores e implementos</t>
  </si>
  <si>
    <t>+54 9 358 4960187</t>
  </si>
  <si>
    <t>tel:+5493584960187</t>
  </si>
  <si>
    <t>https://www.google.com/maps/search/?api=1&amp;query=Tecno+Mac+S.R.L.+Alcira+Gigena+C%C3%B3rdoba+Argentina</t>
  </si>
  <si>
    <t>Web oficial Tecno Mac</t>
  </si>
  <si>
    <t>https://tecnomacsrl.com/</t>
  </si>
  <si>
    <t>Concesionario en Alcira Gigena con líneas de tractores, sembradoras, pulverizadoras e implementos.</t>
  </si>
  <si>
    <t>M y G Maquinarias S.R.L.</t>
  </si>
  <si>
    <t>Venta de maquinaria agrícola e implementos</t>
  </si>
  <si>
    <t>+54 9 3584 255555</t>
  </si>
  <si>
    <t>tel:+5493584255555</t>
  </si>
  <si>
    <t>https://www.google.com/maps/search/?api=1&amp;query=M+y+G+Maquinarias+S.R.L.+Alcira+Gigena+C%C3%B3rdoba+Argentina</t>
  </si>
  <si>
    <t>Red de concesionarios / ficha comercial</t>
  </si>
  <si>
    <t>https://www.google.com/maps/search/?api=1&amp;query=M+y+G+Maquinarias+Alcira+Gigena+C%C3%B3rdoba+Argentina</t>
  </si>
  <si>
    <t>Punto de maquinaria agrícola en rotonda E90/RN36; perfil de venta de equipos e implementos.</t>
  </si>
  <si>
    <t>Cooperativa Alba de Gigena</t>
  </si>
  <si>
    <t>Cooperativa agropecuaria</t>
  </si>
  <si>
    <t>0358 4960151</t>
  </si>
  <si>
    <t>Visita de diagnóstico; posible derivación a productores.</t>
  </si>
  <si>
    <t>tel:+543584960151</t>
  </si>
  <si>
    <t>https://www.google.com/maps/search/?api=1&amp;query=-32.757500,-64.335000</t>
  </si>
  <si>
    <t>DNB / fuentes públicas</t>
  </si>
  <si>
    <t>Fusionado con base Hermes para completar teléfonos/fuentes/servicios. | ID fuente: ALG-002</t>
  </si>
  <si>
    <t>Daniotti Maquinarias</t>
  </si>
  <si>
    <t>Venta mayorista de maquinaria agrícola / implementos</t>
  </si>
  <si>
    <t>0358 4960939</t>
  </si>
  <si>
    <t>tel:+543584960939</t>
  </si>
  <si>
    <t>https://www.google.com/maps/search/?api=1&amp;query=Daniotti+Maquinarias+Alcira+Gigena+C%C3%B3rdoba+Argentina</t>
  </si>
  <si>
    <t>Comercio de maquinaria agrícola en Alcira Gigena; validar contacto actual.</t>
  </si>
  <si>
    <t>3C Biogás S.A.</t>
  </si>
  <si>
    <t>Energía / biogás</t>
  </si>
  <si>
    <t>Prospecto técnico; validar contacto local en terreno.</t>
  </si>
  <si>
    <t>https://www.google.com/maps/search/?api=1&amp;query=-32.757000,-64.332000</t>
  </si>
  <si>
    <t>UNRC / investigación web</t>
  </si>
  <si>
    <t>Fusionado con base Hermes para completar teléfonos/fuentes/servicios. | ID fuente: ALG-003</t>
  </si>
  <si>
    <t>Berrotarán</t>
  </si>
  <si>
    <t>Nicola Hnos.</t>
  </si>
  <si>
    <t>Concesionario Pauny / venta de tractores y maquinaria agrícola</t>
  </si>
  <si>
    <t>0358 4940580 / 0358 4942582</t>
  </si>
  <si>
    <t>tel:+543584940580</t>
  </si>
  <si>
    <t>https://www.google.com/maps/search/?api=1&amp;query=Nicola+Hnos.+Berrotar%C3%A1n+C%C3%B3rdoba+Argentina</t>
  </si>
  <si>
    <t>Web oficial Nicola Hnos.</t>
  </si>
  <si>
    <t>https://www.nicolahnos.com.ar/</t>
  </si>
  <si>
    <t>Concesionario de maquinaria y tractores en Berrotarán; también presta logística propia, por lo que PRESOL puede entrar como respaldo de picos.</t>
  </si>
  <si>
    <t>Doble A Servicios Metalúrgicos</t>
  </si>
  <si>
    <t>Zinguería / estructuras metálicas</t>
  </si>
  <si>
    <t>358 4185826</t>
  </si>
  <si>
    <t>Visitar y detectar obras/instalaciones próximas.</t>
  </si>
  <si>
    <t>tel:+543584185826</t>
  </si>
  <si>
    <t>https://www.google.com/maps/search/?api=1&amp;query=-32.452000,-64.388000</t>
  </si>
  <si>
    <t>Facebook Doble A Servicios Metalúrgicos</t>
  </si>
  <si>
    <t>Canteras/corralones locales</t>
  </si>
  <si>
    <t>Áridos / materiales</t>
  </si>
  <si>
    <t>Relevamiento presencial: la web no muestra nombres confiables.</t>
  </si>
  <si>
    <t>https://www.google.com/maps/search/?api=1&amp;query=-32.452000,-64.384000</t>
  </si>
  <si>
    <t>Relevamiento recomendado</t>
  </si>
  <si>
    <t>Chucul</t>
  </si>
  <si>
    <t>Cotagro — Sucursal Chucul</t>
  </si>
  <si>
    <t>Acopio agropecuario</t>
  </si>
  <si>
    <t>0358 4912008 / 0358 4933333</t>
  </si>
  <si>
    <t>Punto de paso; no dedicar medio día.</t>
  </si>
  <si>
    <t>tel:+543584912008</t>
  </si>
  <si>
    <t>tel:+543584912008 | tel:+543584933333</t>
  </si>
  <si>
    <t>https://www.google.com/maps/search/?api=1&amp;query=-33.016000,-64.208000</t>
  </si>
  <si>
    <t>Maptons / Cotagro</t>
  </si>
  <si>
    <t>Elena</t>
  </si>
  <si>
    <t>CAGLE — Cooperativa Agrícola de Elena</t>
  </si>
  <si>
    <t>Acopio / agro / estación de servicios</t>
  </si>
  <si>
    <t>3584 881118</t>
  </si>
  <si>
    <t>Obras recientes + nueva planta futura: transporte de equipos.</t>
  </si>
  <si>
    <t>tel:+543584881118</t>
  </si>
  <si>
    <t>https://www.google.com/maps/search/?api=1&amp;query=-32.569649,-64.392432</t>
  </si>
  <si>
    <t>cagle.com.ar</t>
  </si>
  <si>
    <t>Agro Elena</t>
  </si>
  <si>
    <t>Concesionario / maquinaria e implementos agrícolas</t>
  </si>
  <si>
    <t>03584 012336</t>
  </si>
  <si>
    <t>tel:+543584012336</t>
  </si>
  <si>
    <t>https://www.google.com/maps/search/?api=1&amp;query=Agro+Elena+Elena+C%C3%B3rdoba+Argentina</t>
  </si>
  <si>
    <t>Red de concesionarios Piersanti</t>
  </si>
  <si>
    <t>Punto de venta en RN36 km 520 Elena; vinculado a maquinaria e implementos agrícolas.</t>
  </si>
  <si>
    <t>Gliestore S.A.</t>
  </si>
  <si>
    <t>Soja / alimentos / exportación</t>
  </si>
  <si>
    <t>0358 4641548 / 9358 4024598</t>
  </si>
  <si>
    <t>Empresa exportadora; preguntar por logística de equipos y planta.</t>
  </si>
  <si>
    <t>tel:+543584641548</t>
  </si>
  <si>
    <t>tel:+543584641548 | tel:+5493584024598</t>
  </si>
  <si>
    <t>https://www.google.com/maps/search/?api=1&amp;query=-32.571800,-64.390000</t>
  </si>
  <si>
    <t>Exportadores de Córdoba</t>
  </si>
  <si>
    <t>Ecocaio</t>
  </si>
  <si>
    <t>Relevar teléfono directo de ventas/logística y validar decisor.</t>
  </si>
  <si>
    <t>https://www.google.com/maps/search/?api=1&amp;query=Ecocaio+Elena+C%C3%B3rdoba+Argentina</t>
  </si>
  <si>
    <t>Expositores AgroActiva 2026 / ficha regional</t>
  </si>
  <si>
    <t>Empresa de Elena detectada en listados recientes de expositores de maquinaria/implementos; relevar contacto.</t>
  </si>
  <si>
    <t>Las Acequias / corredor Río Cuarto</t>
  </si>
  <si>
    <t>Las Acequias</t>
  </si>
  <si>
    <t>Todo Campo S.R.L.</t>
  </si>
  <si>
    <t>Concesionaria multimarca / sembradoras, pulverizadoras, tolvas, mixers y equipos agroviales</t>
  </si>
  <si>
    <t>0358 4890191 / 0358 4890057</t>
  </si>
  <si>
    <t>tel:+543584890191</t>
  </si>
  <si>
    <t>https://www.google.com/maps/search/?api=1&amp;query=Todo+Campo+S.R.L.+Las+Acequias+C%C3%B3rdoba+Argentina</t>
  </si>
  <si>
    <t>Web oficial Todo Campo / Conese</t>
  </si>
  <si>
    <t>https://todocamposrl.com/</t>
  </si>
  <si>
    <t>Punto de Las Acequias con línea completa de maquinaria e implementos y catálogo de usados; pertenece al corredor de Río Cuarto.</t>
  </si>
  <si>
    <t>Las Higueras</t>
  </si>
  <si>
    <t>Parque Industrial y Logístico Las Higueras</t>
  </si>
  <si>
    <t>Radicaciones / logística</t>
  </si>
  <si>
    <t>A relevar vía municipio/parque</t>
  </si>
  <si>
    <t>Pedir listado de empresas radicadas y obras en apertura de calles.</t>
  </si>
  <si>
    <t>https://www.google.com/maps/search/?api=1&amp;query=-33.093000,-64.288000</t>
  </si>
  <si>
    <t>argentina.gob.ar / La Voz</t>
  </si>
  <si>
    <t>Río Cuarto</t>
  </si>
  <si>
    <t>AFEMA S.A.</t>
  </si>
  <si>
    <t>Constructora vial</t>
  </si>
  <si>
    <t>0351 7371862</t>
  </si>
  <si>
    <t>Obras viales activas; pedir jefe de obra/logística.</t>
  </si>
  <si>
    <t>tel:+543517371862</t>
  </si>
  <si>
    <t>https://www.google.com/maps/search/?api=1&amp;query=-33.105000,-64.335000</t>
  </si>
  <si>
    <t>Facebook AFEMA</t>
  </si>
  <si>
    <t>Río Cuarto / corredor agro</t>
  </si>
  <si>
    <t>AgroBigo Maquinarias</t>
  </si>
  <si>
    <t>Concesionario oficial Chery / Ascanelli / tractores e implementos</t>
  </si>
  <si>
    <t>0358 4335762</t>
  </si>
  <si>
    <t>tel:+543584335762</t>
  </si>
  <si>
    <t>Relevar/confirmar teléfono directo de ventas o logística y validar decisor de entregas.</t>
  </si>
  <si>
    <t>https://www.google.com/maps/search/?api=1&amp;query=AgroBigo+Maquinarias+R%C3%ADo+Cuarto+C%C3%B3rdoba+Argentina</t>
  </si>
  <si>
    <t>Valor Agregado Agro / Expo Rural Río Cuarto 2026</t>
  </si>
  <si>
    <t>https://www.valoragregadoagro.com/2026/09/04/agro-bigo-tractor-260-hp-rural-rio-cuarto/</t>
  </si>
  <si>
    <t>En septiembre de 2026 se presenta como concesionario oficial Chery y Ascanelli en Río Cuarto, con tractores de hasta 260 HP y servicio posventa.</t>
  </si>
  <si>
    <t>Canteras Bringas</t>
  </si>
  <si>
    <t>Áridos / hormigón / obra pública</t>
  </si>
  <si>
    <t>0358 154906010</t>
  </si>
  <si>
    <t>Pegada a Circunvalación: muy caliente para obra vial.</t>
  </si>
  <si>
    <t>tel:+5493584906010</t>
  </si>
  <si>
    <t>https://www.google.com/maps/search/?api=1&amp;query=-33.145000,-64.425000</t>
  </si>
  <si>
    <t>gurugo.com.ar / canterasbringas.ar</t>
  </si>
  <si>
    <t>CasaContainer Río Cuarto</t>
  </si>
  <si>
    <t>Módulos / containers</t>
  </si>
  <si>
    <t>0358 4310288</t>
  </si>
  <si>
    <t>Ellos venden “te lo llevamos”; PRESOL puede ser proveedor logístico.</t>
  </si>
  <si>
    <t>tel:+543584310288</t>
  </si>
  <si>
    <t>https://www.google.com/maps/search/?api=1&amp;query=-33.118737,-64.382102</t>
  </si>
  <si>
    <t>Facebook CasaContainer</t>
  </si>
  <si>
    <t>Catpro Maquinarias</t>
  </si>
  <si>
    <t>Concesionario oficial New Holland / tractores, cosechadoras e implementos</t>
  </si>
  <si>
    <t>0358 4650092 / 0358 4632206</t>
  </si>
  <si>
    <t>tel:+543584650092</t>
  </si>
  <si>
    <t>https://www.google.com/maps/search/?api=1&amp;query=Catpro+Maquinarias+R%C3%ADo+Cuarto+C%C3%B3rdoba+Argentina</t>
  </si>
  <si>
    <t>Web oficial Catpro</t>
  </si>
  <si>
    <t>https://www.catprosa.com.ar/index.php/empresa</t>
  </si>
  <si>
    <t>Concesionario oficial New Holland en Río Cuarto; vende tractores, cosechadoras, pulverizadoras e implementos.</t>
  </si>
  <si>
    <t>Construcciones Metálicas El Colono S.A.</t>
  </si>
  <si>
    <t>Estructuras metálicas / silos</t>
  </si>
  <si>
    <t>0358 4628525</t>
  </si>
  <si>
    <t>Uno de los mejores encajes; pedir despacho/montaje.</t>
  </si>
  <si>
    <t>tel:+543584628525</t>
  </si>
  <si>
    <t>https://www.google.com/maps/search/?api=1&amp;query=-33.151690,-64.357888</t>
  </si>
  <si>
    <t>elcolonosa.com.ar / Facebook</t>
  </si>
  <si>
    <t>Da Ros Premoldeados</t>
  </si>
  <si>
    <t>Premoldeados de hormigón / agro e industria</t>
  </si>
  <si>
    <t>+54 358 508-9009</t>
  </si>
  <si>
    <t>Premoldeados con productos agro e industriales y envío propio; PRESOL puede ofrecer refuerzo o traslados especiales.</t>
  </si>
  <si>
    <t>tel:+543585089009</t>
  </si>
  <si>
    <t>https://www.google.com/maps/search/?api=1&amp;query=Da+Ros+Premoldeados+R%C3%ADo+Cuarto+C%C3%B3rdoba+Argentina</t>
  </si>
  <si>
    <t>Web propia Da Ros Premoldeados</t>
  </si>
  <si>
    <t>https://www.darospremoldeados.com.ar</t>
  </si>
  <si>
    <t>Sitio propio informa 100 años, productos agro/industria, envío propio, teléfono y dirección.</t>
  </si>
  <si>
    <t>Áridos/materiales: confirmar modalidad de carga/descarga y tipo de unidad requerida antes de cotizar. Percha pallets: útil para insumos, bolsones, repuestos y materiales palletizados.</t>
  </si>
  <si>
    <t>Demarchi S.A.</t>
  </si>
  <si>
    <t>Concesionario Valtra / tractores / maquinaria agrícola / repuestos / servicio técnico</t>
  </si>
  <si>
    <t>0358 4010714</t>
  </si>
  <si>
    <t>tel:+543584010714</t>
  </si>
  <si>
    <t>https://www.google.com/maps/search/?api=1&amp;query=Demarchi+S.A.+R%C3%ADo+Cuarto+C%C3%B3rdoba+Argentina</t>
  </si>
  <si>
    <t>Web oficial Demarchi</t>
  </si>
  <si>
    <t>https://www.demarchi.com.ar/es/quienes-somos/</t>
  </si>
  <si>
    <t>Concesionario Valtra de larga trayectoria en Río Cuarto; concentra venta de maquinaria, repuestos y servicio técnico.</t>
  </si>
  <si>
    <t>Dexco Constructora</t>
  </si>
  <si>
    <t>Constructora local</t>
  </si>
  <si>
    <t>0358 4640139 / 0358 154869634</t>
  </si>
  <si>
    <t>Tiene obras activas; pedir compras/operaciones.</t>
  </si>
  <si>
    <t>tel:+543584640139</t>
  </si>
  <si>
    <t>tel:+543584640139 | tel:+5493584869634</t>
  </si>
  <si>
    <t>https://www.google.com/maps/search/?api=1&amp;query=-33.112715,-64.369622</t>
  </si>
  <si>
    <t>constructoradexco.com/contacto</t>
  </si>
  <si>
    <t>Río Cuarto / Holmberg / General Cabrera</t>
  </si>
  <si>
    <t>INCISA S.A. — División Hormigones</t>
  </si>
  <si>
    <t>Hormigón elaborado / plantas y bombeo</t>
  </si>
  <si>
    <t>3584 38 9870</t>
  </si>
  <si>
    <t>planta / mantenimiento / logística</t>
  </si>
  <si>
    <t>Dos plantas estratégicas y planta móvil; puede requerir traslados de equipos, bombas y apoyo en obras.</t>
  </si>
  <si>
    <t>tel:+543584389870</t>
  </si>
  <si>
    <t>https://www.google.com/maps/search/?api=1&amp;query=INCISA+S.A.+%E2%80%94+Divisi%C3%B3n+Hormigones+R%C3%ADo+Cuarto+C%C3%B3rdoba+Argentina</t>
  </si>
  <si>
    <t>Web propia INCISA</t>
  </si>
  <si>
    <t>https://incisa-sa.com/division-hormigones</t>
  </si>
  <si>
    <t>Sitio informa plantas Santa Catalina-Holmberg y General Cabrera, planta móvil, bombeo y teléfono de ventas.</t>
  </si>
  <si>
    <t>Barquilla: validar seguridad, seguro, permiso de trabajo y alcance de maniobra antes de cotizar. Áridos/materiales: confirmar modalidad de carga/descarga y tipo de unidad requerida antes de cotizar.</t>
  </si>
  <si>
    <t>Marinelli S.A.</t>
  </si>
  <si>
    <t>Áridos / hormigón / obras</t>
  </si>
  <si>
    <t>0358 4647058</t>
  </si>
  <si>
    <t>Tiene cantera y flota; ofrecer respaldo/picos/traslados especiales.</t>
  </si>
  <si>
    <t>tel:+543584647058</t>
  </si>
  <si>
    <t>https://www.google.com/maps/search/?api=1&amp;query=-33.102771,-64.336058</t>
  </si>
  <si>
    <t>marinellisa.store</t>
  </si>
  <si>
    <t>Paolini Hnos S.A.</t>
  </si>
  <si>
    <t>Obra vial / constructora nacional</t>
  </si>
  <si>
    <t>011 48779600</t>
  </si>
  <si>
    <t>Teléfono central; mejor entrar por obrador local.</t>
  </si>
  <si>
    <t>tel:+541148779600</t>
  </si>
  <si>
    <t>https://www.google.com/maps/search/?api=1&amp;query=-33.114000,-64.331000</t>
  </si>
  <si>
    <t>paolini.com.ar</t>
  </si>
  <si>
    <t>SALA / Agrotecnología Sala — Río Cuarto</t>
  </si>
  <si>
    <t>https://www.google.com/maps/search/?api=1&amp;query=SALA+%2F+Agrotecnolog%C3%ADa+Sala+%E2%80%94+R%C3%ADo+Cuarto+R%C3%ADo+Cuarto+C%C3%B3rdoba+Argentina</t>
  </si>
  <si>
    <t>Asociación de Concesionarios John Deere</t>
  </si>
  <si>
    <t>La red oficial John Deere publica a Agrotecnología Sala con sucursal en Río Cuarto.</t>
  </si>
  <si>
    <t>Soardo Construcciones</t>
  </si>
  <si>
    <t>0358 4166315</t>
  </si>
  <si>
    <t>Pedir responsable de obra; cotizar un próximo traslado.</t>
  </si>
  <si>
    <t>tel:+543584166315</t>
  </si>
  <si>
    <t>https://www.google.com/maps/search/?api=1&amp;query=-33.119000,-64.351000</t>
  </si>
  <si>
    <t>soardoconstrucciones.site</t>
  </si>
  <si>
    <t>Agrokeegan Maquinarias</t>
  </si>
  <si>
    <t>Concesionario multimarca / maquinaria agrícola nueva y usada</t>
  </si>
  <si>
    <t>+54 358 6014848</t>
  </si>
  <si>
    <t>tel:+543586014848</t>
  </si>
  <si>
    <t>https://www.google.com/maps/search/?api=1&amp;query=Agrokeegan+Maquinarias+R%C3%ADo+Cuarto+C%C3%B3rdoba+Argentina</t>
  </si>
  <si>
    <t>Web oficial Agrokeegan</t>
  </si>
  <si>
    <t>https://www.agrokeegan.com.ar/about-us</t>
  </si>
  <si>
    <t>Más de 30 años en maquinaria agrícola; amplio stock permanente de equipos nuevos y usados en Ruta A005 km 0,5.</t>
  </si>
  <si>
    <t>Risio Maquinarias</t>
  </si>
  <si>
    <t>Concesionario oficial Agrometal / Favot / Chalero / Cestari</t>
  </si>
  <si>
    <t>0358 4195111</t>
  </si>
  <si>
    <t>tel:+543584195111</t>
  </si>
  <si>
    <t>https://www.google.com/maps/search/?api=1&amp;query=Risio+Maquinarias+R%C3%ADo+Cuarto+C%C3%B3rdoba+Argentina</t>
  </si>
  <si>
    <t>Web oficial Risio / actualidad 2026</t>
  </si>
  <si>
    <t>https://risiomaquinarias.com/</t>
  </si>
  <si>
    <t>Concesionario de Agrometal y otras marcas, con venta de maquinaria, repuestos y servicio a campo en Río Cuarto.</t>
  </si>
  <si>
    <t>Agro GM — Río Cuarto</t>
  </si>
  <si>
    <t>Concesionario / maquinaria agrícola y tractores</t>
  </si>
  <si>
    <t>0358 4626444 / +54 9 358 4296332</t>
  </si>
  <si>
    <t>tel:+543584626444</t>
  </si>
  <si>
    <t>https://www.google.com/maps/search/?api=1&amp;query=Agro+GM+%E2%80%94+R%C3%ADo+Cuarto+R%C3%ADo+Cuarto+C%C3%B3rdoba+Argentina</t>
  </si>
  <si>
    <t>Web oficial Agro GM</t>
  </si>
  <si>
    <t>https://www.agrogmsa.com.ar/contacto/</t>
  </si>
  <si>
    <t>Casa central de Agro GM en Ruta 8 km 606,5 Río Cuarto; venta, repuestos y servicio.</t>
  </si>
  <si>
    <t>Pallotti Maquinarias</t>
  </si>
  <si>
    <t>Maquinaria agrícola/vial / concesionario y postventa</t>
  </si>
  <si>
    <t>+54 358 5713137 / +54 358 5091218</t>
  </si>
  <si>
    <t>tel:+543585713137</t>
  </si>
  <si>
    <t>https://www.google.com/maps/search/?api=1&amp;query=Pallotti+Maquinarias+R%C3%ADo+Cuarto+C%C3%B3rdoba+Argentina</t>
  </si>
  <si>
    <t>Web oficial Pallotti</t>
  </si>
  <si>
    <t>https://pallottimaquinarias.ar/contacto</t>
  </si>
  <si>
    <t>Punto comercial en RN A005 km 3,5; ventas, repuestos y servicio técnico de maquinaria.</t>
  </si>
  <si>
    <t>Rodagro — Río Cuarto</t>
  </si>
  <si>
    <t>Representante CLAAS / Allochis / Ascanelli / GEMA / maquinaria agrícola</t>
  </si>
  <si>
    <t>+54 9 358 4797917</t>
  </si>
  <si>
    <t>tel:+5493584797917</t>
  </si>
  <si>
    <t>https://www.google.com/maps/search/?api=1&amp;query=Rodagro+%E2%80%94+R%C3%ADo+Cuarto+R%C3%ADo+Cuarto+C%C3%B3rdoba+Argentina</t>
  </si>
  <si>
    <t>GEMA / Rodagro</t>
  </si>
  <si>
    <t>https://gemaargentina.com/distribuidores/</t>
  </si>
  <si>
    <t>Distribuidor en Av. Amadeo Sabattini 2520; trabaja con maquinaria CLAAS, Allochis, Ascanelli y GEMA.</t>
  </si>
  <si>
    <t>Semtraco — Río Cuarto</t>
  </si>
  <si>
    <t>Concesionario Case IH / Erca / JCB / implementos</t>
  </si>
  <si>
    <t>03584 158451</t>
  </si>
  <si>
    <t>tel:+543584158451</t>
  </si>
  <si>
    <t>https://www.google.com/maps/search/?api=1&amp;query=Semtraco+%E2%80%94+R%C3%ADo+Cuarto+R%C3%ADo+Cuarto+C%C3%B3rdoba+Argentina</t>
  </si>
  <si>
    <t>Concesionario de maquinaria agrícola y equipos; sucursal/operación en Río Cuarto.</t>
  </si>
  <si>
    <t>Simonassi — Río Cuarto</t>
  </si>
  <si>
    <t>Concesionario de maquinaria agrícola / tractores / postventa</t>
  </si>
  <si>
    <t>0358 4654124 / 0358 4637034</t>
  </si>
  <si>
    <t>tel:+543584654124</t>
  </si>
  <si>
    <t>https://www.google.com/maps/search/?api=1&amp;query=Simonassi+%E2%80%94+R%C3%ADo+Cuarto+R%C3%ADo+Cuarto+C%C3%B3rdoba+Argentina</t>
  </si>
  <si>
    <t>Web oficial Simonassi</t>
  </si>
  <si>
    <t>https://simonassi.com.ar/</t>
  </si>
  <si>
    <t>Concesionario histórico de maquinaria agrícola en Río Cuarto; venta, repuestos y postventa.</t>
  </si>
  <si>
    <t>Ulla Maquinarias — Río Cuarto</t>
  </si>
  <si>
    <t>Concesionario oficial Case IH / maquinaria agrícola / postventa</t>
  </si>
  <si>
    <t>https://www.google.com/maps/search/?api=1&amp;query=Ulla+Maquinarias+%E2%80%94+R%C3%ADo+Cuarto+R%C3%ADo+Cuarto+C%C3%B3rdoba+Argentina</t>
  </si>
  <si>
    <t>Ulla Maquinarias</t>
  </si>
  <si>
    <t>Ulla publica Río Cuarto como una de sus tres sucursales del centro de Córdoba.</t>
  </si>
  <si>
    <t>Río Cuarto / A005</t>
  </si>
  <si>
    <t>Indusplast Piscinas — Río Cuarto</t>
  </si>
  <si>
    <t>Franquicia / piscinas de fibra de vidrio / instalación</t>
  </si>
  <si>
    <t>0358 6028628</t>
  </si>
  <si>
    <t>tel:+543586028628</t>
  </si>
  <si>
    <t>https://www.google.com/maps/search/?api=1&amp;query=Indusplast+Piscinas+%E2%80%94+R%C3%ADo+Cuarto+R%C3%ADo+Cuarto+C%C3%B3rdoba+Argentina</t>
  </si>
  <si>
    <t>Indusplast / Google Business</t>
  </si>
  <si>
    <t>https://indusplast.com/</t>
  </si>
  <si>
    <t>Punto Indusplast en Río Cuarto; la marca es fabricante nacional de piscinas de fibra y opera con franquicias.</t>
  </si>
  <si>
    <t>Luvi Piscinas — Río Cuarto</t>
  </si>
  <si>
    <t>Fabricante de piscinas PRFV / sucursal Río Cuarto / instalación</t>
  </si>
  <si>
    <t>0358 4826734</t>
  </si>
  <si>
    <t>tel:+543584826734</t>
  </si>
  <si>
    <t>https://www.google.com/maps/search/?api=1&amp;query=Luvi+Piscinas+%E2%80%94+R%C3%ADo+Cuarto+R%C3%ADo+Cuarto+C%C3%B3rdoba+Argentina</t>
  </si>
  <si>
    <t>Web oficial Luvi</t>
  </si>
  <si>
    <t>https://luvi.com.ar/sucursales/</t>
  </si>
  <si>
    <t>Luvi fabrica piscinas PRFV y publica sucursal en Río Cuarto; su propuesta incluye instalación rápida.</t>
  </si>
  <si>
    <t>Da Natureza Piscinas y Riegos</t>
  </si>
  <si>
    <t>+54 9 358 4287330</t>
  </si>
  <si>
    <t>tel:+5493584287330</t>
  </si>
  <si>
    <t>https://www.google.com/maps/search/?api=1&amp;query=Da+Natureza+Piscinas+y+Riegos+R%C3%ADo+Cuarto+C%C3%B3rdoba+Argentina</t>
  </si>
  <si>
    <t>https://www.moldear.com.ar/cordoba/rio-cuarto/danatureza/</t>
  </si>
  <si>
    <t>Punto certificado Moldear en Río Cuarto; comercializa piscinas, losetas y casillas de fibra.</t>
  </si>
  <si>
    <t>Piscinas iGUi — Río Cuarto</t>
  </si>
  <si>
    <t>Piscinas de fibra / contratista / franquicia</t>
  </si>
  <si>
    <t>0800 222 4484</t>
  </si>
  <si>
    <t>tel:+548002224484</t>
  </si>
  <si>
    <t>https://www.google.com/maps/search/?api=1&amp;query=Piscinas+iGUi+%E2%80%94+R%C3%ADo+Cuarto+R%C3%ADo+Cuarto+C%C3%B3rdoba+Argentina</t>
  </si>
  <si>
    <t>iGUi / Google Business</t>
  </si>
  <si>
    <t>https://www.igui.com/es/piscinas</t>
  </si>
  <si>
    <t>Punto local de iGUi en Río Cuarto; la marca comercializa piscinas prefabricadas y el local figura como contratista de piscinas.</t>
  </si>
  <si>
    <t>Rubén Marconi Maquinarias</t>
  </si>
  <si>
    <t>Concesionario de sembradoras Bertini / maquinaria agrícola</t>
  </si>
  <si>
    <t>0358 4629706</t>
  </si>
  <si>
    <t>tel:+543584629706</t>
  </si>
  <si>
    <t>https://www.google.com/maps/search/?api=1&amp;query=Rub%C3%A9n+Marconi+Maquinarias+R%C3%ADo+Cuarto+C%C3%B3rdoba+Argentina</t>
  </si>
  <si>
    <t>Red oficial Bertini</t>
  </si>
  <si>
    <t>https://www.bertini.com.ar/es/concesionarios/</t>
  </si>
  <si>
    <t>Bertini publica el punto de Río Cuarto en Ruta A005 km 3 como concesionario de sembradoras.</t>
  </si>
  <si>
    <t>CyS Agro — Río Cuarto</t>
  </si>
  <si>
    <t>Concesionario Case IH / Jacto / maquinaria agrícola</t>
  </si>
  <si>
    <t>+54 9 358 6012240</t>
  </si>
  <si>
    <t>tel:+5493586012240</t>
  </si>
  <si>
    <t>https://www.google.com/maps/search/?api=1&amp;query=CyS+Agro+%E2%80%94+R%C3%ADo+Cuarto+R%C3%ADo+Cuarto+C%C3%B3rdoba+Argentina</t>
  </si>
  <si>
    <t>Web oficial CyS Agro</t>
  </si>
  <si>
    <t>https://cysagro.com/</t>
  </si>
  <si>
    <t>Sucursal Río Cuarto con comercialización y soporte de maquinaria agrícola.</t>
  </si>
  <si>
    <t>Establecimiento Industrial Rattini S.A.</t>
  </si>
  <si>
    <t>Fabricante de componentes e implementos agrícolas</t>
  </si>
  <si>
    <t>0358 4621480 / 0358 6003429</t>
  </si>
  <si>
    <t>tel:+543584621480</t>
  </si>
  <si>
    <t>https://www.google.com/maps/search/?api=1&amp;query=Establecimiento+Industrial+Rattini+S.A.+R%C3%ADo+Cuarto+C%C3%B3rdoba+Argentina</t>
  </si>
  <si>
    <t>Web oficial Rattini</t>
  </si>
  <si>
    <t>https://rattini.com.ar/nosotros/</t>
  </si>
  <si>
    <t>Fabricante industrial de componentes e implementos para agro en Río Cuarto.</t>
  </si>
  <si>
    <t>Alfredo y Diego D'Eramo</t>
  </si>
  <si>
    <t>Venta de maquinaria agrícola / implementos</t>
  </si>
  <si>
    <t>0358 4630339 / +54 9 358 6017301</t>
  </si>
  <si>
    <t>tel:+543584630339</t>
  </si>
  <si>
    <t>https://www.google.com/maps/search/?api=1&amp;query=Alfredo+y+Diego+D%27Eramo+R%C3%ADo+Cuarto+C%C3%B3rdoba+Argentina</t>
  </si>
  <si>
    <t>Red comercial / ficha de concesionario</t>
  </si>
  <si>
    <t>https://www.google.com/maps/search/?api=1&amp;query=Alfredo+y+Diego+D%27Eramo+maquinaria+R%C3%ADo+Cuarto+C%C3%B3rdoba+Argentina</t>
  </si>
  <si>
    <t>Comercio de maquinaria agrícola en corredor A005 de Río Cuarto; perfil de equipos e implementos.</t>
  </si>
  <si>
    <t>BIDESA Obras Viales y Civiles</t>
  </si>
  <si>
    <t>Obra vial / UTE</t>
  </si>
  <si>
    <t>A relevar en obrador</t>
  </si>
  <si>
    <t>Si está en obra, entrar por obrador; teléfono no público.</t>
  </si>
  <si>
    <t>https://www.google.com/maps/search/?api=1&amp;query=-33.108000,-64.327000</t>
  </si>
  <si>
    <t>Construar / Boletín Oficial</t>
  </si>
  <si>
    <t>Luciano S.A.</t>
  </si>
  <si>
    <t>Oferente/contratista; buscar obrador primero.</t>
  </si>
  <si>
    <t>https://www.google.com/maps/search/?api=1&amp;query=-33.111000,-64.329000</t>
  </si>
  <si>
    <t>Construar / licitaciones</t>
  </si>
  <si>
    <t>Corralón Rolotti — Moldear Piscinas</t>
  </si>
  <si>
    <t>Punto de venta Moldear / piscinas de fibra / materiales</t>
  </si>
  <si>
    <t>0358 4642105 / +54 9 3585 091698</t>
  </si>
  <si>
    <t>Validar volumen mensual de instalaciones y si tercerizan flete/grúa; pedir un caso reciente o próximo para cotizar.</t>
  </si>
  <si>
    <t>tel:+543584642105</t>
  </si>
  <si>
    <t>https://www.google.com/maps/search/?api=1&amp;query=Corral%C3%B3n+Rolotti+%E2%80%94+Moldear+Piscinas+R%C3%ADo+Cuarto+C%C3%B3rdoba+Argentina</t>
  </si>
  <si>
    <t>Moldear / Corralón Rolotti</t>
  </si>
  <si>
    <t>https://www.moldear.com.ar/cordoba/rio-cuarto/corralon-rolotti/</t>
  </si>
  <si>
    <t>Punto certificado Moldear en Río Cuarto; comercializa piscinas y casillas PRFV.</t>
  </si>
  <si>
    <t>Agrorio Maquinarias</t>
  </si>
  <si>
    <t>03586 093110</t>
  </si>
  <si>
    <t>Ofrecer PRESOL como transportista regional confiable.</t>
  </si>
  <si>
    <t>tel:+543586093110</t>
  </si>
  <si>
    <t>https://www.google.com/maps/search/?api=1&amp;query=-33.125500,-64.382000</t>
  </si>
  <si>
    <t>Facebook AgroRío</t>
  </si>
  <si>
    <t>Capello S.A.</t>
  </si>
  <si>
    <t>Constructora / corralón</t>
  </si>
  <si>
    <t>0358 4645929</t>
  </si>
  <si>
    <t>Vender apoyo logístico para obras y compras pesadas.</t>
  </si>
  <si>
    <t>tel:+543584645929</t>
  </si>
  <si>
    <t>https://www.google.com/maps/search/?api=1&amp;query=-33.121500,-64.350500</t>
  </si>
  <si>
    <t>guia.deriocuarto.ar</t>
  </si>
  <si>
    <t>Cotagro — Río Cuarto</t>
  </si>
  <si>
    <t>Agro / fertilizantes / acopio</t>
  </si>
  <si>
    <t>0358 4933333</t>
  </si>
  <si>
    <t>Punto dentro de red Cotagro; usar puerta Alcira si funciona.</t>
  </si>
  <si>
    <t>tel:+543584933333</t>
  </si>
  <si>
    <t>https://www.google.com/maps/search/?api=1&amp;query=-33.118000,-64.322000</t>
  </si>
  <si>
    <t>cotagroweb.com.ar/contacto</t>
  </si>
  <si>
    <t>Fontezuela Cereales</t>
  </si>
  <si>
    <t>Acopio / cereales</t>
  </si>
  <si>
    <t>02477 497135/37</t>
  </si>
  <si>
    <t>Consultar frecuencia de movimientos especiales.</t>
  </si>
  <si>
    <t>tel:+542477497135</t>
  </si>
  <si>
    <t>https://www.google.com/maps/search/?api=1&amp;query=-33.123200,-64.345300</t>
  </si>
  <si>
    <t>fontezuelacereales.com.ar</t>
  </si>
  <si>
    <t>Hugo y Enzo Reinaudo S.A.</t>
  </si>
  <si>
    <t>Venta de tractores y maquinaria agrícola</t>
  </si>
  <si>
    <t>0358 4646025</t>
  </si>
  <si>
    <t>tel:+543584646025</t>
  </si>
  <si>
    <t>https://www.google.com/maps/search/?api=1&amp;query=Hugo+y+Enzo+Reinaudo+S.A.+R%C3%ADo+Cuarto+C%C3%B3rdoba+Argentina</t>
  </si>
  <si>
    <t>Directorio comercial</t>
  </si>
  <si>
    <t>https://www.telexplorer.com.ar/Maquinaria-agricola-EN-Rio-cuarto</t>
  </si>
  <si>
    <t>Firma listada en tractores y maquinaria agrícola en Río Cuarto; validar vigencia.</t>
  </si>
  <si>
    <t>CARMIX S.R.L.</t>
  </si>
  <si>
    <t>Premoldeados / pisos industriales / pavimento / silos</t>
  </si>
  <si>
    <t>despacho / obra</t>
  </si>
  <si>
    <t>Premoldeados, pisos industriales, pavimento y silos: potencial movimiento de piezas/equipos.</t>
  </si>
  <si>
    <t>https://www.google.com/maps/search/?api=1&amp;query=CARMIX+S.R.L.+R%C3%ADo+Cuarto+C%C3%B3rdoba+Argentina</t>
  </si>
  <si>
    <t>Guía de Río Cuarto / resultado de búsqueda</t>
  </si>
  <si>
    <t>https://guia.deriocuarto.ar/carmix-srl-dd2328.html</t>
  </si>
  <si>
    <t>Resultado público describe premoldeados de hormigón, pisos industriales, pavimento, cordón cuneta y silos.</t>
  </si>
  <si>
    <t>Villa Ascasubi / RP6-E79</t>
  </si>
  <si>
    <t>Villa Ascasubi / Ruta E79</t>
  </si>
  <si>
    <t>Villa Ascasubi</t>
  </si>
  <si>
    <t>Costa del Río SRL</t>
  </si>
  <si>
    <t>Cantera / áridos lavados / fertilizantes / feedlot</t>
  </si>
  <si>
    <t>+54 9 3571 363338</t>
  </si>
  <si>
    <t>cantera / despacho / logística</t>
  </si>
  <si>
    <t>Cantera de áridos lavados y clasificados en Villa Ascasubi; encaje directo para transporte de áridos/materiales.</t>
  </si>
  <si>
    <t>Llamar a despacho/cantera y ofrecer transporte de áridos, bolsones/pallets y apoyo de hidrogrúa si requiere.</t>
  </si>
  <si>
    <t>tel:+5493571363338</t>
  </si>
  <si>
    <t>Confirmar modalidad de carga, tipo de árido y unidad apta antes de cotizar.</t>
  </si>
  <si>
    <t>https://www.google.com/maps/search/?api=1&amp;query=Costa+del+R%C3%ADo+SRL+Villa+Ascasubi+C%C3%B3rdoba+Argentina</t>
  </si>
  <si>
    <t>Web propia Costa del Río</t>
  </si>
  <si>
    <t>https://costadelrio.com/contacto</t>
  </si>
  <si>
    <t>Contacto web: WhatsApp 5493571363338; dirección Villa Ascasubi Ruta E79 45; sección cantera lista arena, canto rodado, ripio y 0-20.</t>
  </si>
  <si>
    <t>transporte de áridos/materiales | hidrogrúa para carga/descarga | percha para pallets/bolsones | percha para pallets de insumos | hidrogrúa para equipos/mantenimiento | barquilla para trabajos en altura</t>
  </si>
  <si>
    <t>áridos/construcción/premoldeados | planta agroindustrial</t>
  </si>
  <si>
    <t>Para áridos, validar modalidad de carga/descarga y tipo de unidad requerida antes de cotizar. Percha para pallets: útil para insumos, bolsones, repuestos y materiales palletizados.</t>
  </si>
  <si>
    <t>Alta única desde base Hermes; no estaba en el Excel GPT adjunto. | ID fuente: PRESOL-124</t>
  </si>
  <si>
    <t>Villa Ascasubi / centro</t>
  </si>
  <si>
    <t>Cooperativa de Villa Ascasubi</t>
  </si>
  <si>
    <t>Cooperativa de servicios públicos / infraestructura local</t>
  </si>
  <si>
    <t>03571 498118 / 3571 520004 guardia</t>
  </si>
  <si>
    <t>mantenimiento / administración / obras</t>
  </si>
  <si>
    <t>Traslado de áridos/materiales, maquinaria, módulos de obrador, estructuras y cargas pesadas entre frentes.</t>
  </si>
  <si>
    <t>Transporte de áridos/materiales y cargas de obra + hidrogrúa/barquilla/percha pallets según necesidad.</t>
  </si>
  <si>
    <t>Cooperativa local con redes/servicios; oportunidad para barquilla, hidrogrúa y materiales en obras/mantenimiento.</t>
  </si>
  <si>
    <t>Pedir por mantenimiento/obras y ofrecer barquilla de hidrogrúa para trabajos en altura y movimientos de equipos.</t>
  </si>
  <si>
    <t>tel:+543571498118</t>
  </si>
  <si>
    <t>tel:+543571498118 | tel:+543571520004</t>
  </si>
  <si>
    <t>Validar si contratan terceros para trabajos de red, postes, bombas o mantenimiento.</t>
  </si>
  <si>
    <t>https://www.google.com/maps/search/?api=1&amp;query=Cooperativa+de+Villa+Ascasubi+Villa+Ascasubi+C%C3%B3rdoba+Argentina</t>
  </si>
  <si>
    <t>Web propia Cooperativa Villa Ascasubi</t>
  </si>
  <si>
    <t>https://va.coop.ar/contacto</t>
  </si>
  <si>
    <t>Contacto publicado: Libertad 70, Villa Ascasubi; teléfono 03571 498118; guardia 3571 520004.</t>
  </si>
  <si>
    <t>Alta única desde base Hermes; no estaba en el Excel GPT adjunto. | ID fuente: PRESOL-125</t>
  </si>
  <si>
    <t>Villa Ascasubi / tránsito pesado</t>
  </si>
  <si>
    <t>Construir Villa Ascasubi</t>
  </si>
  <si>
    <t>Corralón / materiales construcción / tránsito pesado</t>
  </si>
  <si>
    <t>3571 577272</t>
  </si>
  <si>
    <t>dueño / compras / logística</t>
  </si>
  <si>
    <t>Corralón sobre tránsito pesado; potencial de pallets, bolsones, áridos, materiales y entregas a obra.</t>
  </si>
  <si>
    <t>Verificar teléfono y preguntar si tercerizan fletes de pallets/bolsones/áridos o entregas de obra.</t>
  </si>
  <si>
    <t>tel:+543571577272</t>
  </si>
  <si>
    <t>Confirmar teléfono alternativo y frecuencia de fletes pesados.</t>
  </si>
  <si>
    <t>https://www.google.com/maps/search/?api=1&amp;query=Construir+Villa+Ascasubi+Villa+Ascasubi+C%C3%B3rdoba+Argentina</t>
  </si>
  <si>
    <t>Instagram público Construir Villa Ascasubi</t>
  </si>
  <si>
    <t>https://www.instagram.com/construir.va</t>
  </si>
  <si>
    <t>Perfil público: Materiales de Construcción; Pueyrredón esq. Dr. Tomás Garzón, Villa Ascasubi; teléfono 3571577272.</t>
  </si>
  <si>
    <t>Alta única desde base Hermes; no estaba en el Excel GPT adjunto. | ID fuente: PRESOL-126</t>
  </si>
  <si>
    <t>Villa Ascasubi / ruta E79</t>
  </si>
  <si>
    <t>La Vencedora — Sucursal Villa Ascasubi</t>
  </si>
  <si>
    <t>Cooperativa agropecuaria / cereales y combustible</t>
  </si>
  <si>
    <t>acopio / encargado de sucursal</t>
  </si>
  <si>
    <t>Sucursal agro/cooperativa en Villa Ascasubi: cereales, combustible e insumos generan oportunidades de pallets y equipos.</t>
  </si>
  <si>
    <t>Usar contacto central de La Vencedora o relevar en campo el responsable de sucursal.</t>
  </si>
  <si>
    <t>Relevar teléfono directo de sucursal y responsable operativo.</t>
  </si>
  <si>
    <t>https://www.google.com/maps/search/?api=1&amp;query=La+Vencedora+%E2%80%94+Sucursal+Villa+Ascasubi+Villa+Ascasubi+C%C3%B3rdoba+Argentina</t>
  </si>
  <si>
    <t>El Manisero / nota pública</t>
  </si>
  <si>
    <t>https://elmanisero.com.ar/contenido/5464/la-vencedora-abrio-una-sucursal-en-villa-ascasubi</t>
  </si>
  <si>
    <t>Resultado público informa apertura de sucursal en Provincial E79 Km 43.2, Villa Ascasubi; cereales y combustible.</t>
  </si>
  <si>
    <t>Alta única desde base Hermes; no estaba en el Excel GPT adjunto. | ID fuente: PRESOL-127</t>
  </si>
  <si>
    <t>Villa María / RP6</t>
  </si>
  <si>
    <t>Almafuerte</t>
  </si>
  <si>
    <t>Servisol Piscinas</t>
  </si>
  <si>
    <t>Punto de venta Moldear / piscinas de fibra / instalación</t>
  </si>
  <si>
    <t>+54 9 3571 696296</t>
  </si>
  <si>
    <t>tel:+5493571696296</t>
  </si>
  <si>
    <t>https://www.google.com/maps/search/?api=1&amp;query=Servisol+Piscinas+Almafuerte+C%C3%B3rdoba+Argentina</t>
  </si>
  <si>
    <t>https://www.moldear.com.ar/cordoba/almafuerte/servisol-piscinas/</t>
  </si>
  <si>
    <t>Punto de venta certificado Moldear en Almafuerte; ofrece piscinas PRFV y acompaña desde la elección hasta la instalación.</t>
  </si>
  <si>
    <t>Cooperativa Agropecuaria Almafuerte</t>
  </si>
  <si>
    <t>Acopio / semillas / agroinsumos</t>
  </si>
  <si>
    <t>03571 471182</t>
  </si>
  <si>
    <t>100.000 tn acopiadas; preguntar ampliaciones/mantenimiento.</t>
  </si>
  <si>
    <t>tel:+543571471182</t>
  </si>
  <si>
    <t>https://www.google.com/maps/search/?api=1&amp;query=-32.192000,-64.255000</t>
  </si>
  <si>
    <t>essapp.coop / Coop. Almafuerte</t>
  </si>
  <si>
    <t>Gil Daniel — Maquinaria Agrícola</t>
  </si>
  <si>
    <t>03571 472325</t>
  </si>
  <si>
    <t>tel:+543571472325</t>
  </si>
  <si>
    <t>https://www.google.com/maps/search/?api=1&amp;query=Gil+Daniel+%E2%80%94+Maquinaria+Agr%C3%ADcola+Almafuerte+C%C3%B3rdoba+Argentina</t>
  </si>
  <si>
    <t>Punto comercial de maquinaria agrícola en Almafuerte; validar vigencia y decisor.</t>
  </si>
  <si>
    <t>Hernando</t>
  </si>
  <si>
    <t>Cooperativa Agrícola La Vencedora</t>
  </si>
  <si>
    <t>Acopio / agroinsumos / combustible</t>
  </si>
  <si>
    <t>0353 4847133</t>
  </si>
  <si>
    <t>Planta nueva 24.000 tn; pedir gerente Ariel Ferreyra.</t>
  </si>
  <si>
    <t>tel:+543534847133</t>
  </si>
  <si>
    <t>https://www.google.com/maps/search/?api=1&amp;query=-32.426000,-63.733000</t>
  </si>
  <si>
    <t>Facebook / LinkedIn La Vencedora | Agroverdad / La Vencedora</t>
  </si>
  <si>
    <t>https://agroverdad.com.ar/2024/03/la-nueva-planta-de-acopio-de-la-vencedora-obtuvo-certificacion-ambiental-de-la-provincia</t>
  </si>
  <si>
    <t>Registro curado en documento de dirección PRESOL 2026-09. | Nueva planta de acopio de 24.000 toneladas en predio de 14 ha sobre Ruta 6 km 56; instalaciones para fertilizantes, agroinsumos, combustibles y playa de operaciones.</t>
  </si>
  <si>
    <t>Hernando / RP6-RP10</t>
  </si>
  <si>
    <t>DELCRE Construcciones SRL</t>
  </si>
  <si>
    <t>Construcción / hormigón</t>
  </si>
  <si>
    <t>0353 4961086</t>
  </si>
  <si>
    <t>Constructora y fábrica de hormigón sobre RP6; alto encaje para movimiento de maquinaria, moldes y equipos de obra.</t>
  </si>
  <si>
    <t>tel:+543534961086</t>
  </si>
  <si>
    <t>https://www.google.com/maps/search/?api=1&amp;query=DELCRE+Construcciones+SRL+Hernando+C%C3%B3rdoba+Argentina</t>
  </si>
  <si>
    <t>https://www.google.com/maps/search/?api=1&amp;query=DELCRE+CONSTRUCCIONES+SRL+Hernando+C%C3%B3rdoba+Argentina</t>
  </si>
  <si>
    <t>NEUF Agricole</t>
  </si>
  <si>
    <t>Tolvas, acoplados, contenedores y equipos especiales</t>
  </si>
  <si>
    <t>+54 9 353 4846256 / +54 353 4960391</t>
  </si>
  <si>
    <t>Metalúrgica de Hernando; fabrica tolvas autodescargables, acoplados, contenedores y porta-contenedores.</t>
  </si>
  <si>
    <t>tel:+5493534846256</t>
  </si>
  <si>
    <t>tel:+5493534846256 | tel:+543534960391</t>
  </si>
  <si>
    <t>https://www.google.com/maps/search/?api=1&amp;query=NEUF+Agricole+Hernando+C%C3%B3rdoba+Argentina</t>
  </si>
  <si>
    <t>AFAMAC | Maquinac</t>
  </si>
  <si>
    <t>https://afamac.com.ar/catalogo/asociados-afamac/neuf/ | https://maquinac.com/empresas/neuf-agricole</t>
  </si>
  <si>
    <t>Metalúrgica de Hernando; fabrica tolvas autodescargables, acoplados, contenedores y porta-contenedores. | Maquinac: Bv. Moreno 1240, Hernando; +54 353 4960391; fabrica tolvas, equipos para construcción y desarrollos especiales.</t>
  </si>
  <si>
    <t>Caón Maquinarias — Hernando</t>
  </si>
  <si>
    <t>Concesionario de maquinaria agrícola / implementos</t>
  </si>
  <si>
    <t>+54 9 353 4201218</t>
  </si>
  <si>
    <t>tel:+5493534201218</t>
  </si>
  <si>
    <t>https://www.google.com/maps/search/?api=1&amp;query=Ca%C3%B3n+Maquinarias+%E2%80%94+Hernando+Hernando+C%C3%B3rdoba+Argentina</t>
  </si>
  <si>
    <t>Red de concesionarios / Grupo Caon</t>
  </si>
  <si>
    <t>https://www.google.com/maps/search/?api=1&amp;query=Ca%C3%B3n+Maquinarias+Hernando+C%C3%B3rdoba+Argentina</t>
  </si>
  <si>
    <t>Punto comercial de Grupo Caon en Hernando; perfil de venta y postventa de maquinaria agrícola.</t>
  </si>
  <si>
    <t>Viejo Tala S.R.L. — Hernando</t>
  </si>
  <si>
    <t>0353 4962995</t>
  </si>
  <si>
    <t>tel:+543534962995</t>
  </si>
  <si>
    <t>https://www.google.com/maps/search/?api=1&amp;query=Viejo+Tala+S.R.L.+%E2%80%94+Hernando+Hernando+C%C3%B3rdoba+Argentina</t>
  </si>
  <si>
    <t>Sucursal Hernando publicada por Pauny; venta/atención de tractores y maquinaria.</t>
  </si>
  <si>
    <t>CyS Agro — Hernando</t>
  </si>
  <si>
    <t>0353 4846206</t>
  </si>
  <si>
    <t>tel:+543534846206</t>
  </si>
  <si>
    <t>https://www.google.com/maps/search/?api=1&amp;query=CyS+Agro+%E2%80%94+Hernando+Hernando+C%C3%B3rdoba+Argentina</t>
  </si>
  <si>
    <t>Sucursal Hernando; comercializa maquinaria agrícola de marcas líderes y presta servicio/posventa.</t>
  </si>
  <si>
    <t>Zuppa Hermanos — Hernando</t>
  </si>
  <si>
    <t>Sucursal regional / piscinas, construcción e instalación</t>
  </si>
  <si>
    <t>0353 154257089</t>
  </si>
  <si>
    <t>tel:+54353154257089</t>
  </si>
  <si>
    <t>https://www.google.com/maps/search/?api=1&amp;query=Zuppa+Hermanos+%E2%80%94+Hernando+Hernando+C%C3%B3rdoba+Argentina</t>
  </si>
  <si>
    <t>Zuppa Hermanos</t>
  </si>
  <si>
    <t>https://www.zuppahermanos.com.ar/mkt/contacto/</t>
  </si>
  <si>
    <t>La empresa publica sucursal en Hernando y comercializa piscinas Moldear dentro de su línea de productos.</t>
  </si>
  <si>
    <t>AGD - Acopio Hernando</t>
  </si>
  <si>
    <t>Acopio de granos</t>
  </si>
  <si>
    <t>0353 4960609</t>
  </si>
  <si>
    <t>Planta de acopio en Hernando; potencial movimiento de equipos, repuestos, silos y cargas especiales.</t>
  </si>
  <si>
    <t>tel:+543534960609</t>
  </si>
  <si>
    <t>https://www.google.com/maps/search/?api=1&amp;query=AGD+-+Acopio+Hernando+Hernando+C%C3%B3rdoba+Argentina</t>
  </si>
  <si>
    <t>https://www.google.com/maps/search/?api=1&amp;query=AGD+Acopio+Hernando+Hernando+C%C3%B3rdoba+Argentina</t>
  </si>
  <si>
    <t>AGRO ARG S.R.L. Planta de Maní</t>
  </si>
  <si>
    <t>Planta procesadora de maní</t>
  </si>
  <si>
    <t>+54 9 353 6575171</t>
  </si>
  <si>
    <t>Planta industrial de maní en Hernando con contacto público.</t>
  </si>
  <si>
    <t>tel:+5493536575171</t>
  </si>
  <si>
    <t>https://www.google.com/maps/search/?api=1&amp;query=AGRO+ARG+S.R.L.+Planta+de+Man%C3%AD+Hernando+C%C3%B3rdoba+Argentina</t>
  </si>
  <si>
    <t>https://www.google.com/maps/search/?api=1&amp;query=AGRO+ARG+SRL+Planta+de+Mani+Hernando+C%C3%B3rdoba+Argentina</t>
  </si>
  <si>
    <t>MULTITRAC S.A.S Agromaquinarias</t>
  </si>
  <si>
    <t>0353 4125716</t>
  </si>
  <si>
    <t>Concesionario de tractores y maquinaria; potencial traslado a clientes, talleres y eventos.</t>
  </si>
  <si>
    <t>tel:+543534125716</t>
  </si>
  <si>
    <t>https://www.google.com/maps/search/?api=1&amp;query=MULTITRAC+S.A.S+Agromaquinarias+Hernando+C%C3%B3rdoba+Argentina</t>
  </si>
  <si>
    <t>https://www.google.com/maps/search/?api=1&amp;query=MULTITRAC+SAS+agromaquinarias+Hernando+C%C3%B3rdoba+Argentina</t>
  </si>
  <si>
    <t>Servagrop - Especialistas en Maní</t>
  </si>
  <si>
    <t>Agroindustria / maní / servicios agrícolas</t>
  </si>
  <si>
    <t>0353 4960348</t>
  </si>
  <si>
    <t>Operador agroindustrial de alta actividad en RP10; volumen y maquinaria asociados al negocio del maní.</t>
  </si>
  <si>
    <t>tel:+543534960348</t>
  </si>
  <si>
    <t>https://www.google.com/maps/search/?api=1&amp;query=Servagrop+-+Especialistas+en+Man%C3%AD+Hernando+C%C3%B3rdoba+Argentina</t>
  </si>
  <si>
    <t>https://www.google.com/maps/search/?api=1&amp;query=Servagrop+Especialistas+en+Mani+Hernando+C%C3%B3rdoba+Argentina</t>
  </si>
  <si>
    <t>Plegados Hernando S.A.</t>
  </si>
  <si>
    <t>Plegado y trabajos metalúrgicos</t>
  </si>
  <si>
    <t>0353 4962200 / +54 353 4962200</t>
  </si>
  <si>
    <t>Taller metalúrgico local con teléfono público.</t>
  </si>
  <si>
    <t>tel:+543534962200</t>
  </si>
  <si>
    <t>https://www.google.com/maps/search/?api=1&amp;query=Plegados+Hernando+S.A.+Hernando+C%C3%B3rdoba+Argentina</t>
  </si>
  <si>
    <t>Google Maps / ficha pública | Metalmecánica.com</t>
  </si>
  <si>
    <t>https://www.google.com/maps/search/?api=1&amp;query=Plegados+Hernando+SA+Hernando+C%C3%B3rdoba+Argentina | https://www.metalmecanica.com/argentina/hernando/fabricantes/plegados-hernando-s-a</t>
  </si>
  <si>
    <t>Taller metalúrgico local con teléfono público. | Ficha pública: Blvd. Moreno 823, Hernando; tel +54353496-2200; cortes, plegados, rolados y piezas para agro/industria.</t>
  </si>
  <si>
    <t>Fusionado con base Hermes para completar teléfonos/fuentes/servicios. | ID fuente: HER-012</t>
  </si>
  <si>
    <t>Agrohernando</t>
  </si>
  <si>
    <t>Acopio / granos / insumos</t>
  </si>
  <si>
    <t>0353 4960418</t>
  </si>
  <si>
    <t>Empresa familiar 20 años; pedir responsable de operaciones.</t>
  </si>
  <si>
    <t>tel:+543534960418</t>
  </si>
  <si>
    <t>https://www.google.com/maps/search/?api=1&amp;query=-32.428000,-63.730000</t>
  </si>
  <si>
    <t>agrohernando.com.ar | Web propia Agrohernando</t>
  </si>
  <si>
    <t>https://www.agrohernando.com.ar</t>
  </si>
  <si>
    <t>Registro curado en documento de dirección PRESOL 2026-09. | Sitio propio: Bv. Moreno 935, Hernando; acopio 16.000 tn, depósito de agroquímicos, transporte y capacidad de recepción/entrega de fertilizantes.</t>
  </si>
  <si>
    <t>Agrícola José Verra S.A.</t>
  </si>
  <si>
    <t>Servicio y maquinaria agrícola</t>
  </si>
  <si>
    <t>03532 415543</t>
  </si>
  <si>
    <t>Operador agrícola sobre RP10; figura en red de servicios del sector y en ficha pública local.</t>
  </si>
  <si>
    <t>tel:+543532415543</t>
  </si>
  <si>
    <t>https://www.google.com/maps/search/?api=1&amp;query=Agr%C3%ADcola+Jos%C3%A9+Verra+S.A.+Hernando+C%C3%B3rdoba+Argentina</t>
  </si>
  <si>
    <t>Google Maps / red Piersanti</t>
  </si>
  <si>
    <t>https://www.google.com/maps/search/?api=1&amp;query=Agricola+Jose+Verra+SA+Hernando+C%C3%B3rdoba+Argentina</t>
  </si>
  <si>
    <t>ID fuente: HER-008</t>
  </si>
  <si>
    <t>Boero Maquinarias</t>
  </si>
  <si>
    <t>0353 4960847 / +54 353 4187486</t>
  </si>
  <si>
    <t>tel:+543534960847</t>
  </si>
  <si>
    <t>https://www.google.com/maps/search/?api=1&amp;query=Boero+Maquinarias+Hernando+C%C3%B3rdoba+Argentina</t>
  </si>
  <si>
    <t>Red de concesionarios / ficha local</t>
  </si>
  <si>
    <t>Empresa de maquinaria agrícola en Hernando; teléfonos de distintas fuentes requieren validación.</t>
  </si>
  <si>
    <t>Cismondi Construcciones</t>
  </si>
  <si>
    <t>03536 579486</t>
  </si>
  <si>
    <t>Constructora local con teléfono público; validar obras activas y movimientos entre frentes.</t>
  </si>
  <si>
    <t>tel:+543536579486</t>
  </si>
  <si>
    <t>https://www.google.com/maps/search/?api=1&amp;query=Cismondi+Construcciones+Hernando+C%C3%B3rdoba+Argentina</t>
  </si>
  <si>
    <t>ID fuente: HER-010</t>
  </si>
  <si>
    <t>Industria Metal-Her</t>
  </si>
  <si>
    <t>Implementos agrícolas / tolvas</t>
  </si>
  <si>
    <t>0353 156568385 / 0353 4846509</t>
  </si>
  <si>
    <t>Muy buen encaje para entregas a clientes y ferias.</t>
  </si>
  <si>
    <t>tel:+5493536568385</t>
  </si>
  <si>
    <t>tel:+5493536568385 | tel:+543534846509</t>
  </si>
  <si>
    <t>https://www.google.com/maps/search/?api=1&amp;query=-32.424000,-63.737000</t>
  </si>
  <si>
    <t>Facebook Industria Metal-Her</t>
  </si>
  <si>
    <t>Fusionado con base Hermes para completar teléfonos/fuentes/servicios. | ID fuente: HER-011</t>
  </si>
  <si>
    <t>Tornería y Soldadura Carlos Gastaldi</t>
  </si>
  <si>
    <t>Estructuras metálicas / tornería y soldadura</t>
  </si>
  <si>
    <t>0353 4298156</t>
  </si>
  <si>
    <t>Fabricante local de estructuras metálicas; potencial despacho de piezas y trabajos de obra.</t>
  </si>
  <si>
    <t>tel:+543534298156</t>
  </si>
  <si>
    <t>https://www.google.com/maps/search/?api=1&amp;query=Torner%C3%ADa+y+Soldadura+Carlos+Gastaldi+Hernando+C%C3%B3rdoba+Argentina</t>
  </si>
  <si>
    <t>https://www.google.com/maps/search/?api=1&amp;query=Torneria+y+Soldadura+Carlos+Gastaldi+Hernando+C%C3%B3rdoba+Argentina</t>
  </si>
  <si>
    <t>ID fuente: HER-013</t>
  </si>
  <si>
    <t>TOTI CONTI - Máquinas Agrícolas</t>
  </si>
  <si>
    <t>0353 4846557</t>
  </si>
  <si>
    <t>Proveedor de equipos agrícolas en Hernando con teléfono público.</t>
  </si>
  <si>
    <t>tel:+543534846557</t>
  </si>
  <si>
    <t>https://www.google.com/maps/search/?api=1&amp;query=TOTI+CONTI+-+M%C3%A1quinas+Agr%C3%ADcolas+Hernando+C%C3%B3rdoba+Argentina</t>
  </si>
  <si>
    <t>https://www.google.com/maps/search/?api=1&amp;query=TOTI+CONTI+Maquinas+Agricolas+Hernando+C%C3%B3rdoba+Argentina</t>
  </si>
  <si>
    <t>ID fuente: HER-014</t>
  </si>
  <si>
    <t>Her.Agro Maquinarias</t>
  </si>
  <si>
    <t>Maquinaria agrícola nueva/usada</t>
  </si>
  <si>
    <t>3535 690587 (a confirmar)</t>
  </si>
  <si>
    <t>Entrar con cotización para próximos movimientos.</t>
  </si>
  <si>
    <t>tel:+543535690587</t>
  </si>
  <si>
    <t>https://www.google.com/maps/search/?api=1&amp;query=-32.422000,-63.731000</t>
  </si>
  <si>
    <t>Facebook Her.Agro</t>
  </si>
  <si>
    <t>AgroServ S.R.L.</t>
  </si>
  <si>
    <t>Concesionario maquinaria agrícola</t>
  </si>
  <si>
    <t>Concesionario Super Walter; relevar contacto directo.</t>
  </si>
  <si>
    <t>https://www.google.com/maps/search/?api=1&amp;query=-32.429500,-63.734500</t>
  </si>
  <si>
    <t>Instagram AgroServ</t>
  </si>
  <si>
    <t>Tío Pujio</t>
  </si>
  <si>
    <t>ACA — Centro de Desarrollo Comercial Tío Pujio</t>
  </si>
  <si>
    <t>Acopio gigante / agro</t>
  </si>
  <si>
    <t>353 5622710 / 0353 4860518 / 0353 4860519</t>
  </si>
  <si>
    <t>Pedir Mario Peppino / responsable logística; no ir sin ficha.</t>
  </si>
  <si>
    <t>tel:+543535622710</t>
  </si>
  <si>
    <t>tel:+543535622710 | tel:+543534860518 | tel:+543534860519</t>
  </si>
  <si>
    <t>https://www.google.com/maps/search/?api=1&amp;query=-32.288000,-63.356000</t>
  </si>
  <si>
    <t>Instagram CDC / cooptiopujio.com</t>
  </si>
  <si>
    <t>Metalúrgica Jor-Ba / Grupo Tío Pujio</t>
  </si>
  <si>
    <t>Metalúrgica / extrusado soja</t>
  </si>
  <si>
    <t>03573 402941</t>
  </si>
  <si>
    <t>Validar si operación está en Tío Pujio o Villa del Rosario.</t>
  </si>
  <si>
    <t>tel:+543573402941</t>
  </si>
  <si>
    <t>https://www.google.com/maps/search/?api=1&amp;query=-32.290000,-63.352000</t>
  </si>
  <si>
    <t>Facebook Metalúrgica Jor-Ba</t>
  </si>
  <si>
    <t>Villa María / corredor agro</t>
  </si>
  <si>
    <t>Villa María</t>
  </si>
  <si>
    <t>Comercializadora Pauny — Villa María</t>
  </si>
  <si>
    <t>Concesionario Pauny / tractores / implementos / maquinaria agrícola</t>
  </si>
  <si>
    <t>0353 5002145</t>
  </si>
  <si>
    <t>tel:+543535002145</t>
  </si>
  <si>
    <t>https://www.google.com/maps/search/?api=1&amp;query=Comercializadora+Pauny+%E2%80%94+Villa+Mar%C3%ADa+Villa+Mar%C3%ADa+C%C3%B3rdoba+Argentina</t>
  </si>
  <si>
    <t>Red comercial Tanzi / Pauny</t>
  </si>
  <si>
    <t>https://www.tanzi.com.ar/concesionarios.php</t>
  </si>
  <si>
    <t>Punto comercial en Colectora Sur de Autopista Córdoba-Rosario, Villa María; comercializa tractores y maquinaria.</t>
  </si>
  <si>
    <t>Grupo Caon — Villa María</t>
  </si>
  <si>
    <t>Concesionario Case IH / maquinaria agrícola / postventa</t>
  </si>
  <si>
    <t>https://www.google.com/maps/search/?api=1&amp;query=Grupo+Caon+%E2%80%94+Villa+Mar%C3%ADa+Villa+Mar%C3%ADa+C%C3%B3rdoba+Argentina</t>
  </si>
  <si>
    <t>Grupo Caon / apertura sede Villa María 2026</t>
  </si>
  <si>
    <t>https://www.google.com/maps/search/?api=1&amp;query=Grupo+Caon+Case+IH+Villa+Mar%C3%ADa+C%C3%B3rdoba+Argentina</t>
  </si>
  <si>
    <t>Nueva sede de Grupo Caon en Villa María sobre Autopista Rosario-Córdoba; área comercial, técnica, repuestos y agricultura digital.</t>
  </si>
  <si>
    <t>Industrias Cormetal S.A.</t>
  </si>
  <si>
    <t>Metalmecánica / estructuras</t>
  </si>
  <si>
    <t>0353 4610900 / 0353 6567355</t>
  </si>
  <si>
    <t>Pedir responsable de logística/despachos.</t>
  </si>
  <si>
    <t>tel:+543534610900</t>
  </si>
  <si>
    <t>tel:+543534610900 | tel:+543536567355</t>
  </si>
  <si>
    <t>https://www.google.com/maps/search/?api=1&amp;query=-32.385796,-63.267403</t>
  </si>
  <si>
    <t>guiademantenimiento.com / cormetal.com.ar</t>
  </si>
  <si>
    <t>Mayo Transformadores S.R.L.</t>
  </si>
  <si>
    <t>Transformadores / metalmecánica</t>
  </si>
  <si>
    <t>0353 4647606</t>
  </si>
  <si>
    <t>Seguro de carga + GPS como argumento fuerte.</t>
  </si>
  <si>
    <t>tel:+543534647606</t>
  </si>
  <si>
    <t>https://www.google.com/maps/search/?api=1&amp;query=-32.423000,-63.205000</t>
  </si>
  <si>
    <t>pilt.com.ar</t>
  </si>
  <si>
    <t>PILT Villa María</t>
  </si>
  <si>
    <t>Metalúrgica JAP / MJAP</t>
  </si>
  <si>
    <t>Carrozados, trailers, estructuras y reparación de camiones</t>
  </si>
  <si>
    <t>+54 35 3656-3732 / +54 35 3565-7977</t>
  </si>
  <si>
    <t>Juan / Ronald / producción</t>
  </si>
  <si>
    <t>Fabrica carrozados, acoplados, estructuras para montacargas y carrocerías volcadoras; encaje directo con PRESOL.</t>
  </si>
  <si>
    <t>tel:+543536563732</t>
  </si>
  <si>
    <t>tel:+543536563732 | tel:+543535657977</t>
  </si>
  <si>
    <t>https://www.google.com/maps/search/?api=1&amp;query=Metal%C3%BArgica+JAP+%2F+MJAP+Villa+Mar%C3%ADa+C%C3%B3rdoba+Argentina</t>
  </si>
  <si>
    <t>Web MJAP + PILT</t>
  </si>
  <si>
    <t>https://metalurgicajap.com</t>
  </si>
  <si>
    <t>Web propia informa teléfonos, servicios y dirección; PILT confirma nueva planta y rubro.</t>
  </si>
  <si>
    <t>plataforma | hidrogrúa | percha para pallets</t>
  </si>
  <si>
    <t>SALA / Agrotecnología Sala — Villa María</t>
  </si>
  <si>
    <t>https://www.google.com/maps/search/?api=1&amp;query=SALA+%2F+Agrotecnolog%C3%ADa+Sala+%E2%80%94+Villa+Mar%C3%ADa+Villa+Mar%C3%ADa+C%C3%B3rdoba+Argentina</t>
  </si>
  <si>
    <t>La red oficial publica a Agrotecnología Sala con sucursal en Villa María.</t>
  </si>
  <si>
    <t>Salsiteco S.A.</t>
  </si>
  <si>
    <t>Constructora / movimiento de suelo</t>
  </si>
  <si>
    <t>0353 4524006 / 0353 5006023</t>
  </si>
  <si>
    <t>Muy buen encaje con obras viales; pedir jefe de obra.</t>
  </si>
  <si>
    <t>tel:+543534524006</t>
  </si>
  <si>
    <t>tel:+543534524006 | tel:+543535006023</t>
  </si>
  <si>
    <t>https://www.google.com/maps/search/?api=1&amp;query=-32.412000,-63.236000</t>
  </si>
  <si>
    <t>salsiteco.com.ar</t>
  </si>
  <si>
    <t>Villa María / zona comercial-industrial</t>
  </si>
  <si>
    <t>Zuppa Hermanos — Villa María</t>
  </si>
  <si>
    <t>+54 9 353 4257089</t>
  </si>
  <si>
    <t>tel:+5493534257089</t>
  </si>
  <si>
    <t>https://www.google.com/maps/search/?api=1&amp;query=Zuppa+Hermanos+%E2%80%94+Villa+Mar%C3%ADa+Villa+Mar%C3%ADa+C%C3%B3rdoba+Argentina</t>
  </si>
  <si>
    <t>Moldear / Zuppa Hermanos</t>
  </si>
  <si>
    <t>https://www.moldear.com.ar/cordoba/villa-maria/zuppa-hnos/</t>
  </si>
  <si>
    <t>Punto de venta certificado Moldear en Villa María; comercializa piscinas, losetas y casillas PRFV.</t>
  </si>
  <si>
    <t>Agro GM — Villa María</t>
  </si>
  <si>
    <t>0353 6560055</t>
  </si>
  <si>
    <t>tel:+543536560055</t>
  </si>
  <si>
    <t>https://www.google.com/maps/search/?api=1&amp;query=Agro+GM+%E2%80%94+Villa+Mar%C3%ADa+Villa+Mar%C3%ADa+C%C3%B3rdoba+Argentina</t>
  </si>
  <si>
    <t>Sucursal Villa María en Ruta 158 km 154,5; red de maquinaria agrícola con repuestos y servicio.</t>
  </si>
  <si>
    <t>Bartolomé Cerutti SRL — Villa María</t>
  </si>
  <si>
    <t>Concesionario New Holland / maquinaria agrícola</t>
  </si>
  <si>
    <t>0353 4522560 / +54 9 353 4208761</t>
  </si>
  <si>
    <t>tel:+543534522560</t>
  </si>
  <si>
    <t>https://www.google.com/maps/search/?api=1&amp;query=Bartolom%C3%A9+Cerutti+SRL+%E2%80%94+Villa+Mar%C3%ADa+Villa+Mar%C3%ADa+C%C3%B3rdoba+Argentina</t>
  </si>
  <si>
    <t>Sucursal Villa María del concesionario New Holland; venta de equipos, repuestos y postventa.</t>
  </si>
  <si>
    <t>Baumar S.A.S.</t>
  </si>
  <si>
    <t>Venta y alquiler de maquinaria agrícola y vial / LOVOL / XCMG</t>
  </si>
  <si>
    <t>+54 9 353 4014200</t>
  </si>
  <si>
    <t>tel:+5493534014200</t>
  </si>
  <si>
    <t>https://www.google.com/maps/search/?api=1&amp;query=Baumar+S.A.S.+Villa+Mar%C3%ADa+C%C3%B3rdoba+Argentina</t>
  </si>
  <si>
    <t>Web oficial Baumar</t>
  </si>
  <si>
    <t>https://baumar.ar/</t>
  </si>
  <si>
    <t>Villa María, Colectora AU9 km 561; vende maquinaria agrícola/vial y declara que gestiona el despacho y transporte de las unidades.</t>
  </si>
  <si>
    <t>RC Piscinas y Losetas</t>
  </si>
  <si>
    <t>Punto de venta Moldear / piscinas de fibra / losetas</t>
  </si>
  <si>
    <t>0353 4236038</t>
  </si>
  <si>
    <t>tel:+543534236038</t>
  </si>
  <si>
    <t>https://www.google.com/maps/search/?api=1&amp;query=RC+Piscinas+y+Losetas+Villa+Mar%C3%ADa+C%C3%B3rdoba+Argentina</t>
  </si>
  <si>
    <t>https://www.moldear.com.ar/cordoba/villa-maria/cordoba-villa-maria-rc-piscinas/</t>
  </si>
  <si>
    <t>Punto de venta oficial Moldear en Villa María; comercializa piscinas, losetas y casillas de fibra de vidrio.</t>
  </si>
  <si>
    <t>Indusplast Piscinas — Villa María</t>
  </si>
  <si>
    <t>0353 4520828 / +54 9 353 5668994</t>
  </si>
  <si>
    <t>tel:+543534520828</t>
  </si>
  <si>
    <t>https://www.google.com/maps/search/?api=1&amp;query=Indusplast+Piscinas+%E2%80%94+Villa+Mar%C3%ADa+Villa+Mar%C3%ADa+C%C3%B3rdoba+Argentina</t>
  </si>
  <si>
    <t>Indusplast / directorio comercial</t>
  </si>
  <si>
    <t>https://ar.todosnegocios.com/indusplast-piscinas_9p-0353-452-0828</t>
  </si>
  <si>
    <t>Punto Indusplast en Villa María; la marca fabrica piscinas de fibra de vidrio y opera mediante franquicias.</t>
  </si>
  <si>
    <t>Managro Implementos Agrícolas</t>
  </si>
  <si>
    <t>Venta de implementos agrícolas / representante Ascanelli</t>
  </si>
  <si>
    <t>https://www.google.com/maps/search/?api=1&amp;query=Managro+Implementos+Agr%C3%ADcolas+Villa+Mar%C3%ADa+C%C3%B3rdoba+Argentina</t>
  </si>
  <si>
    <t>Prensa local / actividad comercial</t>
  </si>
  <si>
    <t>Firma local especializada en implementos; vinculada a comercialización de Ascanelli y maquinaria agrícola.</t>
  </si>
  <si>
    <t>Metalfor — Villa María</t>
  </si>
  <si>
    <t>Fabricante/comercializador de maquinaria agrícola y pulverización</t>
  </si>
  <si>
    <t>0353 4614731</t>
  </si>
  <si>
    <t>tel:+543534614731</t>
  </si>
  <si>
    <t>https://www.google.com/maps/search/?api=1&amp;query=Metalfor+%E2%80%94+Villa+Mar%C3%ADa+Villa+Mar%C3%ADa+C%C3%B3rdoba+Argentina</t>
  </si>
  <si>
    <t>Directorio comercial Villa María / marca Metalfor</t>
  </si>
  <si>
    <t>https://buscador5900.com.ar/agro/equipamiento/maquinaria-agricola-y-repuestos</t>
  </si>
  <si>
    <t>Punto comercial Metalfor en Villa María; perfil directo de maquinaria agrícola de gran porte.</t>
  </si>
  <si>
    <t>VM Agrícola</t>
  </si>
  <si>
    <t>Concesionaria de maquinaria agrícola nueva/usada / tractores y cosechadoras</t>
  </si>
  <si>
    <t>0353 5695760</t>
  </si>
  <si>
    <t>logística / entregas / usados / ventas</t>
  </si>
  <si>
    <t>Entrega y retiro de tractores, cosechadoras, sembradoras e implementos nuevos/usados; movimientos por ventas y canjes.</t>
  </si>
  <si>
    <t>Plataforma 20 tn para maquinaria + malacate/hidrogrúa según maniobra + seguro/GPS + coordinación de entrega.</t>
  </si>
  <si>
    <t>Tercerizar entregas y retiros de usados para ampliar radio comercial sin inmovilizar flota propia.</t>
  </si>
  <si>
    <t>Llamar a ventas/logística y pedir el próximo equipo vendido o usado a retirar para cotizar.</t>
  </si>
  <si>
    <t>Confirmar decisor y frecuencia de entregas/retiros.</t>
  </si>
  <si>
    <t>https://www.google.com/maps/search/?api=1&amp;query=VM+Agr%C3%ADcola+Villa+Mar%C3%ADa+C%C3%B3rdoba+Argentina</t>
  </si>
  <si>
    <t>Agroads / ficha comercial Villa María</t>
  </si>
  <si>
    <t>https://www.agroads.com.ar/e/vm-agricola/</t>
  </si>
  <si>
    <t>Concesionaria de Villa María con oferta de tractores, cosechadoras, sembradoras y maquinaria usada.</t>
  </si>
  <si>
    <t>Corrección rastrillaje concesionarios agro 2026-09-07</t>
  </si>
  <si>
    <t>Se corrige ciudad: el registro previo figuraba en Berrotarán; la evidencia comercial ubica a VM Agrícola en Villa María.</t>
  </si>
  <si>
    <t>IPC Pools — Villa María</t>
  </si>
  <si>
    <t>Contratista / piscinas PRFV / instalación</t>
  </si>
  <si>
    <t>0353 5637879 / 0353 4913814</t>
  </si>
  <si>
    <t>tel:+543535637879</t>
  </si>
  <si>
    <t>https://www.google.com/maps/search/?api=1&amp;query=IPC+Pools+%E2%80%94+Villa+Mar%C3%ADa+Villa+Mar%C3%ADa+C%C3%B3rdoba+Argentina</t>
  </si>
  <si>
    <t>Directorio comercial / IPC Pools</t>
  </si>
  <si>
    <t>https://ar.todosnegocios.com/ipc-pools-villa-mar%C3%ADa-0353-563-7879</t>
  </si>
  <si>
    <t>Sucursal IPC Pools en Villa María; figura como contratista de piscinas y cuenta con canales comerciales propios.</t>
  </si>
  <si>
    <t>MW Agropartes</t>
  </si>
  <si>
    <t>Fabricante de agropartes e implementos para siembra/fertilización</t>
  </si>
  <si>
    <t>+54 9 353 4232403</t>
  </si>
  <si>
    <t>tel:+5493534232403</t>
  </si>
  <si>
    <t>https://www.google.com/maps/search/?api=1&amp;query=MW+Agropartes+Villa+Mar%C3%ADa+C%C3%B3rdoba+Argentina</t>
  </si>
  <si>
    <t>Web oficial MW Agropartes</t>
  </si>
  <si>
    <t>https://mwagropartes.com.ar/</t>
  </si>
  <si>
    <t>Fabricante local de agropartes para sembradoras y desarrollos propios de implementos; despachos a todo el país.</t>
  </si>
  <si>
    <t>PLA Centro de Distribuciones — Villa María</t>
  </si>
  <si>
    <t>Pulverizadoras / maquinaria agrícola / distribución</t>
  </si>
  <si>
    <t>0353 4614161</t>
  </si>
  <si>
    <t>tel:+543534614161</t>
  </si>
  <si>
    <t>https://www.google.com/maps/search/?api=1&amp;query=PLA+Centro+de+Distribuciones+%E2%80%94+Villa+Mar%C3%ADa+Villa+Mar%C3%ADa+C%C3%B3rdoba+Argentina</t>
  </si>
  <si>
    <t>Directorio comercial Villa María</t>
  </si>
  <si>
    <t>Centro de distribución PLA en Villa María; potencial de movimientos de pulverizadoras/equipos.</t>
  </si>
  <si>
    <t>Terramar Logística SRL / Terminal Villa María</t>
  </si>
  <si>
    <t>Terminal de contenedores / logística</t>
  </si>
  <si>
    <t>0353 4533821</t>
  </si>
  <si>
    <t>operaciones terminal / logística</t>
  </si>
  <si>
    <t>Plataforma + malacate + hidrogrúa para retiro, traslado, descarga y posicionamiento.</t>
  </si>
  <si>
    <t>Terminal interior de contenedores: oportunidad para traslados, entrega, retiro y apoyo de maniobras.</t>
  </si>
  <si>
    <t>tel:+543534533821</t>
  </si>
  <si>
    <t>https://www.google.com/maps/search/?api=1&amp;query=Terramar+Log%C3%ADstica+SRL+%2F+Terminal+Villa+Mar%C3%ADa+Villa+Mar%C3%ADa+C%C3%B3rdoba+Argentina</t>
  </si>
  <si>
    <t>Web Terramar / resultado de búsqueda</t>
  </si>
  <si>
    <t>https://www.terramarlogistica.com.ar/contenedoresvillamaria</t>
  </si>
  <si>
    <t>Sitio informa recepción, administración, reparación y entrega de contenedores en PILT; teléfono aparece en resultado público.</t>
  </si>
  <si>
    <t>Ombú Máquinas Agrícolas — Villa María</t>
  </si>
  <si>
    <t>https://www.google.com/maps/search/?api=1&amp;query=Omb%C3%BA+M%C3%A1quinas+Agr%C3%ADcolas+%E2%80%94+Villa+Mar%C3%ADa+Villa+Mar%C3%ADa+C%C3%B3rdoba+Argentina</t>
  </si>
  <si>
    <t>Punto local listado para Ombú Máquinas Agrícolas en Villa María; relevar contacto directo.</t>
  </si>
  <si>
    <t>Héctor A. Bertone S.A.</t>
  </si>
  <si>
    <t>Acopio / logística granaria</t>
  </si>
  <si>
    <t>Pedir responsable de logística/acopio; teléfono a relevar.</t>
  </si>
  <si>
    <t>https://www.google.com/maps/search/?api=1&amp;query=-32.389000,-63.251000</t>
  </si>
  <si>
    <t>HAB / LinkedIn logística</t>
  </si>
  <si>
    <t>GYC Piletas Villa María</t>
  </si>
  <si>
    <t>Fabricación/contratista de piscinas</t>
  </si>
  <si>
    <t>0353 5107887</t>
  </si>
  <si>
    <t>tel:+543535107887</t>
  </si>
  <si>
    <t>https://www.google.com/maps/search/?api=1&amp;query=GYC+Piletas+Villa+Mar%C3%ADa+Villa+Mar%C3%ADa+C%C3%B3rdoba+Argentina</t>
  </si>
  <si>
    <t>Google Business</t>
  </si>
  <si>
    <t>https://www.google.com/maps/search/?api=1&amp;query=GYC+Piletas+Villa+Maria+Córdoba</t>
  </si>
  <si>
    <t>Negocio local categorizado como contratista/fábrica de piletas; confirmar material PRFV y modalidad de instalación.</t>
  </si>
  <si>
    <t>Surcar S.R.L.</t>
  </si>
  <si>
    <t>Agropartes, repuestos y maquinaria agroindustrial</t>
  </si>
  <si>
    <t>+54 9 351 7002987 / 0800 220 0230</t>
  </si>
  <si>
    <t>tel:+5493517002987</t>
  </si>
  <si>
    <t>https://www.google.com/maps/search/?api=1&amp;query=Surcar+S.R.L.+Villa+Mar%C3%ADa+C%C3%B3rdoba+Argentina</t>
  </si>
  <si>
    <t>Web oficial Surcar</t>
  </si>
  <si>
    <t>https://surcarsrl.com.ar/empresa.php</t>
  </si>
  <si>
    <t>Comercializa/fabrica soluciones y piezas para agro e industria; potencial de despachos de componentes.</t>
  </si>
  <si>
    <t>Impagro Implementos Agrícolas</t>
  </si>
  <si>
    <t>Implementos agrícolas y repuestos</t>
  </si>
  <si>
    <t>0353 154011306</t>
  </si>
  <si>
    <t>tel:+54353154011306</t>
  </si>
  <si>
    <t>https://www.google.com/maps/search/?api=1&amp;query=Impagro+Implementos+Agr%C3%ADcolas+Villa+Mar%C3%ADa+C%C3%B3rdoba+Argentina</t>
  </si>
  <si>
    <t>Empresa local listada específicamente como implementos agrícolas; validar contacto comercial.</t>
  </si>
  <si>
    <t>Carra Sanitarios</t>
  </si>
  <si>
    <t>Materiales / sanitario / obra</t>
  </si>
  <si>
    <t>0353 4125456</t>
  </si>
  <si>
    <t>Ubicado sobre corredor; preguntar fletes a clientes/obras.</t>
  </si>
  <si>
    <t>tel:+543534125456</t>
  </si>
  <si>
    <t>https://www.google.com/maps/search/?api=1&amp;query=-32.421000,-63.232000</t>
  </si>
  <si>
    <t>carrasanitarios.com.ar</t>
  </si>
  <si>
    <t>Dipromas S.R.L.</t>
  </si>
  <si>
    <t>Metalmecánica / PILT</t>
  </si>
  <si>
    <t>0353 4296608</t>
  </si>
  <si>
    <t>Visita dentro del PILT; pedir compras/logística.</t>
  </si>
  <si>
    <t>tel:+543534296608</t>
  </si>
  <si>
    <t>https://www.google.com/maps/search/?api=1&amp;query=-32.421000,-63.203000</t>
  </si>
  <si>
    <t>Fusionado con base Hermes para completar teléfonos/fuentes/servicios. | ID fuente: VM-008</t>
  </si>
  <si>
    <t>DM Constructora</t>
  </si>
  <si>
    <t>0353 4260498</t>
  </si>
  <si>
    <t>Pedir responsable de compras/obra.</t>
  </si>
  <si>
    <t>tel:+543534260498</t>
  </si>
  <si>
    <t>https://www.google.com/maps/search/?api=1&amp;query=-32.408066,-63.245873</t>
  </si>
  <si>
    <t>dmconstructora.com.ar</t>
  </si>
  <si>
    <t>Fusionado con base Hermes para completar teléfonos/fuentes/servicios. | ID fuente: VM-009</t>
  </si>
  <si>
    <t>Frigorífico La Pequeña S.R.L.</t>
  </si>
  <si>
    <t>Alimenticia / frigorífico</t>
  </si>
  <si>
    <t>0353 154197312</t>
  </si>
  <si>
    <t>No vender frío común; vender movimientos especiales.</t>
  </si>
  <si>
    <t>tel:+5493534197312</t>
  </si>
  <si>
    <t>https://www.google.com/maps/search/?api=1&amp;query=-32.420000,-63.209000</t>
  </si>
  <si>
    <t>Ghio Construcciones</t>
  </si>
  <si>
    <t>Constructora / desarrollos</t>
  </si>
  <si>
    <t>0353 4016390</t>
  </si>
  <si>
    <t>Solicitar próximo traslado de obra.</t>
  </si>
  <si>
    <t>tel:+543534016390</t>
  </si>
  <si>
    <t>https://www.google.com/maps/search/?api=1&amp;query=-32.415019,-63.237719</t>
  </si>
  <si>
    <t>Instagram Ghio Construcciones</t>
  </si>
  <si>
    <t>S.A. Molinos Fénix</t>
  </si>
  <si>
    <t>Molino / alimentos</t>
  </si>
  <si>
    <t>0353 4533573</t>
  </si>
  <si>
    <t>Preguntar por movimientos de maquinaria/planta.</t>
  </si>
  <si>
    <t>tel:+543534533573</t>
  </si>
  <si>
    <t>https://www.google.com/maps/search/?api=1&amp;query=-32.410000,-63.246000</t>
  </si>
  <si>
    <t>molinosfenix.com.ar</t>
  </si>
  <si>
    <t>Sarmiento Materiales</t>
  </si>
  <si>
    <t>0353 4610259 / 0353 4112139</t>
  </si>
  <si>
    <t>Cotizar reparto pesado fuera de zona o picos.</t>
  </si>
  <si>
    <t>tel:+543534610259</t>
  </si>
  <si>
    <t>tel:+543534610259 | tel:+543534112139</t>
  </si>
  <si>
    <t>https://www.google.com/maps/search/?api=1&amp;query=-32.411372,-63.226831</t>
  </si>
  <si>
    <t>sarmientomateriales / directorio</t>
  </si>
  <si>
    <t>Stainless Steel Manufacturers S.R.L.</t>
  </si>
  <si>
    <t>Acero inoxidable / fabricación</t>
  </si>
  <si>
    <t>0353 4792885</t>
  </si>
  <si>
    <t>Posicionar transporte seguro para piezas terminadas.</t>
  </si>
  <si>
    <t>tel:+543534792885</t>
  </si>
  <si>
    <t>https://www.google.com/maps/search/?api=1&amp;query=-32.425000,-63.207000</t>
  </si>
  <si>
    <t>Villa María Cereales</t>
  </si>
  <si>
    <t>Acopio / agroinsumos</t>
  </si>
  <si>
    <t>03535 656802</t>
  </si>
  <si>
    <t>RN 9 km 553; consultar próximos movimientos.</t>
  </si>
  <si>
    <t>tel:+543535656802</t>
  </si>
  <si>
    <t>https://www.google.com/maps/search/?api=1&amp;query=-32.386500,-63.260000</t>
  </si>
  <si>
    <t>Facebook Villa María Cereales</t>
  </si>
  <si>
    <t>Grandes Cosechadoras S.R.L.</t>
  </si>
  <si>
    <t>Maquinaria agrícola / cosechadoras y repuestos</t>
  </si>
  <si>
    <t>0353 4530785</t>
  </si>
  <si>
    <t>tel:+543534530785</t>
  </si>
  <si>
    <t>https://www.google.com/maps/search/?api=1&amp;query=Grandes+Cosechadoras+S.R.L.+Villa+Mar%C3%ADa+C%C3%B3rdoba+Argentina</t>
  </si>
  <si>
    <t>Firma local incluida en rubro maquinaria agrícola y repuestos; validar operación actual.</t>
  </si>
  <si>
    <t>Roberto Mosoni — Venta de Tractores</t>
  </si>
  <si>
    <t>0353 156566469</t>
  </si>
  <si>
    <t>tel:+54353156566469</t>
  </si>
  <si>
    <t>https://www.google.com/maps/search/?api=1&amp;query=Roberto+Mosoni+%E2%80%94+Venta+de+Tractores+Villa+Mar%C3%ADa+C%C3%B3rdoba+Argentina</t>
  </si>
  <si>
    <t>Comercio de tractores/maquinaria en Villa María; validar vigencia del teléfono y decisor.</t>
  </si>
  <si>
    <t>RR Agrícola Maquinarias</t>
  </si>
  <si>
    <t>Venta de maquinaria agrícola</t>
  </si>
  <si>
    <t>0353 4538056</t>
  </si>
  <si>
    <t>tel:+543534538056</t>
  </si>
  <si>
    <t>https://www.google.com/maps/search/?api=1&amp;query=RR+Agr%C3%ADcola+Maquinarias+Villa+Mar%C3%ADa+C%C3%B3rdoba+Argentina</t>
  </si>
  <si>
    <t>Comercio de maquinaria agrícola en RN9, Villa María; validar vigencia del dato.</t>
  </si>
  <si>
    <t>Tractocam S.R.L.</t>
  </si>
  <si>
    <t>Maquinaria agrícola nueva/usada / tractores</t>
  </si>
  <si>
    <t>0353 4613192 / 0353 4549261</t>
  </si>
  <si>
    <t>tel:+543534613192</t>
  </si>
  <si>
    <t>https://www.google.com/maps/search/?api=1&amp;query=Tractocam+S.R.L.+Villa+Mar%C3%ADa+C%C3%B3rdoba+Argentina</t>
  </si>
  <si>
    <t>Comercio vinculado a maquinaria agrícola y tractores; teléfonos de fuentes históricas a confirmar.</t>
  </si>
  <si>
    <t>Ulla Maquinarias — Villa María</t>
  </si>
  <si>
    <t>0353 4507350</t>
  </si>
  <si>
    <t>tel:+543534507350</t>
  </si>
  <si>
    <t>https://www.google.com/maps/search/?api=1&amp;query=Ulla+Maquinarias+%E2%80%94+Villa+Mar%C3%ADa+Villa+Mar%C3%ADa+C%C3%B3rdoba+Argentina</t>
  </si>
  <si>
    <t>Punto comercial de maquinaria agrícola en Villa María; validar vigencia y contacto.</t>
  </si>
  <si>
    <t>Tracto Par</t>
  </si>
  <si>
    <t>Maquinaria agrícola / repuestos</t>
  </si>
  <si>
    <t>0353 4528278</t>
  </si>
  <si>
    <t>tel:+543534528278</t>
  </si>
  <si>
    <t>https://www.google.com/maps/search/?api=1&amp;query=Tracto+Par+Villa+Mar%C3%ADa+C%C3%B3rdoba+Argentina</t>
  </si>
  <si>
    <t>Empresa de maquinaria/repuestos en Villa María; validar actividad y decisor actual.</t>
  </si>
  <si>
    <t>Ceuta Contenedores</t>
  </si>
  <si>
    <t>Contenedores y obradores</t>
  </si>
  <si>
    <t>0353 154139159</t>
  </si>
  <si>
    <t>Proveedor de contenedores/obradores: posible necesidad de transporte y posicionamiento.</t>
  </si>
  <si>
    <t>tel:+5493534139159</t>
  </si>
  <si>
    <t>https://www.google.com/maps/search/?api=1&amp;query=Ceuta+Contenedores+Villa+Mar%C3%ADa+C%C3%B3rdoba+Argentina</t>
  </si>
  <si>
    <t>Buscador5900 / resultado de búsqueda</t>
  </si>
  <si>
    <t>https://www.buscador5900.com.ar/construccion/contenedores-y-obradores</t>
  </si>
  <si>
    <t>Directorio local informa rubro contenedores/obradores y teléfono; verificar antes de visita.</t>
  </si>
  <si>
    <t>PILT / administración parque</t>
  </si>
  <si>
    <t>PILT Villa María — Administración</t>
  </si>
  <si>
    <t>Puerta institucional / parque industrial</t>
  </si>
  <si>
    <t>0353 4618698 / 0353 4608191</t>
  </si>
  <si>
    <t>administración / listado empresas</t>
  </si>
  <si>
    <t>Pedir listado de empresas/obras y ofrecer PRESOL como proveedor logístico regional.</t>
  </si>
  <si>
    <t>Puerta para pedir padrón actualizado de empresas y obras de infraestructura dentro del parque.</t>
  </si>
  <si>
    <t>tel:+543534618698</t>
  </si>
  <si>
    <t>tel:+543534618698 | tel:+543534608191</t>
  </si>
  <si>
    <t>https://www.google.com/maps/search/?api=1&amp;query=PILT+Villa+Mar%C3%ADa+%E2%80%94+Administraci%C3%B3n+Villa+Mar%C3%ADa+C%C3%B3rdoba+Argentina</t>
  </si>
  <si>
    <t>PILT / X público / web PILT</t>
  </si>
  <si>
    <t>https://pilt.com.ar</t>
  </si>
  <si>
    <t>PILT publica datos de contacto en búsquedas y concentra 224 lotes; sirve como puerta institucional.</t>
  </si>
  <si>
    <t>San Borg Internacional / Laboratorios Weende</t>
  </si>
  <si>
    <t>Laboratorio alimentos/agro</t>
  </si>
  <si>
    <t>0353 4531453</t>
  </si>
  <si>
    <t>Visita solo si queda en ruta PILT.</t>
  </si>
  <si>
    <t>tel:+543534531453</t>
  </si>
  <si>
    <t>https://www.google.com/maps/search/?api=1&amp;query=-32.412500,-63.247000</t>
  </si>
  <si>
    <t>sanborginternacional.com.ar</t>
  </si>
  <si>
    <t>Hans Aberturas SRL</t>
  </si>
  <si>
    <t>Metalmecánica / aberturas</t>
  </si>
  <si>
    <t>+54 353 4446515</t>
  </si>
  <si>
    <t>producción / despacho</t>
  </si>
  <si>
    <t>Taller metalúrgico local; visitar solo si queda dentro de recorrido PILT/Villa María.</t>
  </si>
  <si>
    <t>tel:+543534446515</t>
  </si>
  <si>
    <t>https://www.google.com/maps/search/?api=1&amp;query=Hans+Aberturas+SRL+Villa+Mar%C3%ADa+C%C3%B3rdoba+Argentina</t>
  </si>
  <si>
    <t>Metalmecánica.com / resultado de búsqueda</t>
  </si>
  <si>
    <t>https://www.metalmecanica.com/villa-mar%C3%ADa/fabricantes</t>
  </si>
  <si>
    <t>Resultado público lo lista como taller metalúrgico en Villa María con teléfono.</t>
  </si>
  <si>
    <t>Contemar</t>
  </si>
  <si>
    <t>Validar si opera contenedores/obradores y si terceriza logística.</t>
  </si>
  <si>
    <t>https://www.google.com/maps/search/?api=1&amp;query=Contemar+Villa+Mar%C3%ADa+C%C3%B3rdoba+Argentina</t>
  </si>
  <si>
    <t>Directorio local menciona Contemar en construcción/contenedores; datos incompletos.</t>
  </si>
  <si>
    <t>Villa Nueva / acceso Villa María</t>
  </si>
  <si>
    <t>Villa Nueva</t>
  </si>
  <si>
    <t>Raúl Antonio Re e Hijos S.R.L.</t>
  </si>
  <si>
    <t>Maquinaria vial/agro / concesionario LiuGong</t>
  </si>
  <si>
    <t>0353 4912074</t>
  </si>
  <si>
    <t>tel:+543534912074</t>
  </si>
  <si>
    <t>https://www.google.com/maps/search/?api=1&amp;query=Ra%C3%BAl+Antonio+Re+e+Hijos+S.R.L.+Villa+Nueva+C%C3%B3rdoba+Argentina</t>
  </si>
  <si>
    <t>Red oficial LiuGong Córdoba</t>
  </si>
  <si>
    <t>https://liugongcordoba.com.ar/</t>
  </si>
  <si>
    <t>Punto de venta en Villa Nueva, Ruta 4 km 1,4; comercializa maquinaria y equipos.</t>
  </si>
  <si>
    <t>% de base</t>
  </si>
  <si>
    <t>Criterio</t>
  </si>
  <si>
    <t>Prioridad alta</t>
  </si>
  <si>
    <t>Segunda pasada</t>
  </si>
  <si>
    <t>Oportunidad puntual / cercanía</t>
  </si>
  <si>
    <t>Total</t>
  </si>
  <si>
    <t>Base total</t>
  </si>
  <si>
    <t>Clase A</t>
  </si>
  <si>
    <t>Teléfonos OK</t>
  </si>
  <si>
    <t>A verificar</t>
  </si>
  <si>
    <t>Fabricantes, franquicias e instaladores de piscinas PRFV: flete del casco + hidrogrúa para descarga y posicionamiento dentro del lote.</t>
  </si>
  <si>
    <t>Moldear Piscinas, Indusplast Planta Malagueño, AquaFibra, Porto Piscinas, Arizona Piscinas, Klor Piletas, MPS Piscinas, HidroAg, Punto Piscina, Zuppa Hermanos, RC Piscinas, Luvi Piscinas</t>
  </si>
  <si>
    <t>Fabricantes y concesionarios: entregas/retiros de tractores, cosechadoras, pulverizadoras, sembradoras e implementos; canjes, usados, service y exposiciones.</t>
  </si>
  <si>
    <t>SALA / John Deere, CONCI, Máquinas del Centro, Comercializadora Pauny, Scaramuzza, Gallagro, AgroBigo, Demarchi, Agrokeegan, Risio, Ulla, Grupo Caon, Catpro, Agro GM, Pallotti, Bartolomé Cerutti, Semtraco, Conax, Ascanelli</t>
  </si>
  <si>
    <t>Prospectos Resumen</t>
  </si>
  <si>
    <t>Vista ejecutiva y compacta para Dirección.</t>
  </si>
  <si>
    <t>Sí: solo Nota Dirección.</t>
  </si>
  <si>
    <t>Filtrar por categoría, corredor, ciudad o clase. La información comercial detallada queda en Prospectos.</t>
  </si>
  <si>
    <t>Maquinaria agrícola agrupa fabricantes, concesionarios, tractores, implementos y agropartes.</t>
  </si>
  <si>
    <t>Se puede ajustar en Prospectos.</t>
  </si>
  <si>
    <t>Para campaña de concesionarios: filtrar Categoría comercial = Maquinaria agrícola y en Sector buscar “Concesionario” o “Concesionaria”.</t>
  </si>
  <si>
    <t>SERGIO ASCANELLI</t>
  </si>
  <si>
    <t>GUILLERMO GOÑI</t>
  </si>
  <si>
    <t>FEDE SERRA</t>
  </si>
  <si>
    <t>CRISTIAN NOVARETTI</t>
  </si>
  <si>
    <t>MATI MENGO</t>
  </si>
  <si>
    <t>VISTOR SEIA (HERNANDO)
WALTER PAYOLA (RIO 3)</t>
  </si>
  <si>
    <t>GASPAR LOPEZ</t>
  </si>
  <si>
    <t>RAUL ARUTA</t>
  </si>
  <si>
    <t>PABLO PONCETI</t>
  </si>
  <si>
    <t>BETO</t>
  </si>
  <si>
    <t>JORGE LUCENTI</t>
  </si>
  <si>
    <t>WALTER PAULUCCI</t>
  </si>
  <si>
    <t>GUILLERMO SCLAUSERO</t>
  </si>
  <si>
    <t>DANIEL BALATORE</t>
  </si>
  <si>
    <t>JUANJO NADALIN</t>
  </si>
  <si>
    <t>DAVID BELAZQUE</t>
  </si>
  <si>
    <t>DIEGO BAUDINO</t>
  </si>
  <si>
    <t>MARCOS PALOMBARINI (GERENTE DE MANTENIMIENTO)
JOSE ROSSO (JEFE DE PLANTA CLORO SODA)</t>
  </si>
  <si>
    <t>ANDRES SCARAMUZA</t>
  </si>
  <si>
    <t>ANAHI ZUPPA</t>
  </si>
  <si>
    <t>DUEÑO PUPI SCORZA O HIJOS
GUILLERMO SORIA VENDEDOR</t>
  </si>
  <si>
    <t>OMAR SEGURA</t>
  </si>
  <si>
    <t>ALTA</t>
  </si>
  <si>
    <t>HESAR HNOS SA.( Y DEPOSITO DE AGROQUIMICOAS HESAR)</t>
  </si>
  <si>
    <t>ENRIQUE HESAR</t>
  </si>
  <si>
    <t>DIEGO DEMARCHI</t>
  </si>
  <si>
    <t>ALDO DELCRE (DUEÑO)
HORACIO ING TECNICO</t>
  </si>
  <si>
    <t>VICTOR HUGO SEIA</t>
  </si>
  <si>
    <t>DUEÑO FACUNDO CERUTTI
VENDEDOR CARLOS ARAMBURU</t>
  </si>
  <si>
    <t>VER EN ONCATIVO</t>
  </si>
  <si>
    <t>TOTI CONTI DUEÑO</t>
  </si>
  <si>
    <t>ROLANDO RAMELLO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</si>
</sst>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rlito"/>
    </font>
    <font>
      <b/>
      <sz val="10"/>
      <color rgb="FFFFFFFF"/>
      <name val="Carlito"/>
    </font>
    <font>
      <sz val="9"/>
      <color rgb="FF18212F"/>
      <name val="Carlito"/>
    </font>
    <font>
      <b/>
      <sz val="16"/>
      <color rgb="FFF3B61F"/>
      <name val="Carlito"/>
    </font>
    <font>
      <sz val="10"/>
      <color rgb="FFE7ECF2"/>
      <name val="Carlito"/>
    </font>
    <font>
      <b/>
      <sz val="9"/>
      <color rgb="FFD9E0E8"/>
      <name val="Carlito"/>
    </font>
    <font>
      <b/>
      <sz val="18"/>
      <color rgb="FF101827"/>
      <name val="Carlito"/>
    </font>
    <font>
      <b/>
      <sz val="10"/>
      <color theme="1"/>
      <name val="Carlito"/>
    </font>
    <font>
      <sz val="9"/>
      <color rgb="FFFF0000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EAF0F7"/>
      </patternFill>
    </fill>
    <fill>
      <patternFill patternType="solid">
        <fgColor rgb="FF101827"/>
      </patternFill>
    </fill>
    <fill>
      <patternFill patternType="solid">
        <fgColor rgb="FFFFFFFF"/>
      </patternFill>
    </fill>
    <fill>
      <patternFill patternType="solid">
        <fgColor rgb="FFEAF0F7"/>
      </patternFill>
    </fill>
    <fill>
      <patternFill patternType="solid">
        <fgColor rgb="FF172033"/>
      </patternFill>
    </fill>
    <fill>
      <patternFill patternType="solid">
        <fgColor rgb="FF172033"/>
      </patternFill>
    </fill>
    <fill>
      <patternFill patternType="solid">
        <fgColor rgb="FFFFF6D8"/>
      </patternFill>
    </fill>
    <fill>
      <patternFill patternType="solid">
        <fgColor rgb="FF101827"/>
      </patternFill>
    </fill>
    <fill>
      <patternFill patternType="solid">
        <fgColor rgb="FF172033"/>
      </patternFill>
    </fill>
    <fill>
      <patternFill patternType="solid">
        <fgColor rgb="FFF7F7F3"/>
      </patternFill>
    </fill>
    <fill>
      <patternFill patternType="solid">
        <fgColor rgb="FFFFF6D8"/>
      </patternFill>
    </fill>
    <fill>
      <patternFill patternType="solid">
        <fgColor rgb="FFEEF3F8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F3B61F"/>
      </bottom>
      <diagonal/>
    </border>
    <border>
      <left/>
      <right/>
      <top/>
      <bottom style="hair">
        <color rgb="FFE4E8EE"/>
      </bottom>
      <diagonal/>
    </border>
    <border>
      <left/>
      <right/>
      <top style="medium">
        <color rgb="FFF3B61F"/>
      </top>
      <bottom style="hair">
        <color rgb="FFE4E8EE"/>
      </bottom>
      <diagonal/>
    </border>
    <border>
      <left/>
      <right/>
      <top style="thin">
        <color rgb="FF93A4B8"/>
      </top>
      <bottom style="hair">
        <color rgb="FFE4E8EE"/>
      </bottom>
      <diagonal/>
    </border>
    <border>
      <left/>
      <right/>
      <top/>
      <bottom style="medium">
        <color rgb="FFF3B6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3" borderId="4" xfId="0" applyNumberFormat="1" applyFont="1" applyFill="1" applyBorder="1" applyAlignment="1">
      <alignment vertical="top" wrapText="1"/>
    </xf>
    <xf numFmtId="0" fontId="2" fillId="3" borderId="3" xfId="0" applyNumberFormat="1" applyFont="1" applyFill="1" applyBorder="1" applyAlignment="1">
      <alignment vertical="top" wrapText="1"/>
    </xf>
    <xf numFmtId="0" fontId="2" fillId="5" borderId="2" xfId="0" applyNumberFormat="1" applyFont="1" applyFill="1" applyBorder="1" applyAlignment="1">
      <alignment vertical="top" wrapText="1"/>
    </xf>
    <xf numFmtId="0" fontId="2" fillId="6" borderId="2" xfId="0" applyNumberFormat="1" applyFont="1" applyFill="1" applyBorder="1" applyAlignment="1">
      <alignment vertical="top" wrapText="1"/>
    </xf>
    <xf numFmtId="0" fontId="1" fillId="7" borderId="1" xfId="0" applyNumberFormat="1" applyFont="1" applyFill="1" applyBorder="1" applyAlignment="1">
      <alignment horizontal="center" vertical="center" wrapText="1"/>
    </xf>
    <xf numFmtId="9" fontId="2" fillId="0" borderId="0" xfId="0" applyNumberFormat="1" applyFont="1" applyFill="1" applyBorder="1" applyAlignment="1">
      <alignment vertical="top" wrapText="1"/>
    </xf>
    <xf numFmtId="9" fontId="2" fillId="0" borderId="2" xfId="0" applyNumberFormat="1" applyFont="1" applyFill="1" applyBorder="1" applyAlignment="1">
      <alignment vertical="top" wrapText="1"/>
    </xf>
    <xf numFmtId="9" fontId="2" fillId="5" borderId="2" xfId="0" applyNumberFormat="1" applyFont="1" applyFill="1" applyBorder="1" applyAlignment="1">
      <alignment vertical="top" wrapText="1"/>
    </xf>
    <xf numFmtId="9" fontId="2" fillId="3" borderId="2" xfId="0" applyNumberFormat="1" applyFont="1" applyFill="1" applyBorder="1" applyAlignment="1">
      <alignment vertical="top" wrapText="1"/>
    </xf>
    <xf numFmtId="0" fontId="2" fillId="3" borderId="0" xfId="0" applyNumberFormat="1" applyFont="1" applyFill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1" fillId="8" borderId="1" xfId="0" applyNumberFormat="1" applyFont="1" applyFill="1" applyBorder="1" applyAlignment="1">
      <alignment horizontal="center" vertical="center" wrapText="1"/>
    </xf>
    <xf numFmtId="0" fontId="5" fillId="11" borderId="0" xfId="0" applyNumberFormat="1" applyFont="1" applyFill="1" applyBorder="1" applyAlignment="1">
      <alignment horizontal="center" vertical="center"/>
    </xf>
    <xf numFmtId="0" fontId="6" fillId="12" borderId="5" xfId="0" applyNumberFormat="1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 wrapText="1"/>
    </xf>
    <xf numFmtId="0" fontId="2" fillId="14" borderId="2" xfId="0" applyNumberFormat="1" applyFont="1" applyFill="1" applyBorder="1" applyAlignment="1">
      <alignment vertical="top" wrapText="1"/>
    </xf>
    <xf numFmtId="0" fontId="2" fillId="14" borderId="4" xfId="0" applyNumberFormat="1" applyFont="1" applyFill="1" applyBorder="1" applyAlignment="1">
      <alignment vertical="top" wrapText="1"/>
    </xf>
    <xf numFmtId="0" fontId="2" fillId="14" borderId="3" xfId="0" applyNumberFormat="1" applyFont="1" applyFill="1" applyBorder="1" applyAlignment="1">
      <alignment vertical="top" wrapText="1"/>
    </xf>
    <xf numFmtId="0" fontId="2" fillId="14" borderId="0" xfId="0" applyNumberFormat="1" applyFont="1" applyFill="1" applyAlignment="1">
      <alignment vertical="top" wrapText="1"/>
    </xf>
    <xf numFmtId="0" fontId="8" fillId="0" borderId="2" xfId="0" applyNumberFormat="1" applyFont="1" applyFill="1" applyBorder="1" applyAlignment="1">
      <alignment vertical="top" wrapText="1"/>
    </xf>
    <xf numFmtId="0" fontId="7" fillId="15" borderId="6" xfId="0" applyNumberFormat="1" applyFont="1" applyFill="1" applyBorder="1" applyAlignment="1">
      <alignment horizontal="center" vertical="center" wrapText="1"/>
    </xf>
    <xf numFmtId="0" fontId="2" fillId="13" borderId="6" xfId="0" applyNumberFormat="1" applyFont="1" applyFill="1" applyBorder="1" applyAlignment="1">
      <alignment horizontal="left" vertical="center" wrapText="1"/>
    </xf>
    <xf numFmtId="0" fontId="2" fillId="16" borderId="2" xfId="0" applyNumberFormat="1" applyFont="1" applyFill="1" applyBorder="1" applyAlignment="1">
      <alignment vertical="top" wrapText="1"/>
    </xf>
    <xf numFmtId="0" fontId="2" fillId="16" borderId="6" xfId="0" applyNumberFormat="1" applyFont="1" applyFill="1" applyBorder="1" applyAlignment="1">
      <alignment horizontal="left" vertical="center" wrapText="1"/>
    </xf>
    <xf numFmtId="0" fontId="0" fillId="16" borderId="0" xfId="0" applyFill="1"/>
    <xf numFmtId="0" fontId="8" fillId="14" borderId="2" xfId="0" applyNumberFormat="1" applyFont="1" applyFill="1" applyBorder="1" applyAlignment="1">
      <alignment vertical="top" wrapText="1"/>
    </xf>
    <xf numFmtId="0" fontId="2" fillId="16" borderId="3" xfId="0" applyNumberFormat="1" applyFont="1" applyFill="1" applyBorder="1" applyAlignment="1">
      <alignment vertical="top" wrapText="1"/>
    </xf>
    <xf numFmtId="0" fontId="2" fillId="16" borderId="4" xfId="0" applyNumberFormat="1" applyFont="1" applyFill="1" applyBorder="1" applyAlignment="1">
      <alignment vertical="top" wrapText="1"/>
    </xf>
    <xf numFmtId="0" fontId="3" fillId="10" borderId="0" xfId="0" applyNumberFormat="1" applyFont="1" applyFill="1" applyBorder="1" applyAlignment="1">
      <alignment horizontal="center" vertical="center"/>
    </xf>
    <xf numFmtId="0" fontId="4" fillId="10" borderId="0" xfId="0" applyNumberFormat="1" applyFont="1" applyFill="1" applyBorder="1" applyAlignment="1">
      <alignment horizontal="center" vertical="center"/>
    </xf>
    <xf numFmtId="0" fontId="5" fillId="11" borderId="0" xfId="0" applyNumberFormat="1" applyFont="1" applyFill="1" applyBorder="1" applyAlignment="1">
      <alignment horizontal="center" vertical="center"/>
    </xf>
    <xf numFmtId="0" fontId="6" fillId="12" borderId="5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vertical="center"/>
    </xf>
    <xf numFmtId="0" fontId="4" fillId="4" borderId="0" xfId="0" applyNumberFormat="1" applyFont="1" applyFill="1" applyBorder="1" applyAlignment="1">
      <alignment vertical="center"/>
    </xf>
    <xf numFmtId="0" fontId="2" fillId="15" borderId="6" xfId="0" applyNumberFormat="1" applyFont="1" applyFill="1" applyBorder="1" applyAlignment="1">
      <alignment horizontal="left" vertical="center" wrapText="1"/>
    </xf>
    <xf numFmtId="0" fontId="0" fillId="15" borderId="0" xfId="0" applyFill="1"/>
    <xf numFmtId="0" fontId="2" fillId="16" borderId="0" xfId="0" applyNumberFormat="1" applyFont="1" applyFill="1" applyAlignment="1">
      <alignment vertical="top" wrapText="1"/>
    </xf>
    <xf numFmtId="0" fontId="2" fillId="16" borderId="7" xfId="0" applyNumberFormat="1" applyFont="1" applyFill="1" applyBorder="1" applyAlignment="1">
      <alignment vertical="top" wrapText="1"/>
    </xf>
    <xf numFmtId="0" fontId="2" fillId="16" borderId="0" xfId="0" applyNumberFormat="1" applyFont="1" applyFill="1" applyBorder="1" applyAlignment="1">
      <alignment vertical="top" wrapText="1"/>
    </xf>
    <xf numFmtId="0" fontId="0" fillId="9" borderId="2" xfId="0" applyNumberFormat="1" applyFont="1" applyFill="1" applyBorder="1" applyAlignment="1">
      <alignment vertical="top" wrapText="1"/>
    </xf>
    <xf numFmtId="0" fontId="0" fillId="9" borderId="0" xfId="0" applyNumberFormat="1" applyFont="1" applyFill="1" applyAlignment="1">
      <alignment vertical="top" wrapText="1"/>
    </xf>
    <xf numFmtId="0" fontId="0" fillId="9" borderId="4" xfId="0" applyNumberFormat="1" applyFont="1" applyFill="1" applyBorder="1" applyAlignment="1">
      <alignment vertical="top" wrapText="1"/>
    </xf>
    <xf numFmtId="0" fontId="0" fillId="9" borderId="3" xfId="0" applyNumberFormat="1" applyFont="1" applyFill="1" applyBorder="1" applyAlignment="1">
      <alignment vertical="top" wrapText="1"/>
    </xf>
    <xf numFmtId="0" fontId="2" fillId="16" borderId="0" xfId="0" applyNumberFormat="1" applyFont="1" applyFill="1" applyAlignment="1">
      <alignment horizontal="left" vertical="top" wrapText="1"/>
    </xf>
    <xf numFmtId="0" fontId="0" fillId="16" borderId="8" xfId="0" applyFill="1" applyBorder="1" applyAlignment="1">
      <alignment horizontal="left" vertical="center" wrapText="1"/>
    </xf>
    <xf numFmtId="0" fontId="2" fillId="15" borderId="0" xfId="0" applyNumberFormat="1" applyFont="1" applyFill="1" applyAlignment="1">
      <alignment vertical="top" wrapText="1"/>
    </xf>
  </cellXfs>
  <cellStyles count="1">
    <cellStyle name="Normal" xfId="0" builtinId="0"/>
  </cellStyles>
  <dxfs count="2"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4" name="ResumenEjecutivo" displayName="ResumenEjecutivo" ref="A8:K297" totalsRowShown="0">
  <autoFilter ref="A8:K297"/>
  <sortState ref="A136:K296">
    <sortCondition ref="E8:E296"/>
  </sortState>
  <tableColumns count="11">
    <tableColumn id="1" name="ID"/>
    <tableColumn id="2" name="Clase"/>
    <tableColumn id="3" name="Empresa"/>
    <tableColumn id="4" name="Categoría comercial"/>
    <tableColumn id="5" name="Corredor"/>
    <tableColumn id="6" name="Ciudad"/>
    <tableColumn id="7" name="Teléfonos"/>
    <tableColumn id="8" name="Preguntar por"/>
    <tableColumn id="9" name="Necesidad probable"/>
    <tableColumn id="10" name="Prioridad de visita" dataDxfId="1"/>
    <tableColumn id="11" name="Nota Direc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1" name="ProspectosMaster" displayName="ProspectosMaster" ref="A1:AM288" totalsRowShown="0">
  <tableColumns count="39">
    <tableColumn id="1" name="ID"/>
    <tableColumn id="2" name="Estado de contacto"/>
    <tableColumn id="3" name="Corredor"/>
    <tableColumn id="4" name="Microzona"/>
    <tableColumn id="5" name="Ciudad"/>
    <tableColumn id="6" name="Clase"/>
    <tableColumn id="7" name="Puntaje operativo"/>
    <tableColumn id="8" name="Empresa"/>
    <tableColumn id="9" name="Sector"/>
    <tableColumn id="10" name="Categoría comercial"/>
    <tableColumn id="11" name="Teléfonos"/>
    <tableColumn id="12" name="Calidad del teléfono"/>
    <tableColumn id="13" name="Preguntar por"/>
    <tableColumn id="14" name="Necesidad probable"/>
    <tableColumn id="15" name="Oferta PRESOL"/>
    <tableColumn id="16" name="Gancho comercial"/>
    <tableColumn id="17" name="Acción sugerida"/>
    <tableColumn id="18" name="Responsable"/>
    <tableColumn id="19" name="Nota Dirección"/>
    <tableColumn id="20" name="Resultado"/>
    <tableColumn id="21" name="Fecha de visita"/>
    <tableColumn id="22" name="Próximo paso"/>
    <tableColumn id="23" name="Notas de campo"/>
    <tableColumn id="24" name="Teléfono principal (tel:)"/>
    <tableColumn id="25" name="Links telefónicos"/>
    <tableColumn id="26" name="Dato pendiente"/>
    <tableColumn id="27" name="Google Maps"/>
    <tableColumn id="28" name="Fuente"/>
    <tableColumn id="29" name="URL fuente"/>
    <tableColumn id="30" name="Evidencia"/>
    <tableColumn id="31" name="Calidad del dato"/>
    <tableColumn id="32" name="Origen del registro"/>
    <tableColumn id="33" name="Servicios PRESOL a ofrecer"/>
    <tableColumn id="34" name="Rubro foco enriquecimiento"/>
    <tableColumn id="35" name="Ciudad foco solicitada"/>
    <tableColumn id="36" name="Prioridad visita sugerida"/>
    <tableColumn id="37" name="Observación servicio nuevo"/>
    <tableColumn id="38" name="Fuente unificación"/>
    <tableColumn id="39" name="Notas de unific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3" name="ColaVerificacion" displayName="ColaVerificacion" ref="A4:J93" totalsRowShown="0">
  <tableColumns count="10">
    <tableColumn id="1" name="ID"/>
    <tableColumn id="2" name="Ciudad"/>
    <tableColumn id="3" name="Clase"/>
    <tableColumn id="4" name="Empresa"/>
    <tableColumn id="5" name="Sector"/>
    <tableColumn id="6" name="Teléfonos"/>
    <tableColumn id="7" name="Calidad del teléfono"/>
    <tableColumn id="8" name="Preguntar por"/>
    <tableColumn id="9" name="Dato pendiente"/>
    <tableColumn id="10" name="Google Ma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7"/>
  <sheetViews>
    <sheetView tabSelected="1" topLeftCell="C64" zoomScaleNormal="100" workbookViewId="0">
      <selection activeCell="K64" sqref="K64"/>
    </sheetView>
  </sheetViews>
  <sheetFormatPr baseColWidth="10" defaultColWidth="9" defaultRowHeight="14.25"/>
  <cols>
    <col min="1" max="1" width="10" customWidth="1"/>
    <col min="2" max="2" width="7" customWidth="1"/>
    <col min="3" max="3" width="29" customWidth="1"/>
    <col min="4" max="4" width="26" customWidth="1"/>
    <col min="5" max="5" width="21" customWidth="1"/>
    <col min="6" max="6" width="17" customWidth="1"/>
    <col min="7" max="7" width="24" customWidth="1"/>
    <col min="8" max="8" width="22" customWidth="1"/>
    <col min="9" max="9" width="40" customWidth="1"/>
    <col min="10" max="10" width="17" customWidth="1"/>
    <col min="11" max="11" width="36" customWidth="1"/>
  </cols>
  <sheetData>
    <row r="1" spans="1:11" ht="30" customHeight="1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1.95" customHeight="1">
      <c r="A2" s="37" t="s">
        <v>49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spans="1:11">
      <c r="A4" s="38" t="s">
        <v>50</v>
      </c>
      <c r="B4" s="38"/>
      <c r="C4" s="38" t="s">
        <v>51</v>
      </c>
      <c r="D4" s="38"/>
      <c r="E4" s="38" t="s">
        <v>52</v>
      </c>
      <c r="F4" s="38"/>
      <c r="G4" s="38" t="s">
        <v>53</v>
      </c>
      <c r="H4" s="38"/>
      <c r="I4" s="38" t="s">
        <v>54</v>
      </c>
      <c r="J4" s="38"/>
      <c r="K4" s="20" t="s">
        <v>55</v>
      </c>
    </row>
    <row r="5" spans="1:11" ht="23.25">
      <c r="A5" s="39">
        <f>COUNTA(Prospectos!A2:A288)</f>
        <v>287</v>
      </c>
      <c r="B5" s="39"/>
      <c r="C5" s="39">
        <f>COUNTIF(Prospectos!F2:F288,"A")</f>
        <v>162</v>
      </c>
      <c r="D5" s="39"/>
      <c r="E5" s="39">
        <f>COUNTIF(Prospectos!F2:F288,"B")</f>
        <v>110</v>
      </c>
      <c r="F5" s="39"/>
      <c r="G5" s="39">
        <f>COUNTIF(Prospectos!F2:F288,"C")</f>
        <v>15</v>
      </c>
      <c r="H5" s="39"/>
      <c r="I5" s="39">
        <f>COUNTIF(Prospectos!L2:L288,"OK")</f>
        <v>198</v>
      </c>
      <c r="J5" s="39"/>
      <c r="K5" s="21">
        <f>COUNTIF(Prospectos!L2:L288,"&lt;&gt;OK")</f>
        <v>89</v>
      </c>
    </row>
    <row r="8" spans="1:11" ht="32.1" customHeight="1">
      <c r="A8" s="22" t="s">
        <v>56</v>
      </c>
      <c r="B8" s="22" t="s">
        <v>57</v>
      </c>
      <c r="C8" s="22" t="s">
        <v>58</v>
      </c>
      <c r="D8" s="22" t="s">
        <v>59</v>
      </c>
      <c r="E8" s="22" t="s">
        <v>60</v>
      </c>
      <c r="F8" s="22" t="s">
        <v>61</v>
      </c>
      <c r="G8" s="22" t="s">
        <v>62</v>
      </c>
      <c r="H8" s="22" t="s">
        <v>63</v>
      </c>
      <c r="I8" s="22" t="s">
        <v>64</v>
      </c>
      <c r="J8" s="22" t="s">
        <v>65</v>
      </c>
      <c r="K8" s="28" t="s">
        <v>66</v>
      </c>
    </row>
    <row r="9" spans="1:11" s="32" customFormat="1" ht="33.950000000000003" customHeight="1">
      <c r="A9" s="30" t="s">
        <v>67</v>
      </c>
      <c r="B9" s="30" t="str">
        <f>IFERROR(INDEX(Prospectos!$F$2:$F$288,MATCH($A9,Prospectos!$A$2:$A$288,0)),"")</f>
        <v>A</v>
      </c>
      <c r="C9" s="30" t="str">
        <f>IFERROR(INDEX(Prospectos!$H$2:$H$288,MATCH($A9,Prospectos!$A$2:$A$288,0)),"")</f>
        <v>Ascanelli S.A.</v>
      </c>
      <c r="D9" s="30" t="str">
        <f>IFERROR(INDEX(Prospectos!$J$2:$J$288,MATCH($A9,Prospectos!$A$2:$A$288,0)),"")</f>
        <v>Maquinaria agrícola</v>
      </c>
      <c r="E9" s="30" t="str">
        <f>IFERROR(INDEX(Prospectos!$C$2:$C$288,MATCH($A9,Prospectos!$A$2:$A$288,0)),"")</f>
        <v>Base Río Tercero</v>
      </c>
      <c r="F9" s="30" t="str">
        <f>IFERROR(INDEX(Prospectos!$E$2:$E$288,MATCH($A9,Prospectos!$A$2:$A$288,0)),"")</f>
        <v>Río Tercero</v>
      </c>
      <c r="G9" s="30" t="str">
        <f>IFERROR(INDEX(Prospectos!$K$2:$K$288,MATCH($A9,Prospectos!$A$2:$A$288,0)),"")</f>
        <v>03571 423691</v>
      </c>
      <c r="H9" s="30" t="str">
        <f>IFERROR(INDEX(Prospectos!$M$2:$M$288,MATCH($A9,Prospectos!$A$2:$A$288,0)),"")</f>
        <v>logística / ventas / postventa</v>
      </c>
      <c r="I9" s="30" t="str">
        <f>IFERROR(INDEX(Prospectos!$N$2:$N$288,MATCH($A9,Prospectos!$A$2:$A$288,0)),"")</f>
        <v>Despacho de implementos, tolvas, sembradoras, estructuras, equipos terminados y componentes de gran porte hacia concesionarios, clientes, ferias o campo.</v>
      </c>
      <c r="J9" s="30" t="str">
        <f>IFERROR(INDEX(Prospectos!$AJ$2:$AJ$288,MATCH($A9,Prospectos!$A$2:$A$288,0)),"")</f>
        <v>Muy alta</v>
      </c>
      <c r="K9" s="31" t="s">
        <v>2868</v>
      </c>
    </row>
    <row r="10" spans="1:11" ht="33.950000000000003" customHeight="1">
      <c r="A10" s="3" t="s">
        <v>68</v>
      </c>
      <c r="B10" s="3" t="str">
        <f>IFERROR(INDEX(Prospectos!$F$2:$F$288,MATCH($A10,Prospectos!$A$2:$A$288,0)),"")</f>
        <v>A</v>
      </c>
      <c r="C10" s="27" t="str">
        <f>IFERROR(INDEX(Prospectos!$H$2:$H$288,MATCH($A10,Prospectos!$A$2:$A$288,0)),"")</f>
        <v>Hormicor</v>
      </c>
      <c r="D10" s="3" t="str">
        <f>IFERROR(INDEX(Prospectos!$J$2:$J$288,MATCH($A10,Prospectos!$A$2:$A$288,0)),"")</f>
        <v>Hormigón, áridos y materiales</v>
      </c>
      <c r="E10" s="3" t="str">
        <f>IFERROR(INDEX(Prospectos!$C$2:$C$288,MATCH($A10,Prospectos!$A$2:$A$288,0)),"")</f>
        <v>Base Río Tercero</v>
      </c>
      <c r="F10" s="3" t="str">
        <f>IFERROR(INDEX(Prospectos!$E$2:$E$288,MATCH($A10,Prospectos!$A$2:$A$288,0)),"")</f>
        <v>Río Tercero</v>
      </c>
      <c r="G10" s="3" t="str">
        <f>IFERROR(INDEX(Prospectos!$K$2:$K$288,MATCH($A10,Prospectos!$A$2:$A$288,0)),"")</f>
        <v>03571 500888 / 03571 510066</v>
      </c>
      <c r="H10" s="3" t="str">
        <f>IFERROR(INDEX(Prospectos!$M$2:$M$288,MATCH($A10,Prospectos!$A$2:$A$288,0)),"")</f>
        <v>planta / mantenimiento</v>
      </c>
      <c r="I10" s="3" t="str">
        <f>IFERROR(INDEX(Prospectos!$N$2:$N$288,MATCH($A10,Prospectos!$A$2:$A$288,0)),"")</f>
        <v>Movimiento de premoldeados, equipos de planta/cantera, bombas, moldes y cargas pesadas.</v>
      </c>
      <c r="J10" s="3" t="str">
        <f>IFERROR(INDEX(Prospectos!$AJ$2:$AJ$288,MATCH($A10,Prospectos!$A$2:$A$288,0)),"")</f>
        <v>Muy alta</v>
      </c>
      <c r="K10" s="29"/>
    </row>
    <row r="11" spans="1:11" s="32" customFormat="1" ht="33.950000000000003" customHeight="1">
      <c r="A11" s="30" t="s">
        <v>69</v>
      </c>
      <c r="B11" s="30" t="str">
        <f>IFERROR(INDEX(Prospectos!$F$2:$F$288,MATCH($A11,Prospectos!$A$2:$A$288,0)),"")</f>
        <v>A</v>
      </c>
      <c r="C11" s="30" t="str">
        <f>IFERROR(INDEX(Prospectos!$H$2:$H$288,MATCH($A11,Prospectos!$A$2:$A$288,0)),"")</f>
        <v>Metalúrgica Monticelli</v>
      </c>
      <c r="D11" s="30" t="str">
        <f>IFERROR(INDEX(Prospectos!$J$2:$J$288,MATCH($A11,Prospectos!$A$2:$A$288,0)),"")</f>
        <v>Maquinaria agrícola</v>
      </c>
      <c r="E11" s="30" t="str">
        <f>IFERROR(INDEX(Prospectos!$C$2:$C$288,MATCH($A11,Prospectos!$A$2:$A$288,0)),"")</f>
        <v>Base Río Tercero</v>
      </c>
      <c r="F11" s="30" t="str">
        <f>IFERROR(INDEX(Prospectos!$E$2:$E$288,MATCH($A11,Prospectos!$A$2:$A$288,0)),"")</f>
        <v>Río Tercero</v>
      </c>
      <c r="G11" s="30" t="str">
        <f>IFERROR(INDEX(Prospectos!$K$2:$K$288,MATCH($A11,Prospectos!$A$2:$A$288,0)),"")</f>
        <v>+54 3571 613058 / +54 3571 613060</v>
      </c>
      <c r="H11" s="30" t="str">
        <f>IFERROR(INDEX(Prospectos!$M$2:$M$288,MATCH($A11,Prospectos!$A$2:$A$288,0)),"")</f>
        <v>logística / despacho / postventa</v>
      </c>
      <c r="I11" s="30" t="str">
        <f>IFERROR(INDEX(Prospectos!$N$2:$N$288,MATCH($A11,Prospectos!$A$2:$A$288,0)),"")</f>
        <v>Traslado de maquinaria, implementos, equipos terminados y componentes de gran porte entre planta, cliente, obra o feria.</v>
      </c>
      <c r="J11" s="30" t="str">
        <f>IFERROR(INDEX(Prospectos!$AJ$2:$AJ$288,MATCH($A11,Prospectos!$A$2:$A$288,0)),"")</f>
        <v>Muy alta</v>
      </c>
      <c r="K11" s="31" t="s">
        <v>2869</v>
      </c>
    </row>
    <row r="12" spans="1:11" s="32" customFormat="1" ht="33.950000000000003" customHeight="1">
      <c r="A12" s="30" t="s">
        <v>70</v>
      </c>
      <c r="B12" s="30" t="str">
        <f>IFERROR(INDEX(Prospectos!$F$2:$F$288,MATCH($A12,Prospectos!$A$2:$A$288,0)),"")</f>
        <v>A</v>
      </c>
      <c r="C12" s="30" t="str">
        <f>IFERROR(INDEX(Prospectos!$H$2:$H$288,MATCH($A12,Prospectos!$A$2:$A$288,0)),"")</f>
        <v>Metalúrgica Novaretti</v>
      </c>
      <c r="D12" s="30" t="str">
        <f>IFERROR(INDEX(Prospectos!$J$2:$J$288,MATCH($A12,Prospectos!$A$2:$A$288,0)),"")</f>
        <v>Metalúrgica y fabricación</v>
      </c>
      <c r="E12" s="30" t="str">
        <f>IFERROR(INDEX(Prospectos!$C$2:$C$288,MATCH($A12,Prospectos!$A$2:$A$288,0)),"")</f>
        <v>Base Río Tercero</v>
      </c>
      <c r="F12" s="30" t="str">
        <f>IFERROR(INDEX(Prospectos!$E$2:$E$288,MATCH($A12,Prospectos!$A$2:$A$288,0)),"")</f>
        <v>Río Tercero</v>
      </c>
      <c r="G12" s="30" t="str">
        <f>IFERROR(INDEX(Prospectos!$K$2:$K$288,MATCH($A12,Prospectos!$A$2:$A$288,0)),"")</f>
        <v>03571 414282 / 03571 606930</v>
      </c>
      <c r="H12" s="30" t="str">
        <f>IFERROR(INDEX(Prospectos!$M$2:$M$288,MATCH($A12,Prospectos!$A$2:$A$288,0)),"")</f>
        <v>despacho / producción</v>
      </c>
      <c r="I12" s="30" t="str">
        <f>IFERROR(INDEX(Prospectos!$N$2:$N$288,MATCH($A12,Prospectos!$A$2:$A$288,0)),"")</f>
        <v>Despacho seguro de estructuras, carrozados, tanques, piezas industriales y equipos sobre plataforma.</v>
      </c>
      <c r="J12" s="30" t="str">
        <f>IFERROR(INDEX(Prospectos!$AJ$2:$AJ$288,MATCH($A12,Prospectos!$A$2:$A$288,0)),"")</f>
        <v>Muy alta</v>
      </c>
      <c r="K12" s="31" t="s">
        <v>2871</v>
      </c>
    </row>
    <row r="13" spans="1:11" s="32" customFormat="1" ht="33.950000000000003" customHeight="1">
      <c r="A13" s="30" t="s">
        <v>71</v>
      </c>
      <c r="B13" s="30" t="str">
        <f>IFERROR(INDEX(Prospectos!$F$2:$F$288,MATCH($A13,Prospectos!$A$2:$A$288,0)),"")</f>
        <v>A</v>
      </c>
      <c r="C13" s="30" t="str">
        <f>IFERROR(INDEX(Prospectos!$H$2:$H$288,MATCH($A13,Prospectos!$A$2:$A$288,0)),"")</f>
        <v>Metalúrgica Río Tercero S.A.</v>
      </c>
      <c r="D13" s="30" t="str">
        <f>IFERROR(INDEX(Prospectos!$J$2:$J$288,MATCH($A13,Prospectos!$A$2:$A$288,0)),"")</f>
        <v>Metalúrgica y fabricación</v>
      </c>
      <c r="E13" s="30" t="str">
        <f>IFERROR(INDEX(Prospectos!$C$2:$C$288,MATCH($A13,Prospectos!$A$2:$A$288,0)),"")</f>
        <v>Base Río Tercero</v>
      </c>
      <c r="F13" s="30" t="str">
        <f>IFERROR(INDEX(Prospectos!$E$2:$E$288,MATCH($A13,Prospectos!$A$2:$A$288,0)),"")</f>
        <v>Río Tercero</v>
      </c>
      <c r="G13" s="30" t="str">
        <f>IFERROR(INDEX(Prospectos!$K$2:$K$288,MATCH($A13,Prospectos!$A$2:$A$288,0)),"")</f>
        <v>03571 430558</v>
      </c>
      <c r="H13" s="30" t="str">
        <f>IFERROR(INDEX(Prospectos!$M$2:$M$288,MATCH($A13,Prospectos!$A$2:$A$288,0)),"")</f>
        <v>despacho / producción</v>
      </c>
      <c r="I13" s="30" t="str">
        <f>IFERROR(INDEX(Prospectos!$N$2:$N$288,MATCH($A13,Prospectos!$A$2:$A$288,0)),"")</f>
        <v>Traslado de equipos de planta, silos, repuestos pesados, balanzas, implementos y cargas especiales.</v>
      </c>
      <c r="J13" s="30" t="str">
        <f>IFERROR(INDEX(Prospectos!$AJ$2:$AJ$288,MATCH($A13,Prospectos!$A$2:$A$288,0)),"")</f>
        <v>Muy alta</v>
      </c>
      <c r="K13" s="31" t="s">
        <v>2870</v>
      </c>
    </row>
    <row r="14" spans="1:11" ht="33.950000000000003" customHeight="1">
      <c r="A14" s="3" t="s">
        <v>72</v>
      </c>
      <c r="B14" s="3" t="str">
        <f>IFERROR(INDEX(Prospectos!$F$2:$F$288,MATCH($A14,Prospectos!$A$2:$A$288,0)),"")</f>
        <v>A</v>
      </c>
      <c r="C14" s="27" t="str">
        <f>IFERROR(INDEX(Prospectos!$H$2:$H$288,MATCH($A14,Prospectos!$A$2:$A$288,0)),"")</f>
        <v>NT Construcciones</v>
      </c>
      <c r="D14" s="3" t="str">
        <f>IFERROR(INDEX(Prospectos!$J$2:$J$288,MATCH($A14,Prospectos!$A$2:$A$288,0)),"")</f>
        <v>Construcción y obra vial</v>
      </c>
      <c r="E14" s="3" t="str">
        <f>IFERROR(INDEX(Prospectos!$C$2:$C$288,MATCH($A14,Prospectos!$A$2:$A$288,0)),"")</f>
        <v>Base Río Tercero</v>
      </c>
      <c r="F14" s="3" t="str">
        <f>IFERROR(INDEX(Prospectos!$E$2:$E$288,MATCH($A14,Prospectos!$A$2:$A$288,0)),"")</f>
        <v>Río Tercero</v>
      </c>
      <c r="G14" s="3" t="str">
        <f>IFERROR(INDEX(Prospectos!$K$2:$K$288,MATCH($A14,Prospectos!$A$2:$A$288,0)),"")</f>
        <v>+54 9 3571 597645</v>
      </c>
      <c r="H14" s="3" t="str">
        <f>IFERROR(INDEX(Prospectos!$M$2:$M$288,MATCH($A14,Prospectos!$A$2:$A$288,0)),"")</f>
        <v>operaciones / jefe de obra</v>
      </c>
      <c r="I14" s="3" t="str">
        <f>IFERROR(INDEX(Prospectos!$N$2:$N$288,MATCH($A14,Prospectos!$A$2:$A$288,0)),"")</f>
        <v>Traslado de maquinaria, módulos de obrador, estructuras, equipos y cargas pesadas entre frentes.</v>
      </c>
      <c r="J14" s="3" t="str">
        <f>IFERROR(INDEX(Prospectos!$AJ$2:$AJ$288,MATCH($A14,Prospectos!$A$2:$A$288,0)),"")</f>
        <v>Muy alta</v>
      </c>
      <c r="K14" s="29"/>
    </row>
    <row r="15" spans="1:11" s="32" customFormat="1" ht="33.950000000000003" customHeight="1">
      <c r="A15" s="30" t="s">
        <v>73</v>
      </c>
      <c r="B15" s="30" t="str">
        <f>IFERROR(INDEX(Prospectos!$F$2:$F$288,MATCH($A15,Prospectos!$A$2:$A$288,0)),"")</f>
        <v>A</v>
      </c>
      <c r="C15" s="30" t="str">
        <f>IFERROR(INDEX(Prospectos!$H$2:$H$288,MATCH($A15,Prospectos!$A$2:$A$288,0)),"")</f>
        <v>SALA / Agrotecnología Sala — Río Tercero</v>
      </c>
      <c r="D15" s="30" t="str">
        <f>IFERROR(INDEX(Prospectos!$J$2:$J$288,MATCH($A15,Prospectos!$A$2:$A$288,0)),"")</f>
        <v>Maquinaria agrícola</v>
      </c>
      <c r="E15" s="30" t="str">
        <f>IFERROR(INDEX(Prospectos!$C$2:$C$288,MATCH($A15,Prospectos!$A$2:$A$288,0)),"")</f>
        <v>Base Río Tercero</v>
      </c>
      <c r="F15" s="30" t="str">
        <f>IFERROR(INDEX(Prospectos!$E$2:$E$288,MATCH($A15,Prospectos!$A$2:$A$288,0)),"")</f>
        <v>Río Tercero</v>
      </c>
      <c r="G15" s="30" t="str">
        <f>IFERROR(INDEX(Prospectos!$K$2:$K$288,MATCH($A15,Prospectos!$A$2:$A$288,0)),"")</f>
        <v>+54 9 358 4843387</v>
      </c>
      <c r="H15" s="30" t="str">
        <f>IFERROR(INDEX(Prospectos!$M$2:$M$288,MATCH($A15,Prospectos!$A$2:$A$288,0)),"")</f>
        <v>logística / entregas / usados / postventa / gerente comercial</v>
      </c>
      <c r="I15" s="30" t="str">
        <f>IFERROR(INDEX(Prospectos!$N$2:$N$288,MATCH($A15,Prospectos!$A$2:$A$288,0)),"")</f>
        <v>Entrega y retiro de tractores, cosechadoras, pulverizadoras, sembradoras e implementos; movimientos por ventas, canjes, usados, service, demostraciones y ferias.</v>
      </c>
      <c r="J15" s="30" t="str">
        <f>IFERROR(INDEX(Prospectos!$AJ$2:$AJ$288,MATCH($A15,Prospectos!$A$2:$A$288,0)),"")</f>
        <v>Muy alta</v>
      </c>
      <c r="K15" s="31"/>
    </row>
    <row r="16" spans="1:11" ht="33.950000000000003" customHeight="1">
      <c r="A16" s="3" t="s">
        <v>74</v>
      </c>
      <c r="B16" s="3" t="str">
        <f>IFERROR(INDEX(Prospectos!$F$2:$F$288,MATCH($A16,Prospectos!$A$2:$A$288,0)),"")</f>
        <v>A</v>
      </c>
      <c r="C16" s="3" t="str">
        <f>IFERROR(INDEX(Prospectos!$H$2:$H$288,MATCH($A16,Prospectos!$A$2:$A$288,0)),"")</f>
        <v>Sinfix SAS</v>
      </c>
      <c r="D16" s="3" t="str">
        <f>IFERROR(INDEX(Prospectos!$J$2:$J$288,MATCH($A16,Prospectos!$A$2:$A$288,0)),"")</f>
        <v>Metalúrgica y fabricación</v>
      </c>
      <c r="E16" s="3" t="str">
        <f>IFERROR(INDEX(Prospectos!$C$2:$C$288,MATCH($A16,Prospectos!$A$2:$A$288,0)),"")</f>
        <v>Base Río Tercero</v>
      </c>
      <c r="F16" s="3" t="str">
        <f>IFERROR(INDEX(Prospectos!$E$2:$E$288,MATCH($A16,Prospectos!$A$2:$A$288,0)),"")</f>
        <v>Río Tercero</v>
      </c>
      <c r="G16" s="3" t="str">
        <f>IFERROR(INDEX(Prospectos!$K$2:$K$288,MATCH($A16,Prospectos!$A$2:$A$288,0)),"")</f>
        <v>+54 9 3571 405077</v>
      </c>
      <c r="H16" s="3" t="str">
        <f>IFERROR(INDEX(Prospectos!$M$2:$M$288,MATCH($A16,Prospectos!$A$2:$A$288,0)),"")</f>
        <v>despacho / producción</v>
      </c>
      <c r="I16" s="3" t="str">
        <f>IFERROR(INDEX(Prospectos!$N$2:$N$288,MATCH($A16,Prospectos!$A$2:$A$288,0)),"")</f>
        <v>Despacho de estructuras, piezas, equipos y conjuntos metalmecánicos de gran porte hacia obras o clientes.</v>
      </c>
      <c r="J16" s="3" t="str">
        <f>IFERROR(INDEX(Prospectos!$AJ$2:$AJ$288,MATCH($A16,Prospectos!$A$2:$A$288,0)),"")</f>
        <v>Muy alta</v>
      </c>
      <c r="K16" s="29"/>
    </row>
    <row r="17" spans="1:11" s="32" customFormat="1" ht="33.950000000000003" customHeight="1">
      <c r="A17" s="30" t="s">
        <v>75</v>
      </c>
      <c r="B17" s="30" t="str">
        <f>IFERROR(INDEX(Prospectos!$F$2:$F$288,MATCH($A17,Prospectos!$A$2:$A$288,0)),"")</f>
        <v>A</v>
      </c>
      <c r="C17" s="30" t="str">
        <f>IFERROR(INDEX(Prospectos!$H$2:$H$288,MATCH($A17,Prospectos!$A$2:$A$288,0)),"")</f>
        <v>Suragro - Implementos Agrícolas</v>
      </c>
      <c r="D17" s="30" t="str">
        <f>IFERROR(INDEX(Prospectos!$J$2:$J$288,MATCH($A17,Prospectos!$A$2:$A$288,0)),"")</f>
        <v>Maquinaria agrícola</v>
      </c>
      <c r="E17" s="30" t="str">
        <f>IFERROR(INDEX(Prospectos!$C$2:$C$288,MATCH($A17,Prospectos!$A$2:$A$288,0)),"")</f>
        <v>Base Río Tercero</v>
      </c>
      <c r="F17" s="30" t="str">
        <f>IFERROR(INDEX(Prospectos!$E$2:$E$288,MATCH($A17,Prospectos!$A$2:$A$288,0)),"")</f>
        <v>Río Tercero</v>
      </c>
      <c r="G17" s="30" t="str">
        <f>IFERROR(INDEX(Prospectos!$K$2:$K$288,MATCH($A17,Prospectos!$A$2:$A$288,0)),"")</f>
        <v>03571 424574</v>
      </c>
      <c r="H17" s="30" t="str">
        <f>IFERROR(INDEX(Prospectos!$M$2:$M$288,MATCH($A17,Prospectos!$A$2:$A$288,0)),"")</f>
        <v>logística / despacho / postventa</v>
      </c>
      <c r="I17" s="30" t="str">
        <f>IFERROR(INDEX(Prospectos!$N$2:$N$288,MATCH($A17,Prospectos!$A$2:$A$288,0)),"")</f>
        <v>Traslado de maquinaria, implementos, equipos terminados y componentes de gran porte entre planta, cliente, obra o feria.</v>
      </c>
      <c r="J17" s="30" t="str">
        <f>IFERROR(INDEX(Prospectos!$AJ$2:$AJ$288,MATCH($A17,Prospectos!$A$2:$A$288,0)),"")</f>
        <v>Muy alta</v>
      </c>
      <c r="K17" s="31"/>
    </row>
    <row r="18" spans="1:11" s="32" customFormat="1" ht="33.950000000000003" customHeight="1">
      <c r="A18" s="30" t="s">
        <v>76</v>
      </c>
      <c r="B18" s="30" t="str">
        <f>IFERROR(INDEX(Prospectos!$F$2:$F$288,MATCH($A18,Prospectos!$A$2:$A$288,0)),"")</f>
        <v>A</v>
      </c>
      <c r="C18" s="30" t="str">
        <f>IFERROR(INDEX(Prospectos!$H$2:$H$288,MATCH($A18,Prospectos!$A$2:$A$288,0)),"")</f>
        <v>Tres Eme S.A.</v>
      </c>
      <c r="D18" s="30" t="str">
        <f>IFERROR(INDEX(Prospectos!$J$2:$J$288,MATCH($A18,Prospectos!$A$2:$A$288,0)),"")</f>
        <v>Agro, acopio y cooperativas</v>
      </c>
      <c r="E18" s="30" t="str">
        <f>IFERROR(INDEX(Prospectos!$C$2:$C$288,MATCH($A18,Prospectos!$A$2:$A$288,0)),"")</f>
        <v>Base Río Tercero</v>
      </c>
      <c r="F18" s="30" t="str">
        <f>IFERROR(INDEX(Prospectos!$E$2:$E$288,MATCH($A18,Prospectos!$A$2:$A$288,0)),"")</f>
        <v>Río Tercero</v>
      </c>
      <c r="G18" s="30" t="str">
        <f>IFERROR(INDEX(Prospectos!$K$2:$K$288,MATCH($A18,Prospectos!$A$2:$A$288,0)),"")</f>
        <v>03571 432190 / 03571 637720</v>
      </c>
      <c r="H18" s="30" t="str">
        <f>IFERROR(INDEX(Prospectos!$M$2:$M$288,MATCH($A18,Prospectos!$A$2:$A$288,0)),"")</f>
        <v>responsable de acopio / mantenimiento</v>
      </c>
      <c r="I18" s="30" t="str">
        <f>IFERROR(INDEX(Prospectos!$N$2:$N$288,MATCH($A18,Prospectos!$A$2:$A$288,0)),"")</f>
        <v>Traslado de equipos de planta, silos, repuestos pesados, balanzas, implementos y cargas especiales.</v>
      </c>
      <c r="J18" s="30" t="str">
        <f>IFERROR(INDEX(Prospectos!$AJ$2:$AJ$288,MATCH($A18,Prospectos!$A$2:$A$288,0)),"")</f>
        <v>Muy alta</v>
      </c>
      <c r="K18" s="31" t="s">
        <v>2872</v>
      </c>
    </row>
    <row r="19" spans="1:11" ht="33.950000000000003" customHeight="1">
      <c r="A19" s="23" t="s">
        <v>77</v>
      </c>
      <c r="B19" s="23" t="str">
        <f>IFERROR(INDEX(Prospectos!$F$2:$F$288,MATCH($A19,Prospectos!$A$2:$A$288,0)),"")</f>
        <v>A</v>
      </c>
      <c r="C19" s="23" t="str">
        <f>IFERROR(INDEX(Prospectos!$H$2:$H$288,MATCH($A19,Prospectos!$A$2:$A$288,0)),"")</f>
        <v>Vial del Centro</v>
      </c>
      <c r="D19" s="23" t="str">
        <f>IFERROR(INDEX(Prospectos!$J$2:$J$288,MATCH($A19,Prospectos!$A$2:$A$288,0)),"")</f>
        <v>Construcción y obra vial</v>
      </c>
      <c r="E19" s="23" t="str">
        <f>IFERROR(INDEX(Prospectos!$C$2:$C$288,MATCH($A19,Prospectos!$A$2:$A$288,0)),"")</f>
        <v>Base Río Tercero</v>
      </c>
      <c r="F19" s="23" t="str">
        <f>IFERROR(INDEX(Prospectos!$E$2:$E$288,MATCH($A19,Prospectos!$A$2:$A$288,0)),"")</f>
        <v>Río Tercero</v>
      </c>
      <c r="G19" s="23" t="str">
        <f>IFERROR(INDEX(Prospectos!$K$2:$K$288,MATCH($A19,Prospectos!$A$2:$A$288,0)),"")</f>
        <v>0351 6411413</v>
      </c>
      <c r="H19" s="23" t="str">
        <f>IFERROR(INDEX(Prospectos!$M$2:$M$288,MATCH($A19,Prospectos!$A$2:$A$288,0)),"")</f>
        <v>operaciones / entregas</v>
      </c>
      <c r="I19" s="23" t="str">
        <f>IFERROR(INDEX(Prospectos!$N$2:$N$288,MATCH($A19,Prospectos!$A$2:$A$288,0)),"")</f>
        <v>Traslado de maquinaria, módulos de obrador, estructuras, equipos y cargas pesadas entre frentes.</v>
      </c>
      <c r="J19" s="23" t="str">
        <f>IFERROR(INDEX(Prospectos!$AJ$2:$AJ$288,MATCH($A19,Prospectos!$A$2:$A$288,0)),"")</f>
        <v>Muy alta</v>
      </c>
      <c r="K19" s="29"/>
    </row>
    <row r="20" spans="1:11" ht="33.950000000000003" customHeight="1">
      <c r="A20" s="3" t="s">
        <v>78</v>
      </c>
      <c r="B20" s="3" t="str">
        <f>IFERROR(INDEX(Prospectos!$F$2:$F$288,MATCH($A20,Prospectos!$A$2:$A$288,0)),"")</f>
        <v>A</v>
      </c>
      <c r="C20" s="27" t="str">
        <f>IFERROR(INDEX(Prospectos!$H$2:$H$288,MATCH($A20,Prospectos!$A$2:$A$288,0)),"")</f>
        <v>HORMIWORK S.A.</v>
      </c>
      <c r="D20" s="3" t="str">
        <f>IFERROR(INDEX(Prospectos!$J$2:$J$288,MATCH($A20,Prospectos!$A$2:$A$288,0)),"")</f>
        <v>Hormigón, áridos y materiales</v>
      </c>
      <c r="E20" s="3" t="str">
        <f>IFERROR(INDEX(Prospectos!$C$2:$C$288,MATCH($A20,Prospectos!$A$2:$A$288,0)),"")</f>
        <v>Base Río Tercero</v>
      </c>
      <c r="F20" s="3" t="str">
        <f>IFERROR(INDEX(Prospectos!$E$2:$E$288,MATCH($A20,Prospectos!$A$2:$A$288,0)),"")</f>
        <v>Río Tercero</v>
      </c>
      <c r="G20" s="3" t="str">
        <f>IFERROR(INDEX(Prospectos!$K$2:$K$288,MATCH($A20,Prospectos!$A$2:$A$288,0)),"")</f>
        <v>03571 565662 (portería parque)</v>
      </c>
      <c r="H20" s="3" t="str">
        <f>IFERROR(INDEX(Prospectos!$M$2:$M$288,MATCH($A20,Prospectos!$A$2:$A$288,0)),"")</f>
        <v>planta / despacho</v>
      </c>
      <c r="I20" s="3" t="str">
        <f>IFERROR(INDEX(Prospectos!$N$2:$N$288,MATCH($A20,Prospectos!$A$2:$A$288,0)),"")</f>
        <v>Movimiento de premoldeados, moldes, equipos de planta y cargas pesadas asociadas a obra.</v>
      </c>
      <c r="J20" s="3" t="str">
        <f>IFERROR(INDEX(Prospectos!$AJ$2:$AJ$288,MATCH($A20,Prospectos!$A$2:$A$288,0)),"")</f>
        <v>Alta</v>
      </c>
      <c r="K20" s="29"/>
    </row>
    <row r="21" spans="1:11" s="32" customFormat="1" ht="33.950000000000003" customHeight="1">
      <c r="A21" s="30" t="s">
        <v>79</v>
      </c>
      <c r="B21" s="30" t="str">
        <f>IFERROR(INDEX(Prospectos!$F$2:$F$288,MATCH($A21,Prospectos!$A$2:$A$288,0)),"")</f>
        <v>A</v>
      </c>
      <c r="C21" s="30" t="str">
        <f>IFERROR(INDEX(Prospectos!$H$2:$H$288,MATCH($A21,Prospectos!$A$2:$A$288,0)),"")</f>
        <v>Bartolomé Cerutti SRL — Río Tercero</v>
      </c>
      <c r="D21" s="30" t="str">
        <f>IFERROR(INDEX(Prospectos!$J$2:$J$288,MATCH($A21,Prospectos!$A$2:$A$288,0)),"")</f>
        <v>Maquinaria agrícola</v>
      </c>
      <c r="E21" s="30" t="str">
        <f>IFERROR(INDEX(Prospectos!$C$2:$C$288,MATCH($A21,Prospectos!$A$2:$A$288,0)),"")</f>
        <v>Base Río Tercero</v>
      </c>
      <c r="F21" s="30" t="str">
        <f>IFERROR(INDEX(Prospectos!$E$2:$E$288,MATCH($A21,Prospectos!$A$2:$A$288,0)),"")</f>
        <v>Río Tercero</v>
      </c>
      <c r="G21" s="30" t="str">
        <f>IFERROR(INDEX(Prospectos!$K$2:$K$288,MATCH($A21,Prospectos!$A$2:$A$288,0)),"")</f>
        <v>03571 644022</v>
      </c>
      <c r="H21" s="30" t="str">
        <f>IFERROR(INDEX(Prospectos!$M$2:$M$288,MATCH($A21,Prospectos!$A$2:$A$288,0)),"")</f>
        <v>logística / ventas / postventa</v>
      </c>
      <c r="I21" s="30" t="str">
        <f>IFERROR(INDEX(Prospectos!$N$2:$N$288,MATCH($A21,Prospectos!$A$2:$A$288,0)),"")</f>
        <v>Entrega y retiro de tractores, cosechadoras, pulverizadoras, sembradoras e implementos; movimientos por venta, service, canje, demostraciones o ferias.</v>
      </c>
      <c r="J21" s="30" t="str">
        <f>IFERROR(INDEX(Prospectos!$AJ$2:$AJ$288,MATCH($A21,Prospectos!$A$2:$A$288,0)),"")</f>
        <v>Muy alta</v>
      </c>
      <c r="K21" s="31"/>
    </row>
    <row r="22" spans="1:11" s="32" customFormat="1" ht="33.950000000000003" customHeight="1">
      <c r="A22" s="30" t="s">
        <v>80</v>
      </c>
      <c r="B22" s="30" t="str">
        <f>IFERROR(INDEX(Prospectos!$F$2:$F$288,MATCH($A22,Prospectos!$A$2:$A$288,0)),"")</f>
        <v>A</v>
      </c>
      <c r="C22" s="30" t="str">
        <f>IFERROR(INDEX(Prospectos!$H$2:$H$288,MATCH($A22,Prospectos!$A$2:$A$288,0)),"")</f>
        <v>Conax</v>
      </c>
      <c r="D22" s="30" t="str">
        <f>IFERROR(INDEX(Prospectos!$J$2:$J$288,MATCH($A22,Prospectos!$A$2:$A$288,0)),"")</f>
        <v>Maquinaria agrícola</v>
      </c>
      <c r="E22" s="30" t="str">
        <f>IFERROR(INDEX(Prospectos!$C$2:$C$288,MATCH($A22,Prospectos!$A$2:$A$288,0)),"")</f>
        <v>Base Río Tercero</v>
      </c>
      <c r="F22" s="30" t="str">
        <f>IFERROR(INDEX(Prospectos!$E$2:$E$288,MATCH($A22,Prospectos!$A$2:$A$288,0)),"")</f>
        <v>Río Tercero</v>
      </c>
      <c r="G22" s="30" t="str">
        <f>IFERROR(INDEX(Prospectos!$K$2:$K$288,MATCH($A22,Prospectos!$A$2:$A$288,0)),"")</f>
        <v>+54 3571 348077</v>
      </c>
      <c r="H22" s="30" t="str">
        <f>IFERROR(INDEX(Prospectos!$M$2:$M$288,MATCH($A22,Prospectos!$A$2:$A$288,0)),"")</f>
        <v>logística / ventas / postventa</v>
      </c>
      <c r="I22" s="30" t="str">
        <f>IFERROR(INDEX(Prospectos!$N$2:$N$288,MATCH($A22,Prospectos!$A$2:$A$288,0)),"")</f>
        <v>Entrega y retiro de tractores, cosechadoras, pulverizadoras, sembradoras e implementos; movimientos por venta, service, canje, demostraciones o ferias.</v>
      </c>
      <c r="J22" s="30" t="str">
        <f>IFERROR(INDEX(Prospectos!$AJ$2:$AJ$288,MATCH($A22,Prospectos!$A$2:$A$288,0)),"")</f>
        <v>Muy alta</v>
      </c>
      <c r="K22" s="31" t="s">
        <v>2874</v>
      </c>
    </row>
    <row r="23" spans="1:11" s="32" customFormat="1" ht="33.950000000000003" customHeight="1">
      <c r="A23" s="30" t="s">
        <v>81</v>
      </c>
      <c r="B23" s="30" t="str">
        <f>IFERROR(INDEX(Prospectos!$F$2:$F$288,MATCH($A23,Prospectos!$A$2:$A$288,0)),"")</f>
        <v>A</v>
      </c>
      <c r="C23" s="30" t="str">
        <f>IFERROR(INDEX(Prospectos!$H$2:$H$288,MATCH($A23,Prospectos!$A$2:$A$288,0)),"")</f>
        <v>RSA Repuestos y Servicios</v>
      </c>
      <c r="D23" s="30" t="str">
        <f>IFERROR(INDEX(Prospectos!$J$2:$J$288,MATCH($A23,Prospectos!$A$2:$A$288,0)),"")</f>
        <v>Maquinaria agrícola</v>
      </c>
      <c r="E23" s="30" t="str">
        <f>IFERROR(INDEX(Prospectos!$C$2:$C$288,MATCH($A23,Prospectos!$A$2:$A$288,0)),"")</f>
        <v>Base Río Tercero</v>
      </c>
      <c r="F23" s="30" t="str">
        <f>IFERROR(INDEX(Prospectos!$E$2:$E$288,MATCH($A23,Prospectos!$A$2:$A$288,0)),"")</f>
        <v>Río Tercero</v>
      </c>
      <c r="G23" s="30" t="str">
        <f>IFERROR(INDEX(Prospectos!$K$2:$K$288,MATCH($A23,Prospectos!$A$2:$A$288,0)),"")</f>
        <v>+54 9 3571 538080 / +54 9 3571 578870</v>
      </c>
      <c r="H23" s="30" t="str">
        <f>IFERROR(INDEX(Prospectos!$M$2:$M$288,MATCH($A23,Prospectos!$A$2:$A$288,0)),"")</f>
        <v>logística / ventas / postventa</v>
      </c>
      <c r="I23" s="30" t="str">
        <f>IFERROR(INDEX(Prospectos!$N$2:$N$288,MATCH($A23,Prospectos!$A$2:$A$288,0)),"")</f>
        <v>Entrega y retiro de tractores, cosechadoras, pulverizadoras, sembradoras e implementos; movimientos por venta, service, canje, demostraciones o ferias.</v>
      </c>
      <c r="J23" s="30" t="str">
        <f>IFERROR(INDEX(Prospectos!$AJ$2:$AJ$288,MATCH($A23,Prospectos!$A$2:$A$288,0)),"")</f>
        <v>Muy alta</v>
      </c>
      <c r="K23" s="31"/>
    </row>
    <row r="24" spans="1:11" s="32" customFormat="1" ht="33.950000000000003" customHeight="1">
      <c r="A24" s="30" t="s">
        <v>82</v>
      </c>
      <c r="B24" s="30" t="str">
        <f>IFERROR(INDEX(Prospectos!$F$2:$F$288,MATCH($A24,Prospectos!$A$2:$A$288,0)),"")</f>
        <v>A</v>
      </c>
      <c r="C24" s="30" t="str">
        <f>IFERROR(INDEX(Prospectos!$H$2:$H$288,MATCH($A24,Prospectos!$A$2:$A$288,0)),"")</f>
        <v>Viejo Tala S.R.L. — Río Tercero</v>
      </c>
      <c r="D24" s="30" t="str">
        <f>IFERROR(INDEX(Prospectos!$J$2:$J$288,MATCH($A24,Prospectos!$A$2:$A$288,0)),"")</f>
        <v>Maquinaria agrícola</v>
      </c>
      <c r="E24" s="30" t="str">
        <f>IFERROR(INDEX(Prospectos!$C$2:$C$288,MATCH($A24,Prospectos!$A$2:$A$288,0)),"")</f>
        <v>Base Río Tercero</v>
      </c>
      <c r="F24" s="30" t="str">
        <f>IFERROR(INDEX(Prospectos!$E$2:$E$288,MATCH($A24,Prospectos!$A$2:$A$288,0)),"")</f>
        <v>Río Tercero</v>
      </c>
      <c r="G24" s="30" t="str">
        <f>IFERROR(INDEX(Prospectos!$K$2:$K$288,MATCH($A24,Prospectos!$A$2:$A$288,0)),"")</f>
        <v>03571 643332 / +54 9 353 4221837</v>
      </c>
      <c r="H24" s="30" t="str">
        <f>IFERROR(INDEX(Prospectos!$M$2:$M$288,MATCH($A24,Prospectos!$A$2:$A$288,0)),"")</f>
        <v>logística / ventas / postventa</v>
      </c>
      <c r="I24" s="30" t="str">
        <f>IFERROR(INDEX(Prospectos!$N$2:$N$288,MATCH($A24,Prospectos!$A$2:$A$288,0)),"")</f>
        <v>Entrega y retiro de tractores, cosechadoras, pulverizadoras, sembradoras e implementos; movimientos por venta, service, canje, demostraciones o ferias.</v>
      </c>
      <c r="J24" s="30" t="str">
        <f>IFERROR(INDEX(Prospectos!$AJ$2:$AJ$288,MATCH($A24,Prospectos!$A$2:$A$288,0)),"")</f>
        <v>Muy alta</v>
      </c>
      <c r="K24" s="31" t="s">
        <v>2873</v>
      </c>
    </row>
    <row r="25" spans="1:11" s="32" customFormat="1" ht="33.950000000000003" customHeight="1">
      <c r="A25" s="30" t="s">
        <v>83</v>
      </c>
      <c r="B25" s="30" t="str">
        <f>IFERROR(INDEX(Prospectos!$F$2:$F$288,MATCH($A25,Prospectos!$A$2:$A$288,0)),"")</f>
        <v>A</v>
      </c>
      <c r="C25" s="30" t="str">
        <f>IFERROR(INDEX(Prospectos!$H$2:$H$288,MATCH($A25,Prospectos!$A$2:$A$288,0)),"")</f>
        <v>Rino Maquinaria</v>
      </c>
      <c r="D25" s="30" t="str">
        <f>IFERROR(INDEX(Prospectos!$J$2:$J$288,MATCH($A25,Prospectos!$A$2:$A$288,0)),"")</f>
        <v>Maquinaria agrícola</v>
      </c>
      <c r="E25" s="30" t="str">
        <f>IFERROR(INDEX(Prospectos!$C$2:$C$288,MATCH($A25,Prospectos!$A$2:$A$288,0)),"")</f>
        <v>Base Río Tercero</v>
      </c>
      <c r="F25" s="30" t="str">
        <f>IFERROR(INDEX(Prospectos!$E$2:$E$288,MATCH($A25,Prospectos!$A$2:$A$288,0)),"")</f>
        <v>Río Tercero</v>
      </c>
      <c r="G25" s="30" t="str">
        <f>IFERROR(INDEX(Prospectos!$K$2:$K$288,MATCH($A25,Prospectos!$A$2:$A$288,0)),"")</f>
        <v>+54 9 3571 681323</v>
      </c>
      <c r="H25" s="30" t="str">
        <f>IFERROR(INDEX(Prospectos!$M$2:$M$288,MATCH($A25,Prospectos!$A$2:$A$288,0)),"")</f>
        <v>logística / entregas / usados / postventa / gerente comercial</v>
      </c>
      <c r="I25" s="30" t="str">
        <f>IFERROR(INDEX(Prospectos!$N$2:$N$288,MATCH($A25,Prospectos!$A$2:$A$288,0)),"")</f>
        <v>Entrega y retiro de tractores, cosechadoras, pulverizadoras, sembradoras e implementos; movimientos por ventas, canjes, usados, service, demostraciones y ferias.</v>
      </c>
      <c r="J25" s="30" t="str">
        <f>IFERROR(INDEX(Prospectos!$AJ$2:$AJ$288,MATCH($A25,Prospectos!$A$2:$A$288,0)),"")</f>
        <v>Alta</v>
      </c>
      <c r="K25" s="31"/>
    </row>
    <row r="26" spans="1:11" s="32" customFormat="1" ht="33.950000000000003" customHeight="1">
      <c r="A26" s="30" t="s">
        <v>84</v>
      </c>
      <c r="B26" s="30" t="str">
        <f>IFERROR(INDEX(Prospectos!$F$2:$F$288,MATCH($A26,Prospectos!$A$2:$A$288,0)),"")</f>
        <v>A</v>
      </c>
      <c r="C26" s="30" t="str">
        <f>IFERROR(INDEX(Prospectos!$H$2:$H$288,MATCH($A26,Prospectos!$A$2:$A$288,0)),"")</f>
        <v>Alpha Construcciones Industriales S.A.</v>
      </c>
      <c r="D26" s="30" t="str">
        <f>IFERROR(INDEX(Prospectos!$J$2:$J$288,MATCH($A26,Prospectos!$A$2:$A$288,0)),"")</f>
        <v>Construcción y obra vial</v>
      </c>
      <c r="E26" s="30" t="str">
        <f>IFERROR(INDEX(Prospectos!$C$2:$C$288,MATCH($A26,Prospectos!$A$2:$A$288,0)),"")</f>
        <v>Base Río Tercero</v>
      </c>
      <c r="F26" s="30" t="str">
        <f>IFERROR(INDEX(Prospectos!$E$2:$E$288,MATCH($A26,Prospectos!$A$2:$A$288,0)),"")</f>
        <v>Río Tercero</v>
      </c>
      <c r="G26" s="30" t="str">
        <f>IFERROR(INDEX(Prospectos!$K$2:$K$288,MATCH($A26,Prospectos!$A$2:$A$288,0)),"")</f>
        <v>A relevar</v>
      </c>
      <c r="H26" s="30" t="str">
        <f>IFERROR(INDEX(Prospectos!$M$2:$M$288,MATCH($A26,Prospectos!$A$2:$A$288,0)),"")</f>
        <v>jefe de obra / operaciones</v>
      </c>
      <c r="I26" s="30" t="str">
        <f>IFERROR(INDEX(Prospectos!$N$2:$N$288,MATCH($A26,Prospectos!$A$2:$A$288,0)),"")</f>
        <v>Traslado de maquinaria, módulos de obrador, estructuras y equipos entre depósitos y frentes de obra.</v>
      </c>
      <c r="J26" s="30" t="str">
        <f>IFERROR(INDEX(Prospectos!$AJ$2:$AJ$288,MATCH($A26,Prospectos!$A$2:$A$288,0)),"")</f>
        <v>Alta</v>
      </c>
      <c r="K26" s="31"/>
    </row>
    <row r="27" spans="1:11" s="32" customFormat="1" ht="33.950000000000003" customHeight="1">
      <c r="A27" s="30" t="s">
        <v>85</v>
      </c>
      <c r="B27" s="30" t="str">
        <f>IFERROR(INDEX(Prospectos!$F$2:$F$288,MATCH($A27,Prospectos!$A$2:$A$288,0)),"")</f>
        <v>A</v>
      </c>
      <c r="C27" s="30" t="str">
        <f>IFERROR(INDEX(Prospectos!$H$2:$H$288,MATCH($A27,Prospectos!$A$2:$A$288,0)),"")</f>
        <v>Caon - Concesionario Oficial CASE IH</v>
      </c>
      <c r="D27" s="30" t="str">
        <f>IFERROR(INDEX(Prospectos!$J$2:$J$288,MATCH($A27,Prospectos!$A$2:$A$288,0)),"")</f>
        <v>Maquinaria agrícola</v>
      </c>
      <c r="E27" s="30" t="str">
        <f>IFERROR(INDEX(Prospectos!$C$2:$C$288,MATCH($A27,Prospectos!$A$2:$A$288,0)),"")</f>
        <v>Base Río Tercero</v>
      </c>
      <c r="F27" s="30" t="str">
        <f>IFERROR(INDEX(Prospectos!$E$2:$E$288,MATCH($A27,Prospectos!$A$2:$A$288,0)),"")</f>
        <v>Río Tercero</v>
      </c>
      <c r="G27" s="30" t="str">
        <f>IFERROR(INDEX(Prospectos!$K$2:$K$288,MATCH($A27,Prospectos!$A$2:$A$288,0)),"")</f>
        <v>03571 682141</v>
      </c>
      <c r="H27" s="30" t="str">
        <f>IFERROR(INDEX(Prospectos!$M$2:$M$288,MATCH($A27,Prospectos!$A$2:$A$288,0)),"")</f>
        <v>logística / entregas / postventa</v>
      </c>
      <c r="I27" s="30" t="str">
        <f>IFERROR(INDEX(Prospectos!$N$2:$N$288,MATCH($A27,Prospectos!$A$2:$A$288,0)),"")</f>
        <v>Traslado de maquinaria agrícola o vial entre sucursal, cliente, taller, campo y eventos.</v>
      </c>
      <c r="J27" s="30" t="str">
        <f>IFERROR(INDEX(Prospectos!$AJ$2:$AJ$288,MATCH($A27,Prospectos!$A$2:$A$288,0)),"")</f>
        <v>Muy alta</v>
      </c>
      <c r="K27" s="31"/>
    </row>
    <row r="28" spans="1:11" s="32" customFormat="1" ht="33.950000000000003" customHeight="1">
      <c r="A28" s="30" t="s">
        <v>86</v>
      </c>
      <c r="B28" s="30" t="str">
        <f>IFERROR(INDEX(Prospectos!$F$2:$F$288,MATCH($A28,Prospectos!$A$2:$A$288,0)),"")</f>
        <v>A</v>
      </c>
      <c r="C28" s="30" t="str">
        <f>IFERROR(INDEX(Prospectos!$H$2:$H$288,MATCH($A28,Prospectos!$A$2:$A$288,0)),"")</f>
        <v>Cimat SRL</v>
      </c>
      <c r="D28" s="30" t="str">
        <f>IFERROR(INDEX(Prospectos!$J$2:$J$288,MATCH($A28,Prospectos!$A$2:$A$288,0)),"")</f>
        <v>Maquinaria agrícola</v>
      </c>
      <c r="E28" s="30" t="str">
        <f>IFERROR(INDEX(Prospectos!$C$2:$C$288,MATCH($A28,Prospectos!$A$2:$A$288,0)),"")</f>
        <v>Base Río Tercero</v>
      </c>
      <c r="F28" s="30" t="str">
        <f>IFERROR(INDEX(Prospectos!$E$2:$E$288,MATCH($A28,Prospectos!$A$2:$A$288,0)),"")</f>
        <v>Río Tercero</v>
      </c>
      <c r="G28" s="30" t="str">
        <f>IFERROR(INDEX(Prospectos!$K$2:$K$288,MATCH($A28,Prospectos!$A$2:$A$288,0)),"")</f>
        <v>03571 422153</v>
      </c>
      <c r="H28" s="30" t="str">
        <f>IFERROR(INDEX(Prospectos!$M$2:$M$288,MATCH($A28,Prospectos!$A$2:$A$288,0)),"")</f>
        <v>logística / entregas / postventa</v>
      </c>
      <c r="I28" s="30" t="str">
        <f>IFERROR(INDEX(Prospectos!$N$2:$N$288,MATCH($A28,Prospectos!$A$2:$A$288,0)),"")</f>
        <v>Traslado de maquinaria agrícola o vial entre sucursal, cliente, taller, campo y eventos.</v>
      </c>
      <c r="J28" s="30" t="str">
        <f>IFERROR(INDEX(Prospectos!$AJ$2:$AJ$288,MATCH($A28,Prospectos!$A$2:$A$288,0)),"")</f>
        <v>Muy alta</v>
      </c>
      <c r="K28" s="31" t="s">
        <v>2875</v>
      </c>
    </row>
    <row r="29" spans="1:11" s="32" customFormat="1" ht="33.950000000000003" customHeight="1">
      <c r="A29" s="30" t="s">
        <v>87</v>
      </c>
      <c r="B29" s="30" t="str">
        <f>IFERROR(INDEX(Prospectos!$F$2:$F$288,MATCH($A29,Prospectos!$A$2:$A$288,0)),"")</f>
        <v>A</v>
      </c>
      <c r="C29" s="30" t="str">
        <f>IFERROR(INDEX(Prospectos!$H$2:$H$288,MATCH($A29,Prospectos!$A$2:$A$288,0)),"")</f>
        <v>D &amp; M ESTRUCTURAS</v>
      </c>
      <c r="D29" s="30" t="str">
        <f>IFERROR(INDEX(Prospectos!$J$2:$J$288,MATCH($A29,Prospectos!$A$2:$A$288,0)),"")</f>
        <v>Metalúrgica y fabricación</v>
      </c>
      <c r="E29" s="30" t="str">
        <f>IFERROR(INDEX(Prospectos!$C$2:$C$288,MATCH($A29,Prospectos!$A$2:$A$288,0)),"")</f>
        <v>Base Río Tercero</v>
      </c>
      <c r="F29" s="30" t="str">
        <f>IFERROR(INDEX(Prospectos!$E$2:$E$288,MATCH($A29,Prospectos!$A$2:$A$288,0)),"")</f>
        <v>Río Tercero</v>
      </c>
      <c r="G29" s="30" t="str">
        <f>IFERROR(INDEX(Prospectos!$K$2:$K$288,MATCH($A29,Prospectos!$A$2:$A$288,0)),"")</f>
        <v>A relevar</v>
      </c>
      <c r="H29" s="30" t="str">
        <f>IFERROR(INDEX(Prospectos!$M$2:$M$288,MATCH($A29,Prospectos!$A$2:$A$288,0)),"")</f>
        <v>despacho / producción</v>
      </c>
      <c r="I29" s="30" t="str">
        <f>IFERROR(INDEX(Prospectos!$N$2:$N$288,MATCH($A29,Prospectos!$A$2:$A$288,0)),"")</f>
        <v>Despacho de estructuras, piezas, equipos y conjuntos metalmecánicos de gran porte hacia obras o clientes.</v>
      </c>
      <c r="J29" s="30" t="str">
        <f>IFERROR(INDEX(Prospectos!$AJ$2:$AJ$288,MATCH($A29,Prospectos!$A$2:$A$288,0)),"")</f>
        <v>Alta</v>
      </c>
      <c r="K29" s="31" t="s">
        <v>2876</v>
      </c>
    </row>
    <row r="30" spans="1:11" ht="33.950000000000003" customHeight="1">
      <c r="A30" s="3" t="s">
        <v>88</v>
      </c>
      <c r="B30" s="3" t="str">
        <f>IFERROR(INDEX(Prospectos!$F$2:$F$288,MATCH($A30,Prospectos!$A$2:$A$288,0)),"")</f>
        <v>A</v>
      </c>
      <c r="C30" s="3" t="str">
        <f>IFERROR(INDEX(Prospectos!$H$2:$H$288,MATCH($A30,Prospectos!$A$2:$A$288,0)),"")</f>
        <v>Duter S.A.</v>
      </c>
      <c r="D30" s="3" t="str">
        <f>IFERROR(INDEX(Prospectos!$J$2:$J$288,MATCH($A30,Prospectos!$A$2:$A$288,0)),"")</f>
        <v>Maquinaria agrícola</v>
      </c>
      <c r="E30" s="3" t="str">
        <f>IFERROR(INDEX(Prospectos!$C$2:$C$288,MATCH($A30,Prospectos!$A$2:$A$288,0)),"")</f>
        <v>Base Río Tercero</v>
      </c>
      <c r="F30" s="3" t="str">
        <f>IFERROR(INDEX(Prospectos!$E$2:$E$288,MATCH($A30,Prospectos!$A$2:$A$288,0)),"")</f>
        <v>Río Tercero</v>
      </c>
      <c r="G30" s="3" t="str">
        <f>IFERROR(INDEX(Prospectos!$K$2:$K$288,MATCH($A30,Prospectos!$A$2:$A$288,0)),"")</f>
        <v>03571 565177</v>
      </c>
      <c r="H30" s="3" t="str">
        <f>IFERROR(INDEX(Prospectos!$M$2:$M$288,MATCH($A30,Prospectos!$A$2:$A$288,0)),"")</f>
        <v>logística / despacho / postventa</v>
      </c>
      <c r="I30" s="3" t="str">
        <f>IFERROR(INDEX(Prospectos!$N$2:$N$288,MATCH($A30,Prospectos!$A$2:$A$288,0)),"")</f>
        <v>Traslado de maquinaria, implementos, equipos terminados y componentes de gran porte entre planta, cliente, obra o feria.</v>
      </c>
      <c r="J30" s="3" t="str">
        <f>IFERROR(INDEX(Prospectos!$AJ$2:$AJ$288,MATCH($A30,Prospectos!$A$2:$A$288,0)),"")</f>
        <v>Muy alta</v>
      </c>
      <c r="K30" s="29"/>
    </row>
    <row r="31" spans="1:11" s="32" customFormat="1" ht="33.950000000000003" customHeight="1">
      <c r="A31" s="30" t="s">
        <v>89</v>
      </c>
      <c r="B31" s="30" t="str">
        <f>IFERROR(INDEX(Prospectos!$F$2:$F$288,MATCH($A31,Prospectos!$A$2:$A$288,0)),"")</f>
        <v>A</v>
      </c>
      <c r="C31" s="30" t="str">
        <f>IFERROR(INDEX(Prospectos!$H$2:$H$288,MATCH($A31,Prospectos!$A$2:$A$288,0)),"")</f>
        <v>ESISA</v>
      </c>
      <c r="D31" s="30" t="str">
        <f>IFERROR(INDEX(Prospectos!$J$2:$J$288,MATCH($A31,Prospectos!$A$2:$A$288,0)),"")</f>
        <v>Módulos y contenedores</v>
      </c>
      <c r="E31" s="30" t="str">
        <f>IFERROR(INDEX(Prospectos!$C$2:$C$288,MATCH($A31,Prospectos!$A$2:$A$288,0)),"")</f>
        <v>Base Río Tercero</v>
      </c>
      <c r="F31" s="30" t="str">
        <f>IFERROR(INDEX(Prospectos!$E$2:$E$288,MATCH($A31,Prospectos!$A$2:$A$288,0)),"")</f>
        <v>Río Tercero</v>
      </c>
      <c r="G31" s="30" t="str">
        <f>IFERROR(INDEX(Prospectos!$K$2:$K$288,MATCH($A31,Prospectos!$A$2:$A$288,0)),"")</f>
        <v>Portería parque: 03571 565662; mail esisaservicios@gmail.com</v>
      </c>
      <c r="H31" s="30" t="str">
        <f>IFERROR(INDEX(Prospectos!$M$2:$M$288,MATCH($A31,Prospectos!$A$2:$A$288,0)),"")</f>
        <v>operaciones / entregas</v>
      </c>
      <c r="I31" s="30" t="str">
        <f>IFERROR(INDEX(Prospectos!$N$2:$N$288,MATCH($A31,Prospectos!$A$2:$A$288,0)),"")</f>
        <v>Entrega, descarga y posicionamiento de módulos/containers en obra o cliente final.</v>
      </c>
      <c r="J31" s="30" t="str">
        <f>IFERROR(INDEX(Prospectos!$AJ$2:$AJ$288,MATCH($A31,Prospectos!$A$2:$A$288,0)),"")</f>
        <v>Muy alta</v>
      </c>
      <c r="K31" s="31"/>
    </row>
    <row r="32" spans="1:11" s="32" customFormat="1" ht="33.950000000000003" customHeight="1">
      <c r="A32" s="30" t="s">
        <v>90</v>
      </c>
      <c r="B32" s="30" t="str">
        <f>IFERROR(INDEX(Prospectos!$F$2:$F$288,MATCH($A32,Prospectos!$A$2:$A$288,0)),"")</f>
        <v>A</v>
      </c>
      <c r="C32" s="30" t="str">
        <f>IFERROR(INDEX(Prospectos!$H$2:$H$288,MATCH($A32,Prospectos!$A$2:$A$288,0)),"")</f>
        <v>ISECO Construcción</v>
      </c>
      <c r="D32" s="30" t="str">
        <f>IFERROR(INDEX(Prospectos!$J$2:$J$288,MATCH($A32,Prospectos!$A$2:$A$288,0)),"")</f>
        <v>Construcción y obra vial</v>
      </c>
      <c r="E32" s="30" t="str">
        <f>IFERROR(INDEX(Prospectos!$C$2:$C$288,MATCH($A32,Prospectos!$A$2:$A$288,0)),"")</f>
        <v>Base Río Tercero</v>
      </c>
      <c r="F32" s="30" t="str">
        <f>IFERROR(INDEX(Prospectos!$E$2:$E$288,MATCH($A32,Prospectos!$A$2:$A$288,0)),"")</f>
        <v>Río Tercero</v>
      </c>
      <c r="G32" s="30" t="str">
        <f>IFERROR(INDEX(Prospectos!$K$2:$K$288,MATCH($A32,Prospectos!$A$2:$A$288,0)),"")</f>
        <v>+54 9 3571 551917</v>
      </c>
      <c r="H32" s="30" t="str">
        <f>IFERROR(INDEX(Prospectos!$M$2:$M$288,MATCH($A32,Prospectos!$A$2:$A$288,0)),"")</f>
        <v>jefe de obra / operaciones</v>
      </c>
      <c r="I32" s="30" t="str">
        <f>IFERROR(INDEX(Prospectos!$N$2:$N$288,MATCH($A32,Prospectos!$A$2:$A$288,0)),"")</f>
        <v>Traslado de maquinaria, módulos de obrador, estructuras y equipos entre depósitos y frentes de obra.</v>
      </c>
      <c r="J32" s="30" t="str">
        <f>IFERROR(INDEX(Prospectos!$AJ$2:$AJ$288,MATCH($A32,Prospectos!$A$2:$A$288,0)),"")</f>
        <v>Muy alta</v>
      </c>
      <c r="K32" s="31" t="s">
        <v>2877</v>
      </c>
    </row>
    <row r="33" spans="1:11" s="32" customFormat="1" ht="33.950000000000003" customHeight="1">
      <c r="A33" s="30" t="s">
        <v>91</v>
      </c>
      <c r="B33" s="30" t="str">
        <f>IFERROR(INDEX(Prospectos!$F$2:$F$288,MATCH($A33,Prospectos!$A$2:$A$288,0)),"")</f>
        <v>A</v>
      </c>
      <c r="C33" s="30" t="str">
        <f>IFERROR(INDEX(Prospectos!$H$2:$H$288,MATCH($A33,Prospectos!$A$2:$A$288,0)),"")</f>
        <v>Luzenti Hnos S.A.</v>
      </c>
      <c r="D33" s="30" t="str">
        <f>IFERROR(INDEX(Prospectos!$J$2:$J$288,MATCH($A33,Prospectos!$A$2:$A$288,0)),"")</f>
        <v>Construcción y obra vial</v>
      </c>
      <c r="E33" s="30" t="str">
        <f>IFERROR(INDEX(Prospectos!$C$2:$C$288,MATCH($A33,Prospectos!$A$2:$A$288,0)),"")</f>
        <v>Base Río Tercero</v>
      </c>
      <c r="F33" s="30" t="str">
        <f>IFERROR(INDEX(Prospectos!$E$2:$E$288,MATCH($A33,Prospectos!$A$2:$A$288,0)),"")</f>
        <v>Río Tercero</v>
      </c>
      <c r="G33" s="30" t="str">
        <f>IFERROR(INDEX(Prospectos!$K$2:$K$288,MATCH($A33,Prospectos!$A$2:$A$288,0)),"")</f>
        <v>03584 860532</v>
      </c>
      <c r="H33" s="30" t="str">
        <f>IFERROR(INDEX(Prospectos!$M$2:$M$288,MATCH($A33,Prospectos!$A$2:$A$288,0)),"")</f>
        <v>jefe de obra / operaciones</v>
      </c>
      <c r="I33" s="30" t="str">
        <f>IFERROR(INDEX(Prospectos!$N$2:$N$288,MATCH($A33,Prospectos!$A$2:$A$288,0)),"")</f>
        <v>Traslado de maquinaria, módulos de obrador, estructuras y equipos entre depósitos y frentes de obra.</v>
      </c>
      <c r="J33" s="30" t="str">
        <f>IFERROR(INDEX(Prospectos!$AJ$2:$AJ$288,MATCH($A33,Prospectos!$A$2:$A$288,0)),"")</f>
        <v>Muy alta</v>
      </c>
      <c r="K33" s="31" t="s">
        <v>2878</v>
      </c>
    </row>
    <row r="34" spans="1:11" s="32" customFormat="1" ht="33.950000000000003" customHeight="1">
      <c r="A34" s="30" t="s">
        <v>92</v>
      </c>
      <c r="B34" s="30" t="str">
        <f>IFERROR(INDEX(Prospectos!$F$2:$F$288,MATCH($A34,Prospectos!$A$2:$A$288,0)),"")</f>
        <v>A</v>
      </c>
      <c r="C34" s="30" t="str">
        <f>IFERROR(INDEX(Prospectos!$H$2:$H$288,MATCH($A34,Prospectos!$A$2:$A$288,0)),"")</f>
        <v>NEMETAL S.A.S</v>
      </c>
      <c r="D34" s="30" t="str">
        <f>IFERROR(INDEX(Prospectos!$J$2:$J$288,MATCH($A34,Prospectos!$A$2:$A$288,0)),"")</f>
        <v>Maquinaria agrícola</v>
      </c>
      <c r="E34" s="30" t="str">
        <f>IFERROR(INDEX(Prospectos!$C$2:$C$288,MATCH($A34,Prospectos!$A$2:$A$288,0)),"")</f>
        <v>Base Río Tercero</v>
      </c>
      <c r="F34" s="30" t="str">
        <f>IFERROR(INDEX(Prospectos!$E$2:$E$288,MATCH($A34,Prospectos!$A$2:$A$288,0)),"")</f>
        <v>Río Tercero</v>
      </c>
      <c r="G34" s="30" t="str">
        <f>IFERROR(INDEX(Prospectos!$K$2:$K$288,MATCH($A34,Prospectos!$A$2:$A$288,0)),"")</f>
        <v>03571 550608</v>
      </c>
      <c r="H34" s="30" t="str">
        <f>IFERROR(INDEX(Prospectos!$M$2:$M$288,MATCH($A34,Prospectos!$A$2:$A$288,0)),"")</f>
        <v>despacho / producción</v>
      </c>
      <c r="I34" s="30" t="str">
        <f>IFERROR(INDEX(Prospectos!$N$2:$N$288,MATCH($A34,Prospectos!$A$2:$A$288,0)),"")</f>
        <v>Despacho de estructuras, piezas, equipos y conjuntos metalmecánicos de gran porte hacia obras o clientes.</v>
      </c>
      <c r="J34" s="30" t="str">
        <f>IFERROR(INDEX(Prospectos!$AJ$2:$AJ$288,MATCH($A34,Prospectos!$A$2:$A$288,0)),"")</f>
        <v>Muy alta</v>
      </c>
      <c r="K34" s="31"/>
    </row>
    <row r="35" spans="1:11" s="32" customFormat="1" ht="33.950000000000003" customHeight="1">
      <c r="A35" s="30" t="s">
        <v>93</v>
      </c>
      <c r="B35" s="30" t="str">
        <f>IFERROR(INDEX(Prospectos!$F$2:$F$288,MATCH($A35,Prospectos!$A$2:$A$288,0)),"")</f>
        <v>A</v>
      </c>
      <c r="C35" s="30" t="str">
        <f>IFERROR(INDEX(Prospectos!$H$2:$H$288,MATCH($A35,Prospectos!$A$2:$A$288,0)),"")</f>
        <v>Paulucci Máquinas Agrícolas</v>
      </c>
      <c r="D35" s="30" t="str">
        <f>IFERROR(INDEX(Prospectos!$J$2:$J$288,MATCH($A35,Prospectos!$A$2:$A$288,0)),"")</f>
        <v>Maquinaria agrícola</v>
      </c>
      <c r="E35" s="30" t="str">
        <f>IFERROR(INDEX(Prospectos!$C$2:$C$288,MATCH($A35,Prospectos!$A$2:$A$288,0)),"")</f>
        <v>Base Río Tercero</v>
      </c>
      <c r="F35" s="30" t="str">
        <f>IFERROR(INDEX(Prospectos!$E$2:$E$288,MATCH($A35,Prospectos!$A$2:$A$288,0)),"")</f>
        <v>Río Tercero</v>
      </c>
      <c r="G35" s="30" t="str">
        <f>IFERROR(INDEX(Prospectos!$K$2:$K$288,MATCH($A35,Prospectos!$A$2:$A$288,0)),"")</f>
        <v>03571 424384</v>
      </c>
      <c r="H35" s="30" t="str">
        <f>IFERROR(INDEX(Prospectos!$M$2:$M$288,MATCH($A35,Prospectos!$A$2:$A$288,0)),"")</f>
        <v>logística / ventas / postventa</v>
      </c>
      <c r="I35" s="30" t="str">
        <f>IFERROR(INDEX(Prospectos!$N$2:$N$288,MATCH($A35,Prospectos!$A$2:$A$288,0)),"")</f>
        <v>Entrega y retiro de tractores, cosechadoras, pulverizadoras, sembradoras e implementos; movimientos por venta, service, canje, demostraciones o ferias.</v>
      </c>
      <c r="J35" s="30" t="str">
        <f>IFERROR(INDEX(Prospectos!$AJ$2:$AJ$288,MATCH($A35,Prospectos!$A$2:$A$288,0)),"")</f>
        <v>Alta</v>
      </c>
      <c r="K35" s="31" t="s">
        <v>2879</v>
      </c>
    </row>
    <row r="36" spans="1:11" ht="33.950000000000003" customHeight="1">
      <c r="A36" s="3" t="s">
        <v>94</v>
      </c>
      <c r="B36" s="3" t="str">
        <f>IFERROR(INDEX(Prospectos!$F$2:$F$288,MATCH($A36,Prospectos!$A$2:$A$288,0)),"")</f>
        <v>A</v>
      </c>
      <c r="C36" s="3" t="str">
        <f>IFERROR(INDEX(Prospectos!$H$2:$H$288,MATCH($A36,Prospectos!$A$2:$A$288,0)),"")</f>
        <v>SAEMMA</v>
      </c>
      <c r="D36" s="3" t="str">
        <f>IFERROR(INDEX(Prospectos!$J$2:$J$288,MATCH($A36,Prospectos!$A$2:$A$288,0)),"")</f>
        <v>Maquinaria agrícola</v>
      </c>
      <c r="E36" s="3" t="str">
        <f>IFERROR(INDEX(Prospectos!$C$2:$C$288,MATCH($A36,Prospectos!$A$2:$A$288,0)),"")</f>
        <v>Base Río Tercero</v>
      </c>
      <c r="F36" s="3" t="str">
        <f>IFERROR(INDEX(Prospectos!$E$2:$E$288,MATCH($A36,Prospectos!$A$2:$A$288,0)),"")</f>
        <v>Río Tercero</v>
      </c>
      <c r="G36" s="3" t="str">
        <f>IFERROR(INDEX(Prospectos!$K$2:$K$288,MATCH($A36,Prospectos!$A$2:$A$288,0)),"")</f>
        <v>03571 432338</v>
      </c>
      <c r="H36" s="3" t="str">
        <f>IFERROR(INDEX(Prospectos!$M$2:$M$288,MATCH($A36,Prospectos!$A$2:$A$288,0)),"")</f>
        <v>logística / ventas / postventa</v>
      </c>
      <c r="I36" s="3" t="str">
        <f>IFERROR(INDEX(Prospectos!$N$2:$N$288,MATCH($A36,Prospectos!$A$2:$A$288,0)),"")</f>
        <v>Entrega y retiro de tractores, cosechadoras, pulverizadoras, sembradoras e implementos; movimientos por venta, service, canje, demostraciones o ferias.</v>
      </c>
      <c r="J36" s="3" t="str">
        <f>IFERROR(INDEX(Prospectos!$AJ$2:$AJ$288,MATCH($A36,Prospectos!$A$2:$A$288,0)),"")</f>
        <v>Alta</v>
      </c>
      <c r="K36" s="29"/>
    </row>
    <row r="37" spans="1:11" s="32" customFormat="1" ht="33.950000000000003" customHeight="1">
      <c r="A37" s="30" t="s">
        <v>95</v>
      </c>
      <c r="B37" s="30" t="str">
        <f>IFERROR(INDEX(Prospectos!$F$2:$F$288,MATCH($A37,Prospectos!$A$2:$A$288,0)),"")</f>
        <v>A</v>
      </c>
      <c r="C37" s="30" t="str">
        <f>IFERROR(INDEX(Prospectos!$H$2:$H$288,MATCH($A37,Prospectos!$A$2:$A$288,0)),"")</f>
        <v>Sclauzero Metalúrgica</v>
      </c>
      <c r="D37" s="30" t="str">
        <f>IFERROR(INDEX(Prospectos!$J$2:$J$288,MATCH($A37,Prospectos!$A$2:$A$288,0)),"")</f>
        <v>Metalúrgica y fabricación</v>
      </c>
      <c r="E37" s="30" t="str">
        <f>IFERROR(INDEX(Prospectos!$C$2:$C$288,MATCH($A37,Prospectos!$A$2:$A$288,0)),"")</f>
        <v>Base Río Tercero</v>
      </c>
      <c r="F37" s="30" t="str">
        <f>IFERROR(INDEX(Prospectos!$E$2:$E$288,MATCH($A37,Prospectos!$A$2:$A$288,0)),"")</f>
        <v>Río Tercero</v>
      </c>
      <c r="G37" s="30" t="str">
        <f>IFERROR(INDEX(Prospectos!$K$2:$K$288,MATCH($A37,Prospectos!$A$2:$A$288,0)),"")</f>
        <v>03571 414014</v>
      </c>
      <c r="H37" s="30" t="str">
        <f>IFERROR(INDEX(Prospectos!$M$2:$M$288,MATCH($A37,Prospectos!$A$2:$A$288,0)),"")</f>
        <v>despacho / producción</v>
      </c>
      <c r="I37" s="30" t="str">
        <f>IFERROR(INDEX(Prospectos!$N$2:$N$288,MATCH($A37,Prospectos!$A$2:$A$288,0)),"")</f>
        <v>Despacho de estructuras, piezas, equipos y conjuntos metalmecánicos de gran porte hacia obras o clientes.</v>
      </c>
      <c r="J37" s="30" t="str">
        <f>IFERROR(INDEX(Prospectos!$AJ$2:$AJ$288,MATCH($A37,Prospectos!$A$2:$A$288,0)),"")</f>
        <v>Muy alta</v>
      </c>
      <c r="K37" s="31" t="s">
        <v>2880</v>
      </c>
    </row>
    <row r="38" spans="1:11" s="32" customFormat="1" ht="33.950000000000003" customHeight="1">
      <c r="A38" s="30" t="s">
        <v>96</v>
      </c>
      <c r="B38" s="30" t="str">
        <f>IFERROR(INDEX(Prospectos!$F$2:$F$288,MATCH($A38,Prospectos!$A$2:$A$288,0)),"")</f>
        <v>A</v>
      </c>
      <c r="C38" s="30" t="str">
        <f>IFERROR(INDEX(Prospectos!$H$2:$H$288,MATCH($A38,Prospectos!$A$2:$A$288,0)),"")</f>
        <v>Barrax Argentina S.A.</v>
      </c>
      <c r="D38" s="30" t="str">
        <f>IFERROR(INDEX(Prospectos!$J$2:$J$288,MATCH($A38,Prospectos!$A$2:$A$288,0)),"")</f>
        <v>Maquinaria agrícola</v>
      </c>
      <c r="E38" s="30" t="str">
        <f>IFERROR(INDEX(Prospectos!$C$2:$C$288,MATCH($A38,Prospectos!$A$2:$A$288,0)),"")</f>
        <v>Base Río Tercero</v>
      </c>
      <c r="F38" s="30" t="str">
        <f>IFERROR(INDEX(Prospectos!$E$2:$E$288,MATCH($A38,Prospectos!$A$2:$A$288,0)),"")</f>
        <v>Río Tercero</v>
      </c>
      <c r="G38" s="30" t="str">
        <f>IFERROR(INDEX(Prospectos!$K$2:$K$288,MATCH($A38,Prospectos!$A$2:$A$288,0)),"")</f>
        <v>03571 421774 / 03571 420576</v>
      </c>
      <c r="H38" s="30" t="str">
        <f>IFERROR(INDEX(Prospectos!$M$2:$M$288,MATCH($A38,Prospectos!$A$2:$A$288,0)),"")</f>
        <v>logística / ventas / postventa</v>
      </c>
      <c r="I38" s="30" t="str">
        <f>IFERROR(INDEX(Prospectos!$N$2:$N$288,MATCH($A38,Prospectos!$A$2:$A$288,0)),"")</f>
        <v>Movimiento de agropartes, repuestos pesados, conjuntos y eventualmente implementos/equipos entre planta, concesionarios y clientes.</v>
      </c>
      <c r="J38" s="30" t="str">
        <f>IFERROR(INDEX(Prospectos!$AJ$2:$AJ$288,MATCH($A38,Prospectos!$A$2:$A$288,0)),"")</f>
        <v>Alta</v>
      </c>
      <c r="K38" s="31"/>
    </row>
    <row r="39" spans="1:11" s="32" customFormat="1" ht="33.950000000000003" customHeight="1">
      <c r="A39" s="30" t="s">
        <v>97</v>
      </c>
      <c r="B39" s="30" t="str">
        <f>IFERROR(INDEX(Prospectos!$F$2:$F$288,MATCH($A39,Prospectos!$A$2:$A$288,0)),"")</f>
        <v>A</v>
      </c>
      <c r="C39" s="30" t="str">
        <f>IFERROR(INDEX(Prospectos!$H$2:$H$288,MATCH($A39,Prospectos!$A$2:$A$288,0)),"")</f>
        <v>IMBAL S.A.</v>
      </c>
      <c r="D39" s="30" t="str">
        <f>IFERROR(INDEX(Prospectos!$J$2:$J$288,MATCH($A39,Prospectos!$A$2:$A$288,0)),"")</f>
        <v>Metalúrgica y fabricación</v>
      </c>
      <c r="E39" s="30" t="str">
        <f>IFERROR(INDEX(Prospectos!$C$2:$C$288,MATCH($A39,Prospectos!$A$2:$A$288,0)),"")</f>
        <v>Base Río Tercero</v>
      </c>
      <c r="F39" s="30" t="str">
        <f>IFERROR(INDEX(Prospectos!$E$2:$E$288,MATCH($A39,Prospectos!$A$2:$A$288,0)),"")</f>
        <v>Río Tercero</v>
      </c>
      <c r="G39" s="30" t="str">
        <f>IFERROR(INDEX(Prospectos!$K$2:$K$288,MATCH($A39,Prospectos!$A$2:$A$288,0)),"")</f>
        <v>A relevar en terreno</v>
      </c>
      <c r="H39" s="30" t="str">
        <f>IFERROR(INDEX(Prospectos!$M$2:$M$288,MATCH($A39,Prospectos!$A$2:$A$288,0)),"")</f>
        <v>despacho / producción</v>
      </c>
      <c r="I39" s="30" t="str">
        <f>IFERROR(INDEX(Prospectos!$N$2:$N$288,MATCH($A39,Prospectos!$A$2:$A$288,0)),"")</f>
        <v>Despacho seguro de estructuras, carrozados, tanques, piezas industriales y equipos sobre plataforma.</v>
      </c>
      <c r="J39" s="30" t="str">
        <f>IFERROR(INDEX(Prospectos!$AJ$2:$AJ$288,MATCH($A39,Prospectos!$A$2:$A$288,0)),"")</f>
        <v>Alta</v>
      </c>
      <c r="K39" s="31" t="s">
        <v>2881</v>
      </c>
    </row>
    <row r="40" spans="1:11" ht="33.950000000000003" customHeight="1">
      <c r="A40" s="3" t="s">
        <v>98</v>
      </c>
      <c r="B40" s="3" t="str">
        <f>IFERROR(INDEX(Prospectos!$F$2:$F$288,MATCH($A40,Prospectos!$A$2:$A$288,0)),"")</f>
        <v>B</v>
      </c>
      <c r="C40" s="3" t="str">
        <f>IFERROR(INDEX(Prospectos!$H$2:$H$288,MATCH($A40,Prospectos!$A$2:$A$288,0)),"")</f>
        <v>J.A.F. Plásticos Reforzados</v>
      </c>
      <c r="D40" s="3" t="str">
        <f>IFERROR(INDEX(Prospectos!$J$2:$J$288,MATCH($A40,Prospectos!$A$2:$A$288,0)),"")</f>
        <v>PRFV y plásticos</v>
      </c>
      <c r="E40" s="3" t="str">
        <f>IFERROR(INDEX(Prospectos!$C$2:$C$288,MATCH($A40,Prospectos!$A$2:$A$288,0)),"")</f>
        <v>Base Río Tercero</v>
      </c>
      <c r="F40" s="3" t="str">
        <f>IFERROR(INDEX(Prospectos!$E$2:$E$288,MATCH($A40,Prospectos!$A$2:$A$288,0)),"")</f>
        <v>Río Tercero</v>
      </c>
      <c r="G40" s="3" t="str">
        <f>IFERROR(INDEX(Prospectos!$K$2:$K$288,MATCH($A40,Prospectos!$A$2:$A$288,0)),"")</f>
        <v>3571 533624 / 3571 579801 / portería parque 03571 565662</v>
      </c>
      <c r="H40" s="3" t="str">
        <f>IFERROR(INDEX(Prospectos!$M$2:$M$288,MATCH($A40,Prospectos!$A$2:$A$288,0)),"")</f>
        <v>producción / logística</v>
      </c>
      <c r="I40" s="3" t="str">
        <f>IFERROR(INDEX(Prospectos!$N$2:$N$288,MATCH($A40,Prospectos!$A$2:$A$288,0)),"")</f>
        <v>Retiro, traslado y descarga de piletas/fibra o piezas voluminosas livianas, con cuidado de maniobra.</v>
      </c>
      <c r="J40" s="3" t="str">
        <f>IFERROR(INDEX(Prospectos!$AJ$2:$AJ$288,MATCH($A40,Prospectos!$A$2:$A$288,0)),"")</f>
        <v>Alta</v>
      </c>
      <c r="K40" s="29"/>
    </row>
    <row r="41" spans="1:11" s="32" customFormat="1" ht="33.950000000000003" customHeight="1">
      <c r="A41" s="30" t="s">
        <v>99</v>
      </c>
      <c r="B41" s="30" t="str">
        <f>IFERROR(INDEX(Prospectos!$F$2:$F$288,MATCH($A41,Prospectos!$A$2:$A$288,0)),"")</f>
        <v>B</v>
      </c>
      <c r="C41" s="30" t="str">
        <f>IFERROR(INDEX(Prospectos!$H$2:$H$288,MATCH($A41,Prospectos!$A$2:$A$288,0)),"")</f>
        <v>Tecnipiscinas</v>
      </c>
      <c r="D41" s="30" t="str">
        <f>IFERROR(INDEX(Prospectos!$J$2:$J$288,MATCH($A41,Prospectos!$A$2:$A$288,0)),"")</f>
        <v>PRFV y plásticos</v>
      </c>
      <c r="E41" s="30" t="str">
        <f>IFERROR(INDEX(Prospectos!$C$2:$C$288,MATCH($A41,Prospectos!$A$2:$A$288,0)),"")</f>
        <v>Base Río Tercero</v>
      </c>
      <c r="F41" s="30" t="str">
        <f>IFERROR(INDEX(Prospectos!$E$2:$E$288,MATCH($A41,Prospectos!$A$2:$A$288,0)),"")</f>
        <v>Río Tercero</v>
      </c>
      <c r="G41" s="30" t="str">
        <f>IFERROR(INDEX(Prospectos!$K$2:$K$288,MATCH($A41,Prospectos!$A$2:$A$288,0)),"")</f>
        <v>+54 3571 412563</v>
      </c>
      <c r="H41" s="30" t="str">
        <f>IFERROR(INDEX(Prospectos!$M$2:$M$288,MATCH($A41,Prospectos!$A$2:$A$288,0)),"")</f>
        <v>ventas / logística / dueño</v>
      </c>
      <c r="I41" s="30" t="str">
        <f>IFERROR(INDEX(Prospectos!$N$2:$N$288,MATCH($A41,Prospectos!$A$2:$A$288,0)),"")</f>
        <v>Retiro, traslado y descarga de piletas/fibra o piezas voluminosas livianas, con cuidado de maniobra.</v>
      </c>
      <c r="J41" s="30" t="str">
        <f>IFERROR(INDEX(Prospectos!$AJ$2:$AJ$288,MATCH($A41,Prospectos!$A$2:$A$288,0)),"")</f>
        <v>Alta</v>
      </c>
      <c r="K41" s="31"/>
    </row>
    <row r="42" spans="1:11" s="32" customFormat="1" ht="33.950000000000003" customHeight="1">
      <c r="A42" s="30" t="s">
        <v>100</v>
      </c>
      <c r="B42" s="30" t="str">
        <f>IFERROR(INDEX(Prospectos!$F$2:$F$288,MATCH($A42,Prospectos!$A$2:$A$288,0)),"")</f>
        <v>B</v>
      </c>
      <c r="C42" s="30" t="str">
        <f>IFERROR(INDEX(Prospectos!$H$2:$H$288,MATCH($A42,Prospectos!$A$2:$A$288,0)),"")</f>
        <v>Indusplast Río Tercero</v>
      </c>
      <c r="D42" s="30" t="str">
        <f>IFERROR(INDEX(Prospectos!$J$2:$J$288,MATCH($A42,Prospectos!$A$2:$A$288,0)),"")</f>
        <v>PRFV y plásticos</v>
      </c>
      <c r="E42" s="30" t="str">
        <f>IFERROR(INDEX(Prospectos!$C$2:$C$288,MATCH($A42,Prospectos!$A$2:$A$288,0)),"")</f>
        <v>Base Río Tercero</v>
      </c>
      <c r="F42" s="30" t="str">
        <f>IFERROR(INDEX(Prospectos!$E$2:$E$288,MATCH($A42,Prospectos!$A$2:$A$288,0)),"")</f>
        <v>Río Tercero</v>
      </c>
      <c r="G42" s="30" t="str">
        <f>IFERROR(INDEX(Prospectos!$K$2:$K$288,MATCH($A42,Prospectos!$A$2:$A$288,0)),"")</f>
        <v>+54 3571 57-5556</v>
      </c>
      <c r="H42" s="30" t="str">
        <f>IFERROR(INDEX(Prospectos!$M$2:$M$288,MATCH($A42,Prospectos!$A$2:$A$288,0)),"")</f>
        <v>ventas / dueño</v>
      </c>
      <c r="I42" s="30" t="str">
        <f>IFERROR(INDEX(Prospectos!$N$2:$N$288,MATCH($A42,Prospectos!$A$2:$A$288,0)),"")</f>
        <v>Retiro, traslado y descarga de piletas/fibra o piezas voluminosas livianas, con cuidado de maniobra.</v>
      </c>
      <c r="J42" s="30" t="str">
        <f>IFERROR(INDEX(Prospectos!$AJ$2:$AJ$288,MATCH($A42,Prospectos!$A$2:$A$288,0)),"")</f>
        <v>Alta</v>
      </c>
      <c r="K42" s="31"/>
    </row>
    <row r="43" spans="1:11" s="32" customFormat="1" ht="33.950000000000003" customHeight="1">
      <c r="A43" s="30" t="s">
        <v>101</v>
      </c>
      <c r="B43" s="30" t="str">
        <f>IFERROR(INDEX(Prospectos!$F$2:$F$288,MATCH($A43,Prospectos!$A$2:$A$288,0)),"")</f>
        <v>B</v>
      </c>
      <c r="C43" s="30" t="str">
        <f>IFERROR(INDEX(Prospectos!$H$2:$H$288,MATCH($A43,Prospectos!$A$2:$A$288,0)),"")</f>
        <v>AGROTRAZIONE S.A.S</v>
      </c>
      <c r="D43" s="30" t="str">
        <f>IFERROR(INDEX(Prospectos!$J$2:$J$288,MATCH($A43,Prospectos!$A$2:$A$288,0)),"")</f>
        <v>Maquinaria agrícola</v>
      </c>
      <c r="E43" s="30" t="str">
        <f>IFERROR(INDEX(Prospectos!$C$2:$C$288,MATCH($A43,Prospectos!$A$2:$A$288,0)),"")</f>
        <v>Base Río Tercero</v>
      </c>
      <c r="F43" s="30" t="str">
        <f>IFERROR(INDEX(Prospectos!$E$2:$E$288,MATCH($A43,Prospectos!$A$2:$A$288,0)),"")</f>
        <v>Río Tercero</v>
      </c>
      <c r="G43" s="30" t="str">
        <f>IFERROR(INDEX(Prospectos!$K$2:$K$288,MATCH($A43,Prospectos!$A$2:$A$288,0)),"")</f>
        <v>03571 528350</v>
      </c>
      <c r="H43" s="30" t="str">
        <f>IFERROR(INDEX(Prospectos!$M$2:$M$288,MATCH($A43,Prospectos!$A$2:$A$288,0)),"")</f>
        <v>logística / entregas / postventa</v>
      </c>
      <c r="I43" s="30" t="str">
        <f>IFERROR(INDEX(Prospectos!$N$2:$N$288,MATCH($A43,Prospectos!$A$2:$A$288,0)),"")</f>
        <v>Traslado de maquinaria agrícola o vial entre sucursal, cliente, taller, campo y eventos.</v>
      </c>
      <c r="J43" s="30" t="str">
        <f>IFERROR(INDEX(Prospectos!$AJ$2:$AJ$288,MATCH($A43,Prospectos!$A$2:$A$288,0)),"")</f>
        <v>Alta</v>
      </c>
      <c r="K43" s="31"/>
    </row>
    <row r="44" spans="1:11" s="32" customFormat="1" ht="33.950000000000003" customHeight="1">
      <c r="A44" s="30" t="s">
        <v>102</v>
      </c>
      <c r="B44" s="30" t="str">
        <f>IFERROR(INDEX(Prospectos!$F$2:$F$288,MATCH($A44,Prospectos!$A$2:$A$288,0)),"")</f>
        <v>B</v>
      </c>
      <c r="C44" s="30" t="str">
        <f>IFERROR(INDEX(Prospectos!$H$2:$H$288,MATCH($A44,Prospectos!$A$2:$A$288,0)),"")</f>
        <v>Cementados Juan Nadalin e Hijos S.A.</v>
      </c>
      <c r="D44" s="30" t="str">
        <f>IFERROR(INDEX(Prospectos!$J$2:$J$288,MATCH($A44,Prospectos!$A$2:$A$288,0)),"")</f>
        <v>Agroindustria y alimentos</v>
      </c>
      <c r="E44" s="30" t="str">
        <f>IFERROR(INDEX(Prospectos!$C$2:$C$288,MATCH($A44,Prospectos!$A$2:$A$288,0)),"")</f>
        <v>Base Río Tercero</v>
      </c>
      <c r="F44" s="30" t="str">
        <f>IFERROR(INDEX(Prospectos!$E$2:$E$288,MATCH($A44,Prospectos!$A$2:$A$288,0)),"")</f>
        <v>Río Tercero</v>
      </c>
      <c r="G44" s="30" t="str">
        <f>IFERROR(INDEX(Prospectos!$K$2:$K$288,MATCH($A44,Prospectos!$A$2:$A$288,0)),"")</f>
        <v>03571 420931</v>
      </c>
      <c r="H44" s="30" t="str">
        <f>IFERROR(INDEX(Prospectos!$M$2:$M$288,MATCH($A44,Prospectos!$A$2:$A$288,0)),"")</f>
        <v>logística / despacho / postventa</v>
      </c>
      <c r="I44" s="30" t="str">
        <f>IFERROR(INDEX(Prospectos!$N$2:$N$288,MATCH($A44,Prospectos!$A$2:$A$288,0)),"")</f>
        <v>Traslado de maquinaria, implementos, equipos terminados y componentes de gran porte entre planta, cliente, obra o feria.</v>
      </c>
      <c r="J44" s="30" t="str">
        <f>IFERROR(INDEX(Prospectos!$AJ$2:$AJ$288,MATCH($A44,Prospectos!$A$2:$A$288,0)),"")</f>
        <v>Alta</v>
      </c>
      <c r="K44" s="31" t="s">
        <v>2882</v>
      </c>
    </row>
    <row r="45" spans="1:11" s="32" customFormat="1" ht="33.950000000000003" customHeight="1">
      <c r="A45" s="30" t="s">
        <v>103</v>
      </c>
      <c r="B45" s="30" t="str">
        <f>IFERROR(INDEX(Prospectos!$F$2:$F$288,MATCH($A45,Prospectos!$A$2:$A$288,0)),"")</f>
        <v>B</v>
      </c>
      <c r="C45" s="30" t="str">
        <f>IFERROR(INDEX(Prospectos!$H$2:$H$288,MATCH($A45,Prospectos!$A$2:$A$288,0)),"")</f>
        <v>Cementados Río Tercero</v>
      </c>
      <c r="D45" s="30" t="str">
        <f>IFERROR(INDEX(Prospectos!$J$2:$J$288,MATCH($A45,Prospectos!$A$2:$A$288,0)),"")</f>
        <v>Agroindustria y alimentos</v>
      </c>
      <c r="E45" s="30" t="str">
        <f>IFERROR(INDEX(Prospectos!$C$2:$C$288,MATCH($A45,Prospectos!$A$2:$A$288,0)),"")</f>
        <v>Base Río Tercero</v>
      </c>
      <c r="F45" s="30" t="str">
        <f>IFERROR(INDEX(Prospectos!$E$2:$E$288,MATCH($A45,Prospectos!$A$2:$A$288,0)),"")</f>
        <v>Río Tercero</v>
      </c>
      <c r="G45" s="30" t="str">
        <f>IFERROR(INDEX(Prospectos!$K$2:$K$288,MATCH($A45,Prospectos!$A$2:$A$288,0)),"")</f>
        <v>03571 319490</v>
      </c>
      <c r="H45" s="30" t="str">
        <f>IFERROR(INDEX(Prospectos!$M$2:$M$288,MATCH($A45,Prospectos!$A$2:$A$288,0)),"")</f>
        <v>logística / despacho / postventa</v>
      </c>
      <c r="I45" s="30" t="str">
        <f>IFERROR(INDEX(Prospectos!$N$2:$N$288,MATCH($A45,Prospectos!$A$2:$A$288,0)),"")</f>
        <v>Traslado de maquinaria, implementos, equipos terminados y componentes de gran porte entre planta, cliente, obra o feria.</v>
      </c>
      <c r="J45" s="30" t="str">
        <f>IFERROR(INDEX(Prospectos!$AJ$2:$AJ$288,MATCH($A45,Prospectos!$A$2:$A$288,0)),"")</f>
        <v>Alta</v>
      </c>
      <c r="K45" s="31"/>
    </row>
    <row r="46" spans="1:11" s="32" customFormat="1" ht="33.950000000000003" customHeight="1">
      <c r="A46" s="30" t="s">
        <v>104</v>
      </c>
      <c r="B46" s="30" t="str">
        <f>IFERROR(INDEX(Prospectos!$F$2:$F$288,MATCH($A46,Prospectos!$A$2:$A$288,0)),"")</f>
        <v>B</v>
      </c>
      <c r="C46" s="30" t="str">
        <f>IFERROR(INDEX(Prospectos!$H$2:$H$288,MATCH($A46,Prospectos!$A$2:$A$288,0)),"")</f>
        <v>Hidrobull</v>
      </c>
      <c r="D46" s="30" t="str">
        <f>IFERROR(INDEX(Prospectos!$J$2:$J$288,MATCH($A46,Prospectos!$A$2:$A$288,0)),"")</f>
        <v>Industria y mantenimiento</v>
      </c>
      <c r="E46" s="30" t="str">
        <f>IFERROR(INDEX(Prospectos!$C$2:$C$288,MATCH($A46,Prospectos!$A$2:$A$288,0)),"")</f>
        <v>Base Río Tercero</v>
      </c>
      <c r="F46" s="30" t="str">
        <f>IFERROR(INDEX(Prospectos!$E$2:$E$288,MATCH($A46,Prospectos!$A$2:$A$288,0)),"")</f>
        <v>Río Tercero</v>
      </c>
      <c r="G46" s="30" t="str">
        <f>IFERROR(INDEX(Prospectos!$K$2:$K$288,MATCH($A46,Prospectos!$A$2:$A$288,0)),"")</f>
        <v>03571 549612</v>
      </c>
      <c r="H46" s="30" t="str">
        <f>IFERROR(INDEX(Prospectos!$M$2:$M$288,MATCH($A46,Prospectos!$A$2:$A$288,0)),"")</f>
        <v>responsable de logística/compras</v>
      </c>
      <c r="I46" s="30" t="str">
        <f>IFERROR(INDEX(Prospectos!$N$2:$N$288,MATCH($A46,Prospectos!$A$2:$A$288,0)),"")</f>
        <v>Movimientos especiales de mantenimiento, repuestos pesados y mudanzas internas de equipos.</v>
      </c>
      <c r="J46" s="30" t="str">
        <f>IFERROR(INDEX(Prospectos!$AJ$2:$AJ$288,MATCH($A46,Prospectos!$A$2:$A$288,0)),"")</f>
        <v>Alta</v>
      </c>
      <c r="K46" s="31" t="s">
        <v>2883</v>
      </c>
    </row>
    <row r="47" spans="1:11" s="32" customFormat="1" ht="33.950000000000003" customHeight="1">
      <c r="A47" s="30" t="s">
        <v>105</v>
      </c>
      <c r="B47" s="30" t="str">
        <f>IFERROR(INDEX(Prospectos!$F$2:$F$288,MATCH($A47,Prospectos!$A$2:$A$288,0)),"")</f>
        <v>B</v>
      </c>
      <c r="C47" s="30" t="str">
        <f>IFERROR(INDEX(Prospectos!$H$2:$H$288,MATCH($A47,Prospectos!$A$2:$A$288,0)),"")</f>
        <v>MetalMec S.R.L.</v>
      </c>
      <c r="D47" s="30" t="str">
        <f>IFERROR(INDEX(Prospectos!$J$2:$J$288,MATCH($A47,Prospectos!$A$2:$A$288,0)),"")</f>
        <v>Industria y mantenimiento</v>
      </c>
      <c r="E47" s="30" t="str">
        <f>IFERROR(INDEX(Prospectos!$C$2:$C$288,MATCH($A47,Prospectos!$A$2:$A$288,0)),"")</f>
        <v>Base Río Tercero</v>
      </c>
      <c r="F47" s="30" t="str">
        <f>IFERROR(INDEX(Prospectos!$E$2:$E$288,MATCH($A47,Prospectos!$A$2:$A$288,0)),"")</f>
        <v>Río Tercero</v>
      </c>
      <c r="G47" s="30" t="str">
        <f>IFERROR(INDEX(Prospectos!$K$2:$K$288,MATCH($A47,Prospectos!$A$2:$A$288,0)),"")</f>
        <v>03571 681577 / 03571 506656</v>
      </c>
      <c r="H47" s="30" t="str">
        <f>IFERROR(INDEX(Prospectos!$M$2:$M$288,MATCH($A47,Prospectos!$A$2:$A$288,0)),"")</f>
        <v>despacho / producción</v>
      </c>
      <c r="I47" s="30" t="str">
        <f>IFERROR(INDEX(Prospectos!$N$2:$N$288,MATCH($A47,Prospectos!$A$2:$A$288,0)),"")</f>
        <v>Movimientos especiales de mantenimiento, repuestos pesados y mudanzas internas de equipos.</v>
      </c>
      <c r="J47" s="30" t="str">
        <f>IFERROR(INDEX(Prospectos!$AJ$2:$AJ$288,MATCH($A47,Prospectos!$A$2:$A$288,0)),"")</f>
        <v>Alta</v>
      </c>
      <c r="K47" s="31" t="s">
        <v>2870</v>
      </c>
    </row>
    <row r="48" spans="1:11" s="32" customFormat="1" ht="33.950000000000003" customHeight="1">
      <c r="A48" s="30" t="s">
        <v>106</v>
      </c>
      <c r="B48" s="30" t="str">
        <f>IFERROR(INDEX(Prospectos!$F$2:$F$288,MATCH($A48,Prospectos!$A$2:$A$288,0)),"")</f>
        <v>B</v>
      </c>
      <c r="C48" s="30" t="str">
        <f>IFERROR(INDEX(Prospectos!$H$2:$H$288,MATCH($A48,Prospectos!$A$2:$A$288,0)),"")</f>
        <v>Oleos San José S.R.L.</v>
      </c>
      <c r="D48" s="30" t="str">
        <f>IFERROR(INDEX(Prospectos!$J$2:$J$288,MATCH($A48,Prospectos!$A$2:$A$288,0)),"")</f>
        <v>Agroindustria y alimentos</v>
      </c>
      <c r="E48" s="30" t="str">
        <f>IFERROR(INDEX(Prospectos!$C$2:$C$288,MATCH($A48,Prospectos!$A$2:$A$288,0)),"")</f>
        <v>Base Río Tercero</v>
      </c>
      <c r="F48" s="30" t="str">
        <f>IFERROR(INDEX(Prospectos!$E$2:$E$288,MATCH($A48,Prospectos!$A$2:$A$288,0)),"")</f>
        <v>Río Tercero</v>
      </c>
      <c r="G48" s="30" t="str">
        <f>IFERROR(INDEX(Prospectos!$K$2:$K$288,MATCH($A48,Prospectos!$A$2:$A$288,0)),"")</f>
        <v>03571 692471 / 03571 640630</v>
      </c>
      <c r="H48" s="30" t="str">
        <f>IFERROR(INDEX(Prospectos!$M$2:$M$288,MATCH($A48,Prospectos!$A$2:$A$288,0)),"")</f>
        <v>responsable de acopio / mantenimiento</v>
      </c>
      <c r="I48" s="30" t="str">
        <f>IFERROR(INDEX(Prospectos!$N$2:$N$288,MATCH($A48,Prospectos!$A$2:$A$288,0)),"")</f>
        <v>Movimientos especiales de mantenimiento, repuestos pesados y mudanzas internas de equipos.</v>
      </c>
      <c r="J48" s="30" t="str">
        <f>IFERROR(INDEX(Prospectos!$AJ$2:$AJ$288,MATCH($A48,Prospectos!$A$2:$A$288,0)),"")</f>
        <v>Alta</v>
      </c>
      <c r="K48" s="31"/>
    </row>
    <row r="49" spans="1:11" ht="33.950000000000003" customHeight="1">
      <c r="A49" s="23" t="s">
        <v>107</v>
      </c>
      <c r="B49" s="23" t="str">
        <f>IFERROR(INDEX(Prospectos!$F$2:$F$288,MATCH($A49,Prospectos!$A$2:$A$288,0)),"")</f>
        <v>B</v>
      </c>
      <c r="C49" s="23" t="str">
        <f>IFERROR(INDEX(Prospectos!$H$2:$H$288,MATCH($A49,Prospectos!$A$2:$A$288,0)),"")</f>
        <v>Premolfran Premoldeados by d'Eco</v>
      </c>
      <c r="D49" s="23" t="str">
        <f>IFERROR(INDEX(Prospectos!$J$2:$J$288,MATCH($A49,Prospectos!$A$2:$A$288,0)),"")</f>
        <v>Hormigón, áridos y materiales</v>
      </c>
      <c r="E49" s="23" t="str">
        <f>IFERROR(INDEX(Prospectos!$C$2:$C$288,MATCH($A49,Prospectos!$A$2:$A$288,0)),"")</f>
        <v>Base Río Tercero</v>
      </c>
      <c r="F49" s="23" t="str">
        <f>IFERROR(INDEX(Prospectos!$E$2:$E$288,MATCH($A49,Prospectos!$A$2:$A$288,0)),"")</f>
        <v>Río Tercero</v>
      </c>
      <c r="G49" s="23" t="str">
        <f>IFERROR(INDEX(Prospectos!$K$2:$K$288,MATCH($A49,Prospectos!$A$2:$A$288,0)),"")</f>
        <v>03571 327594</v>
      </c>
      <c r="H49" s="23" t="str">
        <f>IFERROR(INDEX(Prospectos!$M$2:$M$288,MATCH($A49,Prospectos!$A$2:$A$288,0)),"")</f>
        <v>planta / despacho</v>
      </c>
      <c r="I49" s="23" t="str">
        <f>IFERROR(INDEX(Prospectos!$N$2:$N$288,MATCH($A49,Prospectos!$A$2:$A$288,0)),"")</f>
        <v>Movimiento de premoldeados, moldes, equipos de planta y cargas pesadas asociadas a obra.</v>
      </c>
      <c r="J49" s="23" t="str">
        <f>IFERROR(INDEX(Prospectos!$AJ$2:$AJ$288,MATCH($A49,Prospectos!$A$2:$A$288,0)),"")</f>
        <v>Alta</v>
      </c>
      <c r="K49" s="29"/>
    </row>
    <row r="50" spans="1:11" ht="33.950000000000003" customHeight="1">
      <c r="A50" s="3" t="s">
        <v>108</v>
      </c>
      <c r="B50" s="3" t="str">
        <f>IFERROR(INDEX(Prospectos!$F$2:$F$288,MATCH($A50,Prospectos!$A$2:$A$288,0)),"")</f>
        <v>B</v>
      </c>
      <c r="C50" s="3" t="str">
        <f>IFERROR(INDEX(Prospectos!$H$2:$H$288,MATCH($A50,Prospectos!$A$2:$A$288,0)),"")</f>
        <v>Río Metal</v>
      </c>
      <c r="D50" s="3" t="str">
        <f>IFERROR(INDEX(Prospectos!$J$2:$J$288,MATCH($A50,Prospectos!$A$2:$A$288,0)),"")</f>
        <v>Metalúrgica y fabricación</v>
      </c>
      <c r="E50" s="3" t="str">
        <f>IFERROR(INDEX(Prospectos!$C$2:$C$288,MATCH($A50,Prospectos!$A$2:$A$288,0)),"")</f>
        <v>Base Río Tercero</v>
      </c>
      <c r="F50" s="3" t="str">
        <f>IFERROR(INDEX(Prospectos!$E$2:$E$288,MATCH($A50,Prospectos!$A$2:$A$288,0)),"")</f>
        <v>Río Tercero</v>
      </c>
      <c r="G50" s="3" t="str">
        <f>IFERROR(INDEX(Prospectos!$K$2:$K$288,MATCH($A50,Prospectos!$A$2:$A$288,0)),"")</f>
        <v>+54 9 3571 52-9444</v>
      </c>
      <c r="H50" s="3" t="str">
        <f>IFERROR(INDEX(Prospectos!$M$2:$M$288,MATCH($A50,Prospectos!$A$2:$A$288,0)),"")</f>
        <v>despacho / producción</v>
      </c>
      <c r="I50" s="3" t="str">
        <f>IFERROR(INDEX(Prospectos!$N$2:$N$288,MATCH($A50,Prospectos!$A$2:$A$288,0)),"")</f>
        <v>Despacho seguro de estructuras, carrozados, tanques, piezas industriales y equipos sobre plataforma.</v>
      </c>
      <c r="J50" s="3" t="str">
        <f>IFERROR(INDEX(Prospectos!$AJ$2:$AJ$288,MATCH($A50,Prospectos!$A$2:$A$288,0)),"")</f>
        <v>Alta</v>
      </c>
      <c r="K50" s="29"/>
    </row>
    <row r="51" spans="1:11" ht="33.950000000000003" customHeight="1">
      <c r="A51" s="23" t="s">
        <v>109</v>
      </c>
      <c r="B51" s="23" t="str">
        <f>IFERROR(INDEX(Prospectos!$F$2:$F$288,MATCH($A51,Prospectos!$A$2:$A$288,0)),"")</f>
        <v>B</v>
      </c>
      <c r="C51" s="23" t="str">
        <f>IFERROR(INDEX(Prospectos!$H$2:$H$288,MATCH($A51,Prospectos!$A$2:$A$288,0)),"")</f>
        <v>SILMAR Industrial</v>
      </c>
      <c r="D51" s="23" t="str">
        <f>IFERROR(INDEX(Prospectos!$J$2:$J$288,MATCH($A51,Prospectos!$A$2:$A$288,0)),"")</f>
        <v>Metalúrgica y fabricación</v>
      </c>
      <c r="E51" s="23" t="str">
        <f>IFERROR(INDEX(Prospectos!$C$2:$C$288,MATCH($A51,Prospectos!$A$2:$A$288,0)),"")</f>
        <v>Base Río Tercero</v>
      </c>
      <c r="F51" s="23" t="str">
        <f>IFERROR(INDEX(Prospectos!$E$2:$E$288,MATCH($A51,Prospectos!$A$2:$A$288,0)),"")</f>
        <v>Río Tercero</v>
      </c>
      <c r="G51" s="23" t="str">
        <f>IFERROR(INDEX(Prospectos!$K$2:$K$288,MATCH($A51,Prospectos!$A$2:$A$288,0)),"")</f>
        <v>03571 411073</v>
      </c>
      <c r="H51" s="23" t="str">
        <f>IFERROR(INDEX(Prospectos!$M$2:$M$288,MATCH($A51,Prospectos!$A$2:$A$288,0)),"")</f>
        <v>mantenimiento / despacho</v>
      </c>
      <c r="I51" s="23" t="str">
        <f>IFERROR(INDEX(Prospectos!$N$2:$N$288,MATCH($A51,Prospectos!$A$2:$A$288,0)),"")</f>
        <v>Movimientos especiales de mantenimiento, repuestos pesados, equipos y mudanzas internas o entre plantas.</v>
      </c>
      <c r="J51" s="23" t="str">
        <f>IFERROR(INDEX(Prospectos!$AJ$2:$AJ$288,MATCH($A51,Prospectos!$A$2:$A$288,0)),"")</f>
        <v>Alta</v>
      </c>
      <c r="K51" s="29"/>
    </row>
    <row r="52" spans="1:11" ht="33.950000000000003" customHeight="1">
      <c r="A52" s="3" t="s">
        <v>110</v>
      </c>
      <c r="B52" s="3" t="str">
        <f>IFERROR(INDEX(Prospectos!$F$2:$F$288,MATCH($A52,Prospectos!$A$2:$A$288,0)),"")</f>
        <v>B</v>
      </c>
      <c r="C52" s="3" t="str">
        <f>IFERROR(INDEX(Prospectos!$H$2:$H$288,MATCH($A52,Prospectos!$A$2:$A$288,0)),"")</f>
        <v>TALFUND S.A.</v>
      </c>
      <c r="D52" s="3" t="str">
        <f>IFERROR(INDEX(Prospectos!$J$2:$J$288,MATCH($A52,Prospectos!$A$2:$A$288,0)),"")</f>
        <v>Metalúrgica y fabricación</v>
      </c>
      <c r="E52" s="3" t="str">
        <f>IFERROR(INDEX(Prospectos!$C$2:$C$288,MATCH($A52,Prospectos!$A$2:$A$288,0)),"")</f>
        <v>Base Río Tercero</v>
      </c>
      <c r="F52" s="3" t="str">
        <f>IFERROR(INDEX(Prospectos!$E$2:$E$288,MATCH($A52,Prospectos!$A$2:$A$288,0)),"")</f>
        <v>Río Tercero</v>
      </c>
      <c r="G52" s="3" t="str">
        <f>IFERROR(INDEX(Prospectos!$K$2:$K$288,MATCH($A52,Prospectos!$A$2:$A$288,0)),"")</f>
        <v>03571 690418 / 03571 642555</v>
      </c>
      <c r="H52" s="3" t="str">
        <f>IFERROR(INDEX(Prospectos!$M$2:$M$288,MATCH($A52,Prospectos!$A$2:$A$288,0)),"")</f>
        <v>despacho / producción</v>
      </c>
      <c r="I52" s="3" t="str">
        <f>IFERROR(INDEX(Prospectos!$N$2:$N$288,MATCH($A52,Prospectos!$A$2:$A$288,0)),"")</f>
        <v>Despacho de estructuras, piezas, equipos y conjuntos metalmecánicos de gran porte hacia obras o clientes.</v>
      </c>
      <c r="J52" s="3" t="str">
        <f>IFERROR(INDEX(Prospectos!$AJ$2:$AJ$288,MATCH($A52,Prospectos!$A$2:$A$288,0)),"")</f>
        <v>Alta</v>
      </c>
      <c r="K52" s="29"/>
    </row>
    <row r="53" spans="1:11" ht="33.950000000000003" customHeight="1">
      <c r="A53" s="23" t="s">
        <v>111</v>
      </c>
      <c r="B53" s="23" t="str">
        <f>IFERROR(INDEX(Prospectos!$F$2:$F$288,MATCH($A53,Prospectos!$A$2:$A$288,0)),"")</f>
        <v>B</v>
      </c>
      <c r="C53" s="23" t="str">
        <f>IFERROR(INDEX(Prospectos!$H$2:$H$288,MATCH($A53,Prospectos!$A$2:$A$288,0)),"")</f>
        <v>Tello SRL Premoldeados de Hormigón</v>
      </c>
      <c r="D53" s="23" t="str">
        <f>IFERROR(INDEX(Prospectos!$J$2:$J$288,MATCH($A53,Prospectos!$A$2:$A$288,0)),"")</f>
        <v>Hormigón, áridos y materiales</v>
      </c>
      <c r="E53" s="23" t="str">
        <f>IFERROR(INDEX(Prospectos!$C$2:$C$288,MATCH($A53,Prospectos!$A$2:$A$288,0)),"")</f>
        <v>Base Río Tercero</v>
      </c>
      <c r="F53" s="23" t="str">
        <f>IFERROR(INDEX(Prospectos!$E$2:$E$288,MATCH($A53,Prospectos!$A$2:$A$288,0)),"")</f>
        <v>Río Tercero</v>
      </c>
      <c r="G53" s="23" t="str">
        <f>IFERROR(INDEX(Prospectos!$K$2:$K$288,MATCH($A53,Prospectos!$A$2:$A$288,0)),"")</f>
        <v>0351 4576859</v>
      </c>
      <c r="H53" s="23" t="str">
        <f>IFERROR(INDEX(Prospectos!$M$2:$M$288,MATCH($A53,Prospectos!$A$2:$A$288,0)),"")</f>
        <v>planta / despacho</v>
      </c>
      <c r="I53" s="23" t="str">
        <f>IFERROR(INDEX(Prospectos!$N$2:$N$288,MATCH($A53,Prospectos!$A$2:$A$288,0)),"")</f>
        <v>Movimiento de premoldeados, moldes, equipos de planta y cargas pesadas asociadas a obra.</v>
      </c>
      <c r="J53" s="23" t="str">
        <f>IFERROR(INDEX(Prospectos!$AJ$2:$AJ$288,MATCH($A53,Prospectos!$A$2:$A$288,0)),"")</f>
        <v>Alta</v>
      </c>
      <c r="K53" s="29"/>
    </row>
    <row r="54" spans="1:11" ht="33.950000000000003" customHeight="1">
      <c r="A54" s="3" t="s">
        <v>112</v>
      </c>
      <c r="B54" s="3" t="str">
        <f>IFERROR(INDEX(Prospectos!$F$2:$F$288,MATCH($A54,Prospectos!$A$2:$A$288,0)),"")</f>
        <v>B</v>
      </c>
      <c r="C54" s="3" t="str">
        <f>IFERROR(INDEX(Prospectos!$H$2:$H$288,MATCH($A54,Prospectos!$A$2:$A$288,0)),"")</f>
        <v>Formia Repuestos</v>
      </c>
      <c r="D54" s="3" t="str">
        <f>IFERROR(INDEX(Prospectos!$J$2:$J$288,MATCH($A54,Prospectos!$A$2:$A$288,0)),"")</f>
        <v>Maquinaria agrícola</v>
      </c>
      <c r="E54" s="3" t="str">
        <f>IFERROR(INDEX(Prospectos!$C$2:$C$288,MATCH($A54,Prospectos!$A$2:$A$288,0)),"")</f>
        <v>Base Río Tercero</v>
      </c>
      <c r="F54" s="3" t="str">
        <f>IFERROR(INDEX(Prospectos!$E$2:$E$288,MATCH($A54,Prospectos!$A$2:$A$288,0)),"")</f>
        <v>Río Tercero</v>
      </c>
      <c r="G54" s="3" t="str">
        <f>IFERROR(INDEX(Prospectos!$K$2:$K$288,MATCH($A54,Prospectos!$A$2:$A$288,0)),"")</f>
        <v>03571 422102</v>
      </c>
      <c r="H54" s="3" t="str">
        <f>IFERROR(INDEX(Prospectos!$M$2:$M$288,MATCH($A54,Prospectos!$A$2:$A$288,0)),"")</f>
        <v>logística / ventas / postventa</v>
      </c>
      <c r="I54" s="3" t="str">
        <f>IFERROR(INDEX(Prospectos!$N$2:$N$288,MATCH($A54,Prospectos!$A$2:$A$288,0)),"")</f>
        <v>Movimiento de agropartes, repuestos pesados, conjuntos y eventualmente implementos/equipos entre planta, concesionarios y clientes.</v>
      </c>
      <c r="J54" s="3" t="str">
        <f>IFERROR(INDEX(Prospectos!$AJ$2:$AJ$288,MATCH($A54,Prospectos!$A$2:$A$288,0)),"")</f>
        <v>Media</v>
      </c>
      <c r="K54" s="29"/>
    </row>
    <row r="55" spans="1:11" s="32" customFormat="1" ht="33.950000000000003" customHeight="1">
      <c r="A55" s="30" t="s">
        <v>113</v>
      </c>
      <c r="B55" s="30" t="str">
        <f>IFERROR(INDEX(Prospectos!$F$2:$F$288,MATCH($A55,Prospectos!$A$2:$A$288,0)),"")</f>
        <v>B</v>
      </c>
      <c r="C55" s="30" t="str">
        <f>IFERROR(INDEX(Prospectos!$H$2:$H$288,MATCH($A55,Prospectos!$A$2:$A$288,0)),"")</f>
        <v>Hidráulica Río Tercero</v>
      </c>
      <c r="D55" s="30" t="str">
        <f>IFERROR(INDEX(Prospectos!$J$2:$J$288,MATCH($A55,Prospectos!$A$2:$A$288,0)),"")</f>
        <v>Maquinaria agrícola</v>
      </c>
      <c r="E55" s="30" t="str">
        <f>IFERROR(INDEX(Prospectos!$C$2:$C$288,MATCH($A55,Prospectos!$A$2:$A$288,0)),"")</f>
        <v>Base Río Tercero</v>
      </c>
      <c r="F55" s="30" t="str">
        <f>IFERROR(INDEX(Prospectos!$E$2:$E$288,MATCH($A55,Prospectos!$A$2:$A$288,0)),"")</f>
        <v>Río Tercero</v>
      </c>
      <c r="G55" s="30" t="str">
        <f>IFERROR(INDEX(Prospectos!$K$2:$K$288,MATCH($A55,Prospectos!$A$2:$A$288,0)),"")</f>
        <v>03571 432041</v>
      </c>
      <c r="H55" s="30" t="str">
        <f>IFERROR(INDEX(Prospectos!$M$2:$M$288,MATCH($A55,Prospectos!$A$2:$A$288,0)),"")</f>
        <v>logística / ventas / postventa</v>
      </c>
      <c r="I55" s="30" t="str">
        <f>IFERROR(INDEX(Prospectos!$N$2:$N$288,MATCH($A55,Prospectos!$A$2:$A$288,0)),"")</f>
        <v>Movimiento de agropartes, repuestos pesados, conjuntos y eventualmente implementos/equipos entre planta, concesionarios y clientes.</v>
      </c>
      <c r="J55" s="30" t="str">
        <f>IFERROR(INDEX(Prospectos!$AJ$2:$AJ$288,MATCH($A55,Prospectos!$A$2:$A$288,0)),"")</f>
        <v>Media</v>
      </c>
      <c r="K55" s="31"/>
    </row>
    <row r="56" spans="1:11" s="32" customFormat="1" ht="33.950000000000003" customHeight="1">
      <c r="A56" s="30" t="s">
        <v>114</v>
      </c>
      <c r="B56" s="30" t="str">
        <f>IFERROR(INDEX(Prospectos!$F$2:$F$288,MATCH($A56,Prospectos!$A$2:$A$288,0)),"")</f>
        <v>B</v>
      </c>
      <c r="C56" s="30" t="str">
        <f>IFERROR(INDEX(Prospectos!$H$2:$H$288,MATCH($A56,Prospectos!$A$2:$A$288,0)),"")</f>
        <v>Baudino Hnos.</v>
      </c>
      <c r="D56" s="30" t="str">
        <f>IFERROR(INDEX(Prospectos!$J$2:$J$288,MATCH($A56,Prospectos!$A$2:$A$288,0)),"")</f>
        <v>Metalúrgica y fabricación</v>
      </c>
      <c r="E56" s="30" t="str">
        <f>IFERROR(INDEX(Prospectos!$C$2:$C$288,MATCH($A56,Prospectos!$A$2:$A$288,0)),"")</f>
        <v>Base Río Tercero</v>
      </c>
      <c r="F56" s="30" t="str">
        <f>IFERROR(INDEX(Prospectos!$E$2:$E$288,MATCH($A56,Prospectos!$A$2:$A$288,0)),"")</f>
        <v>Río Tercero</v>
      </c>
      <c r="G56" s="30" t="str">
        <f>IFERROR(INDEX(Prospectos!$K$2:$K$288,MATCH($A56,Prospectos!$A$2:$A$288,0)),"")</f>
        <v>03571 15600693 / 3571 457279 / 3571 458732</v>
      </c>
      <c r="H56" s="30" t="str">
        <f>IFERROR(INDEX(Prospectos!$M$2:$M$288,MATCH($A56,Prospectos!$A$2:$A$288,0)),"")</f>
        <v>despacho / producción</v>
      </c>
      <c r="I56" s="30" t="str">
        <f>IFERROR(INDEX(Prospectos!$N$2:$N$288,MATCH($A56,Prospectos!$A$2:$A$288,0)),"")</f>
        <v>Despacho seguro de estructuras, carrozados, tanques, piezas industriales y equipos sobre plataforma.</v>
      </c>
      <c r="J56" s="30" t="str">
        <f>IFERROR(INDEX(Prospectos!$AJ$2:$AJ$288,MATCH($A56,Prospectos!$A$2:$A$288,0)),"")</f>
        <v>Media</v>
      </c>
      <c r="K56" s="31" t="s">
        <v>2884</v>
      </c>
    </row>
    <row r="57" spans="1:11" ht="33.950000000000003" customHeight="1">
      <c r="A57" s="23" t="s">
        <v>115</v>
      </c>
      <c r="B57" s="23" t="str">
        <f>IFERROR(INDEX(Prospectos!$F$2:$F$288,MATCH($A57,Prospectos!$A$2:$A$288,0)),"")</f>
        <v>B</v>
      </c>
      <c r="C57" s="23" t="str">
        <f>IFERROR(INDEX(Prospectos!$H$2:$H$288,MATCH($A57,Prospectos!$A$2:$A$288,0)),"")</f>
        <v>Charrúa Implementos Agrícolas</v>
      </c>
      <c r="D57" s="23" t="str">
        <f>IFERROR(INDEX(Prospectos!$J$2:$J$288,MATCH($A57,Prospectos!$A$2:$A$288,0)),"")</f>
        <v>Maquinaria agrícola</v>
      </c>
      <c r="E57" s="23" t="str">
        <f>IFERROR(INDEX(Prospectos!$C$2:$C$288,MATCH($A57,Prospectos!$A$2:$A$288,0)),"")</f>
        <v>Base Río Tercero</v>
      </c>
      <c r="F57" s="23" t="str">
        <f>IFERROR(INDEX(Prospectos!$E$2:$E$288,MATCH($A57,Prospectos!$A$2:$A$288,0)),"")</f>
        <v>Río Tercero</v>
      </c>
      <c r="G57" s="23" t="str">
        <f>IFERROR(INDEX(Prospectos!$K$2:$K$288,MATCH($A57,Prospectos!$A$2:$A$288,0)),"")</f>
        <v>03571 619149 / 03571 503663 (a confirmar) / +54 9 3571 61 9149 / +54 9 3571 31 0086</v>
      </c>
      <c r="H57" s="23" t="str">
        <f>IFERROR(INDEX(Prospectos!$M$2:$M$288,MATCH($A57,Prospectos!$A$2:$A$288,0)),"")</f>
        <v>responsable de acopio / mantenimiento</v>
      </c>
      <c r="I57" s="23" t="str">
        <f>IFERROR(INDEX(Prospectos!$N$2:$N$288,MATCH($A57,Prospectos!$A$2:$A$288,0)),"")</f>
        <v>Movimientos especiales de mantenimiento, repuestos pesados y mudanzas internas de equipos.</v>
      </c>
      <c r="J57" s="23" t="str">
        <f>IFERROR(INDEX(Prospectos!$AJ$2:$AJ$288,MATCH($A57,Prospectos!$A$2:$A$288,0)),"")</f>
        <v>Media</v>
      </c>
      <c r="K57" s="29"/>
    </row>
    <row r="58" spans="1:11" s="32" customFormat="1" ht="33.950000000000003" customHeight="1">
      <c r="A58" s="30" t="s">
        <v>116</v>
      </c>
      <c r="B58" s="30" t="str">
        <f>IFERROR(INDEX(Prospectos!$F$2:$F$288,MATCH($A58,Prospectos!$A$2:$A$288,0)),"")</f>
        <v>B</v>
      </c>
      <c r="C58" s="30" t="str">
        <f>IFERROR(INDEX(Prospectos!$H$2:$H$288,MATCH($A58,Prospectos!$A$2:$A$288,0)),"")</f>
        <v>HIDROSERVIS</v>
      </c>
      <c r="D58" s="30" t="str">
        <f>IFERROR(INDEX(Prospectos!$J$2:$J$288,MATCH($A58,Prospectos!$A$2:$A$288,0)),"")</f>
        <v>Metalúrgica y fabricación</v>
      </c>
      <c r="E58" s="30" t="str">
        <f>IFERROR(INDEX(Prospectos!$C$2:$C$288,MATCH($A58,Prospectos!$A$2:$A$288,0)),"")</f>
        <v>Base Río Tercero</v>
      </c>
      <c r="F58" s="30" t="str">
        <f>IFERROR(INDEX(Prospectos!$E$2:$E$288,MATCH($A58,Prospectos!$A$2:$A$288,0)),"")</f>
        <v>Río Tercero</v>
      </c>
      <c r="G58" s="30" t="str">
        <f>IFERROR(INDEX(Prospectos!$K$2:$K$288,MATCH($A58,Prospectos!$A$2:$A$288,0)),"")</f>
        <v>Portería parque: 03571 565662</v>
      </c>
      <c r="H58" s="30" t="str">
        <f>IFERROR(INDEX(Prospectos!$M$2:$M$288,MATCH($A58,Prospectos!$A$2:$A$288,0)),"")</f>
        <v>responsable de logística/compras</v>
      </c>
      <c r="I58" s="30" t="str">
        <f>IFERROR(INDEX(Prospectos!$N$2:$N$288,MATCH($A58,Prospectos!$A$2:$A$288,0)),"")</f>
        <v>Movimientos especiales de mantenimiento, repuestos pesados y mudanzas internas de equipos.</v>
      </c>
      <c r="J58" s="30" t="str">
        <f>IFERROR(INDEX(Prospectos!$AJ$2:$AJ$288,MATCH($A58,Prospectos!$A$2:$A$288,0)),"")</f>
        <v>Media</v>
      </c>
      <c r="K58" s="31"/>
    </row>
    <row r="59" spans="1:11" ht="33.950000000000003" customHeight="1">
      <c r="A59" s="23" t="s">
        <v>117</v>
      </c>
      <c r="B59" s="23" t="str">
        <f>IFERROR(INDEX(Prospectos!$F$2:$F$288,MATCH($A59,Prospectos!$A$2:$A$288,0)),"")</f>
        <v>B</v>
      </c>
      <c r="C59" s="33" t="str">
        <f>IFERROR(INDEX(Prospectos!$H$2:$H$288,MATCH($A59,Prospectos!$A$2:$A$288,0)),"")</f>
        <v>Hormilas S.A.</v>
      </c>
      <c r="D59" s="23" t="str">
        <f>IFERROR(INDEX(Prospectos!$J$2:$J$288,MATCH($A59,Prospectos!$A$2:$A$288,0)),"")</f>
        <v>Hormigón, áridos y materiales</v>
      </c>
      <c r="E59" s="23" t="str">
        <f>IFERROR(INDEX(Prospectos!$C$2:$C$288,MATCH($A59,Prospectos!$A$2:$A$288,0)),"")</f>
        <v>Base Río Tercero</v>
      </c>
      <c r="F59" s="23" t="str">
        <f>IFERROR(INDEX(Prospectos!$E$2:$E$288,MATCH($A59,Prospectos!$A$2:$A$288,0)),"")</f>
        <v>Río Tercero</v>
      </c>
      <c r="G59" s="23" t="str">
        <f>IFERROR(INDEX(Prospectos!$K$2:$K$288,MATCH($A59,Prospectos!$A$2:$A$288,0)),"")</f>
        <v>03571 573231 (a confirmar)</v>
      </c>
      <c r="H59" s="23" t="str">
        <f>IFERROR(INDEX(Prospectos!$M$2:$M$288,MATCH($A59,Prospectos!$A$2:$A$288,0)),"")</f>
        <v>operaciones / planta</v>
      </c>
      <c r="I59" s="23" t="str">
        <f>IFERROR(INDEX(Prospectos!$N$2:$N$288,MATCH($A59,Prospectos!$A$2:$A$288,0)),"")</f>
        <v>Movimiento de premoldeados, equipos de planta/cantera, bombas, moldes y cargas pesadas.</v>
      </c>
      <c r="J59" s="23" t="str">
        <f>IFERROR(INDEX(Prospectos!$AJ$2:$AJ$288,MATCH($A59,Prospectos!$A$2:$A$288,0)),"")</f>
        <v>Media</v>
      </c>
      <c r="K59" s="29"/>
    </row>
    <row r="60" spans="1:11" ht="33.950000000000003" customHeight="1">
      <c r="A60" s="3" t="s">
        <v>118</v>
      </c>
      <c r="B60" s="3" t="str">
        <f>IFERROR(INDEX(Prospectos!$F$2:$F$288,MATCH($A60,Prospectos!$A$2:$A$288,0)),"")</f>
        <v>B</v>
      </c>
      <c r="C60" s="3" t="str">
        <f>IFERROR(INDEX(Prospectos!$H$2:$H$288,MATCH($A60,Prospectos!$A$2:$A$288,0)),"")</f>
        <v>MoliCor</v>
      </c>
      <c r="D60" s="3" t="str">
        <f>IFERROR(INDEX(Prospectos!$J$2:$J$288,MATCH($A60,Prospectos!$A$2:$A$288,0)),"")</f>
        <v>Metalúrgica y fabricación</v>
      </c>
      <c r="E60" s="3" t="str">
        <f>IFERROR(INDEX(Prospectos!$C$2:$C$288,MATCH($A60,Prospectos!$A$2:$A$288,0)),"")</f>
        <v>Base Río Tercero</v>
      </c>
      <c r="F60" s="3" t="str">
        <f>IFERROR(INDEX(Prospectos!$E$2:$E$288,MATCH($A60,Prospectos!$A$2:$A$288,0)),"")</f>
        <v>Río Tercero</v>
      </c>
      <c r="G60" s="3" t="str">
        <f>IFERROR(INDEX(Prospectos!$K$2:$K$288,MATCH($A60,Prospectos!$A$2:$A$288,0)),"")</f>
        <v>A relevar vía parque</v>
      </c>
      <c r="H60" s="3" t="str">
        <f>IFERROR(INDEX(Prospectos!$M$2:$M$288,MATCH($A60,Prospectos!$A$2:$A$288,0)),"")</f>
        <v>despacho / producción</v>
      </c>
      <c r="I60" s="3" t="str">
        <f>IFERROR(INDEX(Prospectos!$N$2:$N$288,MATCH($A60,Prospectos!$A$2:$A$288,0)),"")</f>
        <v>Despacho de estructuras, piezas, equipos y conjuntos metalmecánicos de gran porte hacia obras o clientes.</v>
      </c>
      <c r="J60" s="3" t="str">
        <f>IFERROR(INDEX(Prospectos!$AJ$2:$AJ$288,MATCH($A60,Prospectos!$A$2:$A$288,0)),"")</f>
        <v>Media</v>
      </c>
      <c r="K60" s="29"/>
    </row>
    <row r="61" spans="1:11" ht="33.950000000000003" customHeight="1" thickBot="1">
      <c r="A61" s="23" t="s">
        <v>119</v>
      </c>
      <c r="B61" s="23" t="str">
        <f>IFERROR(INDEX(Prospectos!$F$2:$F$288,MATCH($A61,Prospectos!$A$2:$A$288,0)),"")</f>
        <v>B</v>
      </c>
      <c r="C61" s="23" t="str">
        <f>IFERROR(INDEX(Prospectos!$H$2:$H$288,MATCH($A61,Prospectos!$A$2:$A$288,0)),"")</f>
        <v>Taller RS S.A.</v>
      </c>
      <c r="D61" s="23" t="str">
        <f>IFERROR(INDEX(Prospectos!$J$2:$J$288,MATCH($A61,Prospectos!$A$2:$A$288,0)),"")</f>
        <v>Industria y mantenimiento</v>
      </c>
      <c r="E61" s="23" t="str">
        <f>IFERROR(INDEX(Prospectos!$C$2:$C$288,MATCH($A61,Prospectos!$A$2:$A$288,0)),"")</f>
        <v>Base Río Tercero</v>
      </c>
      <c r="F61" s="23" t="str">
        <f>IFERROR(INDEX(Prospectos!$E$2:$E$288,MATCH($A61,Prospectos!$A$2:$A$288,0)),"")</f>
        <v>Río Tercero</v>
      </c>
      <c r="G61" s="23" t="str">
        <f>IFERROR(INDEX(Prospectos!$K$2:$K$288,MATCH($A61,Prospectos!$A$2:$A$288,0)),"")</f>
        <v>03571 422065</v>
      </c>
      <c r="H61" s="23" t="str">
        <f>IFERROR(INDEX(Prospectos!$M$2:$M$288,MATCH($A61,Prospectos!$A$2:$A$288,0)),"")</f>
        <v>mantenimiento / despacho</v>
      </c>
      <c r="I61" s="23" t="str">
        <f>IFERROR(INDEX(Prospectos!$N$2:$N$288,MATCH($A61,Prospectos!$A$2:$A$288,0)),"")</f>
        <v>Movimientos especiales de mantenimiento, repuestos pesados, equipos y mudanzas internas o entre plantas.</v>
      </c>
      <c r="J61" s="23" t="str">
        <f>IFERROR(INDEX(Prospectos!$AJ$2:$AJ$288,MATCH($A61,Prospectos!$A$2:$A$288,0)),"")</f>
        <v>Alta</v>
      </c>
      <c r="K61" s="29"/>
    </row>
    <row r="62" spans="1:11" s="32" customFormat="1" ht="37.5" customHeight="1">
      <c r="A62" s="34" t="s">
        <v>120</v>
      </c>
      <c r="B62" s="34" t="str">
        <f>IFERROR(INDEX(Prospectos!$F$2:$F$288,MATCH($A62,Prospectos!$A$2:$A$288,0)),"")</f>
        <v>B</v>
      </c>
      <c r="C62" s="34" t="str">
        <f>IFERROR(INDEX(Prospectos!$H$2:$H$288,MATCH($A62,Prospectos!$A$2:$A$288,0)),"")</f>
        <v>Atanor / Albaugh</v>
      </c>
      <c r="D62" s="34" t="str">
        <f>IFERROR(INDEX(Prospectos!$J$2:$J$288,MATCH($A62,Prospectos!$A$2:$A$288,0)),"")</f>
        <v>Agro, acopio y cooperativas</v>
      </c>
      <c r="E62" s="34" t="str">
        <f>IFERROR(INDEX(Prospectos!$C$2:$C$288,MATCH($A62,Prospectos!$A$2:$A$288,0)),"")</f>
        <v>Base Río Tercero</v>
      </c>
      <c r="F62" s="34" t="str">
        <f>IFERROR(INDEX(Prospectos!$E$2:$E$288,MATCH($A62,Prospectos!$A$2:$A$288,0)),"")</f>
        <v>Río Tercero</v>
      </c>
      <c r="G62" s="34" t="str">
        <f>IFERROR(INDEX(Prospectos!$K$2:$K$288,MATCH($A62,Prospectos!$A$2:$A$288,0)),"")</f>
        <v>A relevar</v>
      </c>
      <c r="H62" s="34" t="str">
        <f>IFERROR(INDEX(Prospectos!$M$2:$M$288,MATCH($A62,Prospectos!$A$2:$A$288,0)),"")</f>
        <v>responsable de acopio / mantenimiento</v>
      </c>
      <c r="I62" s="34" t="str">
        <f>IFERROR(INDEX(Prospectos!$N$2:$N$288,MATCH($A62,Prospectos!$A$2:$A$288,0)),"")</f>
        <v>Traslado de equipos de planta, silos, repuestos pesados, balanzas, implementos y cargas especiales.</v>
      </c>
      <c r="J62" s="34" t="str">
        <f>IFERROR(INDEX(Prospectos!$AJ$2:$AJ$288,MATCH($A62,Prospectos!$A$2:$A$288,0)),"")</f>
        <v>Media</v>
      </c>
      <c r="K62" s="31" t="s">
        <v>2885</v>
      </c>
    </row>
    <row r="63" spans="1:11" ht="33.950000000000003" customHeight="1">
      <c r="A63" s="23" t="s">
        <v>121</v>
      </c>
      <c r="B63" s="23" t="str">
        <f>IFERROR(INDEX(Prospectos!$F$2:$F$288,MATCH($A63,Prospectos!$A$2:$A$288,0)),"")</f>
        <v>B</v>
      </c>
      <c r="C63" s="23" t="str">
        <f>IFERROR(INDEX(Prospectos!$H$2:$H$288,MATCH($A63,Prospectos!$A$2:$A$288,0)),"")</f>
        <v>Bravo Gustavo y Guillermo</v>
      </c>
      <c r="D63" s="23" t="str">
        <f>IFERROR(INDEX(Prospectos!$J$2:$J$288,MATCH($A63,Prospectos!$A$2:$A$288,0)),"")</f>
        <v>Hormigón, áridos y materiales</v>
      </c>
      <c r="E63" s="23" t="str">
        <f>IFERROR(INDEX(Prospectos!$C$2:$C$288,MATCH($A63,Prospectos!$A$2:$A$288,0)),"")</f>
        <v>Base Río Tercero</v>
      </c>
      <c r="F63" s="23" t="str">
        <f>IFERROR(INDEX(Prospectos!$E$2:$E$288,MATCH($A63,Prospectos!$A$2:$A$288,0)),"")</f>
        <v>Río Tercero</v>
      </c>
      <c r="G63" s="23" t="str">
        <f>IFERROR(INDEX(Prospectos!$K$2:$K$288,MATCH($A63,Prospectos!$A$2:$A$288,0)),"")</f>
        <v>A relevar vía parque</v>
      </c>
      <c r="H63" s="23" t="str">
        <f>IFERROR(INDEX(Prospectos!$M$2:$M$288,MATCH($A63,Prospectos!$A$2:$A$288,0)),"")</f>
        <v>planta / despacho</v>
      </c>
      <c r="I63" s="23" t="str">
        <f>IFERROR(INDEX(Prospectos!$N$2:$N$288,MATCH($A63,Prospectos!$A$2:$A$288,0)),"")</f>
        <v>Movimiento de premoldeados, equipos de planta/cantera, bombas, moldes y cargas pesadas.</v>
      </c>
      <c r="J63" s="23" t="str">
        <f>IFERROR(INDEX(Prospectos!$AJ$2:$AJ$288,MATCH($A63,Prospectos!$A$2:$A$288,0)),"")</f>
        <v>Media</v>
      </c>
      <c r="K63" s="29"/>
    </row>
    <row r="64" spans="1:11" s="32" customFormat="1" ht="33.950000000000003" customHeight="1">
      <c r="A64" s="35" t="s">
        <v>122</v>
      </c>
      <c r="B64" s="35" t="str">
        <f>IFERROR(INDEX(Prospectos!$F$2:$F$288,MATCH($A64,Prospectos!$A$2:$A$288,0)),"")</f>
        <v>B</v>
      </c>
      <c r="C64" s="35" t="str">
        <f>IFERROR(INDEX(Prospectos!$H$2:$H$288,MATCH($A64,Prospectos!$A$2:$A$288,0)),"")</f>
        <v>Construcciones Sermanter S.R.L.</v>
      </c>
      <c r="D64" s="35" t="str">
        <f>IFERROR(INDEX(Prospectos!$J$2:$J$288,MATCH($A64,Prospectos!$A$2:$A$288,0)),"")</f>
        <v>Metalúrgica y fabricación</v>
      </c>
      <c r="E64" s="35" t="str">
        <f>IFERROR(INDEX(Prospectos!$C$2:$C$288,MATCH($A64,Prospectos!$A$2:$A$288,0)),"")</f>
        <v>Base Río Tercero</v>
      </c>
      <c r="F64" s="35" t="str">
        <f>IFERROR(INDEX(Prospectos!$E$2:$E$288,MATCH($A64,Prospectos!$A$2:$A$288,0)),"")</f>
        <v>Río Tercero</v>
      </c>
      <c r="G64" s="35" t="str">
        <f>IFERROR(INDEX(Prospectos!$K$2:$K$288,MATCH($A64,Prospectos!$A$2:$A$288,0)),"")</f>
        <v>A relevar vía parque</v>
      </c>
      <c r="H64" s="35" t="str">
        <f>IFERROR(INDEX(Prospectos!$M$2:$M$288,MATCH($A64,Prospectos!$A$2:$A$288,0)),"")</f>
        <v>jefe de obra / mantenimiento</v>
      </c>
      <c r="I64" s="35" t="str">
        <f>IFERROR(INDEX(Prospectos!$N$2:$N$288,MATCH($A64,Prospectos!$A$2:$A$288,0)),"")</f>
        <v>Despacho seguro de estructuras, carrozados, tanques, piezas industriales y equipos sobre plataforma.</v>
      </c>
      <c r="J64" s="35" t="str">
        <f>IFERROR(INDEX(Prospectos!$AJ$2:$AJ$288,MATCH($A64,Prospectos!$A$2:$A$288,0)),"")</f>
        <v>Media</v>
      </c>
      <c r="K64" s="31" t="s">
        <v>2899</v>
      </c>
    </row>
    <row r="65" spans="1:11" ht="33.950000000000003" customHeight="1">
      <c r="A65" s="23" t="s">
        <v>123</v>
      </c>
      <c r="B65" s="23" t="str">
        <f>IFERROR(INDEX(Prospectos!$F$2:$F$288,MATCH($A65,Prospectos!$A$2:$A$288,0)),"")</f>
        <v>B</v>
      </c>
      <c r="C65" s="23" t="str">
        <f>IFERROR(INDEX(Prospectos!$H$2:$H$288,MATCH($A65,Prospectos!$A$2:$A$288,0)),"")</f>
        <v>Fabri-Mec</v>
      </c>
      <c r="D65" s="23" t="str">
        <f>IFERROR(INDEX(Prospectos!$J$2:$J$288,MATCH($A65,Prospectos!$A$2:$A$288,0)),"")</f>
        <v>Metalúrgica y fabricación</v>
      </c>
      <c r="E65" s="23" t="str">
        <f>IFERROR(INDEX(Prospectos!$C$2:$C$288,MATCH($A65,Prospectos!$A$2:$A$288,0)),"")</f>
        <v>Base Río Tercero</v>
      </c>
      <c r="F65" s="23" t="str">
        <f>IFERROR(INDEX(Prospectos!$E$2:$E$288,MATCH($A65,Prospectos!$A$2:$A$288,0)),"")</f>
        <v>Río Tercero</v>
      </c>
      <c r="G65" s="23" t="str">
        <f>IFERROR(INDEX(Prospectos!$K$2:$K$288,MATCH($A65,Prospectos!$A$2:$A$288,0)),"")</f>
        <v>03571 412302 / 03571 579685</v>
      </c>
      <c r="H65" s="23" t="str">
        <f>IFERROR(INDEX(Prospectos!$M$2:$M$288,MATCH($A65,Prospectos!$A$2:$A$288,0)),"")</f>
        <v>despacho / producción</v>
      </c>
      <c r="I65" s="23" t="str">
        <f>IFERROR(INDEX(Prospectos!$N$2:$N$288,MATCH($A65,Prospectos!$A$2:$A$288,0)),"")</f>
        <v>Movimientos especiales de mantenimiento, repuestos pesados y mudanzas internas de equipos.</v>
      </c>
      <c r="J65" s="23" t="str">
        <f>IFERROR(INDEX(Prospectos!$AJ$2:$AJ$288,MATCH($A65,Prospectos!$A$2:$A$288,0)),"")</f>
        <v>Media</v>
      </c>
      <c r="K65" s="29"/>
    </row>
    <row r="66" spans="1:11" ht="33.950000000000003" customHeight="1">
      <c r="A66" s="3" t="s">
        <v>124</v>
      </c>
      <c r="B66" s="3" t="str">
        <f>IFERROR(INDEX(Prospectos!$F$2:$F$288,MATCH($A66,Prospectos!$A$2:$A$288,0)),"")</f>
        <v>B</v>
      </c>
      <c r="C66" s="3" t="str">
        <f>IFERROR(INDEX(Prospectos!$H$2:$H$288,MATCH($A66,Prospectos!$A$2:$A$288,0)),"")</f>
        <v>Fábrica Militar Río Tercero</v>
      </c>
      <c r="D66" s="3" t="str">
        <f>IFERROR(INDEX(Prospectos!$J$2:$J$288,MATCH($A66,Prospectos!$A$2:$A$288,0)),"")</f>
        <v>Metalúrgica y fabricación</v>
      </c>
      <c r="E66" s="3" t="str">
        <f>IFERROR(INDEX(Prospectos!$C$2:$C$288,MATCH($A66,Prospectos!$A$2:$A$288,0)),"")</f>
        <v>Base Río Tercero</v>
      </c>
      <c r="F66" s="3" t="str">
        <f>IFERROR(INDEX(Prospectos!$E$2:$E$288,MATCH($A66,Prospectos!$A$2:$A$288,0)),"")</f>
        <v>Río Tercero</v>
      </c>
      <c r="G66" s="3" t="str">
        <f>IFERROR(INDEX(Prospectos!$K$2:$K$288,MATCH($A66,Prospectos!$A$2:$A$288,0)),"")</f>
        <v>A relevar</v>
      </c>
      <c r="H66" s="3" t="str">
        <f>IFERROR(INDEX(Prospectos!$M$2:$M$288,MATCH($A66,Prospectos!$A$2:$A$288,0)),"")</f>
        <v>despacho / producción</v>
      </c>
      <c r="I66" s="3" t="str">
        <f>IFERROR(INDEX(Prospectos!$N$2:$N$288,MATCH($A66,Prospectos!$A$2:$A$288,0)),"")</f>
        <v>Despacho seguro de estructuras, carrozados, tanques, piezas industriales y equipos sobre plataforma.</v>
      </c>
      <c r="J66" s="3" t="str">
        <f>IFERROR(INDEX(Prospectos!$AJ$2:$AJ$288,MATCH($A66,Prospectos!$A$2:$A$288,0)),"")</f>
        <v>Media</v>
      </c>
      <c r="K66" s="29"/>
    </row>
    <row r="67" spans="1:11" ht="33.950000000000003" customHeight="1">
      <c r="A67" s="23" t="s">
        <v>125</v>
      </c>
      <c r="B67" s="23" t="str">
        <f>IFERROR(INDEX(Prospectos!$F$2:$F$288,MATCH($A67,Prospectos!$A$2:$A$288,0)),"")</f>
        <v>B</v>
      </c>
      <c r="C67" s="23" t="str">
        <f>IFERROR(INDEX(Prospectos!$H$2:$H$288,MATCH($A67,Prospectos!$A$2:$A$288,0)),"")</f>
        <v>LiftingMach S.A.</v>
      </c>
      <c r="D67" s="23" t="str">
        <f>IFERROR(INDEX(Prospectos!$J$2:$J$288,MATCH($A67,Prospectos!$A$2:$A$288,0)),"")</f>
        <v>Industria y mantenimiento</v>
      </c>
      <c r="E67" s="23" t="str">
        <f>IFERROR(INDEX(Prospectos!$C$2:$C$288,MATCH($A67,Prospectos!$A$2:$A$288,0)),"")</f>
        <v>Base Río Tercero</v>
      </c>
      <c r="F67" s="23" t="str">
        <f>IFERROR(INDEX(Prospectos!$E$2:$E$288,MATCH($A67,Prospectos!$A$2:$A$288,0)),"")</f>
        <v>Río Tercero</v>
      </c>
      <c r="G67" s="23" t="str">
        <f>IFERROR(INDEX(Prospectos!$K$2:$K$288,MATCH($A67,Prospectos!$A$2:$A$288,0)),"")</f>
        <v>A relevar vía parque</v>
      </c>
      <c r="H67" s="23" t="str">
        <f>IFERROR(INDEX(Prospectos!$M$2:$M$288,MATCH($A67,Prospectos!$A$2:$A$288,0)),"")</f>
        <v>despacho / producción</v>
      </c>
      <c r="I67" s="23" t="str">
        <f>IFERROR(INDEX(Prospectos!$N$2:$N$288,MATCH($A67,Prospectos!$A$2:$A$288,0)),"")</f>
        <v>Movimientos especiales de mantenimiento, repuestos pesados y mudanzas internas de equipos.</v>
      </c>
      <c r="J67" s="23" t="str">
        <f>IFERROR(INDEX(Prospectos!$AJ$2:$AJ$288,MATCH($A67,Prospectos!$A$2:$A$288,0)),"")</f>
        <v>Media</v>
      </c>
      <c r="K67" s="29"/>
    </row>
    <row r="68" spans="1:11" ht="33.950000000000003" customHeight="1">
      <c r="A68" s="3" t="s">
        <v>126</v>
      </c>
      <c r="B68" s="3" t="str">
        <f>IFERROR(INDEX(Prospectos!$F$2:$F$288,MATCH($A68,Prospectos!$A$2:$A$288,0)),"")</f>
        <v>B</v>
      </c>
      <c r="C68" s="3" t="str">
        <f>IFERROR(INDEX(Prospectos!$H$2:$H$288,MATCH($A68,Prospectos!$A$2:$A$288,0)),"")</f>
        <v>PROMETVA S.R.L.</v>
      </c>
      <c r="D68" s="3" t="str">
        <f>IFERROR(INDEX(Prospectos!$J$2:$J$288,MATCH($A68,Prospectos!$A$2:$A$288,0)),"")</f>
        <v>Metalúrgica y fabricación</v>
      </c>
      <c r="E68" s="3" t="str">
        <f>IFERROR(INDEX(Prospectos!$C$2:$C$288,MATCH($A68,Prospectos!$A$2:$A$288,0)),"")</f>
        <v>Base Río Tercero</v>
      </c>
      <c r="F68" s="3" t="str">
        <f>IFERROR(INDEX(Prospectos!$E$2:$E$288,MATCH($A68,Prospectos!$A$2:$A$288,0)),"")</f>
        <v>Río Tercero</v>
      </c>
      <c r="G68" s="3" t="str">
        <f>IFERROR(INDEX(Prospectos!$K$2:$K$288,MATCH($A68,Prospectos!$A$2:$A$288,0)),"")</f>
        <v>A relevar vía parque</v>
      </c>
      <c r="H68" s="3" t="str">
        <f>IFERROR(INDEX(Prospectos!$M$2:$M$288,MATCH($A68,Prospectos!$A$2:$A$288,0)),"")</f>
        <v>despacho / producción</v>
      </c>
      <c r="I68" s="3" t="str">
        <f>IFERROR(INDEX(Prospectos!$N$2:$N$288,MATCH($A68,Prospectos!$A$2:$A$288,0)),"")</f>
        <v>Movimientos especiales de mantenimiento, repuestos pesados y mudanzas internas de equipos.</v>
      </c>
      <c r="J68" s="3" t="str">
        <f>IFERROR(INDEX(Prospectos!$AJ$2:$AJ$288,MATCH($A68,Prospectos!$A$2:$A$288,0)),"")</f>
        <v>Media</v>
      </c>
      <c r="K68" s="29"/>
    </row>
    <row r="69" spans="1:11" ht="33.950000000000003" customHeight="1">
      <c r="A69" s="23" t="s">
        <v>127</v>
      </c>
      <c r="B69" s="23" t="str">
        <f>IFERROR(INDEX(Prospectos!$F$2:$F$288,MATCH($A69,Prospectos!$A$2:$A$288,0)),"")</f>
        <v>B</v>
      </c>
      <c r="C69" s="23" t="str">
        <f>IFERROR(INDEX(Prospectos!$H$2:$H$288,MATCH($A69,Prospectos!$A$2:$A$288,0)),"")</f>
        <v>Taller Sarmiento</v>
      </c>
      <c r="D69" s="23" t="str">
        <f>IFERROR(INDEX(Prospectos!$J$2:$J$288,MATCH($A69,Prospectos!$A$2:$A$288,0)),"")</f>
        <v>Industria y mantenimiento</v>
      </c>
      <c r="E69" s="23" t="str">
        <f>IFERROR(INDEX(Prospectos!$C$2:$C$288,MATCH($A69,Prospectos!$A$2:$A$288,0)),"")</f>
        <v>Base Río Tercero</v>
      </c>
      <c r="F69" s="23" t="str">
        <f>IFERROR(INDEX(Prospectos!$E$2:$E$288,MATCH($A69,Prospectos!$A$2:$A$288,0)),"")</f>
        <v>Río Tercero</v>
      </c>
      <c r="G69" s="23" t="str">
        <f>IFERROR(INDEX(Prospectos!$K$2:$K$288,MATCH($A69,Prospectos!$A$2:$A$288,0)),"")</f>
        <v>A relevar vía parque</v>
      </c>
      <c r="H69" s="23" t="str">
        <f>IFERROR(INDEX(Prospectos!$M$2:$M$288,MATCH($A69,Prospectos!$A$2:$A$288,0)),"")</f>
        <v>mantenimiento / compras</v>
      </c>
      <c r="I69" s="23" t="str">
        <f>IFERROR(INDEX(Prospectos!$N$2:$N$288,MATCH($A69,Prospectos!$A$2:$A$288,0)),"")</f>
        <v>Movimientos especiales de mantenimiento, repuestos pesados y mudanzas internas de equipos.</v>
      </c>
      <c r="J69" s="23" t="str">
        <f>IFERROR(INDEX(Prospectos!$AJ$2:$AJ$288,MATCH($A69,Prospectos!$A$2:$A$288,0)),"")</f>
        <v>Media</v>
      </c>
      <c r="K69" s="29"/>
    </row>
    <row r="70" spans="1:11" ht="33.950000000000003" customHeight="1">
      <c r="A70" s="3" t="s">
        <v>128</v>
      </c>
      <c r="B70" s="3" t="str">
        <f>IFERROR(INDEX(Prospectos!$F$2:$F$288,MATCH($A70,Prospectos!$A$2:$A$288,0)),"")</f>
        <v>C</v>
      </c>
      <c r="C70" s="3" t="str">
        <f>IFERROR(INDEX(Prospectos!$H$2:$H$288,MATCH($A70,Prospectos!$A$2:$A$288,0)),"")</f>
        <v>Grupo AVO S.A.</v>
      </c>
      <c r="D70" s="3" t="str">
        <f>IFERROR(INDEX(Prospectos!$J$2:$J$288,MATCH($A70,Prospectos!$A$2:$A$288,0)),"")</f>
        <v>Agroindustria y alimentos</v>
      </c>
      <c r="E70" s="3" t="str">
        <f>IFERROR(INDEX(Prospectos!$C$2:$C$288,MATCH($A70,Prospectos!$A$2:$A$288,0)),"")</f>
        <v>Base Río Tercero</v>
      </c>
      <c r="F70" s="3" t="str">
        <f>IFERROR(INDEX(Prospectos!$E$2:$E$288,MATCH($A70,Prospectos!$A$2:$A$288,0)),"")</f>
        <v>Río Tercero</v>
      </c>
      <c r="G70" s="3" t="str">
        <f>IFERROR(INDEX(Prospectos!$K$2:$K$288,MATCH($A70,Prospectos!$A$2:$A$288,0)),"")</f>
        <v>Portería parque: 03571 565662</v>
      </c>
      <c r="H70" s="3" t="str">
        <f>IFERROR(INDEX(Prospectos!$M$2:$M$288,MATCH($A70,Prospectos!$A$2:$A$288,0)),"")</f>
        <v>responsable de acopio / mantenimiento</v>
      </c>
      <c r="I70" s="3" t="str">
        <f>IFERROR(INDEX(Prospectos!$N$2:$N$288,MATCH($A70,Prospectos!$A$2:$A$288,0)),"")</f>
        <v>Movimientos especiales de mantenimiento, repuestos pesados y mudanzas internas de equipos.</v>
      </c>
      <c r="J70" s="3" t="str">
        <f>IFERROR(INDEX(Prospectos!$AJ$2:$AJ$288,MATCH($A70,Prospectos!$A$2:$A$288,0)),"")</f>
        <v>Baja / visitar solo por cercanía</v>
      </c>
      <c r="K70" s="29"/>
    </row>
    <row r="71" spans="1:11" ht="33.950000000000003" customHeight="1">
      <c r="A71" s="23" t="s">
        <v>129</v>
      </c>
      <c r="B71" s="23" t="str">
        <f>IFERROR(INDEX(Prospectos!$F$2:$F$288,MATCH($A71,Prospectos!$A$2:$A$288,0)),"")</f>
        <v>C</v>
      </c>
      <c r="C71" s="23" t="str">
        <f>IFERROR(INDEX(Prospectos!$H$2:$H$288,MATCH($A71,Prospectos!$A$2:$A$288,0)),"")</f>
        <v>Transporte Sosa</v>
      </c>
      <c r="D71" s="23" t="str">
        <f>IFERROR(INDEX(Prospectos!$J$2:$J$288,MATCH($A71,Prospectos!$A$2:$A$288,0)),"")</f>
        <v>Metalúrgica y fabricación</v>
      </c>
      <c r="E71" s="23" t="str">
        <f>IFERROR(INDEX(Prospectos!$C$2:$C$288,MATCH($A71,Prospectos!$A$2:$A$288,0)),"")</f>
        <v>Base Río Tercero</v>
      </c>
      <c r="F71" s="23" t="str">
        <f>IFERROR(INDEX(Prospectos!$E$2:$E$288,MATCH($A71,Prospectos!$A$2:$A$288,0)),"")</f>
        <v>Río Tercero</v>
      </c>
      <c r="G71" s="23" t="str">
        <f>IFERROR(INDEX(Prospectos!$K$2:$K$288,MATCH($A71,Prospectos!$A$2:$A$288,0)),"")</f>
        <v>A relevar vía parque</v>
      </c>
      <c r="H71" s="23" t="str">
        <f>IFERROR(INDEX(Prospectos!$M$2:$M$288,MATCH($A71,Prospectos!$A$2:$A$288,0)),"")</f>
        <v>dueño / taller</v>
      </c>
      <c r="I71" s="23" t="str">
        <f>IFERROR(INDEX(Prospectos!$N$2:$N$288,MATCH($A71,Prospectos!$A$2:$A$288,0)),"")</f>
        <v>Movimientos especiales de mantenimiento, repuestos pesados y mudanzas internas de equipos.</v>
      </c>
      <c r="J71" s="23" t="str">
        <f>IFERROR(INDEX(Prospectos!$AJ$2:$AJ$288,MATCH($A71,Prospectos!$A$2:$A$288,0)),"")</f>
        <v>Baja / visitar solo por cercanía</v>
      </c>
      <c r="K71" s="29"/>
    </row>
    <row r="72" spans="1:11" ht="33.950000000000003" customHeight="1">
      <c r="A72" s="3" t="s">
        <v>130</v>
      </c>
      <c r="B72" s="3" t="str">
        <f>IFERROR(INDEX(Prospectos!$F$2:$F$288,MATCH($A72,Prospectos!$A$2:$A$288,0)),"")</f>
        <v>C</v>
      </c>
      <c r="C72" s="3" t="str">
        <f>IFERROR(INDEX(Prospectos!$H$2:$H$288,MATCH($A72,Prospectos!$A$2:$A$288,0)),"")</f>
        <v>Volonte Marcelo</v>
      </c>
      <c r="D72" s="3" t="str">
        <f>IFERROR(INDEX(Prospectos!$J$2:$J$288,MATCH($A72,Prospectos!$A$2:$A$288,0)),"")</f>
        <v>Industria y mantenimiento</v>
      </c>
      <c r="E72" s="3" t="str">
        <f>IFERROR(INDEX(Prospectos!$C$2:$C$288,MATCH($A72,Prospectos!$A$2:$A$288,0)),"")</f>
        <v>Base Río Tercero</v>
      </c>
      <c r="F72" s="3" t="str">
        <f>IFERROR(INDEX(Prospectos!$E$2:$E$288,MATCH($A72,Prospectos!$A$2:$A$288,0)),"")</f>
        <v>Río Tercero</v>
      </c>
      <c r="G72" s="3" t="str">
        <f>IFERROR(INDEX(Prospectos!$K$2:$K$288,MATCH($A72,Prospectos!$A$2:$A$288,0)),"")</f>
        <v>A relevar vía parque</v>
      </c>
      <c r="H72" s="3" t="str">
        <f>IFERROR(INDEX(Prospectos!$M$2:$M$288,MATCH($A72,Prospectos!$A$2:$A$288,0)),"")</f>
        <v>operaciones / taller</v>
      </c>
      <c r="I72" s="3" t="str">
        <f>IFERROR(INDEX(Prospectos!$N$2:$N$288,MATCH($A72,Prospectos!$A$2:$A$288,0)),"")</f>
        <v>Movimientos especiales de mantenimiento, repuestos pesados y mudanzas internas de equipos.</v>
      </c>
      <c r="J72" s="3" t="str">
        <f>IFERROR(INDEX(Prospectos!$AJ$2:$AJ$288,MATCH($A72,Prospectos!$A$2:$A$288,0)),"")</f>
        <v>Baja / visitar solo por cercanía</v>
      </c>
      <c r="K72" s="29"/>
    </row>
    <row r="73" spans="1:11" ht="33.950000000000003" customHeight="1">
      <c r="A73" s="23" t="s">
        <v>131</v>
      </c>
      <c r="B73" s="23" t="str">
        <f>IFERROR(INDEX(Prospectos!$F$2:$F$288,MATCH($A73,Prospectos!$A$2:$A$288,0)),"")</f>
        <v>C</v>
      </c>
      <c r="C73" s="23" t="str">
        <f>IFERROR(INDEX(Prospectos!$H$2:$H$288,MATCH($A73,Prospectos!$A$2:$A$288,0)),"")</f>
        <v>Áridos S.A.</v>
      </c>
      <c r="D73" s="23" t="str">
        <f>IFERROR(INDEX(Prospectos!$J$2:$J$288,MATCH($A73,Prospectos!$A$2:$A$288,0)),"")</f>
        <v>Hormigón, áridos y materiales</v>
      </c>
      <c r="E73" s="23" t="str">
        <f>IFERROR(INDEX(Prospectos!$C$2:$C$288,MATCH($A73,Prospectos!$A$2:$A$288,0)),"")</f>
        <v>Base Río Tercero</v>
      </c>
      <c r="F73" s="23" t="str">
        <f>IFERROR(INDEX(Prospectos!$E$2:$E$288,MATCH($A73,Prospectos!$A$2:$A$288,0)),"")</f>
        <v>Río Tercero</v>
      </c>
      <c r="G73" s="23" t="str">
        <f>IFERROR(INDEX(Prospectos!$K$2:$K$288,MATCH($A73,Prospectos!$A$2:$A$288,0)),"")</f>
        <v>A relevar</v>
      </c>
      <c r="H73" s="23" t="str">
        <f>IFERROR(INDEX(Prospectos!$M$2:$M$288,MATCH($A73,Prospectos!$A$2:$A$288,0)),"")</f>
        <v>planta / mantenimiento</v>
      </c>
      <c r="I73" s="23" t="str">
        <f>IFERROR(INDEX(Prospectos!$N$2:$N$288,MATCH($A73,Prospectos!$A$2:$A$288,0)),"")</f>
        <v>Movimiento de premoldeados, equipos de planta/cantera, bombas, moldes y cargas pesadas.</v>
      </c>
      <c r="J73" s="23" t="str">
        <f>IFERROR(INDEX(Prospectos!$AJ$2:$AJ$288,MATCH($A73,Prospectos!$A$2:$A$288,0)),"")</f>
        <v>Baja / visitar solo por cercanía</v>
      </c>
      <c r="K73" s="29"/>
    </row>
    <row r="74" spans="1:11" ht="33.950000000000003" customHeight="1">
      <c r="A74" s="3" t="s">
        <v>132</v>
      </c>
      <c r="B74" s="3" t="str">
        <f>IFERROR(INDEX(Prospectos!$F$2:$F$288,MATCH($A74,Prospectos!$A$2:$A$288,0)),"")</f>
        <v>A</v>
      </c>
      <c r="C74" s="3" t="str">
        <f>IFERROR(INDEX(Prospectos!$H$2:$H$288,MATCH($A74,Prospectos!$A$2:$A$288,0)),"")</f>
        <v>AGD — Planta de Acopio Corralito</v>
      </c>
      <c r="D74" s="3" t="str">
        <f>IFERROR(INDEX(Prospectos!$J$2:$J$288,MATCH($A74,Prospectos!$A$2:$A$288,0)),"")</f>
        <v>Agroindustria y alimentos</v>
      </c>
      <c r="E74" s="3" t="str">
        <f>IFERROR(INDEX(Prospectos!$C$2:$C$288,MATCH($A74,Prospectos!$A$2:$A$288,0)),"")</f>
        <v>Corralito / acceso secundario RN36</v>
      </c>
      <c r="F74" s="3" t="str">
        <f>IFERROR(INDEX(Prospectos!$E$2:$E$288,MATCH($A74,Prospectos!$A$2:$A$288,0)),"")</f>
        <v>Corralito</v>
      </c>
      <c r="G74" s="3" t="str">
        <f>IFERROR(INDEX(Prospectos!$K$2:$K$288,MATCH($A74,Prospectos!$A$2:$A$288,0)),"")</f>
        <v>03571 492144 / 492172 / 492228</v>
      </c>
      <c r="H74" s="3" t="str">
        <f>IFERROR(INDEX(Prospectos!$M$2:$M$288,MATCH($A74,Prospectos!$A$2:$A$288,0)),"")</f>
        <v>responsable de acopio / mantenimiento</v>
      </c>
      <c r="I74" s="3" t="str">
        <f>IFERROR(INDEX(Prospectos!$N$2:$N$288,MATCH($A74,Prospectos!$A$2:$A$288,0)),"")</f>
        <v>Traslado de equipos de planta, silos, repuestos pesados, balanzas, implementos y cargas especiales.</v>
      </c>
      <c r="J74" s="3" t="str">
        <f>IFERROR(INDEX(Prospectos!$AJ$2:$AJ$288,MATCH($A74,Prospectos!$A$2:$A$288,0)),"")</f>
        <v>Muy alta</v>
      </c>
      <c r="K74" s="29"/>
    </row>
    <row r="75" spans="1:11" ht="33.950000000000003" customHeight="1" thickBot="1">
      <c r="A75" s="23" t="s">
        <v>133</v>
      </c>
      <c r="B75" s="23" t="str">
        <f>IFERROR(INDEX(Prospectos!$F$2:$F$288,MATCH($A75,Prospectos!$A$2:$A$288,0)),"")</f>
        <v>B</v>
      </c>
      <c r="C75" s="23" t="str">
        <f>IFERROR(INDEX(Prospectos!$H$2:$H$288,MATCH($A75,Prospectos!$A$2:$A$288,0)),"")</f>
        <v>Trisoil S.A.</v>
      </c>
      <c r="D75" s="23" t="str">
        <f>IFERROR(INDEX(Prospectos!$J$2:$J$288,MATCH($A75,Prospectos!$A$2:$A$288,0)),"")</f>
        <v>Agroindustria y alimentos</v>
      </c>
      <c r="E75" s="23" t="str">
        <f>IFERROR(INDEX(Prospectos!$C$2:$C$288,MATCH($A75,Prospectos!$A$2:$A$288,0)),"")</f>
        <v>Corralito / acceso secundario RN36</v>
      </c>
      <c r="F75" s="23" t="str">
        <f>IFERROR(INDEX(Prospectos!$E$2:$E$288,MATCH($A75,Prospectos!$A$2:$A$288,0)),"")</f>
        <v>Corralito</v>
      </c>
      <c r="G75" s="23" t="str">
        <f>IFERROR(INDEX(Prospectos!$K$2:$K$288,MATCH($A75,Prospectos!$A$2:$A$288,0)),"")</f>
        <v>03571 502525 / 502526</v>
      </c>
      <c r="H75" s="23" t="str">
        <f>IFERROR(INDEX(Prospectos!$M$2:$M$288,MATCH($A75,Prospectos!$A$2:$A$288,0)),"")</f>
        <v>mantenimiento / compras</v>
      </c>
      <c r="I75" s="23" t="str">
        <f>IFERROR(INDEX(Prospectos!$N$2:$N$288,MATCH($A75,Prospectos!$A$2:$A$288,0)),"")</f>
        <v>Traslado de equipos de planta, silos, repuestos pesados, balanzas, implementos y cargas especiales.</v>
      </c>
      <c r="J75" s="23" t="str">
        <f>IFERROR(INDEX(Prospectos!$AJ$2:$AJ$288,MATCH($A75,Prospectos!$A$2:$A$288,0)),"")</f>
        <v>Alta</v>
      </c>
      <c r="K75" s="29"/>
    </row>
    <row r="76" spans="1:11" s="32" customFormat="1" ht="33.950000000000003" customHeight="1">
      <c r="A76" s="34" t="s">
        <v>134</v>
      </c>
      <c r="B76" s="34" t="str">
        <f>IFERROR(INDEX(Prospectos!$F$2:$F$288,MATCH($A76,Prospectos!$A$2:$A$288,0)),"")</f>
        <v>A</v>
      </c>
      <c r="C76" s="34" t="str">
        <f>IFERROR(INDEX(Prospectos!$H$2:$H$288,MATCH($A76,Prospectos!$A$2:$A$288,0)),"")</f>
        <v>A&amp;F / BRUNI Implementos Agrícolas</v>
      </c>
      <c r="D76" s="34" t="str">
        <f>IFERROR(INDEX(Prospectos!$J$2:$J$288,MATCH($A76,Prospectos!$A$2:$A$288,0)),"")</f>
        <v>Maquinaria agrícola</v>
      </c>
      <c r="E76" s="34" t="str">
        <f>IFERROR(INDEX(Prospectos!$C$2:$C$288,MATCH($A76,Prospectos!$A$2:$A$288,0)),"")</f>
        <v>Corralito / acceso secundario RN36</v>
      </c>
      <c r="F76" s="34" t="str">
        <f>IFERROR(INDEX(Prospectos!$E$2:$E$288,MATCH($A76,Prospectos!$A$2:$A$288,0)),"")</f>
        <v>Tancacha</v>
      </c>
      <c r="G76" s="34" t="str">
        <f>IFERROR(INDEX(Prospectos!$K$2:$K$288,MATCH($A76,Prospectos!$A$2:$A$288,0)),"")</f>
        <v>+54 3571 576545 / +54 9 3571 314413</v>
      </c>
      <c r="H76" s="34" t="str">
        <f>IFERROR(INDEX(Prospectos!$M$2:$M$288,MATCH($A76,Prospectos!$A$2:$A$288,0)),"")</f>
        <v>logística / despacho / postventa</v>
      </c>
      <c r="I76" s="34" t="str">
        <f>IFERROR(INDEX(Prospectos!$N$2:$N$288,MATCH($A76,Prospectos!$A$2:$A$288,0)),"")</f>
        <v>Traslado de maquinaria, implementos, equipos terminados y componentes de gran porte entre planta, cliente, obra o feria.</v>
      </c>
      <c r="J76" s="34" t="str">
        <f>IFERROR(INDEX(Prospectos!$AJ$2:$AJ$288,MATCH($A76,Prospectos!$A$2:$A$288,0)),"")</f>
        <v>Muy alta</v>
      </c>
      <c r="K76" s="31"/>
    </row>
    <row r="77" spans="1:11" ht="33.950000000000003" customHeight="1">
      <c r="A77" s="23" t="s">
        <v>135</v>
      </c>
      <c r="B77" s="23" t="str">
        <f>IFERROR(INDEX(Prospectos!$F$2:$F$288,MATCH($A77,Prospectos!$A$2:$A$288,0)),"")</f>
        <v>A</v>
      </c>
      <c r="C77" s="23" t="str">
        <f>IFERROR(INDEX(Prospectos!$H$2:$H$288,MATCH($A77,Prospectos!$A$2:$A$288,0)),"")</f>
        <v>DIEZTREINTA S.A.S.</v>
      </c>
      <c r="D77" s="23" t="str">
        <f>IFERROR(INDEX(Prospectos!$J$2:$J$288,MATCH($A77,Prospectos!$A$2:$A$288,0)),"")</f>
        <v>Construcción y obra vial</v>
      </c>
      <c r="E77" s="23" t="str">
        <f>IFERROR(INDEX(Prospectos!$C$2:$C$288,MATCH($A77,Prospectos!$A$2:$A$288,0)),"")</f>
        <v>Corralito / acceso secundario RN36</v>
      </c>
      <c r="F77" s="23" t="str">
        <f>IFERROR(INDEX(Prospectos!$E$2:$E$288,MATCH($A77,Prospectos!$A$2:$A$288,0)),"")</f>
        <v>Tancacha</v>
      </c>
      <c r="G77" s="23" t="str">
        <f>IFERROR(INDEX(Prospectos!$K$2:$K$288,MATCH($A77,Prospectos!$A$2:$A$288,0)),"")</f>
        <v>03571 460582 / 03571 15 545575 / 03571 15 514877</v>
      </c>
      <c r="H77" s="23" t="str">
        <f>IFERROR(INDEX(Prospectos!$M$2:$M$288,MATCH($A77,Prospectos!$A$2:$A$288,0)),"")</f>
        <v>jefe de obra / operaciones</v>
      </c>
      <c r="I77" s="23" t="str">
        <f>IFERROR(INDEX(Prospectos!$N$2:$N$288,MATCH($A77,Prospectos!$A$2:$A$288,0)),"")</f>
        <v>Traslado de maquinaria, módulos de obrador, estructuras y equipos entre depósitos y frentes de obra.</v>
      </c>
      <c r="J77" s="23" t="str">
        <f>IFERROR(INDEX(Prospectos!$AJ$2:$AJ$288,MATCH($A77,Prospectos!$A$2:$A$288,0)),"")</f>
        <v>Muy alta</v>
      </c>
      <c r="K77" s="29"/>
    </row>
    <row r="78" spans="1:11" s="32" customFormat="1" ht="33.950000000000003" customHeight="1">
      <c r="A78" s="30" t="s">
        <v>136</v>
      </c>
      <c r="B78" s="30" t="str">
        <f>IFERROR(INDEX(Prospectos!$F$2:$F$288,MATCH($A78,Prospectos!$A$2:$A$288,0)),"")</f>
        <v>A</v>
      </c>
      <c r="C78" s="30" t="str">
        <f>IFERROR(INDEX(Prospectos!$H$2:$H$288,MATCH($A78,Prospectos!$A$2:$A$288,0)),"")</f>
        <v>El Álamo S.R.L. - Tancacha</v>
      </c>
      <c r="D78" s="30" t="str">
        <f>IFERROR(INDEX(Prospectos!$J$2:$J$288,MATCH($A78,Prospectos!$A$2:$A$288,0)),"")</f>
        <v>Agro, acopio y cooperativas</v>
      </c>
      <c r="E78" s="30" t="str">
        <f>IFERROR(INDEX(Prospectos!$C$2:$C$288,MATCH($A78,Prospectos!$A$2:$A$288,0)),"")</f>
        <v>Corralito / acceso secundario RN36</v>
      </c>
      <c r="F78" s="30" t="str">
        <f>IFERROR(INDEX(Prospectos!$E$2:$E$288,MATCH($A78,Prospectos!$A$2:$A$288,0)),"")</f>
        <v>Tancacha</v>
      </c>
      <c r="G78" s="30" t="str">
        <f>IFERROR(INDEX(Prospectos!$K$2:$K$288,MATCH($A78,Prospectos!$A$2:$A$288,0)),"")</f>
        <v>03571 460730</v>
      </c>
      <c r="H78" s="30" t="str">
        <f>IFERROR(INDEX(Prospectos!$M$2:$M$288,MATCH($A78,Prospectos!$A$2:$A$288,0)),"")</f>
        <v>responsable de acopio / mantenimiento</v>
      </c>
      <c r="I78" s="30" t="str">
        <f>IFERROR(INDEX(Prospectos!$N$2:$N$288,MATCH($A78,Prospectos!$A$2:$A$288,0)),"")</f>
        <v>Traslado de equipos de planta, silos, repuestos pesados, balanzas, implementos y cargas especiales.</v>
      </c>
      <c r="J78" s="30" t="str">
        <f>IFERROR(INDEX(Prospectos!$AJ$2:$AJ$288,MATCH($A78,Prospectos!$A$2:$A$288,0)),"")</f>
        <v>Muy alta</v>
      </c>
      <c r="K78" s="31"/>
    </row>
    <row r="79" spans="1:11" s="32" customFormat="1" ht="33.950000000000003" customHeight="1">
      <c r="A79" s="30" t="s">
        <v>137</v>
      </c>
      <c r="B79" s="30" t="str">
        <f>IFERROR(INDEX(Prospectos!$F$2:$F$288,MATCH($A79,Prospectos!$A$2:$A$288,0)),"")</f>
        <v>A</v>
      </c>
      <c r="C79" s="30" t="str">
        <f>IFERROR(INDEX(Prospectos!$H$2:$H$288,MATCH($A79,Prospectos!$A$2:$A$288,0)),"")</f>
        <v>Metalúrgica Gentilini</v>
      </c>
      <c r="D79" s="30" t="str">
        <f>IFERROR(INDEX(Prospectos!$J$2:$J$288,MATCH($A79,Prospectos!$A$2:$A$288,0)),"")</f>
        <v>Metalúrgica y fabricación</v>
      </c>
      <c r="E79" s="30" t="str">
        <f>IFERROR(INDEX(Prospectos!$C$2:$C$288,MATCH($A79,Prospectos!$A$2:$A$288,0)),"")</f>
        <v>Corralito / acceso secundario RN36</v>
      </c>
      <c r="F79" s="30" t="str">
        <f>IFERROR(INDEX(Prospectos!$E$2:$E$288,MATCH($A79,Prospectos!$A$2:$A$288,0)),"")</f>
        <v>Tancacha</v>
      </c>
      <c r="G79" s="30" t="str">
        <f>IFERROR(INDEX(Prospectos!$K$2:$K$288,MATCH($A79,Prospectos!$A$2:$A$288,0)),"")</f>
        <v>03571 550083</v>
      </c>
      <c r="H79" s="30" t="str">
        <f>IFERROR(INDEX(Prospectos!$M$2:$M$288,MATCH($A79,Prospectos!$A$2:$A$288,0)),"")</f>
        <v>despacho / producción</v>
      </c>
      <c r="I79" s="30" t="str">
        <f>IFERROR(INDEX(Prospectos!$N$2:$N$288,MATCH($A79,Prospectos!$A$2:$A$288,0)),"")</f>
        <v>Despacho de estructuras, piezas, equipos y conjuntos metalmecánicos de gran porte hacia obras o clientes.</v>
      </c>
      <c r="J79" s="30" t="str">
        <f>IFERROR(INDEX(Prospectos!$AJ$2:$AJ$288,MATCH($A79,Prospectos!$A$2:$A$288,0)),"")</f>
        <v>Muy alta</v>
      </c>
      <c r="K79" s="31"/>
    </row>
    <row r="80" spans="1:11" ht="33.950000000000003" customHeight="1">
      <c r="A80" s="3" t="s">
        <v>138</v>
      </c>
      <c r="B80" s="3" t="str">
        <f>IFERROR(INDEX(Prospectos!$F$2:$F$288,MATCH($A80,Prospectos!$A$2:$A$288,0)),"")</f>
        <v>B</v>
      </c>
      <c r="C80" s="3" t="str">
        <f>IFERROR(INDEX(Prospectos!$H$2:$H$288,MATCH($A80,Prospectos!$A$2:$A$288,0)),"")</f>
        <v>IMEGEN</v>
      </c>
      <c r="D80" s="3" t="str">
        <f>IFERROR(INDEX(Prospectos!$J$2:$J$288,MATCH($A80,Prospectos!$A$2:$A$288,0)),"")</f>
        <v>Metalúrgica y fabricación</v>
      </c>
      <c r="E80" s="3" t="str">
        <f>IFERROR(INDEX(Prospectos!$C$2:$C$288,MATCH($A80,Prospectos!$A$2:$A$288,0)),"")</f>
        <v>Corralito / acceso secundario RN36</v>
      </c>
      <c r="F80" s="3" t="str">
        <f>IFERROR(INDEX(Prospectos!$E$2:$E$288,MATCH($A80,Prospectos!$A$2:$A$288,0)),"")</f>
        <v>Tancacha</v>
      </c>
      <c r="G80" s="3" t="str">
        <f>IFERROR(INDEX(Prospectos!$K$2:$K$288,MATCH($A80,Prospectos!$A$2:$A$288,0)),"")</f>
        <v>03571 460242 / +54 3571 460242</v>
      </c>
      <c r="H80" s="3" t="str">
        <f>IFERROR(INDEX(Prospectos!$M$2:$M$288,MATCH($A80,Prospectos!$A$2:$A$288,0)),"")</f>
        <v>despacho / producción</v>
      </c>
      <c r="I80" s="3" t="str">
        <f>IFERROR(INDEX(Prospectos!$N$2:$N$288,MATCH($A80,Prospectos!$A$2:$A$288,0)),"")</f>
        <v>Despacho de estructuras, piezas, equipos y conjuntos metalmecánicos de gran porte hacia obras o clientes.</v>
      </c>
      <c r="J80" s="3" t="str">
        <f>IFERROR(INDEX(Prospectos!$AJ$2:$AJ$288,MATCH($A80,Prospectos!$A$2:$A$288,0)),"")</f>
        <v>Alta</v>
      </c>
      <c r="K80" s="29"/>
    </row>
    <row r="81" spans="1:11" ht="33.950000000000003" customHeight="1">
      <c r="A81" s="23" t="s">
        <v>139</v>
      </c>
      <c r="B81" s="23" t="str">
        <f>IFERROR(INDEX(Prospectos!$F$2:$F$288,MATCH($A81,Prospectos!$A$2:$A$288,0)),"")</f>
        <v>B</v>
      </c>
      <c r="C81" s="23" t="str">
        <f>IFERROR(INDEX(Prospectos!$H$2:$H$288,MATCH($A81,Prospectos!$A$2:$A$288,0)),"")</f>
        <v>Alimentos Tancacha</v>
      </c>
      <c r="D81" s="23" t="str">
        <f>IFERROR(INDEX(Prospectos!$J$2:$J$288,MATCH($A81,Prospectos!$A$2:$A$288,0)),"")</f>
        <v>Agroindustria y alimentos</v>
      </c>
      <c r="E81" s="23" t="str">
        <f>IFERROR(INDEX(Prospectos!$C$2:$C$288,MATCH($A81,Prospectos!$A$2:$A$288,0)),"")</f>
        <v>Corralito / acceso secundario RN36</v>
      </c>
      <c r="F81" s="23" t="str">
        <f>IFERROR(INDEX(Prospectos!$E$2:$E$288,MATCH($A81,Prospectos!$A$2:$A$288,0)),"")</f>
        <v>Tancacha</v>
      </c>
      <c r="G81" s="23" t="str">
        <f>IFERROR(INDEX(Prospectos!$K$2:$K$288,MATCH($A81,Prospectos!$A$2:$A$288,0)),"")</f>
        <v>+54 3571 50-2272</v>
      </c>
      <c r="H81" s="23" t="str">
        <f>IFERROR(INDEX(Prospectos!$M$2:$M$288,MATCH($A81,Prospectos!$A$2:$A$288,0)),"")</f>
        <v>mantenimiento / logística</v>
      </c>
      <c r="I81" s="23" t="str">
        <f>IFERROR(INDEX(Prospectos!$N$2:$N$288,MATCH($A81,Prospectos!$A$2:$A$288,0)),"")</f>
        <v>Traslado de equipos de planta, silos, repuestos pesados, balanzas, implementos y cargas especiales.</v>
      </c>
      <c r="J81" s="23" t="str">
        <f>IFERROR(INDEX(Prospectos!$AJ$2:$AJ$288,MATCH($A81,Prospectos!$A$2:$A$288,0)),"")</f>
        <v>Alta</v>
      </c>
      <c r="K81" s="29"/>
    </row>
    <row r="82" spans="1:11" s="32" customFormat="1" ht="33.950000000000003" customHeight="1">
      <c r="A82" s="30" t="s">
        <v>140</v>
      </c>
      <c r="B82" s="30" t="str">
        <f>IFERROR(INDEX(Prospectos!$F$2:$F$288,MATCH($A82,Prospectos!$A$2:$A$288,0)),"")</f>
        <v>B</v>
      </c>
      <c r="C82" s="30" t="str">
        <f>IFERROR(INDEX(Prospectos!$H$2:$H$288,MATCH($A82,Prospectos!$A$2:$A$288,0)),"")</f>
        <v>Agroinsumos Tancacha SRL</v>
      </c>
      <c r="D82" s="30" t="str">
        <f>IFERROR(INDEX(Prospectos!$J$2:$J$288,MATCH($A82,Prospectos!$A$2:$A$288,0)),"")</f>
        <v>Agro, acopio y cooperativas</v>
      </c>
      <c r="E82" s="30" t="str">
        <f>IFERROR(INDEX(Prospectos!$C$2:$C$288,MATCH($A82,Prospectos!$A$2:$A$288,0)),"")</f>
        <v>Corralito / acceso secundario RN36</v>
      </c>
      <c r="F82" s="30" t="str">
        <f>IFERROR(INDEX(Prospectos!$E$2:$E$288,MATCH($A82,Prospectos!$A$2:$A$288,0)),"")</f>
        <v>Tancacha</v>
      </c>
      <c r="G82" s="30" t="str">
        <f>IFERROR(INDEX(Prospectos!$K$2:$K$288,MATCH($A82,Prospectos!$A$2:$A$288,0)),"")</f>
        <v>03571 461128</v>
      </c>
      <c r="H82" s="30" t="str">
        <f>IFERROR(INDEX(Prospectos!$M$2:$M$288,MATCH($A82,Prospectos!$A$2:$A$288,0)),"")</f>
        <v>responsable de acopio / mantenimiento</v>
      </c>
      <c r="I82" s="30" t="str">
        <f>IFERROR(INDEX(Prospectos!$N$2:$N$288,MATCH($A82,Prospectos!$A$2:$A$288,0)),"")</f>
        <v>Traslado de equipos de planta, silos, repuestos pesados, balanzas, implementos y cargas especiales.</v>
      </c>
      <c r="J82" s="30" t="str">
        <f>IFERROR(INDEX(Prospectos!$AJ$2:$AJ$288,MATCH($A82,Prospectos!$A$2:$A$288,0)),"")</f>
        <v>Alta</v>
      </c>
      <c r="K82" s="31"/>
    </row>
    <row r="83" spans="1:11" s="32" customFormat="1" ht="33.950000000000003" customHeight="1">
      <c r="A83" s="35" t="s">
        <v>141</v>
      </c>
      <c r="B83" s="35" t="str">
        <f>IFERROR(INDEX(Prospectos!$F$2:$F$288,MATCH($A83,Prospectos!$A$2:$A$288,0)),"")</f>
        <v>B</v>
      </c>
      <c r="C83" s="35" t="str">
        <f>IFERROR(INDEX(Prospectos!$H$2:$H$288,MATCH($A83,Prospectos!$A$2:$A$288,0)),"")</f>
        <v>RG Rodolfo Grosso</v>
      </c>
      <c r="D83" s="35" t="str">
        <f>IFERROR(INDEX(Prospectos!$J$2:$J$288,MATCH($A83,Prospectos!$A$2:$A$288,0)),"")</f>
        <v>Agroindustria y alimentos</v>
      </c>
      <c r="E83" s="35" t="str">
        <f>IFERROR(INDEX(Prospectos!$C$2:$C$288,MATCH($A83,Prospectos!$A$2:$A$288,0)),"")</f>
        <v>Corralito / acceso secundario RN36</v>
      </c>
      <c r="F83" s="35" t="str">
        <f>IFERROR(INDEX(Prospectos!$E$2:$E$288,MATCH($A83,Prospectos!$A$2:$A$288,0)),"")</f>
        <v>Tancacha</v>
      </c>
      <c r="G83" s="35" t="str">
        <f>IFERROR(INDEX(Prospectos!$K$2:$K$288,MATCH($A83,Prospectos!$A$2:$A$288,0)),"")</f>
        <v>3571 521091</v>
      </c>
      <c r="H83" s="35" t="str">
        <f>IFERROR(INDEX(Prospectos!$M$2:$M$288,MATCH($A83,Prospectos!$A$2:$A$288,0)),"")</f>
        <v>dueño / operaciones</v>
      </c>
      <c r="I83" s="35" t="str">
        <f>IFERROR(INDEX(Prospectos!$N$2:$N$288,MATCH($A83,Prospectos!$A$2:$A$288,0)),"")</f>
        <v>Traslado de equipos de planta, silos, repuestos pesados, balanzas, implementos y cargas especiales.</v>
      </c>
      <c r="J83" s="35" t="str">
        <f>IFERROR(INDEX(Prospectos!$AJ$2:$AJ$288,MATCH($A83,Prospectos!$A$2:$A$288,0)),"")</f>
        <v>Media</v>
      </c>
      <c r="K83" s="31"/>
    </row>
    <row r="84" spans="1:11" s="32" customFormat="1" ht="33.950000000000003" customHeight="1">
      <c r="A84" s="35" t="s">
        <v>142</v>
      </c>
      <c r="B84" s="35" t="str">
        <f>IFERROR(INDEX(Prospectos!$F$2:$F$288,MATCH($A84,Prospectos!$A$2:$A$288,0)),"")</f>
        <v>B</v>
      </c>
      <c r="C84" s="35" t="str">
        <f>IFERROR(INDEX(Prospectos!$H$2:$H$288,MATCH($A84,Prospectos!$A$2:$A$288,0)),"")</f>
        <v>ACOGRA</v>
      </c>
      <c r="D84" s="35" t="str">
        <f>IFERROR(INDEX(Prospectos!$J$2:$J$288,MATCH($A84,Prospectos!$A$2:$A$288,0)),"")</f>
        <v>Agroindustria y alimentos</v>
      </c>
      <c r="E84" s="35" t="str">
        <f>IFERROR(INDEX(Prospectos!$C$2:$C$288,MATCH($A84,Prospectos!$A$2:$A$288,0)),"")</f>
        <v>Corralito / acceso secundario RN36</v>
      </c>
      <c r="F84" s="35" t="str">
        <f>IFERROR(INDEX(Prospectos!$E$2:$E$288,MATCH($A84,Prospectos!$A$2:$A$288,0)),"")</f>
        <v>Tancacha</v>
      </c>
      <c r="G84" s="35" t="str">
        <f>IFERROR(INDEX(Prospectos!$K$2:$K$288,MATCH($A84,Prospectos!$A$2:$A$288,0)),"")</f>
        <v>A relevar</v>
      </c>
      <c r="H84" s="35" t="str">
        <f>IFERROR(INDEX(Prospectos!$M$2:$M$288,MATCH($A84,Prospectos!$A$2:$A$288,0)),"")</f>
        <v>planta / logística</v>
      </c>
      <c r="I84" s="35" t="str">
        <f>IFERROR(INDEX(Prospectos!$N$2:$N$288,MATCH($A84,Prospectos!$A$2:$A$288,0)),"")</f>
        <v>Traslado de equipos de planta, silos, repuestos pesados, balanzas, implementos y cargas especiales.</v>
      </c>
      <c r="J84" s="35" t="str">
        <f>IFERROR(INDEX(Prospectos!$AJ$2:$AJ$288,MATCH($A84,Prospectos!$A$2:$A$288,0)),"")</f>
        <v>Media</v>
      </c>
      <c r="K84" s="31"/>
    </row>
    <row r="85" spans="1:11" s="32" customFormat="1" ht="33.950000000000003" customHeight="1">
      <c r="A85" s="30" t="s">
        <v>143</v>
      </c>
      <c r="B85" s="30" t="str">
        <f>IFERROR(INDEX(Prospectos!$F$2:$F$288,MATCH($A85,Prospectos!$A$2:$A$288,0)),"")</f>
        <v>B</v>
      </c>
      <c r="C85" s="30" t="str">
        <f>IFERROR(INDEX(Prospectos!$H$2:$H$288,MATCH($A85,Prospectos!$A$2:$A$288,0)),"")</f>
        <v>Agricultores Unidos de Tancacha Coop. Agrícola Ltda.</v>
      </c>
      <c r="D85" s="30" t="str">
        <f>IFERROR(INDEX(Prospectos!$J$2:$J$288,MATCH($A85,Prospectos!$A$2:$A$288,0)),"")</f>
        <v>Agro, acopio y cooperativas</v>
      </c>
      <c r="E85" s="30" t="str">
        <f>IFERROR(INDEX(Prospectos!$C$2:$C$288,MATCH($A85,Prospectos!$A$2:$A$288,0)),"")</f>
        <v>Corralito / acceso secundario RN36</v>
      </c>
      <c r="F85" s="30" t="str">
        <f>IFERROR(INDEX(Prospectos!$E$2:$E$288,MATCH($A85,Prospectos!$A$2:$A$288,0)),"")</f>
        <v>Tancacha</v>
      </c>
      <c r="G85" s="30" t="str">
        <f>IFERROR(INDEX(Prospectos!$K$2:$K$288,MATCH($A85,Prospectos!$A$2:$A$288,0)),"")</f>
        <v>03571 460109 / 03571 460298 / 03571 460112</v>
      </c>
      <c r="H85" s="30" t="str">
        <f>IFERROR(INDEX(Prospectos!$M$2:$M$288,MATCH($A85,Prospectos!$A$2:$A$288,0)),"")</f>
        <v>compra de insumos / acopio</v>
      </c>
      <c r="I85" s="30" t="str">
        <f>IFERROR(INDEX(Prospectos!$N$2:$N$288,MATCH($A85,Prospectos!$A$2:$A$288,0)),"")</f>
        <v>Traslado de equipos de planta, silos, repuestos pesados, balanzas, implementos y cargas especiales.</v>
      </c>
      <c r="J85" s="30" t="str">
        <f>IFERROR(INDEX(Prospectos!$AJ$2:$AJ$288,MATCH($A85,Prospectos!$A$2:$A$288,0)),"")</f>
        <v>Media</v>
      </c>
      <c r="K85" s="31"/>
    </row>
    <row r="86" spans="1:11" ht="33.950000000000003" customHeight="1">
      <c r="A86" s="3" t="s">
        <v>144</v>
      </c>
      <c r="B86" s="3" t="str">
        <f>IFERROR(INDEX(Prospectos!$F$2:$F$288,MATCH($A86,Prospectos!$A$2:$A$288,0)),"")</f>
        <v>C</v>
      </c>
      <c r="C86" s="3" t="str">
        <f>IFERROR(INDEX(Prospectos!$H$2:$H$288,MATCH($A86,Prospectos!$A$2:$A$288,0)),"")</f>
        <v>La Lomita de Oro</v>
      </c>
      <c r="D86" s="3" t="str">
        <f>IFERROR(INDEX(Prospectos!$J$2:$J$288,MATCH($A86,Prospectos!$A$2:$A$288,0)),"")</f>
        <v>Construcción y obra vial</v>
      </c>
      <c r="E86" s="3" t="str">
        <f>IFERROR(INDEX(Prospectos!$C$2:$C$288,MATCH($A86,Prospectos!$A$2:$A$288,0)),"")</f>
        <v>Corralito / acceso secundario RN36</v>
      </c>
      <c r="F86" s="3" t="str">
        <f>IFERROR(INDEX(Prospectos!$E$2:$E$288,MATCH($A86,Prospectos!$A$2:$A$288,0)),"")</f>
        <v>Tancacha</v>
      </c>
      <c r="G86" s="3" t="str">
        <f>IFERROR(INDEX(Prospectos!$K$2:$K$288,MATCH($A86,Prospectos!$A$2:$A$288,0)),"")</f>
        <v>+54 9 3571 558020</v>
      </c>
      <c r="H86" s="3" t="str">
        <f>IFERROR(INDEX(Prospectos!$M$2:$M$288,MATCH($A86,Prospectos!$A$2:$A$288,0)),"")</f>
        <v>jefe de obra / operaciones</v>
      </c>
      <c r="I86" s="3" t="str">
        <f>IFERROR(INDEX(Prospectos!$N$2:$N$288,MATCH($A86,Prospectos!$A$2:$A$288,0)),"")</f>
        <v>Traslado de maquinaria, módulos de obrador, estructuras y equipos entre depósitos y frentes de obra.</v>
      </c>
      <c r="J86" s="3" t="str">
        <f>IFERROR(INDEX(Prospectos!$AJ$2:$AJ$288,MATCH($A86,Prospectos!$A$2:$A$288,0)),"")</f>
        <v>Baja / visitar solo por cercanía</v>
      </c>
      <c r="K86" s="29"/>
    </row>
    <row r="87" spans="1:11" ht="33.950000000000003" customHeight="1">
      <c r="A87" s="23" t="s">
        <v>145</v>
      </c>
      <c r="B87" s="23" t="str">
        <f>IFERROR(INDEX(Prospectos!$F$2:$F$288,MATCH($A87,Prospectos!$A$2:$A$288,0)),"")</f>
        <v>C</v>
      </c>
      <c r="C87" s="23" t="str">
        <f>IFERROR(INDEX(Prospectos!$H$2:$H$288,MATCH($A87,Prospectos!$A$2:$A$288,0)),"")</f>
        <v>Repuestos Actis</v>
      </c>
      <c r="D87" s="23" t="str">
        <f>IFERROR(INDEX(Prospectos!$J$2:$J$288,MATCH($A87,Prospectos!$A$2:$A$288,0)),"")</f>
        <v>Maquinaria agrícola</v>
      </c>
      <c r="E87" s="23" t="str">
        <f>IFERROR(INDEX(Prospectos!$C$2:$C$288,MATCH($A87,Prospectos!$A$2:$A$288,0)),"")</f>
        <v>Corralito / acceso secundario RN36</v>
      </c>
      <c r="F87" s="23" t="str">
        <f>IFERROR(INDEX(Prospectos!$E$2:$E$288,MATCH($A87,Prospectos!$A$2:$A$288,0)),"")</f>
        <v>Tancacha</v>
      </c>
      <c r="G87" s="23" t="str">
        <f>IFERROR(INDEX(Prospectos!$K$2:$K$288,MATCH($A87,Prospectos!$A$2:$A$288,0)),"")</f>
        <v>03571 537360</v>
      </c>
      <c r="H87" s="23" t="str">
        <f>IFERROR(INDEX(Prospectos!$M$2:$M$288,MATCH($A87,Prospectos!$A$2:$A$288,0)),"")</f>
        <v>logística / entregas / postventa</v>
      </c>
      <c r="I87" s="23" t="str">
        <f>IFERROR(INDEX(Prospectos!$N$2:$N$288,MATCH($A87,Prospectos!$A$2:$A$288,0)),"")</f>
        <v>Traslado de maquinaria agrícola o vial entre sucursal, cliente, taller, campo y eventos.</v>
      </c>
      <c r="J87" s="23" t="str">
        <f>IFERROR(INDEX(Prospectos!$AJ$2:$AJ$288,MATCH($A87,Prospectos!$A$2:$A$288,0)),"")</f>
        <v>Baja / visitar solo por cercanía</v>
      </c>
      <c r="K87" s="29"/>
    </row>
    <row r="88" spans="1:11" ht="33.950000000000003" customHeight="1">
      <c r="A88" s="7" t="s">
        <v>146</v>
      </c>
      <c r="B88" s="7" t="str">
        <f>IFERROR(INDEX(Prospectos!$F$2:$F$288,MATCH($A88,Prospectos!$A$2:$A$288,0)),"")</f>
        <v>A</v>
      </c>
      <c r="C88" s="7" t="str">
        <f>IFERROR(INDEX(Prospectos!$H$2:$H$288,MATCH($A88,Prospectos!$A$2:$A$288,0)),"")</f>
        <v>AG Viviendas Industrializadas</v>
      </c>
      <c r="D88" s="7" t="str">
        <f>IFERROR(INDEX(Prospectos!$J$2:$J$288,MATCH($A88,Prospectos!$A$2:$A$288,0)),"")</f>
        <v>Módulos y contenedores</v>
      </c>
      <c r="E88" s="7" t="str">
        <f>IFERROR(INDEX(Prospectos!$C$2:$C$288,MATCH($A88,Prospectos!$A$2:$A$288,0)),"")</f>
        <v>Córdoba / RN36 norte</v>
      </c>
      <c r="F88" s="7" t="str">
        <f>IFERROR(INDEX(Prospectos!$E$2:$E$288,MATCH($A88,Prospectos!$A$2:$A$288,0)),"")</f>
        <v>Alta Gracia</v>
      </c>
      <c r="G88" s="7" t="str">
        <f>IFERROR(INDEX(Prospectos!$K$2:$K$288,MATCH($A88,Prospectos!$A$2:$A$288,0)),"")</f>
        <v>3547 672399 / 3547 420854</v>
      </c>
      <c r="H88" s="7" t="str">
        <f>IFERROR(INDEX(Prospectos!$M$2:$M$288,MATCH($A88,Prospectos!$A$2:$A$288,0)),"")</f>
        <v>operaciones / entregas</v>
      </c>
      <c r="I88" s="7" t="str">
        <f>IFERROR(INDEX(Prospectos!$N$2:$N$288,MATCH($A88,Prospectos!$A$2:$A$288,0)),"")</f>
        <v>Entrega, descarga y posicionamiento de módulos/containers en obra o cliente final.</v>
      </c>
      <c r="J88" s="7" t="str">
        <f>IFERROR(INDEX(Prospectos!$AJ$2:$AJ$288,MATCH($A88,Prospectos!$A$2:$A$288,0)),"")</f>
        <v>Muy alta</v>
      </c>
      <c r="K88" s="29"/>
    </row>
    <row r="89" spans="1:11" ht="33.950000000000003" customHeight="1">
      <c r="A89" s="23" t="s">
        <v>147</v>
      </c>
      <c r="B89" s="23" t="str">
        <f>IFERROR(INDEX(Prospectos!$F$2:$F$288,MATCH($A89,Prospectos!$A$2:$A$288,0)),"")</f>
        <v>A</v>
      </c>
      <c r="C89" s="23" t="str">
        <f>IFERROR(INDEX(Prospectos!$H$2:$H$288,MATCH($A89,Prospectos!$A$2:$A$288,0)),"")</f>
        <v>Miguel Ángel Premoldeados</v>
      </c>
      <c r="D89" s="23" t="str">
        <f>IFERROR(INDEX(Prospectos!$J$2:$J$288,MATCH($A89,Prospectos!$A$2:$A$288,0)),"")</f>
        <v>Hormigón, áridos y materiales</v>
      </c>
      <c r="E89" s="23" t="str">
        <f>IFERROR(INDEX(Prospectos!$C$2:$C$288,MATCH($A89,Prospectos!$A$2:$A$288,0)),"")</f>
        <v>Córdoba / RN36 norte</v>
      </c>
      <c r="F89" s="23" t="str">
        <f>IFERROR(INDEX(Prospectos!$E$2:$E$288,MATCH($A89,Prospectos!$A$2:$A$288,0)),"")</f>
        <v>Alta Gracia</v>
      </c>
      <c r="G89" s="23" t="str">
        <f>IFERROR(INDEX(Prospectos!$K$2:$K$288,MATCH($A89,Prospectos!$A$2:$A$288,0)),"")</f>
        <v>03547 430962 / 03547 15501860</v>
      </c>
      <c r="H89" s="23" t="str">
        <f>IFERROR(INDEX(Prospectos!$M$2:$M$288,MATCH($A89,Prospectos!$A$2:$A$288,0)),"")</f>
        <v>despacho / producción</v>
      </c>
      <c r="I89" s="23" t="str">
        <f>IFERROR(INDEX(Prospectos!$N$2:$N$288,MATCH($A89,Prospectos!$A$2:$A$288,0)),"")</f>
        <v>Movimiento de premoldeados, equipos de planta/cantera, bombas, moldes y cargas pesadas.</v>
      </c>
      <c r="J89" s="23" t="str">
        <f>IFERROR(INDEX(Prospectos!$AJ$2:$AJ$288,MATCH($A89,Prospectos!$A$2:$A$288,0)),"")</f>
        <v>Muy alta</v>
      </c>
      <c r="K89" s="29"/>
    </row>
    <row r="90" spans="1:11" ht="33.950000000000003" customHeight="1">
      <c r="A90" s="3" t="s">
        <v>148</v>
      </c>
      <c r="B90" s="3" t="str">
        <f>IFERROR(INDEX(Prospectos!$F$2:$F$288,MATCH($A90,Prospectos!$A$2:$A$288,0)),"")</f>
        <v>A</v>
      </c>
      <c r="C90" s="3" t="str">
        <f>IFERROR(INDEX(Prospectos!$H$2:$H$288,MATCH($A90,Prospectos!$A$2:$A$288,0)),"")</f>
        <v>Precons S.R.L.</v>
      </c>
      <c r="D90" s="3" t="str">
        <f>IFERROR(INDEX(Prospectos!$J$2:$J$288,MATCH($A90,Prospectos!$A$2:$A$288,0)),"")</f>
        <v>Hormigón, áridos y materiales</v>
      </c>
      <c r="E90" s="3" t="str">
        <f>IFERROR(INDEX(Prospectos!$C$2:$C$288,MATCH($A90,Prospectos!$A$2:$A$288,0)),"")</f>
        <v>Córdoba / RN36 norte</v>
      </c>
      <c r="F90" s="3" t="str">
        <f>IFERROR(INDEX(Prospectos!$E$2:$E$288,MATCH($A90,Prospectos!$A$2:$A$288,0)),"")</f>
        <v>Alta Gracia</v>
      </c>
      <c r="G90" s="3" t="str">
        <f>IFERROR(INDEX(Prospectos!$K$2:$K$288,MATCH($A90,Prospectos!$A$2:$A$288,0)),"")</f>
        <v>3547 430993</v>
      </c>
      <c r="H90" s="3" t="str">
        <f>IFERROR(INDEX(Prospectos!$M$2:$M$288,MATCH($A90,Prospectos!$A$2:$A$288,0)),"")</f>
        <v>despacho / producción</v>
      </c>
      <c r="I90" s="3" t="str">
        <f>IFERROR(INDEX(Prospectos!$N$2:$N$288,MATCH($A90,Prospectos!$A$2:$A$288,0)),"")</f>
        <v>Movimiento de premoldeados, equipos de planta/cantera, bombas, moldes y cargas pesadas.</v>
      </c>
      <c r="J90" s="3" t="str">
        <f>IFERROR(INDEX(Prospectos!$AJ$2:$AJ$288,MATCH($A90,Prospectos!$A$2:$A$288,0)),"")</f>
        <v>Muy alta</v>
      </c>
      <c r="K90" s="29"/>
    </row>
    <row r="91" spans="1:11" ht="33.950000000000003" customHeight="1">
      <c r="A91" s="23" t="s">
        <v>149</v>
      </c>
      <c r="B91" s="23" t="str">
        <f>IFERROR(INDEX(Prospectos!$F$2:$F$288,MATCH($A91,Prospectos!$A$2:$A$288,0)),"")</f>
        <v>A</v>
      </c>
      <c r="C91" s="23" t="str">
        <f>IFERROR(INDEX(Prospectos!$H$2:$H$288,MATCH($A91,Prospectos!$A$2:$A$288,0)),"")</f>
        <v>HidroAg — Piscinas Marea</v>
      </c>
      <c r="D91" s="23" t="str">
        <f>IFERROR(INDEX(Prospectos!$J$2:$J$288,MATCH($A91,Prospectos!$A$2:$A$288,0)),"")</f>
        <v>PRFV y plásticos</v>
      </c>
      <c r="E91" s="23" t="str">
        <f>IFERROR(INDEX(Prospectos!$C$2:$C$288,MATCH($A91,Prospectos!$A$2:$A$288,0)),"")</f>
        <v>Córdoba / RN36 norte</v>
      </c>
      <c r="F91" s="23" t="str">
        <f>IFERROR(INDEX(Prospectos!$E$2:$E$288,MATCH($A91,Prospectos!$A$2:$A$288,0)),"")</f>
        <v>Alta Gracia</v>
      </c>
      <c r="G91" s="23" t="str">
        <f>IFERROR(INDEX(Prospectos!$K$2:$K$288,MATCH($A91,Prospectos!$A$2:$A$288,0)),"")</f>
        <v>+54 9 3547 342646</v>
      </c>
      <c r="H91" s="23" t="str">
        <f>IFERROR(INDEX(Prospectos!$M$2:$M$288,MATCH($A91,Prospectos!$A$2:$A$288,0)),"")</f>
        <v>logística / instalaciones / obras / ventas</v>
      </c>
      <c r="I91" s="23" t="str">
        <f>IFERROR(INDEX(Prospectos!$N$2:$N$288,MATCH($A91,Prospectos!$A$2:$A$288,0)),"")</f>
        <v>Traslado del casco PRFV hasta la obra y maniobra de descarga/posicionamiento dentro del lote, muchas veces sobre medianeras o con acceso limitado.</v>
      </c>
      <c r="J91" s="23" t="str">
        <f>IFERROR(INDEX(Prospectos!$AJ$2:$AJ$288,MATCH($A91,Prospectos!$A$2:$A$288,0)),"")</f>
        <v>Muy alta</v>
      </c>
      <c r="K91" s="29"/>
    </row>
    <row r="92" spans="1:11" ht="33.950000000000003" customHeight="1">
      <c r="A92" s="3" t="s">
        <v>150</v>
      </c>
      <c r="B92" s="3" t="str">
        <f>IFERROR(INDEX(Prospectos!$F$2:$F$288,MATCH($A92,Prospectos!$A$2:$A$288,0)),"")</f>
        <v>A</v>
      </c>
      <c r="C92" s="3" t="str">
        <f>IFERROR(INDEX(Prospectos!$H$2:$H$288,MATCH($A92,Prospectos!$A$2:$A$288,0)),"")</f>
        <v>Punto Piscina Multimarca</v>
      </c>
      <c r="D92" s="3" t="str">
        <f>IFERROR(INDEX(Prospectos!$J$2:$J$288,MATCH($A92,Prospectos!$A$2:$A$288,0)),"")</f>
        <v>PRFV y plásticos</v>
      </c>
      <c r="E92" s="3" t="str">
        <f>IFERROR(INDEX(Prospectos!$C$2:$C$288,MATCH($A92,Prospectos!$A$2:$A$288,0)),"")</f>
        <v>Córdoba / RN36 norte</v>
      </c>
      <c r="F92" s="3" t="str">
        <f>IFERROR(INDEX(Prospectos!$E$2:$E$288,MATCH($A92,Prospectos!$A$2:$A$288,0)),"")</f>
        <v>Alta Gracia</v>
      </c>
      <c r="G92" s="3" t="str">
        <f>IFERROR(INDEX(Prospectos!$K$2:$K$288,MATCH($A92,Prospectos!$A$2:$A$288,0)),"")</f>
        <v>351 5146150 / 3547 423389</v>
      </c>
      <c r="H92" s="3" t="str">
        <f>IFERROR(INDEX(Prospectos!$M$2:$M$288,MATCH($A92,Prospectos!$A$2:$A$288,0)),"")</f>
        <v>logística / instalaciones / obras / ventas</v>
      </c>
      <c r="I92" s="3" t="str">
        <f>IFERROR(INDEX(Prospectos!$N$2:$N$288,MATCH($A92,Prospectos!$A$2:$A$288,0)),"")</f>
        <v>Traslado del casco PRFV hasta la obra y maniobra de descarga/posicionamiento dentro del lote, muchas veces sobre medianeras o con acceso limitado.</v>
      </c>
      <c r="J92" s="3" t="str">
        <f>IFERROR(INDEX(Prospectos!$AJ$2:$AJ$288,MATCH($A92,Prospectos!$A$2:$A$288,0)),"")</f>
        <v>Muy alta</v>
      </c>
      <c r="K92" s="29"/>
    </row>
    <row r="93" spans="1:11" ht="33.950000000000003" customHeight="1">
      <c r="A93" s="23" t="s">
        <v>151</v>
      </c>
      <c r="B93" s="23" t="str">
        <f>IFERROR(INDEX(Prospectos!$F$2:$F$288,MATCH($A93,Prospectos!$A$2:$A$288,0)),"")</f>
        <v>A</v>
      </c>
      <c r="C93" s="23" t="str">
        <f>IFERROR(INDEX(Prospectos!$H$2:$H$288,MATCH($A93,Prospectos!$A$2:$A$288,0)),"")</f>
        <v>Lombardi Maquinarias</v>
      </c>
      <c r="D93" s="23" t="str">
        <f>IFERROR(INDEX(Prospectos!$J$2:$J$288,MATCH($A93,Prospectos!$A$2:$A$288,0)),"")</f>
        <v>Maquinaria agrícola</v>
      </c>
      <c r="E93" s="23" t="str">
        <f>IFERROR(INDEX(Prospectos!$C$2:$C$288,MATCH($A93,Prospectos!$A$2:$A$288,0)),"")</f>
        <v>Córdoba / RN36 norte</v>
      </c>
      <c r="F93" s="23" t="str">
        <f>IFERROR(INDEX(Prospectos!$E$2:$E$288,MATCH($A93,Prospectos!$A$2:$A$288,0)),"")</f>
        <v>Alta Gracia</v>
      </c>
      <c r="G93" s="23" t="str">
        <f>IFERROR(INDEX(Prospectos!$K$2:$K$288,MATCH($A93,Prospectos!$A$2:$A$288,0)),"")</f>
        <v>+54 9 3541 555549 / +54 9 3541 555553</v>
      </c>
      <c r="H93" s="23" t="str">
        <f>IFERROR(INDEX(Prospectos!$M$2:$M$288,MATCH($A93,Prospectos!$A$2:$A$288,0)),"")</f>
        <v>logística / ventas / postventa</v>
      </c>
      <c r="I93" s="23" t="str">
        <f>IFERROR(INDEX(Prospectos!$N$2:$N$288,MATCH($A93,Prospectos!$A$2:$A$288,0)),"")</f>
        <v>Entrega y retiro de tractores, cosechadoras, pulverizadoras, sembradoras e implementos; movimientos por venta, service, canje, demostraciones o ferias.</v>
      </c>
      <c r="J93" s="23" t="str">
        <f>IFERROR(INDEX(Prospectos!$AJ$2:$AJ$288,MATCH($A93,Prospectos!$A$2:$A$288,0)),"")</f>
        <v>Muy alta</v>
      </c>
      <c r="K93" s="29"/>
    </row>
    <row r="94" spans="1:11" ht="33.950000000000003" customHeight="1">
      <c r="A94" s="3" t="s">
        <v>152</v>
      </c>
      <c r="B94" s="3" t="str">
        <f>IFERROR(INDEX(Prospectos!$F$2:$F$288,MATCH($A94,Prospectos!$A$2:$A$288,0)),"")</f>
        <v>B</v>
      </c>
      <c r="C94" s="3" t="str">
        <f>IFERROR(INDEX(Prospectos!$H$2:$H$288,MATCH($A94,Prospectos!$A$2:$A$288,0)),"")</f>
        <v>Grupo Buglione</v>
      </c>
      <c r="D94" s="3" t="str">
        <f>IFERROR(INDEX(Prospectos!$J$2:$J$288,MATCH($A94,Prospectos!$A$2:$A$288,0)),"")</f>
        <v>Industria y mantenimiento</v>
      </c>
      <c r="E94" s="3" t="str">
        <f>IFERROR(INDEX(Prospectos!$C$2:$C$288,MATCH($A94,Prospectos!$A$2:$A$288,0)),"")</f>
        <v>Córdoba / RN36 norte</v>
      </c>
      <c r="F94" s="3" t="str">
        <f>IFERROR(INDEX(Prospectos!$E$2:$E$288,MATCH($A94,Prospectos!$A$2:$A$288,0)),"")</f>
        <v>Alta Gracia</v>
      </c>
      <c r="G94" s="3" t="str">
        <f>IFERROR(INDEX(Prospectos!$K$2:$K$288,MATCH($A94,Prospectos!$A$2:$A$288,0)),"")</f>
        <v>0351 6512408 / 0351 3271171 / 03547 432121</v>
      </c>
      <c r="H94" s="3" t="str">
        <f>IFERROR(INDEX(Prospectos!$M$2:$M$288,MATCH($A94,Prospectos!$A$2:$A$288,0)),"")</f>
        <v>mantenimiento / compras</v>
      </c>
      <c r="I94" s="3" t="str">
        <f>IFERROR(INDEX(Prospectos!$N$2:$N$288,MATCH($A94,Prospectos!$A$2:$A$288,0)),"")</f>
        <v>Movimientos especiales de mantenimiento, repuestos pesados y mudanzas internas de equipos.</v>
      </c>
      <c r="J94" s="3" t="str">
        <f>IFERROR(INDEX(Prospectos!$AJ$2:$AJ$288,MATCH($A94,Prospectos!$A$2:$A$288,0)),"")</f>
        <v>Alta</v>
      </c>
      <c r="K94" s="29"/>
    </row>
    <row r="95" spans="1:11" ht="33.950000000000003" customHeight="1">
      <c r="A95" s="23" t="s">
        <v>153</v>
      </c>
      <c r="B95" s="23" t="str">
        <f>IFERROR(INDEX(Prospectos!$F$2:$F$288,MATCH($A95,Prospectos!$A$2:$A$288,0)),"")</f>
        <v>B</v>
      </c>
      <c r="C95" s="23" t="str">
        <f>IFERROR(INDEX(Prospectos!$H$2:$H$288,MATCH($A95,Prospectos!$A$2:$A$288,0)),"")</f>
        <v>Mattsay Steel Frame</v>
      </c>
      <c r="D95" s="23" t="str">
        <f>IFERROR(INDEX(Prospectos!$J$2:$J$288,MATCH($A95,Prospectos!$A$2:$A$288,0)),"")</f>
        <v>Industria y mantenimiento</v>
      </c>
      <c r="E95" s="23" t="str">
        <f>IFERROR(INDEX(Prospectos!$C$2:$C$288,MATCH($A95,Prospectos!$A$2:$A$288,0)),"")</f>
        <v>Córdoba / RN36 norte</v>
      </c>
      <c r="F95" s="23" t="str">
        <f>IFERROR(INDEX(Prospectos!$E$2:$E$288,MATCH($A95,Prospectos!$A$2:$A$288,0)),"")</f>
        <v>Alta Gracia</v>
      </c>
      <c r="G95" s="23" t="str">
        <f>IFERROR(INDEX(Prospectos!$K$2:$K$288,MATCH($A95,Prospectos!$A$2:$A$288,0)),"")</f>
        <v>3547 477530</v>
      </c>
      <c r="H95" s="23" t="str">
        <f>IFERROR(INDEX(Prospectos!$M$2:$M$288,MATCH($A95,Prospectos!$A$2:$A$288,0)),"")</f>
        <v>operaciones / entregas</v>
      </c>
      <c r="I95" s="23" t="str">
        <f>IFERROR(INDEX(Prospectos!$N$2:$N$288,MATCH($A95,Prospectos!$A$2:$A$288,0)),"")</f>
        <v>Movimientos especiales de mantenimiento, repuestos pesados y mudanzas internas de equipos.</v>
      </c>
      <c r="J95" s="23" t="str">
        <f>IFERROR(INDEX(Prospectos!$AJ$2:$AJ$288,MATCH($A95,Prospectos!$A$2:$A$288,0)),"")</f>
        <v>Alta</v>
      </c>
      <c r="K95" s="29"/>
    </row>
    <row r="96" spans="1:11" ht="33.950000000000003" customHeight="1">
      <c r="A96" s="3" t="s">
        <v>154</v>
      </c>
      <c r="B96" s="3" t="str">
        <f>IFERROR(INDEX(Prospectos!$F$2:$F$288,MATCH($A96,Prospectos!$A$2:$A$288,0)),"")</f>
        <v>B</v>
      </c>
      <c r="C96" s="3" t="str">
        <f>IFERROR(INDEX(Prospectos!$H$2:$H$288,MATCH($A96,Prospectos!$A$2:$A$288,0)),"")</f>
        <v>Habitaciones Calificadas</v>
      </c>
      <c r="D96" s="3" t="str">
        <f>IFERROR(INDEX(Prospectos!$J$2:$J$288,MATCH($A96,Prospectos!$A$2:$A$288,0)),"")</f>
        <v>Módulos y contenedores</v>
      </c>
      <c r="E96" s="3" t="str">
        <f>IFERROR(INDEX(Prospectos!$C$2:$C$288,MATCH($A96,Prospectos!$A$2:$A$288,0)),"")</f>
        <v>Córdoba / RN36 norte</v>
      </c>
      <c r="F96" s="3" t="str">
        <f>IFERROR(INDEX(Prospectos!$E$2:$E$288,MATCH($A96,Prospectos!$A$2:$A$288,0)),"")</f>
        <v>Alta Gracia</v>
      </c>
      <c r="G96" s="3" t="str">
        <f>IFERROR(INDEX(Prospectos!$K$2:$K$288,MATCH($A96,Prospectos!$A$2:$A$288,0)),"")</f>
        <v>A relevar</v>
      </c>
      <c r="H96" s="3" t="str">
        <f>IFERROR(INDEX(Prospectos!$M$2:$M$288,MATCH($A96,Prospectos!$A$2:$A$288,0)),"")</f>
        <v>operaciones / entregas</v>
      </c>
      <c r="I96" s="3" t="str">
        <f>IFERROR(INDEX(Prospectos!$N$2:$N$288,MATCH($A96,Prospectos!$A$2:$A$288,0)),"")</f>
        <v>Entrega, descarga y posicionamiento de módulos/containers en obra o cliente final.</v>
      </c>
      <c r="J96" s="3" t="str">
        <f>IFERROR(INDEX(Prospectos!$AJ$2:$AJ$288,MATCH($A96,Prospectos!$A$2:$A$288,0)),"")</f>
        <v>Media</v>
      </c>
      <c r="K96" s="29"/>
    </row>
    <row r="97" spans="1:11" ht="33.950000000000003" customHeight="1">
      <c r="A97" s="24" t="s">
        <v>155</v>
      </c>
      <c r="B97" s="24" t="str">
        <f>IFERROR(INDEX(Prospectos!$F$2:$F$288,MATCH($A97,Prospectos!$A$2:$A$288,0)),"")</f>
        <v>B</v>
      </c>
      <c r="C97" s="24" t="str">
        <f>IFERROR(INDEX(Prospectos!$H$2:$H$288,MATCH($A97,Prospectos!$A$2:$A$288,0)),"")</f>
        <v>R5 Premoldeados</v>
      </c>
      <c r="D97" s="24" t="str">
        <f>IFERROR(INDEX(Prospectos!$J$2:$J$288,MATCH($A97,Prospectos!$A$2:$A$288,0)),"")</f>
        <v>Hormigón, áridos y materiales</v>
      </c>
      <c r="E97" s="24" t="str">
        <f>IFERROR(INDEX(Prospectos!$C$2:$C$288,MATCH($A97,Prospectos!$A$2:$A$288,0)),"")</f>
        <v>Córdoba / RN36 norte</v>
      </c>
      <c r="F97" s="24" t="str">
        <f>IFERROR(INDEX(Prospectos!$E$2:$E$288,MATCH($A97,Prospectos!$A$2:$A$288,0)),"")</f>
        <v>Alta Gracia</v>
      </c>
      <c r="G97" s="24" t="str">
        <f>IFERROR(INDEX(Prospectos!$K$2:$K$288,MATCH($A97,Prospectos!$A$2:$A$288,0)),"")</f>
        <v>A relevar</v>
      </c>
      <c r="H97" s="24" t="str">
        <f>IFERROR(INDEX(Prospectos!$M$2:$M$288,MATCH($A97,Prospectos!$A$2:$A$288,0)),"")</f>
        <v>despacho / colocación</v>
      </c>
      <c r="I97" s="24" t="str">
        <f>IFERROR(INDEX(Prospectos!$N$2:$N$288,MATCH($A97,Prospectos!$A$2:$A$288,0)),"")</f>
        <v>Movimiento de premoldeados, equipos de planta/cantera, bombas, moldes y cargas pesadas.</v>
      </c>
      <c r="J97" s="24" t="str">
        <f>IFERROR(INDEX(Prospectos!$AJ$2:$AJ$288,MATCH($A97,Prospectos!$A$2:$A$288,0)),"")</f>
        <v>Media</v>
      </c>
      <c r="K97" s="29"/>
    </row>
    <row r="98" spans="1:11" ht="33.950000000000003" customHeight="1">
      <c r="A98" s="3" t="s">
        <v>156</v>
      </c>
      <c r="B98" s="3" t="str">
        <f>IFERROR(INDEX(Prospectos!$F$2:$F$288,MATCH($A98,Prospectos!$A$2:$A$288,0)),"")</f>
        <v>A</v>
      </c>
      <c r="C98" s="3" t="str">
        <f>IFERROR(INDEX(Prospectos!$H$2:$H$288,MATCH($A98,Prospectos!$A$2:$A$288,0)),"")</f>
        <v>MPS Piscinas</v>
      </c>
      <c r="D98" s="3" t="str">
        <f>IFERROR(INDEX(Prospectos!$J$2:$J$288,MATCH($A98,Prospectos!$A$2:$A$288,0)),"")</f>
        <v>PRFV y plásticos</v>
      </c>
      <c r="E98" s="3" t="str">
        <f>IFERROR(INDEX(Prospectos!$C$2:$C$288,MATCH($A98,Prospectos!$A$2:$A$288,0)),"")</f>
        <v>Córdoba / RN36 norte</v>
      </c>
      <c r="F98" s="3" t="str">
        <f>IFERROR(INDEX(Prospectos!$E$2:$E$288,MATCH($A98,Prospectos!$A$2:$A$288,0)),"")</f>
        <v>Anisacate</v>
      </c>
      <c r="G98" s="3" t="str">
        <f>IFERROR(INDEX(Prospectos!$K$2:$K$288,MATCH($A98,Prospectos!$A$2:$A$288,0)),"")</f>
        <v>+54 9 3547 564603</v>
      </c>
      <c r="H98" s="3" t="str">
        <f>IFERROR(INDEX(Prospectos!$M$2:$M$288,MATCH($A98,Prospectos!$A$2:$A$288,0)),"")</f>
        <v>logística / instalaciones / obras / ventas</v>
      </c>
      <c r="I98" s="3" t="str">
        <f>IFERROR(INDEX(Prospectos!$N$2:$N$288,MATCH($A98,Prospectos!$A$2:$A$288,0)),"")</f>
        <v>Traslado del casco PRFV hasta la obra y maniobra de descarga/posicionamiento dentro del lote, muchas veces sobre medianeras o con acceso limitado.</v>
      </c>
      <c r="J98" s="3" t="str">
        <f>IFERROR(INDEX(Prospectos!$AJ$2:$AJ$288,MATCH($A98,Prospectos!$A$2:$A$288,0)),"")</f>
        <v>Muy alta</v>
      </c>
      <c r="K98" s="29"/>
    </row>
    <row r="99" spans="1:11" ht="33.950000000000003" customHeight="1">
      <c r="A99" s="23" t="s">
        <v>157</v>
      </c>
      <c r="B99" s="23" t="str">
        <f>IFERROR(INDEX(Prospectos!$F$2:$F$288,MATCH($A99,Prospectos!$A$2:$A$288,0)),"")</f>
        <v>A</v>
      </c>
      <c r="C99" s="23" t="str">
        <f>IFERROR(INDEX(Prospectos!$H$2:$H$288,MATCH($A99,Prospectos!$A$2:$A$288,0)),"")</f>
        <v>Mar de Fondo — Anisacate</v>
      </c>
      <c r="D99" s="23" t="str">
        <f>IFERROR(INDEX(Prospectos!$J$2:$J$288,MATCH($A99,Prospectos!$A$2:$A$288,0)),"")</f>
        <v>PRFV y plásticos</v>
      </c>
      <c r="E99" s="23" t="str">
        <f>IFERROR(INDEX(Prospectos!$C$2:$C$288,MATCH($A99,Prospectos!$A$2:$A$288,0)),"")</f>
        <v>Córdoba / RN36 norte</v>
      </c>
      <c r="F99" s="23" t="str">
        <f>IFERROR(INDEX(Prospectos!$E$2:$E$288,MATCH($A99,Prospectos!$A$2:$A$288,0)),"")</f>
        <v>Anisacate</v>
      </c>
      <c r="G99" s="23" t="str">
        <f>IFERROR(INDEX(Prospectos!$K$2:$K$288,MATCH($A99,Prospectos!$A$2:$A$288,0)),"")</f>
        <v>+54 9 3547 634032</v>
      </c>
      <c r="H99" s="23" t="str">
        <f>IFERROR(INDEX(Prospectos!$M$2:$M$288,MATCH($A99,Prospectos!$A$2:$A$288,0)),"")</f>
        <v>logística / instalaciones / obras / ventas</v>
      </c>
      <c r="I99" s="23" t="str">
        <f>IFERROR(INDEX(Prospectos!$N$2:$N$288,MATCH($A99,Prospectos!$A$2:$A$288,0)),"")</f>
        <v>Entrega de piscinas de fibra desde depósito/franquicia hasta domicilio y apoyo de grúa cuando el casco debe superar medianeras, techos o accesos angostos.</v>
      </c>
      <c r="J99" s="23" t="str">
        <f>IFERROR(INDEX(Prospectos!$AJ$2:$AJ$288,MATCH($A99,Prospectos!$A$2:$A$288,0)),"")</f>
        <v>Muy alta</v>
      </c>
      <c r="K99" s="29"/>
    </row>
    <row r="100" spans="1:11" ht="33.950000000000003" customHeight="1">
      <c r="A100" s="7" t="s">
        <v>158</v>
      </c>
      <c r="B100" s="7" t="str">
        <f>IFERROR(INDEX(Prospectos!$F$2:$F$288,MATCH($A100,Prospectos!$A$2:$A$288,0)),"")</f>
        <v>B</v>
      </c>
      <c r="C100" s="7" t="str">
        <f>IFERROR(INDEX(Prospectos!$H$2:$H$288,MATCH($A100,Prospectos!$A$2:$A$288,0)),"")</f>
        <v>El Alto Áridos, Hormigón y Desarrollos</v>
      </c>
      <c r="D100" s="7" t="str">
        <f>IFERROR(INDEX(Prospectos!$J$2:$J$288,MATCH($A100,Prospectos!$A$2:$A$288,0)),"")</f>
        <v>Hormigón, áridos y materiales</v>
      </c>
      <c r="E100" s="7" t="str">
        <f>IFERROR(INDEX(Prospectos!$C$2:$C$288,MATCH($A100,Prospectos!$A$2:$A$288,0)),"")</f>
        <v>Córdoba / RN36 norte</v>
      </c>
      <c r="F100" s="7" t="str">
        <f>IFERROR(INDEX(Prospectos!$E$2:$E$288,MATCH($A100,Prospectos!$A$2:$A$288,0)),"")</f>
        <v>Córdoba / Sierras</v>
      </c>
      <c r="G100" s="7" t="str">
        <f>IFERROR(INDEX(Prospectos!$K$2:$K$288,MATCH($A100,Prospectos!$A$2:$A$288,0)),"")</f>
        <v>A relevar</v>
      </c>
      <c r="H100" s="7" t="str">
        <f>IFERROR(INDEX(Prospectos!$M$2:$M$288,MATCH($A100,Prospectos!$A$2:$A$288,0)),"")</f>
        <v>planta / mantenimiento</v>
      </c>
      <c r="I100" s="7" t="str">
        <f>IFERROR(INDEX(Prospectos!$N$2:$N$288,MATCH($A100,Prospectos!$A$2:$A$288,0)),"")</f>
        <v>Movimiento de premoldeados, equipos de planta/cantera, bombas, moldes y cargas pesadas.</v>
      </c>
      <c r="J100" s="7" t="str">
        <f>IFERROR(INDEX(Prospectos!$AJ$2:$AJ$288,MATCH($A100,Prospectos!$A$2:$A$288,0)),"")</f>
        <v>Media</v>
      </c>
      <c r="K100" s="29"/>
    </row>
    <row r="101" spans="1:11" ht="33.950000000000003" customHeight="1">
      <c r="A101" s="23" t="s">
        <v>159</v>
      </c>
      <c r="B101" s="23" t="str">
        <f>IFERROR(INDEX(Prospectos!$F$2:$F$288,MATCH($A101,Prospectos!$A$2:$A$288,0)),"")</f>
        <v>A</v>
      </c>
      <c r="C101" s="23" t="str">
        <f>IFERROR(INDEX(Prospectos!$H$2:$H$288,MATCH($A101,Prospectos!$A$2:$A$288,0)),"")</f>
        <v>AquaFibra</v>
      </c>
      <c r="D101" s="23" t="str">
        <f>IFERROR(INDEX(Prospectos!$J$2:$J$288,MATCH($A101,Prospectos!$A$2:$A$288,0)),"")</f>
        <v>PRFV y plásticos</v>
      </c>
      <c r="E101" s="23" t="str">
        <f>IFERROR(INDEX(Prospectos!$C$2:$C$288,MATCH($A101,Prospectos!$A$2:$A$288,0)),"")</f>
        <v>Córdoba / RN36 norte</v>
      </c>
      <c r="F101" s="23" t="str">
        <f>IFERROR(INDEX(Prospectos!$E$2:$E$288,MATCH($A101,Prospectos!$A$2:$A$288,0)),"")</f>
        <v>Córdoba capital</v>
      </c>
      <c r="G101" s="23" t="str">
        <f>IFERROR(INDEX(Prospectos!$K$2:$K$288,MATCH($A101,Prospectos!$A$2:$A$288,0)),"")</f>
        <v>+54 9 351 3000650</v>
      </c>
      <c r="H101" s="23" t="str">
        <f>IFERROR(INDEX(Prospectos!$M$2:$M$288,MATCH($A101,Prospectos!$A$2:$A$288,0)),"")</f>
        <v>logística / instalaciones / obras / ventas</v>
      </c>
      <c r="I101" s="23" t="str">
        <f>IFERROR(INDEX(Prospectos!$N$2:$N$288,MATCH($A101,Prospectos!$A$2:$A$288,0)),"")</f>
        <v>Despacho recurrente de cascos PRFV de gran volumen desde fábrica hacia obras, franquicias o domicilios; coordinación de descarga y posicionamiento en patios con accesos restringidos.</v>
      </c>
      <c r="J101" s="23" t="str">
        <f>IFERROR(INDEX(Prospectos!$AJ$2:$AJ$288,MATCH($A101,Prospectos!$A$2:$A$288,0)),"")</f>
        <v>Muy alta</v>
      </c>
      <c r="K101" s="29"/>
    </row>
    <row r="102" spans="1:11" ht="33.950000000000003" customHeight="1">
      <c r="A102" s="7" t="s">
        <v>160</v>
      </c>
      <c r="B102" s="7" t="str">
        <f>IFERROR(INDEX(Prospectos!$F$2:$F$288,MATCH($A102,Prospectos!$A$2:$A$288,0)),"")</f>
        <v>A</v>
      </c>
      <c r="C102" s="7" t="str">
        <f>IFERROR(INDEX(Prospectos!$H$2:$H$288,MATCH($A102,Prospectos!$A$2:$A$288,0)),"")</f>
        <v>CONCI — Córdoba</v>
      </c>
      <c r="D102" s="7" t="str">
        <f>IFERROR(INDEX(Prospectos!$J$2:$J$288,MATCH($A102,Prospectos!$A$2:$A$288,0)),"")</f>
        <v>Maquinaria agrícola</v>
      </c>
      <c r="E102" s="7" t="str">
        <f>IFERROR(INDEX(Prospectos!$C$2:$C$288,MATCH($A102,Prospectos!$A$2:$A$288,0)),"")</f>
        <v>Córdoba / RN36 norte</v>
      </c>
      <c r="F102" s="7" t="str">
        <f>IFERROR(INDEX(Prospectos!$E$2:$E$288,MATCH($A102,Prospectos!$A$2:$A$288,0)),"")</f>
        <v>Córdoba capital</v>
      </c>
      <c r="G102" s="7" t="str">
        <f>IFERROR(INDEX(Prospectos!$K$2:$K$288,MATCH($A102,Prospectos!$A$2:$A$288,0)),"")</f>
        <v>0810 777 6666 / +54 9 351 2175220</v>
      </c>
      <c r="H102" s="7" t="str">
        <f>IFERROR(INDEX(Prospectos!$M$2:$M$288,MATCH($A102,Prospectos!$A$2:$A$288,0)),"")</f>
        <v>logística / entregas / usados / postventa / gerente comercial</v>
      </c>
      <c r="I102" s="7" t="str">
        <f>IFERROR(INDEX(Prospectos!$N$2:$N$288,MATCH($A102,Prospectos!$A$2:$A$288,0)),"")</f>
        <v>Entrega y retiro de tractores, cosechadoras, pulverizadoras, sembradoras e implementos; movimientos por ventas, canjes, usados, service, demostraciones y ferias.</v>
      </c>
      <c r="J102" s="7" t="str">
        <f>IFERROR(INDEX(Prospectos!$AJ$2:$AJ$288,MATCH($A102,Prospectos!$A$2:$A$288,0)),"")</f>
        <v>Muy alta</v>
      </c>
      <c r="K102" s="29"/>
    </row>
    <row r="103" spans="1:11" ht="33.950000000000003" customHeight="1">
      <c r="A103" s="23" t="s">
        <v>161</v>
      </c>
      <c r="B103" s="23" t="str">
        <f>IFERROR(INDEX(Prospectos!$F$2:$F$288,MATCH($A103,Prospectos!$A$2:$A$288,0)),"")</f>
        <v>A</v>
      </c>
      <c r="C103" s="23" t="str">
        <f>IFERROR(INDEX(Prospectos!$H$2:$H$288,MATCH($A103,Prospectos!$A$2:$A$288,0)),"")</f>
        <v>Moldear Piscinas</v>
      </c>
      <c r="D103" s="23" t="str">
        <f>IFERROR(INDEX(Prospectos!$J$2:$J$288,MATCH($A103,Prospectos!$A$2:$A$288,0)),"")</f>
        <v>PRFV y plásticos</v>
      </c>
      <c r="E103" s="23" t="str">
        <f>IFERROR(INDEX(Prospectos!$C$2:$C$288,MATCH($A103,Prospectos!$A$2:$A$288,0)),"")</f>
        <v>Córdoba / RN36 norte</v>
      </c>
      <c r="F103" s="23" t="str">
        <f>IFERROR(INDEX(Prospectos!$E$2:$E$288,MATCH($A103,Prospectos!$A$2:$A$288,0)),"")</f>
        <v>Córdoba capital</v>
      </c>
      <c r="G103" s="23" t="str">
        <f>IFERROR(INDEX(Prospectos!$K$2:$K$288,MATCH($A103,Prospectos!$A$2:$A$288,0)),"")</f>
        <v>0351 4864217 / 0351 5892541</v>
      </c>
      <c r="H103" s="23" t="str">
        <f>IFERROR(INDEX(Prospectos!$M$2:$M$288,MATCH($A103,Prospectos!$A$2:$A$288,0)),"")</f>
        <v>logística / instalaciones / obras / ventas</v>
      </c>
      <c r="I103" s="23" t="str">
        <f>IFERROR(INDEX(Prospectos!$N$2:$N$288,MATCH($A103,Prospectos!$A$2:$A$288,0)),"")</f>
        <v>Despacho recurrente de cascos PRFV de gran volumen desde fábrica hacia obras, franquicias o domicilios; coordinación de descarga y posicionamiento en patios con accesos restringidos.</v>
      </c>
      <c r="J103" s="23" t="str">
        <f>IFERROR(INDEX(Prospectos!$AJ$2:$AJ$288,MATCH($A103,Prospectos!$A$2:$A$288,0)),"")</f>
        <v>Muy alta</v>
      </c>
      <c r="K103" s="29"/>
    </row>
    <row r="104" spans="1:11" ht="33.950000000000003" customHeight="1" thickBot="1">
      <c r="A104" s="3" t="s">
        <v>162</v>
      </c>
      <c r="B104" s="3" t="str">
        <f>IFERROR(INDEX(Prospectos!$F$2:$F$288,MATCH($A104,Prospectos!$A$2:$A$288,0)),"")</f>
        <v>A</v>
      </c>
      <c r="C104" s="3" t="str">
        <f>IFERROR(INDEX(Prospectos!$H$2:$H$288,MATCH($A104,Prospectos!$A$2:$A$288,0)),"")</f>
        <v>Máquinas del Centro — Córdoba</v>
      </c>
      <c r="D104" s="3" t="str">
        <f>IFERROR(INDEX(Prospectos!$J$2:$J$288,MATCH($A104,Prospectos!$A$2:$A$288,0)),"")</f>
        <v>Maquinaria agrícola</v>
      </c>
      <c r="E104" s="3" t="str">
        <f>IFERROR(INDEX(Prospectos!$C$2:$C$288,MATCH($A104,Prospectos!$A$2:$A$288,0)),"")</f>
        <v>Córdoba / RN36 norte</v>
      </c>
      <c r="F104" s="3" t="str">
        <f>IFERROR(INDEX(Prospectos!$E$2:$E$288,MATCH($A104,Prospectos!$A$2:$A$288,0)),"")</f>
        <v>Córdoba capital</v>
      </c>
      <c r="G104" s="3" t="str">
        <f>IFERROR(INDEX(Prospectos!$K$2:$K$288,MATCH($A104,Prospectos!$A$2:$A$288,0)),"")</f>
        <v>0351 7015555 / 0351 8722584</v>
      </c>
      <c r="H104" s="3" t="str">
        <f>IFERROR(INDEX(Prospectos!$M$2:$M$288,MATCH($A104,Prospectos!$A$2:$A$288,0)),"")</f>
        <v>logística / entregas / usados / postventa / gerente comercial</v>
      </c>
      <c r="I104" s="3" t="str">
        <f>IFERROR(INDEX(Prospectos!$N$2:$N$288,MATCH($A104,Prospectos!$A$2:$A$288,0)),"")</f>
        <v>Entrega y retiro de tractores, cosechadoras, pulverizadoras, sembradoras e implementos; movimientos por ventas, canjes, usados, service, demostraciones y ferias.</v>
      </c>
      <c r="J104" s="3" t="str">
        <f>IFERROR(INDEX(Prospectos!$AJ$2:$AJ$288,MATCH($A104,Prospectos!$A$2:$A$288,0)),"")</f>
        <v>Muy alta</v>
      </c>
      <c r="K104" s="29"/>
    </row>
    <row r="105" spans="1:11" ht="33.950000000000003" customHeight="1">
      <c r="A105" s="25" t="s">
        <v>163</v>
      </c>
      <c r="B105" s="25" t="str">
        <f>IFERROR(INDEX(Prospectos!$F$2:$F$288,MATCH($A105,Prospectos!$A$2:$A$288,0)),"")</f>
        <v>A</v>
      </c>
      <c r="C105" s="25" t="str">
        <f>IFERROR(INDEX(Prospectos!$H$2:$H$288,MATCH($A105,Prospectos!$A$2:$A$288,0)),"")</f>
        <v>Porto Piscinas</v>
      </c>
      <c r="D105" s="25" t="str">
        <f>IFERROR(INDEX(Prospectos!$J$2:$J$288,MATCH($A105,Prospectos!$A$2:$A$288,0)),"")</f>
        <v>PRFV y plásticos</v>
      </c>
      <c r="E105" s="25" t="str">
        <f>IFERROR(INDEX(Prospectos!$C$2:$C$288,MATCH($A105,Prospectos!$A$2:$A$288,0)),"")</f>
        <v>Córdoba / RN36 norte</v>
      </c>
      <c r="F105" s="25" t="str">
        <f>IFERROR(INDEX(Prospectos!$E$2:$E$288,MATCH($A105,Prospectos!$A$2:$A$288,0)),"")</f>
        <v>Córdoba capital</v>
      </c>
      <c r="G105" s="25" t="str">
        <f>IFERROR(INDEX(Prospectos!$K$2:$K$288,MATCH($A105,Prospectos!$A$2:$A$288,0)),"")</f>
        <v>0351 8786914</v>
      </c>
      <c r="H105" s="25" t="str">
        <f>IFERROR(INDEX(Prospectos!$M$2:$M$288,MATCH($A105,Prospectos!$A$2:$A$288,0)),"")</f>
        <v>logística / instalaciones / obras / ventas</v>
      </c>
      <c r="I105" s="25" t="str">
        <f>IFERROR(INDEX(Prospectos!$N$2:$N$288,MATCH($A105,Prospectos!$A$2:$A$288,0)),"")</f>
        <v>Despacho recurrente de cascos PRFV de gran volumen desde fábrica hacia obras, franquicias o domicilios; coordinación de descarga y posicionamiento en patios con accesos restringidos.</v>
      </c>
      <c r="J105" s="25" t="str">
        <f>IFERROR(INDEX(Prospectos!$AJ$2:$AJ$288,MATCH($A105,Prospectos!$A$2:$A$288,0)),"")</f>
        <v>Muy alta</v>
      </c>
      <c r="K105" s="29"/>
    </row>
    <row r="106" spans="1:11" ht="33.950000000000003" customHeight="1">
      <c r="A106" s="3" t="s">
        <v>164</v>
      </c>
      <c r="B106" s="3" t="str">
        <f>IFERROR(INDEX(Prospectos!$F$2:$F$288,MATCH($A106,Prospectos!$A$2:$A$288,0)),"")</f>
        <v>A</v>
      </c>
      <c r="C106" s="3" t="str">
        <f>IFERROR(INDEX(Prospectos!$H$2:$H$288,MATCH($A106,Prospectos!$A$2:$A$288,0)),"")</f>
        <v>Pretencord S.R.L.</v>
      </c>
      <c r="D106" s="3" t="str">
        <f>IFERROR(INDEX(Prospectos!$J$2:$J$288,MATCH($A106,Prospectos!$A$2:$A$288,0)),"")</f>
        <v>Hormigón, áridos y materiales</v>
      </c>
      <c r="E106" s="3" t="str">
        <f>IFERROR(INDEX(Prospectos!$C$2:$C$288,MATCH($A106,Prospectos!$A$2:$A$288,0)),"")</f>
        <v>Córdoba / RN36 norte</v>
      </c>
      <c r="F106" s="3" t="str">
        <f>IFERROR(INDEX(Prospectos!$E$2:$E$288,MATCH($A106,Prospectos!$A$2:$A$288,0)),"")</f>
        <v>Córdoba capital</v>
      </c>
      <c r="G106" s="3" t="str">
        <f>IFERROR(INDEX(Prospectos!$K$2:$K$288,MATCH($A106,Prospectos!$A$2:$A$288,0)),"")</f>
        <v>+54 351 2422363 / +54 351 2454059</v>
      </c>
      <c r="H106" s="3" t="str">
        <f>IFERROR(INDEX(Prospectos!$M$2:$M$288,MATCH($A106,Prospectos!$A$2:$A$288,0)),"")</f>
        <v>despacho / logística</v>
      </c>
      <c r="I106" s="3" t="str">
        <f>IFERROR(INDEX(Prospectos!$N$2:$N$288,MATCH($A106,Prospectos!$A$2:$A$288,0)),"")</f>
        <v>Movimiento de premoldeados, equipos de planta/cantera, bombas, moldes y cargas pesadas.</v>
      </c>
      <c r="J106" s="3" t="str">
        <f>IFERROR(INDEX(Prospectos!$AJ$2:$AJ$288,MATCH($A106,Prospectos!$A$2:$A$288,0)),"")</f>
        <v>Muy alta</v>
      </c>
      <c r="K106" s="29"/>
    </row>
    <row r="107" spans="1:11" ht="33.950000000000003" customHeight="1">
      <c r="A107" s="23" t="s">
        <v>165</v>
      </c>
      <c r="B107" s="23" t="str">
        <f>IFERROR(INDEX(Prospectos!$F$2:$F$288,MATCH($A107,Prospectos!$A$2:$A$288,0)),"")</f>
        <v>A</v>
      </c>
      <c r="C107" s="23" t="str">
        <f>IFERROR(INDEX(Prospectos!$H$2:$H$288,MATCH($A107,Prospectos!$A$2:$A$288,0)),"")</f>
        <v>Arizona Piscinas</v>
      </c>
      <c r="D107" s="23" t="str">
        <f>IFERROR(INDEX(Prospectos!$J$2:$J$288,MATCH($A107,Prospectos!$A$2:$A$288,0)),"")</f>
        <v>PRFV y plásticos</v>
      </c>
      <c r="E107" s="23" t="str">
        <f>IFERROR(INDEX(Prospectos!$C$2:$C$288,MATCH($A107,Prospectos!$A$2:$A$288,0)),"")</f>
        <v>Córdoba / RN36 norte</v>
      </c>
      <c r="F107" s="23" t="str">
        <f>IFERROR(INDEX(Prospectos!$E$2:$E$288,MATCH($A107,Prospectos!$A$2:$A$288,0)),"")</f>
        <v>Córdoba capital</v>
      </c>
      <c r="G107" s="23" t="str">
        <f>IFERROR(INDEX(Prospectos!$K$2:$K$288,MATCH($A107,Prospectos!$A$2:$A$288,0)),"")</f>
        <v>+54 9 3541 683449</v>
      </c>
      <c r="H107" s="23" t="str">
        <f>IFERROR(INDEX(Prospectos!$M$2:$M$288,MATCH($A107,Prospectos!$A$2:$A$288,0)),"")</f>
        <v>logística / instalaciones / obras / ventas</v>
      </c>
      <c r="I107" s="23" t="str">
        <f>IFERROR(INDEX(Prospectos!$N$2:$N$288,MATCH($A107,Prospectos!$A$2:$A$288,0)),"")</f>
        <v>Despacho recurrente de cascos PRFV de gran volumen desde fábrica hacia obras, franquicias o domicilios; coordinación de descarga y posicionamiento en patios con accesos restringidos.</v>
      </c>
      <c r="J107" s="23" t="str">
        <f>IFERROR(INDEX(Prospectos!$AJ$2:$AJ$288,MATCH($A107,Prospectos!$A$2:$A$288,0)),"")</f>
        <v>Muy alta</v>
      </c>
      <c r="K107" s="29"/>
    </row>
    <row r="108" spans="1:11" ht="33.950000000000003" customHeight="1">
      <c r="A108" s="3" t="s">
        <v>166</v>
      </c>
      <c r="B108" s="3" t="str">
        <f>IFERROR(INDEX(Prospectos!$F$2:$F$288,MATCH($A108,Prospectos!$A$2:$A$288,0)),"")</f>
        <v>A</v>
      </c>
      <c r="C108" s="3" t="str">
        <f>IFERROR(INDEX(Prospectos!$H$2:$H$288,MATCH($A108,Prospectos!$A$2:$A$288,0)),"")</f>
        <v>Klor Piletas</v>
      </c>
      <c r="D108" s="3" t="str">
        <f>IFERROR(INDEX(Prospectos!$J$2:$J$288,MATCH($A108,Prospectos!$A$2:$A$288,0)),"")</f>
        <v>PRFV y plásticos</v>
      </c>
      <c r="E108" s="3" t="str">
        <f>IFERROR(INDEX(Prospectos!$C$2:$C$288,MATCH($A108,Prospectos!$A$2:$A$288,0)),"")</f>
        <v>Córdoba / RN36 norte</v>
      </c>
      <c r="F108" s="3" t="str">
        <f>IFERROR(INDEX(Prospectos!$E$2:$E$288,MATCH($A108,Prospectos!$A$2:$A$288,0)),"")</f>
        <v>Córdoba capital</v>
      </c>
      <c r="G108" s="3" t="str">
        <f>IFERROR(INDEX(Prospectos!$K$2:$K$288,MATCH($A108,Prospectos!$A$2:$A$288,0)),"")</f>
        <v>351 8868899 / 351 8601829</v>
      </c>
      <c r="H108" s="3" t="str">
        <f>IFERROR(INDEX(Prospectos!$M$2:$M$288,MATCH($A108,Prospectos!$A$2:$A$288,0)),"")</f>
        <v>logística / instalaciones / obras / ventas</v>
      </c>
      <c r="I108" s="3" t="str">
        <f>IFERROR(INDEX(Prospectos!$N$2:$N$288,MATCH($A108,Prospectos!$A$2:$A$288,0)),"")</f>
        <v>Traslado del casco PRFV hasta la obra y maniobra de descarga/posicionamiento dentro del lote, muchas veces sobre medianeras o con acceso limitado.</v>
      </c>
      <c r="J108" s="3" t="str">
        <f>IFERROR(INDEX(Prospectos!$AJ$2:$AJ$288,MATCH($A108,Prospectos!$A$2:$A$288,0)),"")</f>
        <v>Muy alta</v>
      </c>
      <c r="K108" s="29"/>
    </row>
    <row r="109" spans="1:11" ht="33.950000000000003" customHeight="1">
      <c r="A109" s="23" t="s">
        <v>167</v>
      </c>
      <c r="B109" s="23" t="str">
        <f>IFERROR(INDEX(Prospectos!$F$2:$F$288,MATCH($A109,Prospectos!$A$2:$A$288,0)),"")</f>
        <v>A</v>
      </c>
      <c r="C109" s="23" t="str">
        <f>IFERROR(INDEX(Prospectos!$H$2:$H$288,MATCH($A109,Prospectos!$A$2:$A$288,0)),"")</f>
        <v>Piletas Córdoba</v>
      </c>
      <c r="D109" s="23" t="str">
        <f>IFERROR(INDEX(Prospectos!$J$2:$J$288,MATCH($A109,Prospectos!$A$2:$A$288,0)),"")</f>
        <v>PRFV y plásticos</v>
      </c>
      <c r="E109" s="23" t="str">
        <f>IFERROR(INDEX(Prospectos!$C$2:$C$288,MATCH($A109,Prospectos!$A$2:$A$288,0)),"")</f>
        <v>Córdoba / RN36 norte</v>
      </c>
      <c r="F109" s="23" t="str">
        <f>IFERROR(INDEX(Prospectos!$E$2:$E$288,MATCH($A109,Prospectos!$A$2:$A$288,0)),"")</f>
        <v>Córdoba capital</v>
      </c>
      <c r="G109" s="23" t="str">
        <f>IFERROR(INDEX(Prospectos!$K$2:$K$288,MATCH($A109,Prospectos!$A$2:$A$288,0)),"")</f>
        <v>+54 9 351 6425474 / 3462 303611</v>
      </c>
      <c r="H109" s="23" t="str">
        <f>IFERROR(INDEX(Prospectos!$M$2:$M$288,MATCH($A109,Prospectos!$A$2:$A$288,0)),"")</f>
        <v>logística / instalaciones / obras / ventas</v>
      </c>
      <c r="I109" s="23" t="str">
        <f>IFERROR(INDEX(Prospectos!$N$2:$N$288,MATCH($A109,Prospectos!$A$2:$A$288,0)),"")</f>
        <v>Traslado del casco PRFV hasta la obra y maniobra de descarga/posicionamiento dentro del lote, muchas veces sobre medianeras o con acceso limitado.</v>
      </c>
      <c r="J109" s="23" t="str">
        <f>IFERROR(INDEX(Prospectos!$AJ$2:$AJ$288,MATCH($A109,Prospectos!$A$2:$A$288,0)),"")</f>
        <v>Muy alta</v>
      </c>
      <c r="K109" s="29"/>
    </row>
    <row r="110" spans="1:11" ht="33.950000000000003" customHeight="1">
      <c r="A110" s="3" t="s">
        <v>168</v>
      </c>
      <c r="B110" s="3" t="str">
        <f>IFERROR(INDEX(Prospectos!$F$2:$F$288,MATCH($A110,Prospectos!$A$2:$A$288,0)),"")</f>
        <v>A</v>
      </c>
      <c r="C110" s="3" t="str">
        <f>IFERROR(INDEX(Prospectos!$H$2:$H$288,MATCH($A110,Prospectos!$A$2:$A$288,0)),"")</f>
        <v>Agronorte — Córdoba</v>
      </c>
      <c r="D110" s="3" t="str">
        <f>IFERROR(INDEX(Prospectos!$J$2:$J$288,MATCH($A110,Prospectos!$A$2:$A$288,0)),"")</f>
        <v>Maquinaria agrícola</v>
      </c>
      <c r="E110" s="3" t="str">
        <f>IFERROR(INDEX(Prospectos!$C$2:$C$288,MATCH($A110,Prospectos!$A$2:$A$288,0)),"")</f>
        <v>Córdoba / RN36 norte</v>
      </c>
      <c r="F110" s="3" t="str">
        <f>IFERROR(INDEX(Prospectos!$E$2:$E$288,MATCH($A110,Prospectos!$A$2:$A$288,0)),"")</f>
        <v>Córdoba capital</v>
      </c>
      <c r="G110" s="3" t="str">
        <f>IFERROR(INDEX(Prospectos!$K$2:$K$288,MATCH($A110,Prospectos!$A$2:$A$288,0)),"")</f>
        <v>0351 5890240</v>
      </c>
      <c r="H110" s="3" t="str">
        <f>IFERROR(INDEX(Prospectos!$M$2:$M$288,MATCH($A110,Prospectos!$A$2:$A$288,0)),"")</f>
        <v>logística / entregas / usados / postventa / gerente comercial</v>
      </c>
      <c r="I110" s="3" t="str">
        <f>IFERROR(INDEX(Prospectos!$N$2:$N$288,MATCH($A110,Prospectos!$A$2:$A$288,0)),"")</f>
        <v>Entrega y retiro de tractores, cosechadoras, pulverizadoras, sembradoras e implementos; movimientos por ventas, canjes, usados, service, demostraciones y ferias.</v>
      </c>
      <c r="J110" s="3" t="str">
        <f>IFERROR(INDEX(Prospectos!$AJ$2:$AJ$288,MATCH($A110,Prospectos!$A$2:$A$288,0)),"")</f>
        <v>Muy alta</v>
      </c>
      <c r="K110" s="29"/>
    </row>
    <row r="111" spans="1:11" ht="33.950000000000003" customHeight="1">
      <c r="A111" s="23" t="s">
        <v>169</v>
      </c>
      <c r="B111" s="23" t="str">
        <f>IFERROR(INDEX(Prospectos!$F$2:$F$288,MATCH($A111,Prospectos!$A$2:$A$288,0)),"")</f>
        <v>A</v>
      </c>
      <c r="C111" s="23" t="str">
        <f>IFERROR(INDEX(Prospectos!$H$2:$H$288,MATCH($A111,Prospectos!$A$2:$A$288,0)),"")</f>
        <v>Aquapool Piscinas Córdoba</v>
      </c>
      <c r="D111" s="23" t="str">
        <f>IFERROR(INDEX(Prospectos!$J$2:$J$288,MATCH($A111,Prospectos!$A$2:$A$288,0)),"")</f>
        <v>PRFV y plásticos</v>
      </c>
      <c r="E111" s="23" t="str">
        <f>IFERROR(INDEX(Prospectos!$C$2:$C$288,MATCH($A111,Prospectos!$A$2:$A$288,0)),"")</f>
        <v>Córdoba / RN36 norte</v>
      </c>
      <c r="F111" s="23" t="str">
        <f>IFERROR(INDEX(Prospectos!$E$2:$E$288,MATCH($A111,Prospectos!$A$2:$A$288,0)),"")</f>
        <v>Córdoba capital</v>
      </c>
      <c r="G111" s="23" t="str">
        <f>IFERROR(INDEX(Prospectos!$K$2:$K$288,MATCH($A111,Prospectos!$A$2:$A$288,0)),"")</f>
        <v>351 3039080</v>
      </c>
      <c r="H111" s="23" t="str">
        <f>IFERROR(INDEX(Prospectos!$M$2:$M$288,MATCH($A111,Prospectos!$A$2:$A$288,0)),"")</f>
        <v>logística / instalaciones / obras / ventas</v>
      </c>
      <c r="I111" s="23" t="str">
        <f>IFERROR(INDEX(Prospectos!$N$2:$N$288,MATCH($A111,Prospectos!$A$2:$A$288,0)),"")</f>
        <v>Traslado del casco PRFV hasta la obra y maniobra de descarga/posicionamiento dentro del lote, muchas veces sobre medianeras o con acceso limitado.</v>
      </c>
      <c r="J111" s="23" t="str">
        <f>IFERROR(INDEX(Prospectos!$AJ$2:$AJ$288,MATCH($A111,Prospectos!$A$2:$A$288,0)),"")</f>
        <v>Muy alta</v>
      </c>
      <c r="K111" s="29"/>
    </row>
    <row r="112" spans="1:11" ht="33.950000000000003" customHeight="1">
      <c r="A112" s="3" t="s">
        <v>170</v>
      </c>
      <c r="B112" s="3" t="str">
        <f>IFERROR(INDEX(Prospectos!$F$2:$F$288,MATCH($A112,Prospectos!$A$2:$A$288,0)),"")</f>
        <v>A</v>
      </c>
      <c r="C112" s="3" t="str">
        <f>IFERROR(INDEX(Prospectos!$H$2:$H$288,MATCH($A112,Prospectos!$A$2:$A$288,0)),"")</f>
        <v>Semtraco — Córdoba</v>
      </c>
      <c r="D112" s="3" t="str">
        <f>IFERROR(INDEX(Prospectos!$J$2:$J$288,MATCH($A112,Prospectos!$A$2:$A$288,0)),"")</f>
        <v>Maquinaria agrícola</v>
      </c>
      <c r="E112" s="3" t="str">
        <f>IFERROR(INDEX(Prospectos!$C$2:$C$288,MATCH($A112,Prospectos!$A$2:$A$288,0)),"")</f>
        <v>Córdoba / RN36 norte</v>
      </c>
      <c r="F112" s="3" t="str">
        <f>IFERROR(INDEX(Prospectos!$E$2:$E$288,MATCH($A112,Prospectos!$A$2:$A$288,0)),"")</f>
        <v>Córdoba capital</v>
      </c>
      <c r="G112" s="3" t="str">
        <f>IFERROR(INDEX(Prospectos!$K$2:$K$288,MATCH($A112,Prospectos!$A$2:$A$288,0)),"")</f>
        <v>+54 9 351 8504937</v>
      </c>
      <c r="H112" s="3" t="str">
        <f>IFERROR(INDEX(Prospectos!$M$2:$M$288,MATCH($A112,Prospectos!$A$2:$A$288,0)),"")</f>
        <v>logística / ventas / postventa</v>
      </c>
      <c r="I112" s="3" t="str">
        <f>IFERROR(INDEX(Prospectos!$N$2:$N$288,MATCH($A112,Prospectos!$A$2:$A$288,0)),"")</f>
        <v>Entrega y retiro de tractores, cosechadoras, pulverizadoras, sembradoras e implementos; movimientos por venta, service, canje, demostraciones o ferias.</v>
      </c>
      <c r="J112" s="3" t="str">
        <f>IFERROR(INDEX(Prospectos!$AJ$2:$AJ$288,MATCH($A112,Prospectos!$A$2:$A$288,0)),"")</f>
        <v>Muy alta</v>
      </c>
      <c r="K112" s="29"/>
    </row>
    <row r="113" spans="1:11" ht="33.950000000000003" customHeight="1">
      <c r="A113" s="23" t="s">
        <v>171</v>
      </c>
      <c r="B113" s="23" t="str">
        <f>IFERROR(INDEX(Prospectos!$F$2:$F$288,MATCH($A113,Prospectos!$A$2:$A$288,0)),"")</f>
        <v>A</v>
      </c>
      <c r="C113" s="23" t="str">
        <f>IFERROR(INDEX(Prospectos!$H$2:$H$288,MATCH($A113,Prospectos!$A$2:$A$288,0)),"")</f>
        <v>Vitro Piscinas Córdoba</v>
      </c>
      <c r="D113" s="23" t="str">
        <f>IFERROR(INDEX(Prospectos!$J$2:$J$288,MATCH($A113,Prospectos!$A$2:$A$288,0)),"")</f>
        <v>PRFV y plásticos</v>
      </c>
      <c r="E113" s="23" t="str">
        <f>IFERROR(INDEX(Prospectos!$C$2:$C$288,MATCH($A113,Prospectos!$A$2:$A$288,0)),"")</f>
        <v>Córdoba / RN36 norte</v>
      </c>
      <c r="F113" s="23" t="str">
        <f>IFERROR(INDEX(Prospectos!$E$2:$E$288,MATCH($A113,Prospectos!$A$2:$A$288,0)),"")</f>
        <v>Córdoba capital</v>
      </c>
      <c r="G113" s="23" t="str">
        <f>IFERROR(INDEX(Prospectos!$K$2:$K$288,MATCH($A113,Prospectos!$A$2:$A$288,0)),"")</f>
        <v>3541 652624</v>
      </c>
      <c r="H113" s="23" t="str">
        <f>IFERROR(INDEX(Prospectos!$M$2:$M$288,MATCH($A113,Prospectos!$A$2:$A$288,0)),"")</f>
        <v>logística / instalaciones / obras / ventas</v>
      </c>
      <c r="I113" s="23" t="str">
        <f>IFERROR(INDEX(Prospectos!$N$2:$N$288,MATCH($A113,Prospectos!$A$2:$A$288,0)),"")</f>
        <v>Traslado del casco PRFV hasta la obra y maniobra de descarga/posicionamiento dentro del lote, muchas veces sobre medianeras o con acceso limitado.</v>
      </c>
      <c r="J113" s="23" t="str">
        <f>IFERROR(INDEX(Prospectos!$AJ$2:$AJ$288,MATCH($A113,Prospectos!$A$2:$A$288,0)),"")</f>
        <v>Alta</v>
      </c>
      <c r="K113" s="29"/>
    </row>
    <row r="114" spans="1:11" ht="33.950000000000003" customHeight="1">
      <c r="A114" s="3" t="s">
        <v>172</v>
      </c>
      <c r="B114" s="3" t="str">
        <f>IFERROR(INDEX(Prospectos!$F$2:$F$288,MATCH($A114,Prospectos!$A$2:$A$288,0)),"")</f>
        <v>B</v>
      </c>
      <c r="C114" s="3" t="str">
        <f>IFERROR(INDEX(Prospectos!$H$2:$H$288,MATCH($A114,Prospectos!$A$2:$A$288,0)),"")</f>
        <v>Boetto y Buttigliengo S.A.</v>
      </c>
      <c r="D114" s="3" t="str">
        <f>IFERROR(INDEX(Prospectos!$J$2:$J$288,MATCH($A114,Prospectos!$A$2:$A$288,0)),"")</f>
        <v>Construcción y obra vial</v>
      </c>
      <c r="E114" s="3" t="str">
        <f>IFERROR(INDEX(Prospectos!$C$2:$C$288,MATCH($A114,Prospectos!$A$2:$A$288,0)),"")</f>
        <v>Córdoba / RN36 norte</v>
      </c>
      <c r="F114" s="3" t="str">
        <f>IFERROR(INDEX(Prospectos!$E$2:$E$288,MATCH($A114,Prospectos!$A$2:$A$288,0)),"")</f>
        <v>Córdoba capital</v>
      </c>
      <c r="G114" s="3" t="str">
        <f>IFERROR(INDEX(Prospectos!$K$2:$K$288,MATCH($A114,Prospectos!$A$2:$A$288,0)),"")</f>
        <v>0351 4653272</v>
      </c>
      <c r="H114" s="3" t="str">
        <f>IFERROR(INDEX(Prospectos!$M$2:$M$288,MATCH($A114,Prospectos!$A$2:$A$288,0)),"")</f>
        <v>jefe de obra / logística</v>
      </c>
      <c r="I114" s="3" t="str">
        <f>IFERROR(INDEX(Prospectos!$N$2:$N$288,MATCH($A114,Prospectos!$A$2:$A$288,0)),"")</f>
        <v>Traslado de maquinaria, módulos de obrador, estructuras, equipos y cargas pesadas entre frentes.</v>
      </c>
      <c r="J114" s="3" t="str">
        <f>IFERROR(INDEX(Prospectos!$AJ$2:$AJ$288,MATCH($A114,Prospectos!$A$2:$A$288,0)),"")</f>
        <v>Alta</v>
      </c>
      <c r="K114" s="29"/>
    </row>
    <row r="115" spans="1:11" ht="33.950000000000003" customHeight="1">
      <c r="A115" s="23" t="s">
        <v>173</v>
      </c>
      <c r="B115" s="23" t="str">
        <f>IFERROR(INDEX(Prospectos!$F$2:$F$288,MATCH($A115,Prospectos!$A$2:$A$288,0)),"")</f>
        <v>B</v>
      </c>
      <c r="C115" s="23" t="str">
        <f>IFERROR(INDEX(Prospectos!$H$2:$H$288,MATCH($A115,Prospectos!$A$2:$A$288,0)),"")</f>
        <v>CABIAL Empresa Constructora</v>
      </c>
      <c r="D115" s="23" t="str">
        <f>IFERROR(INDEX(Prospectos!$J$2:$J$288,MATCH($A115,Prospectos!$A$2:$A$288,0)),"")</f>
        <v>Construcción y obra vial</v>
      </c>
      <c r="E115" s="23" t="str">
        <f>IFERROR(INDEX(Prospectos!$C$2:$C$288,MATCH($A115,Prospectos!$A$2:$A$288,0)),"")</f>
        <v>Córdoba / RN36 norte</v>
      </c>
      <c r="F115" s="23" t="str">
        <f>IFERROR(INDEX(Prospectos!$E$2:$E$288,MATCH($A115,Prospectos!$A$2:$A$288,0)),"")</f>
        <v>Córdoba capital</v>
      </c>
      <c r="G115" s="23" t="str">
        <f>IFERROR(INDEX(Prospectos!$K$2:$K$288,MATCH($A115,Prospectos!$A$2:$A$288,0)),"")</f>
        <v>0351 4822855 / 0351 4658599</v>
      </c>
      <c r="H115" s="23" t="str">
        <f>IFERROR(INDEX(Prospectos!$M$2:$M$288,MATCH($A115,Prospectos!$A$2:$A$288,0)),"")</f>
        <v>jefe de obra / logística</v>
      </c>
      <c r="I115" s="23" t="str">
        <f>IFERROR(INDEX(Prospectos!$N$2:$N$288,MATCH($A115,Prospectos!$A$2:$A$288,0)),"")</f>
        <v>Traslado de maquinaria, módulos de obrador, estructuras, equipos y cargas pesadas entre frentes.</v>
      </c>
      <c r="J115" s="23" t="str">
        <f>IFERROR(INDEX(Prospectos!$AJ$2:$AJ$288,MATCH($A115,Prospectos!$A$2:$A$288,0)),"")</f>
        <v>Alta</v>
      </c>
      <c r="K115" s="29"/>
    </row>
    <row r="116" spans="1:11" ht="33.950000000000003" customHeight="1">
      <c r="A116" s="3" t="s">
        <v>174</v>
      </c>
      <c r="B116" s="3" t="str">
        <f>IFERROR(INDEX(Prospectos!$F$2:$F$288,MATCH($A116,Prospectos!$A$2:$A$288,0)),"")</f>
        <v>B</v>
      </c>
      <c r="C116" s="3" t="str">
        <f>IFERROR(INDEX(Prospectos!$H$2:$H$288,MATCH($A116,Prospectos!$A$2:$A$288,0)),"")</f>
        <v>IngaV Constructora</v>
      </c>
      <c r="D116" s="3" t="str">
        <f>IFERROR(INDEX(Prospectos!$J$2:$J$288,MATCH($A116,Prospectos!$A$2:$A$288,0)),"")</f>
        <v>Construcción y obra vial</v>
      </c>
      <c r="E116" s="3" t="str">
        <f>IFERROR(INDEX(Prospectos!$C$2:$C$288,MATCH($A116,Prospectos!$A$2:$A$288,0)),"")</f>
        <v>Córdoba / RN36 norte</v>
      </c>
      <c r="F116" s="3" t="str">
        <f>IFERROR(INDEX(Prospectos!$E$2:$E$288,MATCH($A116,Prospectos!$A$2:$A$288,0)),"")</f>
        <v>Córdoba capital</v>
      </c>
      <c r="G116" s="3" t="str">
        <f>IFERROR(INDEX(Prospectos!$K$2:$K$288,MATCH($A116,Prospectos!$A$2:$A$288,0)),"")</f>
        <v>0351 5890684 / 0351 5579222 (verificar)</v>
      </c>
      <c r="H116" s="3" t="str">
        <f>IFERROR(INDEX(Prospectos!$M$2:$M$288,MATCH($A116,Prospectos!$A$2:$A$288,0)),"")</f>
        <v>jefe de obra / logística</v>
      </c>
      <c r="I116" s="3" t="str">
        <f>IFERROR(INDEX(Prospectos!$N$2:$N$288,MATCH($A116,Prospectos!$A$2:$A$288,0)),"")</f>
        <v>Traslado de maquinaria, módulos de obrador, estructuras, equipos y cargas pesadas entre frentes.</v>
      </c>
      <c r="J116" s="3" t="str">
        <f>IFERROR(INDEX(Prospectos!$AJ$2:$AJ$288,MATCH($A116,Prospectos!$A$2:$A$288,0)),"")</f>
        <v>Media</v>
      </c>
      <c r="K116" s="29"/>
    </row>
    <row r="117" spans="1:11" ht="33.950000000000003" customHeight="1">
      <c r="A117" s="23" t="s">
        <v>175</v>
      </c>
      <c r="B117" s="23" t="str">
        <f>IFERROR(INDEX(Prospectos!$F$2:$F$288,MATCH($A117,Prospectos!$A$2:$A$288,0)),"")</f>
        <v>A</v>
      </c>
      <c r="C117" s="23" t="str">
        <f>IFERROR(INDEX(Prospectos!$H$2:$H$288,MATCH($A117,Prospectos!$A$2:$A$288,0)),"")</f>
        <v>AG GROUP Industria</v>
      </c>
      <c r="D117" s="23" t="str">
        <f>IFERROR(INDEX(Prospectos!$J$2:$J$288,MATCH($A117,Prospectos!$A$2:$A$288,0)),"")</f>
        <v>Módulos y contenedores</v>
      </c>
      <c r="E117" s="23" t="str">
        <f>IFERROR(INDEX(Prospectos!$C$2:$C$288,MATCH($A117,Prospectos!$A$2:$A$288,0)),"")</f>
        <v>Córdoba / RN36 norte</v>
      </c>
      <c r="F117" s="23" t="str">
        <f>IFERROR(INDEX(Prospectos!$E$2:$E$288,MATCH($A117,Prospectos!$A$2:$A$288,0)),"")</f>
        <v>Córdoba capital zona sur</v>
      </c>
      <c r="G117" s="23" t="str">
        <f>IFERROR(INDEX(Prospectos!$K$2:$K$288,MATCH($A117,Prospectos!$A$2:$A$288,0)),"")</f>
        <v>3525 513210</v>
      </c>
      <c r="H117" s="23" t="str">
        <f>IFERROR(INDEX(Prospectos!$M$2:$M$288,MATCH($A117,Prospectos!$A$2:$A$288,0)),"")</f>
        <v>operaciones / entregas</v>
      </c>
      <c r="I117" s="23" t="str">
        <f>IFERROR(INDEX(Prospectos!$N$2:$N$288,MATCH($A117,Prospectos!$A$2:$A$288,0)),"")</f>
        <v>Entrega, descarga y posicionamiento de módulos/containers en obra o cliente final.</v>
      </c>
      <c r="J117" s="23" t="str">
        <f>IFERROR(INDEX(Prospectos!$AJ$2:$AJ$288,MATCH($A117,Prospectos!$A$2:$A$288,0)),"")</f>
        <v>Muy alta</v>
      </c>
      <c r="K117" s="29"/>
    </row>
    <row r="118" spans="1:11" ht="33.950000000000003" customHeight="1">
      <c r="A118" s="3" t="s">
        <v>176</v>
      </c>
      <c r="B118" s="3" t="str">
        <f>IFERROR(INDEX(Prospectos!$F$2:$F$288,MATCH($A118,Prospectos!$A$2:$A$288,0)),"")</f>
        <v>A</v>
      </c>
      <c r="C118" s="3" t="str">
        <f>IFERROR(INDEX(Prospectos!$H$2:$H$288,MATCH($A118,Prospectos!$A$2:$A$288,0)),"")</f>
        <v>Canteras Ruiz</v>
      </c>
      <c r="D118" s="3" t="str">
        <f>IFERROR(INDEX(Prospectos!$J$2:$J$288,MATCH($A118,Prospectos!$A$2:$A$288,0)),"")</f>
        <v>Hormigón, áridos y materiales</v>
      </c>
      <c r="E118" s="3" t="str">
        <f>IFERROR(INDEX(Prospectos!$C$2:$C$288,MATCH($A118,Prospectos!$A$2:$A$288,0)),"")</f>
        <v>Córdoba / RN36 norte</v>
      </c>
      <c r="F118" s="3" t="str">
        <f>IFERROR(INDEX(Prospectos!$E$2:$E$288,MATCH($A118,Prospectos!$A$2:$A$288,0)),"")</f>
        <v>Córdoba capital zona sur</v>
      </c>
      <c r="G118" s="3" t="str">
        <f>IFERROR(INDEX(Prospectos!$K$2:$K$288,MATCH($A118,Prospectos!$A$2:$A$288,0)),"")</f>
        <v>0351 5570618 / 0351 4524228 / 0351 155508346</v>
      </c>
      <c r="H118" s="3" t="str">
        <f>IFERROR(INDEX(Prospectos!$M$2:$M$288,MATCH($A118,Prospectos!$A$2:$A$288,0)),"")</f>
        <v>planta / mantenimiento</v>
      </c>
      <c r="I118" s="3" t="str">
        <f>IFERROR(INDEX(Prospectos!$N$2:$N$288,MATCH($A118,Prospectos!$A$2:$A$288,0)),"")</f>
        <v>Movimiento de premoldeados, equipos de planta/cantera, bombas, moldes y cargas pesadas.</v>
      </c>
      <c r="J118" s="3" t="str">
        <f>IFERROR(INDEX(Prospectos!$AJ$2:$AJ$288,MATCH($A118,Prospectos!$A$2:$A$288,0)),"")</f>
        <v>Muy alta</v>
      </c>
      <c r="K118" s="29"/>
    </row>
    <row r="119" spans="1:11" ht="33.950000000000003" customHeight="1">
      <c r="A119" s="23" t="s">
        <v>177</v>
      </c>
      <c r="B119" s="23" t="str">
        <f>IFERROR(INDEX(Prospectos!$F$2:$F$288,MATCH($A119,Prospectos!$A$2:$A$288,0)),"")</f>
        <v>A</v>
      </c>
      <c r="C119" s="23" t="str">
        <f>IFERROR(INDEX(Prospectos!$H$2:$H$288,MATCH($A119,Prospectos!$A$2:$A$288,0)),"")</f>
        <v>Corralón Mis Ladrillos</v>
      </c>
      <c r="D119" s="23" t="str">
        <f>IFERROR(INDEX(Prospectos!$J$2:$J$288,MATCH($A119,Prospectos!$A$2:$A$288,0)),"")</f>
        <v>Hormigón, áridos y materiales</v>
      </c>
      <c r="E119" s="23" t="str">
        <f>IFERROR(INDEX(Prospectos!$C$2:$C$288,MATCH($A119,Prospectos!$A$2:$A$288,0)),"")</f>
        <v>Córdoba / RN36 norte</v>
      </c>
      <c r="F119" s="23" t="str">
        <f>IFERROR(INDEX(Prospectos!$E$2:$E$288,MATCH($A119,Prospectos!$A$2:$A$288,0)),"")</f>
        <v>Córdoba capital zona sur</v>
      </c>
      <c r="G119" s="23" t="str">
        <f>IFERROR(INDEX(Prospectos!$K$2:$K$288,MATCH($A119,Prospectos!$A$2:$A$288,0)),"")</f>
        <v>0351 3705858</v>
      </c>
      <c r="H119" s="23" t="str">
        <f>IFERROR(INDEX(Prospectos!$M$2:$M$288,MATCH($A119,Prospectos!$A$2:$A$288,0)),"")</f>
        <v>responsable de logística/compras</v>
      </c>
      <c r="I119" s="23" t="str">
        <f>IFERROR(INDEX(Prospectos!$N$2:$N$288,MATCH($A119,Prospectos!$A$2:$A$288,0)),"")</f>
        <v>Movimiento de premoldeados, equipos de planta/cantera, bombas, moldes y cargas pesadas.</v>
      </c>
      <c r="J119" s="23" t="str">
        <f>IFERROR(INDEX(Prospectos!$AJ$2:$AJ$288,MATCH($A119,Prospectos!$A$2:$A$288,0)),"")</f>
        <v>Muy alta</v>
      </c>
      <c r="K119" s="29"/>
    </row>
    <row r="120" spans="1:11" ht="33.950000000000003" customHeight="1">
      <c r="A120" s="3" t="s">
        <v>178</v>
      </c>
      <c r="B120" s="3" t="str">
        <f>IFERROR(INDEX(Prospectos!$F$2:$F$288,MATCH($A120,Prospectos!$A$2:$A$288,0)),"")</f>
        <v>A</v>
      </c>
      <c r="C120" s="3" t="str">
        <f>IFERROR(INDEX(Prospectos!$H$2:$H$288,MATCH($A120,Prospectos!$A$2:$A$288,0)),"")</f>
        <v>Hormi Block S.A.</v>
      </c>
      <c r="D120" s="3" t="str">
        <f>IFERROR(INDEX(Prospectos!$J$2:$J$288,MATCH($A120,Prospectos!$A$2:$A$288,0)),"")</f>
        <v>Hormigón, áridos y materiales</v>
      </c>
      <c r="E120" s="3" t="str">
        <f>IFERROR(INDEX(Prospectos!$C$2:$C$288,MATCH($A120,Prospectos!$A$2:$A$288,0)),"")</f>
        <v>Córdoba / RN36 norte</v>
      </c>
      <c r="F120" s="3" t="str">
        <f>IFERROR(INDEX(Prospectos!$E$2:$E$288,MATCH($A120,Prospectos!$A$2:$A$288,0)),"")</f>
        <v>Córdoba capital zona sur</v>
      </c>
      <c r="G120" s="3" t="str">
        <f>IFERROR(INDEX(Prospectos!$K$2:$K$288,MATCH($A120,Prospectos!$A$2:$A$288,0)),"")</f>
        <v>0351 4939510 / 0351 4945800</v>
      </c>
      <c r="H120" s="3" t="str">
        <f>IFERROR(INDEX(Prospectos!$M$2:$M$288,MATCH($A120,Prospectos!$A$2:$A$288,0)),"")</f>
        <v>operaciones / planta</v>
      </c>
      <c r="I120" s="3" t="str">
        <f>IFERROR(INDEX(Prospectos!$N$2:$N$288,MATCH($A120,Prospectos!$A$2:$A$288,0)),"")</f>
        <v>Movimiento de premoldeados, equipos de planta/cantera, bombas, moldes y cargas pesadas.</v>
      </c>
      <c r="J120" s="3" t="str">
        <f>IFERROR(INDEX(Prospectos!$AJ$2:$AJ$288,MATCH($A120,Prospectos!$A$2:$A$288,0)),"")</f>
        <v>Muy alta</v>
      </c>
      <c r="K120" s="29"/>
    </row>
    <row r="121" spans="1:11" ht="33.950000000000003" customHeight="1" thickBot="1">
      <c r="A121" s="23" t="s">
        <v>179</v>
      </c>
      <c r="B121" s="23" t="str">
        <f>IFERROR(INDEX(Prospectos!$F$2:$F$288,MATCH($A121,Prospectos!$A$2:$A$288,0)),"")</f>
        <v>A</v>
      </c>
      <c r="C121" s="23" t="str">
        <f>IFERROR(INDEX(Prospectos!$H$2:$H$288,MATCH($A121,Prospectos!$A$2:$A$288,0)),"")</f>
        <v>Lucy’s House / Rental</v>
      </c>
      <c r="D121" s="23" t="str">
        <f>IFERROR(INDEX(Prospectos!$J$2:$J$288,MATCH($A121,Prospectos!$A$2:$A$288,0)),"")</f>
        <v>Módulos y contenedores</v>
      </c>
      <c r="E121" s="23" t="str">
        <f>IFERROR(INDEX(Prospectos!$C$2:$C$288,MATCH($A121,Prospectos!$A$2:$A$288,0)),"")</f>
        <v>Córdoba / RN36 norte</v>
      </c>
      <c r="F121" s="23" t="str">
        <f>IFERROR(INDEX(Prospectos!$E$2:$E$288,MATCH($A121,Prospectos!$A$2:$A$288,0)),"")</f>
        <v>Córdoba capital zona sur</v>
      </c>
      <c r="G121" s="23" t="str">
        <f>IFERROR(INDEX(Prospectos!$K$2:$K$288,MATCH($A121,Prospectos!$A$2:$A$288,0)),"")</f>
        <v>0351 2077113</v>
      </c>
      <c r="H121" s="23" t="str">
        <f>IFERROR(INDEX(Prospectos!$M$2:$M$288,MATCH($A121,Prospectos!$A$2:$A$288,0)),"")</f>
        <v>operaciones / entregas</v>
      </c>
      <c r="I121" s="23" t="str">
        <f>IFERROR(INDEX(Prospectos!$N$2:$N$288,MATCH($A121,Prospectos!$A$2:$A$288,0)),"")</f>
        <v>Entrega, descarga y posicionamiento de módulos/containers en obra o cliente final.</v>
      </c>
      <c r="J121" s="23" t="str">
        <f>IFERROR(INDEX(Prospectos!$AJ$2:$AJ$288,MATCH($A121,Prospectos!$A$2:$A$288,0)),"")</f>
        <v>Muy alta</v>
      </c>
      <c r="K121" s="29"/>
    </row>
    <row r="122" spans="1:11" ht="33.950000000000003" customHeight="1">
      <c r="A122" s="6" t="s">
        <v>180</v>
      </c>
      <c r="B122" s="6" t="str">
        <f>IFERROR(INDEX(Prospectos!$F$2:$F$288,MATCH($A122,Prospectos!$A$2:$A$288,0)),"")</f>
        <v>A</v>
      </c>
      <c r="C122" s="6" t="str">
        <f>IFERROR(INDEX(Prospectos!$H$2:$H$288,MATCH($A122,Prospectos!$A$2:$A$288,0)),"")</f>
        <v>MegaContainers</v>
      </c>
      <c r="D122" s="6" t="str">
        <f>IFERROR(INDEX(Prospectos!$J$2:$J$288,MATCH($A122,Prospectos!$A$2:$A$288,0)),"")</f>
        <v>Módulos y contenedores</v>
      </c>
      <c r="E122" s="6" t="str">
        <f>IFERROR(INDEX(Prospectos!$C$2:$C$288,MATCH($A122,Prospectos!$A$2:$A$288,0)),"")</f>
        <v>Córdoba / RN36 norte</v>
      </c>
      <c r="F122" s="6" t="str">
        <f>IFERROR(INDEX(Prospectos!$E$2:$E$288,MATCH($A122,Prospectos!$A$2:$A$288,0)),"")</f>
        <v>Córdoba capital zona sur</v>
      </c>
      <c r="G122" s="6" t="str">
        <f>IFERROR(INDEX(Prospectos!$K$2:$K$288,MATCH($A122,Prospectos!$A$2:$A$288,0)),"")</f>
        <v>0351 5179179</v>
      </c>
      <c r="H122" s="6" t="str">
        <f>IFERROR(INDEX(Prospectos!$M$2:$M$288,MATCH($A122,Prospectos!$A$2:$A$288,0)),"")</f>
        <v>operaciones / entregas</v>
      </c>
      <c r="I122" s="6" t="str">
        <f>IFERROR(INDEX(Prospectos!$N$2:$N$288,MATCH($A122,Prospectos!$A$2:$A$288,0)),"")</f>
        <v>Entrega, descarga y posicionamiento de módulos/containers en obra o cliente final.</v>
      </c>
      <c r="J122" s="6" t="str">
        <f>IFERROR(INDEX(Prospectos!$AJ$2:$AJ$288,MATCH($A122,Prospectos!$A$2:$A$288,0)),"")</f>
        <v>Muy alta</v>
      </c>
      <c r="K122" s="29"/>
    </row>
    <row r="123" spans="1:11" ht="33.950000000000003" customHeight="1">
      <c r="A123" s="23" t="s">
        <v>181</v>
      </c>
      <c r="B123" s="23" t="str">
        <f>IFERROR(INDEX(Prospectos!$F$2:$F$288,MATCH($A123,Prospectos!$A$2:$A$288,0)),"")</f>
        <v>B</v>
      </c>
      <c r="C123" s="23" t="str">
        <f>IFERROR(INDEX(Prospectos!$H$2:$H$288,MATCH($A123,Prospectos!$A$2:$A$288,0)),"")</f>
        <v>Porta Hnos.</v>
      </c>
      <c r="D123" s="23" t="str">
        <f>IFERROR(INDEX(Prospectos!$J$2:$J$288,MATCH($A123,Prospectos!$A$2:$A$288,0)),"")</f>
        <v>Agroindustria y alimentos</v>
      </c>
      <c r="E123" s="23" t="str">
        <f>IFERROR(INDEX(Prospectos!$C$2:$C$288,MATCH($A123,Prospectos!$A$2:$A$288,0)),"")</f>
        <v>Córdoba / RN36 norte</v>
      </c>
      <c r="F123" s="23" t="str">
        <f>IFERROR(INDEX(Prospectos!$E$2:$E$288,MATCH($A123,Prospectos!$A$2:$A$288,0)),"")</f>
        <v>Córdoba capital zona sur</v>
      </c>
      <c r="G123" s="23" t="str">
        <f>IFERROR(INDEX(Prospectos!$K$2:$K$288,MATCH($A123,Prospectos!$A$2:$A$288,0)),"")</f>
        <v>0351 4938400</v>
      </c>
      <c r="H123" s="23" t="str">
        <f>IFERROR(INDEX(Prospectos!$M$2:$M$288,MATCH($A123,Prospectos!$A$2:$A$288,0)),"")</f>
        <v>mantenimiento / compras</v>
      </c>
      <c r="I123" s="23" t="str">
        <f>IFERROR(INDEX(Prospectos!$N$2:$N$288,MATCH($A123,Prospectos!$A$2:$A$288,0)),"")</f>
        <v>Movimientos especiales de mantenimiento, repuestos pesados y mudanzas internas de equipos.</v>
      </c>
      <c r="J123" s="23" t="str">
        <f>IFERROR(INDEX(Prospectos!$AJ$2:$AJ$288,MATCH($A123,Prospectos!$A$2:$A$288,0)),"")</f>
        <v>Alta</v>
      </c>
      <c r="K123" s="29"/>
    </row>
    <row r="124" spans="1:11" ht="33.950000000000003" customHeight="1">
      <c r="A124" s="3" t="s">
        <v>182</v>
      </c>
      <c r="B124" s="3" t="str">
        <f>IFERROR(INDEX(Prospectos!$F$2:$F$288,MATCH($A124,Prospectos!$A$2:$A$288,0)),"")</f>
        <v>B</v>
      </c>
      <c r="C124" s="3" t="str">
        <f>IFERROR(INDEX(Prospectos!$H$2:$H$288,MATCH($A124,Prospectos!$A$2:$A$288,0)),"")</f>
        <v>Bendito Corralón Mayorista</v>
      </c>
      <c r="D124" s="3" t="str">
        <f>IFERROR(INDEX(Prospectos!$J$2:$J$288,MATCH($A124,Prospectos!$A$2:$A$288,0)),"")</f>
        <v>Hormigón, áridos y materiales</v>
      </c>
      <c r="E124" s="3" t="str">
        <f>IFERROR(INDEX(Prospectos!$C$2:$C$288,MATCH($A124,Prospectos!$A$2:$A$288,0)),"")</f>
        <v>Córdoba / RN36 norte</v>
      </c>
      <c r="F124" s="3" t="str">
        <f>IFERROR(INDEX(Prospectos!$E$2:$E$288,MATCH($A124,Prospectos!$A$2:$A$288,0)),"")</f>
        <v>Córdoba capital zona sur</v>
      </c>
      <c r="G124" s="3" t="str">
        <f>IFERROR(INDEX(Prospectos!$K$2:$K$288,MATCH($A124,Prospectos!$A$2:$A$288,0)),"")</f>
        <v>0351 8741592 (a confirmar)</v>
      </c>
      <c r="H124" s="3" t="str">
        <f>IFERROR(INDEX(Prospectos!$M$2:$M$288,MATCH($A124,Prospectos!$A$2:$A$288,0)),"")</f>
        <v>responsable de logística/compras</v>
      </c>
      <c r="I124" s="3" t="str">
        <f>IFERROR(INDEX(Prospectos!$N$2:$N$288,MATCH($A124,Prospectos!$A$2:$A$288,0)),"")</f>
        <v>Movimiento de premoldeados, equipos de planta/cantera, bombas, moldes y cargas pesadas.</v>
      </c>
      <c r="J124" s="3" t="str">
        <f>IFERROR(INDEX(Prospectos!$AJ$2:$AJ$288,MATCH($A124,Prospectos!$A$2:$A$288,0)),"")</f>
        <v>Media</v>
      </c>
      <c r="K124" s="29"/>
    </row>
    <row r="125" spans="1:11" ht="33.950000000000003" customHeight="1">
      <c r="A125" s="23" t="s">
        <v>183</v>
      </c>
      <c r="B125" s="23" t="str">
        <f>IFERROR(INDEX(Prospectos!$F$2:$F$288,MATCH($A125,Prospectos!$A$2:$A$288,0)),"")</f>
        <v>B</v>
      </c>
      <c r="C125" s="23" t="str">
        <f>IFERROR(INDEX(Prospectos!$H$2:$H$288,MATCH($A125,Prospectos!$A$2:$A$288,0)),"")</f>
        <v>Canteras Terra</v>
      </c>
      <c r="D125" s="23" t="str">
        <f>IFERROR(INDEX(Prospectos!$J$2:$J$288,MATCH($A125,Prospectos!$A$2:$A$288,0)),"")</f>
        <v>Hormigón, áridos y materiales</v>
      </c>
      <c r="E125" s="23" t="str">
        <f>IFERROR(INDEX(Prospectos!$C$2:$C$288,MATCH($A125,Prospectos!$A$2:$A$288,0)),"")</f>
        <v>Córdoba / RN36 norte</v>
      </c>
      <c r="F125" s="23" t="str">
        <f>IFERROR(INDEX(Prospectos!$E$2:$E$288,MATCH($A125,Prospectos!$A$2:$A$288,0)),"")</f>
        <v>Córdoba capital zona sur</v>
      </c>
      <c r="G125" s="23" t="str">
        <f>IFERROR(INDEX(Prospectos!$K$2:$K$288,MATCH($A125,Prospectos!$A$2:$A$288,0)),"")</f>
        <v>A relevar</v>
      </c>
      <c r="H125" s="23" t="str">
        <f>IFERROR(INDEX(Prospectos!$M$2:$M$288,MATCH($A125,Prospectos!$A$2:$A$288,0)),"")</f>
        <v>planta / mantenimiento</v>
      </c>
      <c r="I125" s="23" t="str">
        <f>IFERROR(INDEX(Prospectos!$N$2:$N$288,MATCH($A125,Prospectos!$A$2:$A$288,0)),"")</f>
        <v>Movimiento de premoldeados, equipos de planta/cantera, bombas, moldes y cargas pesadas.</v>
      </c>
      <c r="J125" s="23" t="str">
        <f>IFERROR(INDEX(Prospectos!$AJ$2:$AJ$288,MATCH($A125,Prospectos!$A$2:$A$288,0)),"")</f>
        <v>Media</v>
      </c>
      <c r="K125" s="29"/>
    </row>
    <row r="126" spans="1:11" ht="33.950000000000003" customHeight="1" thickBot="1">
      <c r="A126" s="3" t="s">
        <v>184</v>
      </c>
      <c r="B126" s="3" t="str">
        <f>IFERROR(INDEX(Prospectos!$F$2:$F$288,MATCH($A126,Prospectos!$A$2:$A$288,0)),"")</f>
        <v>A</v>
      </c>
      <c r="C126" s="3" t="str">
        <f>IFERROR(INDEX(Prospectos!$H$2:$H$288,MATCH($A126,Prospectos!$A$2:$A$288,0)),"")</f>
        <v>AS Premoldeados</v>
      </c>
      <c r="D126" s="3" t="str">
        <f>IFERROR(INDEX(Prospectos!$J$2:$J$288,MATCH($A126,Prospectos!$A$2:$A$288,0)),"")</f>
        <v>Hormigón, áridos y materiales</v>
      </c>
      <c r="E126" s="3" t="str">
        <f>IFERROR(INDEX(Prospectos!$C$2:$C$288,MATCH($A126,Prospectos!$A$2:$A$288,0)),"")</f>
        <v>Córdoba / RN36 norte</v>
      </c>
      <c r="F126" s="3" t="str">
        <f>IFERROR(INDEX(Prospectos!$E$2:$E$288,MATCH($A126,Prospectos!$A$2:$A$288,0)),"")</f>
        <v>Despeñaderos</v>
      </c>
      <c r="G126" s="3" t="str">
        <f>IFERROR(INDEX(Prospectos!$K$2:$K$288,MATCH($A126,Prospectos!$A$2:$A$288,0)),"")</f>
        <v>3547 675513</v>
      </c>
      <c r="H126" s="3" t="str">
        <f>IFERROR(INDEX(Prospectos!$M$2:$M$288,MATCH($A126,Prospectos!$A$2:$A$288,0)),"")</f>
        <v>despacho / colocación</v>
      </c>
      <c r="I126" s="3" t="str">
        <f>IFERROR(INDEX(Prospectos!$N$2:$N$288,MATCH($A126,Prospectos!$A$2:$A$288,0)),"")</f>
        <v>Movimiento de premoldeados, equipos de planta/cantera, bombas, moldes y cargas pesadas.</v>
      </c>
      <c r="J126" s="3" t="str">
        <f>IFERROR(INDEX(Prospectos!$AJ$2:$AJ$288,MATCH($A126,Prospectos!$A$2:$A$288,0)),"")</f>
        <v>Muy alta</v>
      </c>
      <c r="K126" s="29"/>
    </row>
    <row r="127" spans="1:11" ht="33.950000000000003" customHeight="1">
      <c r="A127" s="25" t="s">
        <v>185</v>
      </c>
      <c r="B127" s="25" t="str">
        <f>IFERROR(INDEX(Prospectos!$F$2:$F$288,MATCH($A127,Prospectos!$A$2:$A$288,0)),"")</f>
        <v>A</v>
      </c>
      <c r="C127" s="25" t="str">
        <f>IFERROR(INDEX(Prospectos!$H$2:$H$288,MATCH($A127,Prospectos!$A$2:$A$288,0)),"")</f>
        <v>Servicios Agropecuarios S.R.L. — Despeñaderos</v>
      </c>
      <c r="D127" s="25" t="str">
        <f>IFERROR(INDEX(Prospectos!$J$2:$J$288,MATCH($A127,Prospectos!$A$2:$A$288,0)),"")</f>
        <v>Maquinaria agrícola</v>
      </c>
      <c r="E127" s="25" t="str">
        <f>IFERROR(INDEX(Prospectos!$C$2:$C$288,MATCH($A127,Prospectos!$A$2:$A$288,0)),"")</f>
        <v>Córdoba / RN36 norte</v>
      </c>
      <c r="F127" s="25" t="str">
        <f>IFERROR(INDEX(Prospectos!$E$2:$E$288,MATCH($A127,Prospectos!$A$2:$A$288,0)),"")</f>
        <v>Despeñaderos</v>
      </c>
      <c r="G127" s="25" t="str">
        <f>IFERROR(INDEX(Prospectos!$K$2:$K$288,MATCH($A127,Prospectos!$A$2:$A$288,0)),"")</f>
        <v>03547 492114 / 03547 492193</v>
      </c>
      <c r="H127" s="25" t="str">
        <f>IFERROR(INDEX(Prospectos!$M$2:$M$288,MATCH($A127,Prospectos!$A$2:$A$288,0)),"")</f>
        <v>logística / ventas / postventa</v>
      </c>
      <c r="I127" s="25" t="str">
        <f>IFERROR(INDEX(Prospectos!$N$2:$N$288,MATCH($A127,Prospectos!$A$2:$A$288,0)),"")</f>
        <v>Entrega y retiro de tractores, cosechadoras, pulverizadoras, sembradoras e implementos; movimientos por venta, service, canje, demostraciones o ferias.</v>
      </c>
      <c r="J127" s="25" t="str">
        <f>IFERROR(INDEX(Prospectos!$AJ$2:$AJ$288,MATCH($A127,Prospectos!$A$2:$A$288,0)),"")</f>
        <v>Alta</v>
      </c>
      <c r="K127" s="29"/>
    </row>
    <row r="128" spans="1:11" ht="33.950000000000003" customHeight="1">
      <c r="A128" s="3" t="s">
        <v>186</v>
      </c>
      <c r="B128" s="3" t="str">
        <f>IFERROR(INDEX(Prospectos!$F$2:$F$288,MATCH($A128,Prospectos!$A$2:$A$288,0)),"")</f>
        <v>B</v>
      </c>
      <c r="C128" s="3" t="str">
        <f>IFERROR(INDEX(Prospectos!$H$2:$H$288,MATCH($A128,Prospectos!$A$2:$A$288,0)),"")</f>
        <v>Metal-Ferr</v>
      </c>
      <c r="D128" s="3" t="str">
        <f>IFERROR(INDEX(Prospectos!$J$2:$J$288,MATCH($A128,Prospectos!$A$2:$A$288,0)),"")</f>
        <v>Metalúrgica y fabricación</v>
      </c>
      <c r="E128" s="3" t="str">
        <f>IFERROR(INDEX(Prospectos!$C$2:$C$288,MATCH($A128,Prospectos!$A$2:$A$288,0)),"")</f>
        <v>Córdoba / RN36 norte</v>
      </c>
      <c r="F128" s="3" t="str">
        <f>IFERROR(INDEX(Prospectos!$E$2:$E$288,MATCH($A128,Prospectos!$A$2:$A$288,0)),"")</f>
        <v>Despeñaderos</v>
      </c>
      <c r="G128" s="3" t="str">
        <f>IFERROR(INDEX(Prospectos!$K$2:$K$288,MATCH($A128,Prospectos!$A$2:$A$288,0)),"")</f>
        <v>3547 525300 / 3547 492716</v>
      </c>
      <c r="H128" s="3" t="str">
        <f>IFERROR(INDEX(Prospectos!$M$2:$M$288,MATCH($A128,Prospectos!$A$2:$A$288,0)),"")</f>
        <v>responsable de acopio / mantenimiento</v>
      </c>
      <c r="I128" s="3" t="str">
        <f>IFERROR(INDEX(Prospectos!$N$2:$N$288,MATCH($A128,Prospectos!$A$2:$A$288,0)),"")</f>
        <v>Traslado de equipos de planta, silos, repuestos pesados, balanzas, implementos y cargas especiales.</v>
      </c>
      <c r="J128" s="3" t="str">
        <f>IFERROR(INDEX(Prospectos!$AJ$2:$AJ$288,MATCH($A128,Prospectos!$A$2:$A$288,0)),"")</f>
        <v>Alta</v>
      </c>
      <c r="K128" s="29"/>
    </row>
    <row r="129" spans="1:11" ht="33.950000000000003" customHeight="1">
      <c r="A129" s="23" t="s">
        <v>187</v>
      </c>
      <c r="B129" s="23" t="str">
        <f>IFERROR(INDEX(Prospectos!$F$2:$F$288,MATCH($A129,Prospectos!$A$2:$A$288,0)),"")</f>
        <v>B</v>
      </c>
      <c r="C129" s="23" t="str">
        <f>IFERROR(INDEX(Prospectos!$H$2:$H$288,MATCH($A129,Prospectos!$A$2:$A$288,0)),"")</f>
        <v>Parque Industrial Despeñaderos N°64</v>
      </c>
      <c r="D129" s="23" t="str">
        <f>IFERROR(INDEX(Prospectos!$J$2:$J$288,MATCH($A129,Prospectos!$A$2:$A$288,0)),"")</f>
        <v>Institucional y parques</v>
      </c>
      <c r="E129" s="23" t="str">
        <f>IFERROR(INDEX(Prospectos!$C$2:$C$288,MATCH($A129,Prospectos!$A$2:$A$288,0)),"")</f>
        <v>Córdoba / RN36 norte</v>
      </c>
      <c r="F129" s="23" t="str">
        <f>IFERROR(INDEX(Prospectos!$E$2:$E$288,MATCH($A129,Prospectos!$A$2:$A$288,0)),"")</f>
        <v>Despeñaderos</v>
      </c>
      <c r="G129" s="23" t="str">
        <f>IFERROR(INDEX(Prospectos!$K$2:$K$288,MATCH($A129,Prospectos!$A$2:$A$288,0)),"")</f>
        <v>A relevar vía municipio</v>
      </c>
      <c r="H129" s="23" t="str">
        <f>IFERROR(INDEX(Prospectos!$M$2:$M$288,MATCH($A129,Prospectos!$A$2:$A$288,0)),"")</f>
        <v>despacho / producción</v>
      </c>
      <c r="I129" s="23" t="str">
        <f>IFERROR(INDEX(Prospectos!$N$2:$N$288,MATCH($A129,Prospectos!$A$2:$A$288,0)),"")</f>
        <v>Acceso a padrón de empresas radicadas, obras de infraestructura y derivaciones a responsables.</v>
      </c>
      <c r="J129" s="23" t="str">
        <f>IFERROR(INDEX(Prospectos!$AJ$2:$AJ$288,MATCH($A129,Prospectos!$A$2:$A$288,0)),"")</f>
        <v>Media</v>
      </c>
      <c r="K129" s="29"/>
    </row>
    <row r="130" spans="1:11" ht="33.950000000000003" customHeight="1">
      <c r="A130" s="7" t="s">
        <v>188</v>
      </c>
      <c r="B130" s="7" t="str">
        <f>IFERROR(INDEX(Prospectos!$F$2:$F$288,MATCH($A130,Prospectos!$A$2:$A$288,0)),"")</f>
        <v>B</v>
      </c>
      <c r="C130" s="7" t="str">
        <f>IFERROR(INDEX(Prospectos!$H$2:$H$288,MATCH($A130,Prospectos!$A$2:$A$288,0)),"")</f>
        <v>Iveco / CNH Ferreyra</v>
      </c>
      <c r="D130" s="7" t="str">
        <f>IFERROR(INDEX(Prospectos!$J$2:$J$288,MATCH($A130,Prospectos!$A$2:$A$288,0)),"")</f>
        <v>Industria y mantenimiento</v>
      </c>
      <c r="E130" s="7" t="str">
        <f>IFERROR(INDEX(Prospectos!$C$2:$C$288,MATCH($A130,Prospectos!$A$2:$A$288,0)),"")</f>
        <v>Córdoba / RN36 norte</v>
      </c>
      <c r="F130" s="7" t="str">
        <f>IFERROR(INDEX(Prospectos!$E$2:$E$288,MATCH($A130,Prospectos!$A$2:$A$288,0)),"")</f>
        <v>Ferreyra / Santa Isabel</v>
      </c>
      <c r="G130" s="7" t="str">
        <f>IFERROR(INDEX(Prospectos!$K$2:$K$288,MATCH($A130,Prospectos!$A$2:$A$288,0)),"")</f>
        <v>011 20341400 (central)</v>
      </c>
      <c r="H130" s="7" t="str">
        <f>IFERROR(INDEX(Prospectos!$M$2:$M$288,MATCH($A130,Prospectos!$A$2:$A$288,0)),"")</f>
        <v>despacho / producción</v>
      </c>
      <c r="I130" s="7" t="str">
        <f>IFERROR(INDEX(Prospectos!$N$2:$N$288,MATCH($A130,Prospectos!$A$2:$A$288,0)),"")</f>
        <v>Movimientos especiales de mantenimiento, repuestos pesados y mudanzas internas de equipos.</v>
      </c>
      <c r="J130" s="7" t="str">
        <f>IFERROR(INDEX(Prospectos!$AJ$2:$AJ$288,MATCH($A130,Prospectos!$A$2:$A$288,0)),"")</f>
        <v>Alta</v>
      </c>
      <c r="K130" s="29"/>
    </row>
    <row r="131" spans="1:11" ht="33.950000000000003" customHeight="1">
      <c r="A131" s="23" t="s">
        <v>189</v>
      </c>
      <c r="B131" s="23" t="str">
        <f>IFERROR(INDEX(Prospectos!$F$2:$F$288,MATCH($A131,Prospectos!$A$2:$A$288,0)),"")</f>
        <v>B</v>
      </c>
      <c r="C131" s="23" t="str">
        <f>IFERROR(INDEX(Prospectos!$H$2:$H$288,MATCH($A131,Prospectos!$A$2:$A$288,0)),"")</f>
        <v>Renault Planta Santa Isabel</v>
      </c>
      <c r="D131" s="23" t="str">
        <f>IFERROR(INDEX(Prospectos!$J$2:$J$288,MATCH($A131,Prospectos!$A$2:$A$288,0)),"")</f>
        <v>Industria y mantenimiento</v>
      </c>
      <c r="E131" s="23" t="str">
        <f>IFERROR(INDEX(Prospectos!$C$2:$C$288,MATCH($A131,Prospectos!$A$2:$A$288,0)),"")</f>
        <v>Córdoba / RN36 norte</v>
      </c>
      <c r="F131" s="23" t="str">
        <f>IFERROR(INDEX(Prospectos!$E$2:$E$288,MATCH($A131,Prospectos!$A$2:$A$288,0)),"")</f>
        <v>Ferreyra / Santa Isabel</v>
      </c>
      <c r="G131" s="23" t="str">
        <f>IFERROR(INDEX(Prospectos!$K$2:$K$288,MATCH($A131,Prospectos!$A$2:$A$288,0)),"")</f>
        <v>0351 4268268</v>
      </c>
      <c r="H131" s="23" t="str">
        <f>IFERROR(INDEX(Prospectos!$M$2:$M$288,MATCH($A131,Prospectos!$A$2:$A$288,0)),"")</f>
        <v>responsable de logística/compras</v>
      </c>
      <c r="I131" s="23" t="str">
        <f>IFERROR(INDEX(Prospectos!$N$2:$N$288,MATCH($A131,Prospectos!$A$2:$A$288,0)),"")</f>
        <v>Movimientos especiales de mantenimiento, repuestos pesados y mudanzas internas de equipos.</v>
      </c>
      <c r="J131" s="23" t="str">
        <f>IFERROR(INDEX(Prospectos!$AJ$2:$AJ$288,MATCH($A131,Prospectos!$A$2:$A$288,0)),"")</f>
        <v>Alta</v>
      </c>
      <c r="K131" s="29"/>
    </row>
    <row r="132" spans="1:11" ht="33.950000000000003" customHeight="1">
      <c r="A132" s="7" t="s">
        <v>190</v>
      </c>
      <c r="B132" s="7" t="str">
        <f>IFERROR(INDEX(Prospectos!$F$2:$F$288,MATCH($A132,Prospectos!$A$2:$A$288,0)),"")</f>
        <v>A</v>
      </c>
      <c r="C132" s="7" t="str">
        <f>IFERROR(INDEX(Prospectos!$H$2:$H$288,MATCH($A132,Prospectos!$A$2:$A$288,0)),"")</f>
        <v>Corblock</v>
      </c>
      <c r="D132" s="7" t="str">
        <f>IFERROR(INDEX(Prospectos!$J$2:$J$288,MATCH($A132,Prospectos!$A$2:$A$288,0)),"")</f>
        <v>Hormigón, áridos y materiales</v>
      </c>
      <c r="E132" s="7" t="str">
        <f>IFERROR(INDEX(Prospectos!$C$2:$C$288,MATCH($A132,Prospectos!$A$2:$A$288,0)),"")</f>
        <v>Córdoba / RN36 norte</v>
      </c>
      <c r="F132" s="7" t="str">
        <f>IFERROR(INDEX(Prospectos!$E$2:$E$288,MATCH($A132,Prospectos!$A$2:$A$288,0)),"")</f>
        <v>Malagueño</v>
      </c>
      <c r="G132" s="7" t="str">
        <f>IFERROR(INDEX(Prospectos!$K$2:$K$288,MATCH($A132,Prospectos!$A$2:$A$288,0)),"")</f>
        <v>0351 3568259</v>
      </c>
      <c r="H132" s="7" t="str">
        <f>IFERROR(INDEX(Prospectos!$M$2:$M$288,MATCH($A132,Prospectos!$A$2:$A$288,0)),"")</f>
        <v>despacho / logística</v>
      </c>
      <c r="I132" s="7" t="str">
        <f>IFERROR(INDEX(Prospectos!$N$2:$N$288,MATCH($A132,Prospectos!$A$2:$A$288,0)),"")</f>
        <v>Movimiento de premoldeados, equipos de planta/cantera, bombas, moldes y cargas pesadas.</v>
      </c>
      <c r="J132" s="7" t="str">
        <f>IFERROR(INDEX(Prospectos!$AJ$2:$AJ$288,MATCH($A132,Prospectos!$A$2:$A$288,0)),"")</f>
        <v>Muy alta</v>
      </c>
      <c r="K132" s="29"/>
    </row>
    <row r="133" spans="1:11" ht="33.950000000000003" customHeight="1">
      <c r="A133" s="24" t="s">
        <v>191</v>
      </c>
      <c r="B133" s="24" t="str">
        <f>IFERROR(INDEX(Prospectos!$F$2:$F$288,MATCH($A133,Prospectos!$A$2:$A$288,0)),"")</f>
        <v>A</v>
      </c>
      <c r="C133" s="24" t="str">
        <f>IFERROR(INDEX(Prospectos!$H$2:$H$288,MATCH($A133,Prospectos!$A$2:$A$288,0)),"")</f>
        <v>Indusplast Piscinas — Planta Malagueño</v>
      </c>
      <c r="D133" s="24" t="str">
        <f>IFERROR(INDEX(Prospectos!$J$2:$J$288,MATCH($A133,Prospectos!$A$2:$A$288,0)),"")</f>
        <v>PRFV y plásticos</v>
      </c>
      <c r="E133" s="24" t="str">
        <f>IFERROR(INDEX(Prospectos!$C$2:$C$288,MATCH($A133,Prospectos!$A$2:$A$288,0)),"")</f>
        <v>Córdoba / RN36 norte</v>
      </c>
      <c r="F133" s="24" t="str">
        <f>IFERROR(INDEX(Prospectos!$E$2:$E$288,MATCH($A133,Prospectos!$A$2:$A$288,0)),"")</f>
        <v>Malagueño</v>
      </c>
      <c r="G133" s="24" t="str">
        <f>IFERROR(INDEX(Prospectos!$K$2:$K$288,MATCH($A133,Prospectos!$A$2:$A$288,0)),"")</f>
        <v>0800 77 74724 / +54 9 3541 652624</v>
      </c>
      <c r="H133" s="24" t="str">
        <f>IFERROR(INDEX(Prospectos!$M$2:$M$288,MATCH($A133,Prospectos!$A$2:$A$288,0)),"")</f>
        <v>logística / instalaciones / obras / ventas</v>
      </c>
      <c r="I133" s="24" t="str">
        <f>IFERROR(INDEX(Prospectos!$N$2:$N$288,MATCH($A133,Prospectos!$A$2:$A$288,0)),"")</f>
        <v>Despacho recurrente de cascos PRFV de gran volumen desde fábrica hacia obras, franquicias o domicilios; coordinación de descarga y posicionamiento en patios con accesos restringidos.</v>
      </c>
      <c r="J133" s="24" t="str">
        <f>IFERROR(INDEX(Prospectos!$AJ$2:$AJ$288,MATCH($A133,Prospectos!$A$2:$A$288,0)),"")</f>
        <v>Muy alta</v>
      </c>
      <c r="K133" s="29"/>
    </row>
    <row r="134" spans="1:11" ht="33.950000000000003" customHeight="1">
      <c r="A134" s="3" t="s">
        <v>192</v>
      </c>
      <c r="B134" s="3" t="str">
        <f>IFERROR(INDEX(Prospectos!$F$2:$F$288,MATCH($A134,Prospectos!$A$2:$A$288,0)),"")</f>
        <v>A</v>
      </c>
      <c r="C134" s="3" t="str">
        <f>IFERROR(INDEX(Prospectos!$H$2:$H$288,MATCH($A134,Prospectos!$A$2:$A$288,0)),"")</f>
        <v>Grupo Calidra / Cal Malagueño</v>
      </c>
      <c r="D134" s="3" t="str">
        <f>IFERROR(INDEX(Prospectos!$J$2:$J$288,MATCH($A134,Prospectos!$A$2:$A$288,0)),"")</f>
        <v>Hormigón, áridos y materiales</v>
      </c>
      <c r="E134" s="3" t="str">
        <f>IFERROR(INDEX(Prospectos!$C$2:$C$288,MATCH($A134,Prospectos!$A$2:$A$288,0)),"")</f>
        <v>Córdoba / RN36 norte</v>
      </c>
      <c r="F134" s="3" t="str">
        <f>IFERROR(INDEX(Prospectos!$E$2:$E$288,MATCH($A134,Prospectos!$A$2:$A$288,0)),"")</f>
        <v>Malagueño</v>
      </c>
      <c r="G134" s="3" t="str">
        <f>IFERROR(INDEX(Prospectos!$K$2:$K$288,MATCH($A134,Prospectos!$A$2:$A$288,0)),"")</f>
        <v>A relevar</v>
      </c>
      <c r="H134" s="3" t="str">
        <f>IFERROR(INDEX(Prospectos!$M$2:$M$288,MATCH($A134,Prospectos!$A$2:$A$288,0)),"")</f>
        <v>planta / mantenimiento</v>
      </c>
      <c r="I134" s="3" t="str">
        <f>IFERROR(INDEX(Prospectos!$N$2:$N$288,MATCH($A134,Prospectos!$A$2:$A$288,0)),"")</f>
        <v>Movimiento de premoldeados, equipos de planta/cantera, bombas, moldes y cargas pesadas.</v>
      </c>
      <c r="J134" s="3" t="str">
        <f>IFERROR(INDEX(Prospectos!$AJ$2:$AJ$288,MATCH($A134,Prospectos!$A$2:$A$288,0)),"")</f>
        <v>Alta</v>
      </c>
      <c r="K134" s="29"/>
    </row>
    <row r="135" spans="1:11" ht="33.950000000000003" customHeight="1">
      <c r="A135" s="24" t="s">
        <v>193</v>
      </c>
      <c r="B135" s="24" t="str">
        <f>IFERROR(INDEX(Prospectos!$F$2:$F$288,MATCH($A135,Prospectos!$A$2:$A$288,0)),"")</f>
        <v>B</v>
      </c>
      <c r="C135" s="24" t="str">
        <f>IFERROR(INDEX(Prospectos!$H$2:$H$288,MATCH($A135,Prospectos!$A$2:$A$288,0)),"")</f>
        <v>Corralón Bergese Hnos.</v>
      </c>
      <c r="D135" s="24" t="str">
        <f>IFERROR(INDEX(Prospectos!$J$2:$J$288,MATCH($A135,Prospectos!$A$2:$A$288,0)),"")</f>
        <v>Hormigón, áridos y materiales</v>
      </c>
      <c r="E135" s="24" t="str">
        <f>IFERROR(INDEX(Prospectos!$C$2:$C$288,MATCH($A135,Prospectos!$A$2:$A$288,0)),"")</f>
        <v>Córdoba / RN36 norte</v>
      </c>
      <c r="F135" s="24" t="str">
        <f>IFERROR(INDEX(Prospectos!$E$2:$E$288,MATCH($A135,Prospectos!$A$2:$A$288,0)),"")</f>
        <v>Malagueño</v>
      </c>
      <c r="G135" s="24" t="str">
        <f>IFERROR(INDEX(Prospectos!$K$2:$K$288,MATCH($A135,Prospectos!$A$2:$A$288,0)),"")</f>
        <v>0351 6870914 / 0351 2013895</v>
      </c>
      <c r="H135" s="24" t="str">
        <f>IFERROR(INDEX(Prospectos!$M$2:$M$288,MATCH($A135,Prospectos!$A$2:$A$288,0)),"")</f>
        <v>responsable de logística/compras</v>
      </c>
      <c r="I135" s="24" t="str">
        <f>IFERROR(INDEX(Prospectos!$N$2:$N$288,MATCH($A135,Prospectos!$A$2:$A$288,0)),"")</f>
        <v>Movimiento de premoldeados, equipos de planta/cantera, bombas, moldes y cargas pesadas.</v>
      </c>
      <c r="J135" s="24" t="str">
        <f>IFERROR(INDEX(Prospectos!$AJ$2:$AJ$288,MATCH($A135,Prospectos!$A$2:$A$288,0)),"")</f>
        <v>Alta</v>
      </c>
      <c r="K135" s="29"/>
    </row>
    <row r="136" spans="1:11" s="32" customFormat="1" ht="33.950000000000003" customHeight="1">
      <c r="A136" s="35" t="s">
        <v>194</v>
      </c>
      <c r="B136" s="35" t="str">
        <f>IFERROR(INDEX(Prospectos!$F$2:$F$288,MATCH($A136,Prospectos!$A$2:$A$288,0)),"")</f>
        <v>A</v>
      </c>
      <c r="C136" s="35" t="str">
        <f>IFERROR(INDEX(Prospectos!$H$2:$H$288,MATCH($A136,Prospectos!$A$2:$A$288,0)),"")</f>
        <v>CLAAS Argentina S.A.U. - Oncativo</v>
      </c>
      <c r="D136" s="35" t="str">
        <f>IFERROR(INDEX(Prospectos!$J$2:$J$288,MATCH($A136,Prospectos!$A$2:$A$288,0)),"")</f>
        <v>Maquinaria agrícola</v>
      </c>
      <c r="E136" s="35" t="str">
        <f>IFERROR(INDEX(Prospectos!$C$2:$C$288,MATCH($A136,Prospectos!$A$2:$A$288,0)),"")</f>
        <v>Oncativo / RN9</v>
      </c>
      <c r="F136" s="35" t="str">
        <f>IFERROR(INDEX(Prospectos!$E$2:$E$288,MATCH($A136,Prospectos!$A$2:$A$288,0)),"")</f>
        <v>Oncativo</v>
      </c>
      <c r="G136" s="35" t="str">
        <f>IFERROR(INDEX(Prospectos!$K$2:$K$288,MATCH($A136,Prospectos!$A$2:$A$288,0)),"")</f>
        <v>03572 455981</v>
      </c>
      <c r="H136" s="35" t="str">
        <f>IFERROR(INDEX(Prospectos!$M$2:$M$288,MATCH($A136,Prospectos!$A$2:$A$288,0)),"")</f>
        <v>logística / entregas / postventa</v>
      </c>
      <c r="I136" s="35" t="str">
        <f>IFERROR(INDEX(Prospectos!$N$2:$N$288,MATCH($A136,Prospectos!$A$2:$A$288,0)),"")</f>
        <v>Traslado de maquinaria agrícola o vial entre sucursal, cliente, taller, campo y eventos.</v>
      </c>
      <c r="J136" s="35" t="str">
        <f>IFERROR(INDEX(Prospectos!$AJ$2:$AJ$288,MATCH($A136,Prospectos!$A$2:$A$288,0)),"")</f>
        <v>Muy alta</v>
      </c>
      <c r="K136" s="31"/>
    </row>
    <row r="137" spans="1:11" s="32" customFormat="1" ht="33.950000000000003" customHeight="1">
      <c r="A137" s="30" t="s">
        <v>195</v>
      </c>
      <c r="B137" s="30" t="str">
        <f>IFERROR(INDEX(Prospectos!$F$2:$F$288,MATCH($A137,Prospectos!$A$2:$A$288,0)),"")</f>
        <v>A</v>
      </c>
      <c r="C137" s="30" t="str">
        <f>IFERROR(INDEX(Prospectos!$H$2:$H$288,MATCH($A137,Prospectos!$A$2:$A$288,0)),"")</f>
        <v>Dynamis S.R.L.</v>
      </c>
      <c r="D137" s="30" t="str">
        <f>IFERROR(INDEX(Prospectos!$J$2:$J$288,MATCH($A137,Prospectos!$A$2:$A$288,0)),"")</f>
        <v>Maquinaria agrícola</v>
      </c>
      <c r="E137" s="30" t="str">
        <f>IFERROR(INDEX(Prospectos!$C$2:$C$288,MATCH($A137,Prospectos!$A$2:$A$288,0)),"")</f>
        <v>Oncativo / RN9</v>
      </c>
      <c r="F137" s="30" t="str">
        <f>IFERROR(INDEX(Prospectos!$E$2:$E$288,MATCH($A137,Prospectos!$A$2:$A$288,0)),"")</f>
        <v>Oncativo</v>
      </c>
      <c r="G137" s="30" t="str">
        <f>IFERROR(INDEX(Prospectos!$K$2:$K$288,MATCH($A137,Prospectos!$A$2:$A$288,0)),"")</f>
        <v>A relevar</v>
      </c>
      <c r="H137" s="30" t="str">
        <f>IFERROR(INDEX(Prospectos!$M$2:$M$288,MATCH($A137,Prospectos!$A$2:$A$288,0)),"")</f>
        <v>logística / despacho / postventa</v>
      </c>
      <c r="I137" s="30" t="str">
        <f>IFERROR(INDEX(Prospectos!$N$2:$N$288,MATCH($A137,Prospectos!$A$2:$A$288,0)),"")</f>
        <v>Traslado de maquinaria, implementos, equipos terminados y componentes de gran porte entre planta, cliente, obra o feria.</v>
      </c>
      <c r="J137" s="30" t="str">
        <f>IFERROR(INDEX(Prospectos!$AJ$2:$AJ$288,MATCH($A137,Prospectos!$A$2:$A$288,0)),"")</f>
        <v>Alta</v>
      </c>
      <c r="K137" s="31"/>
    </row>
    <row r="138" spans="1:11" s="32" customFormat="1" ht="33.950000000000003" customHeight="1">
      <c r="A138" s="30" t="s">
        <v>196</v>
      </c>
      <c r="B138" s="30" t="str">
        <f>IFERROR(INDEX(Prospectos!$F$2:$F$288,MATCH($A138,Prospectos!$A$2:$A$288,0)),"")</f>
        <v>A</v>
      </c>
      <c r="C138" s="30" t="str">
        <f>IFERROR(INDEX(Prospectos!$H$2:$H$288,MATCH($A138,Prospectos!$A$2:$A$288,0)),"")</f>
        <v>Establecimientos Metalúrgicos Oncativo S.A.</v>
      </c>
      <c r="D138" s="30" t="str">
        <f>IFERROR(INDEX(Prospectos!$J$2:$J$288,MATCH($A138,Prospectos!$A$2:$A$288,0)),"")</f>
        <v>Industria y mantenimiento</v>
      </c>
      <c r="E138" s="30" t="str">
        <f>IFERROR(INDEX(Prospectos!$C$2:$C$288,MATCH($A138,Prospectos!$A$2:$A$288,0)),"")</f>
        <v>Oncativo / RN9</v>
      </c>
      <c r="F138" s="30" t="str">
        <f>IFERROR(INDEX(Prospectos!$E$2:$E$288,MATCH($A138,Prospectos!$A$2:$A$288,0)),"")</f>
        <v>Oncativo</v>
      </c>
      <c r="G138" s="30" t="str">
        <f>IFERROR(INDEX(Prospectos!$K$2:$K$288,MATCH($A138,Prospectos!$A$2:$A$288,0)),"")</f>
        <v>03572 466145 / +54 3572 466145 / +54 9 3572 532031</v>
      </c>
      <c r="H138" s="30" t="str">
        <f>IFERROR(INDEX(Prospectos!$M$2:$M$288,MATCH($A138,Prospectos!$A$2:$A$288,0)),"")</f>
        <v>logística / despacho / postventa</v>
      </c>
      <c r="I138" s="30" t="str">
        <f>IFERROR(INDEX(Prospectos!$N$2:$N$288,MATCH($A138,Prospectos!$A$2:$A$288,0)),"")</f>
        <v>Traslado de maquinaria, implementos, equipos terminados y componentes de gran porte entre planta, cliente, obra o feria.</v>
      </c>
      <c r="J138" s="30" t="str">
        <f>IFERROR(INDEX(Prospectos!$AJ$2:$AJ$288,MATCH($A138,Prospectos!$A$2:$A$288,0)),"")</f>
        <v>Muy alta</v>
      </c>
      <c r="K138" s="31"/>
    </row>
    <row r="139" spans="1:11" s="32" customFormat="1" ht="33.950000000000003" customHeight="1">
      <c r="A139" s="30" t="s">
        <v>197</v>
      </c>
      <c r="B139" s="30" t="str">
        <f>IFERROR(INDEX(Prospectos!$F$2:$F$288,MATCH($A139,Prospectos!$A$2:$A$288,0)),"")</f>
        <v>A</v>
      </c>
      <c r="C139" s="30" t="str">
        <f>IFERROR(INDEX(Prospectos!$H$2:$H$288,MATCH($A139,Prospectos!$A$2:$A$288,0)),"")</f>
        <v>Metalúrgica Cerquatti</v>
      </c>
      <c r="D139" s="30" t="str">
        <f>IFERROR(INDEX(Prospectos!$J$2:$J$288,MATCH($A139,Prospectos!$A$2:$A$288,0)),"")</f>
        <v>Módulos y contenedores</v>
      </c>
      <c r="E139" s="30" t="str">
        <f>IFERROR(INDEX(Prospectos!$C$2:$C$288,MATCH($A139,Prospectos!$A$2:$A$288,0)),"")</f>
        <v>Oncativo / RN9</v>
      </c>
      <c r="F139" s="30" t="str">
        <f>IFERROR(INDEX(Prospectos!$E$2:$E$288,MATCH($A139,Prospectos!$A$2:$A$288,0)),"")</f>
        <v>Oncativo</v>
      </c>
      <c r="G139" s="30" t="str">
        <f>IFERROR(INDEX(Prospectos!$K$2:$K$288,MATCH($A139,Prospectos!$A$2:$A$288,0)),"")</f>
        <v>03572 456573 / 03572 504462</v>
      </c>
      <c r="H139" s="30" t="str">
        <f>IFERROR(INDEX(Prospectos!$M$2:$M$288,MATCH($A139,Prospectos!$A$2:$A$288,0)),"")</f>
        <v>logística / despacho / postventa</v>
      </c>
      <c r="I139" s="30" t="str">
        <f>IFERROR(INDEX(Prospectos!$N$2:$N$288,MATCH($A139,Prospectos!$A$2:$A$288,0)),"")</f>
        <v>Traslado de maquinaria, implementos, equipos terminados y componentes de gran porte entre planta, cliente, obra o feria.</v>
      </c>
      <c r="J139" s="30" t="str">
        <f>IFERROR(INDEX(Prospectos!$AJ$2:$AJ$288,MATCH($A139,Prospectos!$A$2:$A$288,0)),"")</f>
        <v>Muy alta</v>
      </c>
      <c r="K139" s="31"/>
    </row>
    <row r="140" spans="1:11" s="32" customFormat="1" ht="33.950000000000003" customHeight="1">
      <c r="A140" s="30" t="s">
        <v>198</v>
      </c>
      <c r="B140" s="30" t="str">
        <f>IFERROR(INDEX(Prospectos!$F$2:$F$288,MATCH($A140,Prospectos!$A$2:$A$288,0)),"")</f>
        <v>A</v>
      </c>
      <c r="C140" s="30" t="str">
        <f>IFERROR(INDEX(Prospectos!$H$2:$H$288,MATCH($A140,Prospectos!$A$2:$A$288,0)),"")</f>
        <v>Scaramuzza Maquinarias</v>
      </c>
      <c r="D140" s="30" t="str">
        <f>IFERROR(INDEX(Prospectos!$J$2:$J$288,MATCH($A140,Prospectos!$A$2:$A$288,0)),"")</f>
        <v>Maquinaria agrícola</v>
      </c>
      <c r="E140" s="30" t="str">
        <f>IFERROR(INDEX(Prospectos!$C$2:$C$288,MATCH($A140,Prospectos!$A$2:$A$288,0)),"")</f>
        <v>Oncativo / RN9</v>
      </c>
      <c r="F140" s="30" t="str">
        <f>IFERROR(INDEX(Prospectos!$E$2:$E$288,MATCH($A140,Prospectos!$A$2:$A$288,0)),"")</f>
        <v>Oncativo</v>
      </c>
      <c r="G140" s="30" t="str">
        <f>IFERROR(INDEX(Prospectos!$K$2:$K$288,MATCH($A140,Prospectos!$A$2:$A$288,0)),"")</f>
        <v>03572 583983</v>
      </c>
      <c r="H140" s="30" t="str">
        <f>IFERROR(INDEX(Prospectos!$M$2:$M$288,MATCH($A140,Prospectos!$A$2:$A$288,0)),"")</f>
        <v>logística / entregas / usados / postventa / gerente comercial</v>
      </c>
      <c r="I140" s="30" t="str">
        <f>IFERROR(INDEX(Prospectos!$N$2:$N$288,MATCH($A140,Prospectos!$A$2:$A$288,0)),"")</f>
        <v>Entrega y retiro de tractores, cosechadoras, pulverizadoras, sembradoras e implementos; movimientos por ventas, canjes, usados, service, demostraciones y ferias.</v>
      </c>
      <c r="J140" s="30" t="str">
        <f>IFERROR(INDEX(Prospectos!$AJ$2:$AJ$288,MATCH($A140,Prospectos!$A$2:$A$288,0)),"")</f>
        <v>Muy alta</v>
      </c>
      <c r="K140" s="31" t="s">
        <v>2886</v>
      </c>
    </row>
    <row r="141" spans="1:11" s="32" customFormat="1" ht="33.950000000000003" customHeight="1">
      <c r="A141" s="30" t="s">
        <v>199</v>
      </c>
      <c r="B141" s="30" t="str">
        <f>IFERROR(INDEX(Prospectos!$F$2:$F$288,MATCH($A141,Prospectos!$A$2:$A$288,0)),"")</f>
        <v>A</v>
      </c>
      <c r="C141" s="30" t="str">
        <f>IFERROR(INDEX(Prospectos!$H$2:$H$288,MATCH($A141,Prospectos!$A$2:$A$288,0)),"")</f>
        <v>Scorza</v>
      </c>
      <c r="D141" s="30" t="str">
        <f>IFERROR(INDEX(Prospectos!$J$2:$J$288,MATCH($A141,Prospectos!$A$2:$A$288,0)),"")</f>
        <v>Industria y mantenimiento</v>
      </c>
      <c r="E141" s="30" t="str">
        <f>IFERROR(INDEX(Prospectos!$C$2:$C$288,MATCH($A141,Prospectos!$A$2:$A$288,0)),"")</f>
        <v>Oncativo / RN9</v>
      </c>
      <c r="F141" s="30" t="str">
        <f>IFERROR(INDEX(Prospectos!$E$2:$E$288,MATCH($A141,Prospectos!$A$2:$A$288,0)),"")</f>
        <v>Oncativo</v>
      </c>
      <c r="G141" s="30" t="str">
        <f>IFERROR(INDEX(Prospectos!$K$2:$K$288,MATCH($A141,Prospectos!$A$2:$A$288,0)),"")</f>
        <v>03572 466092 / 03572 665388</v>
      </c>
      <c r="H141" s="30" t="str">
        <f>IFERROR(INDEX(Prospectos!$M$2:$M$288,MATCH($A141,Prospectos!$A$2:$A$288,0)),"")</f>
        <v>logística / despacho / postventa</v>
      </c>
      <c r="I141" s="30" t="str">
        <f>IFERROR(INDEX(Prospectos!$N$2:$N$288,MATCH($A141,Prospectos!$A$2:$A$288,0)),"")</f>
        <v>Traslado de maquinaria, implementos, equipos terminados y componentes de gran porte entre planta, cliente, obra o feria.</v>
      </c>
      <c r="J141" s="30" t="str">
        <f>IFERROR(INDEX(Prospectos!$AJ$2:$AJ$288,MATCH($A141,Prospectos!$A$2:$A$288,0)),"")</f>
        <v>Muy alta</v>
      </c>
      <c r="K141" s="31"/>
    </row>
    <row r="142" spans="1:11" s="32" customFormat="1" ht="33.950000000000003" customHeight="1">
      <c r="A142" s="30" t="s">
        <v>200</v>
      </c>
      <c r="B142" s="30" t="str">
        <f>IFERROR(INDEX(Prospectos!$F$2:$F$288,MATCH($A142,Prospectos!$A$2:$A$288,0)),"")</f>
        <v>A</v>
      </c>
      <c r="C142" s="30" t="str">
        <f>IFERROR(INDEX(Prospectos!$H$2:$H$288,MATCH($A142,Prospectos!$A$2:$A$288,0)),"")</f>
        <v>Ulla Maquinarias — Oncativo</v>
      </c>
      <c r="D142" s="30" t="str">
        <f>IFERROR(INDEX(Prospectos!$J$2:$J$288,MATCH($A142,Prospectos!$A$2:$A$288,0)),"")</f>
        <v>Maquinaria agrícola</v>
      </c>
      <c r="E142" s="30" t="str">
        <f>IFERROR(INDEX(Prospectos!$C$2:$C$288,MATCH($A142,Prospectos!$A$2:$A$288,0)),"")</f>
        <v>Oncativo / RN9</v>
      </c>
      <c r="F142" s="30" t="str">
        <f>IFERROR(INDEX(Prospectos!$E$2:$E$288,MATCH($A142,Prospectos!$A$2:$A$288,0)),"")</f>
        <v>Oncativo</v>
      </c>
      <c r="G142" s="30" t="str">
        <f>IFERROR(INDEX(Prospectos!$K$2:$K$288,MATCH($A142,Prospectos!$A$2:$A$288,0)),"")</f>
        <v>03572 460280 / 03572 437309</v>
      </c>
      <c r="H142" s="30" t="str">
        <f>IFERROR(INDEX(Prospectos!$M$2:$M$288,MATCH($A142,Prospectos!$A$2:$A$288,0)),"")</f>
        <v>logística / entregas / usados / postventa / gerente comercial</v>
      </c>
      <c r="I142" s="30" t="str">
        <f>IFERROR(INDEX(Prospectos!$N$2:$N$288,MATCH($A142,Prospectos!$A$2:$A$288,0)),"")</f>
        <v>Entrega y retiro de tractores, cosechadoras, pulverizadoras, sembradoras e implementos; movimientos por ventas, canjes, usados, service, demostraciones y ferias.</v>
      </c>
      <c r="J142" s="30" t="str">
        <f>IFERROR(INDEX(Prospectos!$AJ$2:$AJ$288,MATCH($A142,Prospectos!$A$2:$A$288,0)),"")</f>
        <v>Muy alta</v>
      </c>
      <c r="K142" s="31"/>
    </row>
    <row r="143" spans="1:11" s="32" customFormat="1" ht="33.950000000000003" customHeight="1">
      <c r="A143" s="30" t="s">
        <v>201</v>
      </c>
      <c r="B143" s="30" t="str">
        <f>IFERROR(INDEX(Prospectos!$F$2:$F$288,MATCH($A143,Prospectos!$A$2:$A$288,0)),"")</f>
        <v>A</v>
      </c>
      <c r="C143" s="30" t="str">
        <f>IFERROR(INDEX(Prospectos!$H$2:$H$288,MATCH($A143,Prospectos!$A$2:$A$288,0)),"")</f>
        <v>Gallagro — Oncativo</v>
      </c>
      <c r="D143" s="30" t="str">
        <f>IFERROR(INDEX(Prospectos!$J$2:$J$288,MATCH($A143,Prospectos!$A$2:$A$288,0)),"")</f>
        <v>Maquinaria agrícola</v>
      </c>
      <c r="E143" s="30" t="str">
        <f>IFERROR(INDEX(Prospectos!$C$2:$C$288,MATCH($A143,Prospectos!$A$2:$A$288,0)),"")</f>
        <v>Oncativo / RN9</v>
      </c>
      <c r="F143" s="30" t="str">
        <f>IFERROR(INDEX(Prospectos!$E$2:$E$288,MATCH($A143,Prospectos!$A$2:$A$288,0)),"")</f>
        <v>Oncativo</v>
      </c>
      <c r="G143" s="30" t="str">
        <f>IFERROR(INDEX(Prospectos!$K$2:$K$288,MATCH($A143,Prospectos!$A$2:$A$288,0)),"")</f>
        <v>03572 516403 / +54 9 3584 11-3348</v>
      </c>
      <c r="H143" s="30" t="str">
        <f>IFERROR(INDEX(Prospectos!$M$2:$M$288,MATCH($A143,Prospectos!$A$2:$A$288,0)),"")</f>
        <v>logística / entregas / usados / postventa / gerente comercial</v>
      </c>
      <c r="I143" s="30" t="str">
        <f>IFERROR(INDEX(Prospectos!$N$2:$N$288,MATCH($A143,Prospectos!$A$2:$A$288,0)),"")</f>
        <v>Entrega y retiro de tractores, cosechadoras, pulverizadoras, sembradoras e implementos; movimientos por ventas, canjes, usados, service, demostraciones y ferias.</v>
      </c>
      <c r="J143" s="30" t="str">
        <f>IFERROR(INDEX(Prospectos!$AJ$2:$AJ$288,MATCH($A143,Prospectos!$A$2:$A$288,0)),"")</f>
        <v>Muy alta</v>
      </c>
      <c r="K143" s="31"/>
    </row>
    <row r="144" spans="1:11" s="32" customFormat="1" ht="33.950000000000003" customHeight="1">
      <c r="A144" s="30" t="s">
        <v>202</v>
      </c>
      <c r="B144" s="30" t="str">
        <f>IFERROR(INDEX(Prospectos!$F$2:$F$288,MATCH($A144,Prospectos!$A$2:$A$288,0)),"")</f>
        <v>A</v>
      </c>
      <c r="C144" s="30" t="str">
        <f>IFERROR(INDEX(Prospectos!$H$2:$H$288,MATCH($A144,Prospectos!$A$2:$A$288,0)),"")</f>
        <v>Zuppa Hermanos — Oncativo</v>
      </c>
      <c r="D144" s="30" t="str">
        <f>IFERROR(INDEX(Prospectos!$J$2:$J$288,MATCH($A144,Prospectos!$A$2:$A$288,0)),"")</f>
        <v>PRFV y plásticos</v>
      </c>
      <c r="E144" s="30" t="str">
        <f>IFERROR(INDEX(Prospectos!$C$2:$C$288,MATCH($A144,Prospectos!$A$2:$A$288,0)),"")</f>
        <v>Oncativo / RN9</v>
      </c>
      <c r="F144" s="30" t="str">
        <f>IFERROR(INDEX(Prospectos!$E$2:$E$288,MATCH($A144,Prospectos!$A$2:$A$288,0)),"")</f>
        <v>Oncativo</v>
      </c>
      <c r="G144" s="30" t="str">
        <f>IFERROR(INDEX(Prospectos!$K$2:$K$288,MATCH($A144,Prospectos!$A$2:$A$288,0)),"")</f>
        <v>03572 455799 / +54 9 351 5646558</v>
      </c>
      <c r="H144" s="30" t="str">
        <f>IFERROR(INDEX(Prospectos!$M$2:$M$288,MATCH($A144,Prospectos!$A$2:$A$288,0)),"")</f>
        <v>logística / instalaciones / obras / ventas</v>
      </c>
      <c r="I144" s="30" t="str">
        <f>IFERROR(INDEX(Prospectos!$N$2:$N$288,MATCH($A144,Prospectos!$A$2:$A$288,0)),"")</f>
        <v>Entrega de piscinas de fibra desde depósito/franquicia hasta domicilio y apoyo de grúa cuando el casco debe superar medianeras, techos o accesos angostos.</v>
      </c>
      <c r="J144" s="30" t="str">
        <f>IFERROR(INDEX(Prospectos!$AJ$2:$AJ$288,MATCH($A144,Prospectos!$A$2:$A$288,0)),"")</f>
        <v>Muy alta</v>
      </c>
      <c r="K144" s="31" t="s">
        <v>2887</v>
      </c>
    </row>
    <row r="145" spans="1:11" s="32" customFormat="1" ht="33.950000000000003" customHeight="1">
      <c r="A145" s="30" t="s">
        <v>203</v>
      </c>
      <c r="B145" s="30" t="str">
        <f>IFERROR(INDEX(Prospectos!$F$2:$F$288,MATCH($A145,Prospectos!$A$2:$A$288,0)),"")</f>
        <v>A</v>
      </c>
      <c r="C145" s="30" t="str">
        <f>IFERROR(INDEX(Prospectos!$H$2:$H$288,MATCH($A145,Prospectos!$A$2:$A$288,0)),"")</f>
        <v>Econovo Agrovial / Farmtrac</v>
      </c>
      <c r="D145" s="30" t="str">
        <f>IFERROR(INDEX(Prospectos!$J$2:$J$288,MATCH($A145,Prospectos!$A$2:$A$288,0)),"")</f>
        <v>Maquinaria agrícola</v>
      </c>
      <c r="E145" s="30" t="str">
        <f>IFERROR(INDEX(Prospectos!$C$2:$C$288,MATCH($A145,Prospectos!$A$2:$A$288,0)),"")</f>
        <v>Oncativo / RN9</v>
      </c>
      <c r="F145" s="30" t="str">
        <f>IFERROR(INDEX(Prospectos!$E$2:$E$288,MATCH($A145,Prospectos!$A$2:$A$288,0)),"")</f>
        <v>Oncativo</v>
      </c>
      <c r="G145" s="30" t="str">
        <f>IFERROR(INDEX(Prospectos!$K$2:$K$288,MATCH($A145,Prospectos!$A$2:$A$288,0)),"")</f>
        <v>+54 3572 462665</v>
      </c>
      <c r="H145" s="30" t="str">
        <f>IFERROR(INDEX(Prospectos!$M$2:$M$288,MATCH($A145,Prospectos!$A$2:$A$288,0)),"")</f>
        <v>logística / ventas / postventa</v>
      </c>
      <c r="I145" s="30" t="str">
        <f>IFERROR(INDEX(Prospectos!$N$2:$N$288,MATCH($A145,Prospectos!$A$2:$A$288,0)),"")</f>
        <v>Entrega y retiro de tractores, cosechadoras, pulverizadoras, sembradoras e implementos; movimientos por venta, service, canje, demostraciones o ferias.</v>
      </c>
      <c r="J145" s="30" t="str">
        <f>IFERROR(INDEX(Prospectos!$AJ$2:$AJ$288,MATCH($A145,Prospectos!$A$2:$A$288,0)),"")</f>
        <v>Muy alta</v>
      </c>
      <c r="K145" s="31" t="s">
        <v>2888</v>
      </c>
    </row>
    <row r="146" spans="1:11" s="32" customFormat="1" ht="33.950000000000003" customHeight="1">
      <c r="A146" s="30" t="s">
        <v>204</v>
      </c>
      <c r="B146" s="30" t="str">
        <f>IFERROR(INDEX(Prospectos!$F$2:$F$288,MATCH($A146,Prospectos!$A$2:$A$288,0)),"")</f>
        <v>A</v>
      </c>
      <c r="C146" s="30" t="str">
        <f>IFERROR(INDEX(Prospectos!$H$2:$H$288,MATCH($A146,Prospectos!$A$2:$A$288,0)),"")</f>
        <v>Quevedo Canavese</v>
      </c>
      <c r="D146" s="30" t="str">
        <f>IFERROR(INDEX(Prospectos!$J$2:$J$288,MATCH($A146,Prospectos!$A$2:$A$288,0)),"")</f>
        <v>Maquinaria agrícola</v>
      </c>
      <c r="E146" s="30" t="str">
        <f>IFERROR(INDEX(Prospectos!$C$2:$C$288,MATCH($A146,Prospectos!$A$2:$A$288,0)),"")</f>
        <v>Oncativo / RN9</v>
      </c>
      <c r="F146" s="30" t="str">
        <f>IFERROR(INDEX(Prospectos!$E$2:$E$288,MATCH($A146,Prospectos!$A$2:$A$288,0)),"")</f>
        <v>Oncativo</v>
      </c>
      <c r="G146" s="30" t="str">
        <f>IFERROR(INDEX(Prospectos!$K$2:$K$288,MATCH($A146,Prospectos!$A$2:$A$288,0)),"")</f>
        <v>+54 9 3572 532536 / +54 9 3572 548804</v>
      </c>
      <c r="H146" s="30" t="str">
        <f>IFERROR(INDEX(Prospectos!$M$2:$M$288,MATCH($A146,Prospectos!$A$2:$A$288,0)),"")</f>
        <v>logística / ventas / postventa</v>
      </c>
      <c r="I146" s="30" t="str">
        <f>IFERROR(INDEX(Prospectos!$N$2:$N$288,MATCH($A146,Prospectos!$A$2:$A$288,0)),"")</f>
        <v>Entrega y retiro de tractores, cosechadoras, pulverizadoras, sembradoras e implementos; movimientos por venta, service, canje, demostraciones o ferias.</v>
      </c>
      <c r="J146" s="30" t="str">
        <f>IFERROR(INDEX(Prospectos!$AJ$2:$AJ$288,MATCH($A146,Prospectos!$A$2:$A$288,0)),"")</f>
        <v>Muy alta</v>
      </c>
      <c r="K146" s="31"/>
    </row>
    <row r="147" spans="1:11" s="32" customFormat="1" ht="33.950000000000003" customHeight="1">
      <c r="A147" s="30" t="s">
        <v>205</v>
      </c>
      <c r="B147" s="30" t="str">
        <f>IFERROR(INDEX(Prospectos!$F$2:$F$288,MATCH($A147,Prospectos!$A$2:$A$288,0)),"")</f>
        <v>A</v>
      </c>
      <c r="C147" s="30" t="str">
        <f>IFERROR(INDEX(Prospectos!$H$2:$H$288,MATCH($A147,Prospectos!$A$2:$A$288,0)),"")</f>
        <v>Ramón A. Ramb Maquinaria</v>
      </c>
      <c r="D147" s="30" t="str">
        <f>IFERROR(INDEX(Prospectos!$J$2:$J$288,MATCH($A147,Prospectos!$A$2:$A$288,0)),"")</f>
        <v>Maquinaria agrícola</v>
      </c>
      <c r="E147" s="30" t="str">
        <f>IFERROR(INDEX(Prospectos!$C$2:$C$288,MATCH($A147,Prospectos!$A$2:$A$288,0)),"")</f>
        <v>Oncativo / RN9</v>
      </c>
      <c r="F147" s="30" t="str">
        <f>IFERROR(INDEX(Prospectos!$E$2:$E$288,MATCH($A147,Prospectos!$A$2:$A$288,0)),"")</f>
        <v>Oncativo</v>
      </c>
      <c r="G147" s="30" t="str">
        <f>IFERROR(INDEX(Prospectos!$K$2:$K$288,MATCH($A147,Prospectos!$A$2:$A$288,0)),"")</f>
        <v>03572 466841</v>
      </c>
      <c r="H147" s="30" t="str">
        <f>IFERROR(INDEX(Prospectos!$M$2:$M$288,MATCH($A147,Prospectos!$A$2:$A$288,0)),"")</f>
        <v>logística / entregas / usados / postventa / gerente comercial</v>
      </c>
      <c r="I147" s="30" t="str">
        <f>IFERROR(INDEX(Prospectos!$N$2:$N$288,MATCH($A147,Prospectos!$A$2:$A$288,0)),"")</f>
        <v>Entrega y retiro de tractores, cosechadoras, pulverizadoras, sembradoras e implementos; movimientos por ventas, canjes, usados, service, demostraciones y ferias.</v>
      </c>
      <c r="J147" s="30" t="str">
        <f>IFERROR(INDEX(Prospectos!$AJ$2:$AJ$288,MATCH($A147,Prospectos!$A$2:$A$288,0)),"")</f>
        <v>Alta</v>
      </c>
      <c r="K147" s="31"/>
    </row>
    <row r="148" spans="1:11" s="32" customFormat="1" ht="33.950000000000003" customHeight="1">
      <c r="A148" s="30" t="s">
        <v>206</v>
      </c>
      <c r="B148" s="30" t="str">
        <f>IFERROR(INDEX(Prospectos!$F$2:$F$288,MATCH($A148,Prospectos!$A$2:$A$288,0)),"")</f>
        <v>A</v>
      </c>
      <c r="C148" s="30" t="str">
        <f>IFERROR(INDEX(Prospectos!$H$2:$H$288,MATCH($A148,Prospectos!$A$2:$A$288,0)),"")</f>
        <v>Agropartes S.A.</v>
      </c>
      <c r="D148" s="30" t="str">
        <f>IFERROR(INDEX(Prospectos!$J$2:$J$288,MATCH($A148,Prospectos!$A$2:$A$288,0)),"")</f>
        <v>Maquinaria agrícola</v>
      </c>
      <c r="E148" s="30" t="str">
        <f>IFERROR(INDEX(Prospectos!$C$2:$C$288,MATCH($A148,Prospectos!$A$2:$A$288,0)),"")</f>
        <v>Oncativo / RN9</v>
      </c>
      <c r="F148" s="30" t="str">
        <f>IFERROR(INDEX(Prospectos!$E$2:$E$288,MATCH($A148,Prospectos!$A$2:$A$288,0)),"")</f>
        <v>Oncativo</v>
      </c>
      <c r="G148" s="30" t="str">
        <f>IFERROR(INDEX(Prospectos!$K$2:$K$288,MATCH($A148,Prospectos!$A$2:$A$288,0)),"")</f>
        <v>03572 456204 / 03572 466314</v>
      </c>
      <c r="H148" s="30" t="str">
        <f>IFERROR(INDEX(Prospectos!$M$2:$M$288,MATCH($A148,Prospectos!$A$2:$A$288,0)),"")</f>
        <v>logística / despacho / postventa</v>
      </c>
      <c r="I148" s="30" t="str">
        <f>IFERROR(INDEX(Prospectos!$N$2:$N$288,MATCH($A148,Prospectos!$A$2:$A$288,0)),"")</f>
        <v>Traslado de maquinaria, implementos, equipos terminados y componentes de gran porte entre planta, cliente, obra o feria.</v>
      </c>
      <c r="J148" s="30" t="str">
        <f>IFERROR(INDEX(Prospectos!$AJ$2:$AJ$288,MATCH($A148,Prospectos!$A$2:$A$288,0)),"")</f>
        <v>Muy alta</v>
      </c>
      <c r="K148" s="31"/>
    </row>
    <row r="149" spans="1:11" s="32" customFormat="1" ht="33.950000000000003" customHeight="1">
      <c r="A149" s="30" t="s">
        <v>207</v>
      </c>
      <c r="B149" s="30" t="str">
        <f>IFERROR(INDEX(Prospectos!$F$2:$F$288,MATCH($A149,Prospectos!$A$2:$A$288,0)),"")</f>
        <v>A</v>
      </c>
      <c r="C149" s="30" t="str">
        <f>IFERROR(INDEX(Prospectos!$H$2:$H$288,MATCH($A149,Prospectos!$A$2:$A$288,0)),"")</f>
        <v>Fertimaq</v>
      </c>
      <c r="D149" s="30" t="str">
        <f>IFERROR(INDEX(Prospectos!$J$2:$J$288,MATCH($A149,Prospectos!$A$2:$A$288,0)),"")</f>
        <v>Industria y mantenimiento</v>
      </c>
      <c r="E149" s="30" t="str">
        <f>IFERROR(INDEX(Prospectos!$C$2:$C$288,MATCH($A149,Prospectos!$A$2:$A$288,0)),"")</f>
        <v>Oncativo / RN9</v>
      </c>
      <c r="F149" s="30" t="str">
        <f>IFERROR(INDEX(Prospectos!$E$2:$E$288,MATCH($A149,Prospectos!$A$2:$A$288,0)),"")</f>
        <v>Oncativo</v>
      </c>
      <c r="G149" s="30" t="str">
        <f>IFERROR(INDEX(Prospectos!$K$2:$K$288,MATCH($A149,Prospectos!$A$2:$A$288,0)),"")</f>
        <v>03572 458660</v>
      </c>
      <c r="H149" s="30" t="str">
        <f>IFERROR(INDEX(Prospectos!$M$2:$M$288,MATCH($A149,Prospectos!$A$2:$A$288,0)),"")</f>
        <v>logística / entregas / postventa</v>
      </c>
      <c r="I149" s="30" t="str">
        <f>IFERROR(INDEX(Prospectos!$N$2:$N$288,MATCH($A149,Prospectos!$A$2:$A$288,0)),"")</f>
        <v>Traslado de maquinaria agrícola o vial entre sucursal, cliente, taller, campo y eventos.</v>
      </c>
      <c r="J149" s="30" t="str">
        <f>IFERROR(INDEX(Prospectos!$AJ$2:$AJ$288,MATCH($A149,Prospectos!$A$2:$A$288,0)),"")</f>
        <v>Muy alta</v>
      </c>
      <c r="K149" s="31"/>
    </row>
    <row r="150" spans="1:11" s="32" customFormat="1" ht="33.950000000000003" customHeight="1">
      <c r="A150" s="30" t="s">
        <v>208</v>
      </c>
      <c r="B150" s="30" t="str">
        <f>IFERROR(INDEX(Prospectos!$F$2:$F$288,MATCH($A150,Prospectos!$A$2:$A$288,0)),"")</f>
        <v>A</v>
      </c>
      <c r="C150" s="30" t="str">
        <f>IFERROR(INDEX(Prospectos!$H$2:$H$288,MATCH($A150,Prospectos!$A$2:$A$288,0)),"")</f>
        <v>San Isidro Maquinarias</v>
      </c>
      <c r="D150" s="30" t="str">
        <f>IFERROR(INDEX(Prospectos!$J$2:$J$288,MATCH($A150,Prospectos!$A$2:$A$288,0)),"")</f>
        <v>Maquinaria agrícola</v>
      </c>
      <c r="E150" s="30" t="str">
        <f>IFERROR(INDEX(Prospectos!$C$2:$C$288,MATCH($A150,Prospectos!$A$2:$A$288,0)),"")</f>
        <v>Oncativo / RN9</v>
      </c>
      <c r="F150" s="30" t="str">
        <f>IFERROR(INDEX(Prospectos!$E$2:$E$288,MATCH($A150,Prospectos!$A$2:$A$288,0)),"")</f>
        <v>Oncativo</v>
      </c>
      <c r="G150" s="30" t="str">
        <f>IFERROR(INDEX(Prospectos!$K$2:$K$288,MATCH($A150,Prospectos!$A$2:$A$288,0)),"")</f>
        <v>03572 561450</v>
      </c>
      <c r="H150" s="30" t="str">
        <f>IFERROR(INDEX(Prospectos!$M$2:$M$288,MATCH($A150,Prospectos!$A$2:$A$288,0)),"")</f>
        <v>logística / entregas / postventa</v>
      </c>
      <c r="I150" s="30" t="str">
        <f>IFERROR(INDEX(Prospectos!$N$2:$N$288,MATCH($A150,Prospectos!$A$2:$A$288,0)),"")</f>
        <v>Traslado de maquinaria agrícola o vial entre sucursal, cliente, taller, campo y eventos.</v>
      </c>
      <c r="J150" s="30" t="str">
        <f>IFERROR(INDEX(Prospectos!$AJ$2:$AJ$288,MATCH($A150,Prospectos!$A$2:$A$288,0)),"")</f>
        <v>Muy alta</v>
      </c>
      <c r="K150" s="31" t="s">
        <v>2889</v>
      </c>
    </row>
    <row r="151" spans="1:11" ht="33.950000000000003" customHeight="1">
      <c r="A151" s="23" t="s">
        <v>209</v>
      </c>
      <c r="B151" s="23" t="str">
        <f>IFERROR(INDEX(Prospectos!$F$2:$F$288,MATCH($A151,Prospectos!$A$2:$A$288,0)),"")</f>
        <v>A</v>
      </c>
      <c r="C151" s="33" t="str">
        <f>IFERROR(INDEX(Prospectos!$H$2:$H$288,MATCH($A151,Prospectos!$A$2:$A$288,0)),"")</f>
        <v>SICA S.A. - Fabricación y Venta</v>
      </c>
      <c r="D151" s="23" t="str">
        <f>IFERROR(INDEX(Prospectos!$J$2:$J$288,MATCH($A151,Prospectos!$A$2:$A$288,0)),"")</f>
        <v>Metalúrgica y fabricación</v>
      </c>
      <c r="E151" s="23" t="str">
        <f>IFERROR(INDEX(Prospectos!$C$2:$C$288,MATCH($A151,Prospectos!$A$2:$A$288,0)),"")</f>
        <v>Oncativo / RN9</v>
      </c>
      <c r="F151" s="23" t="str">
        <f>IFERROR(INDEX(Prospectos!$E$2:$E$288,MATCH($A151,Prospectos!$A$2:$A$288,0)),"")</f>
        <v>Oncativo</v>
      </c>
      <c r="G151" s="23" t="str">
        <f>IFERROR(INDEX(Prospectos!$K$2:$K$288,MATCH($A151,Prospectos!$A$2:$A$288,0)),"")</f>
        <v>03572 460958</v>
      </c>
      <c r="H151" s="23" t="str">
        <f>IFERROR(INDEX(Prospectos!$M$2:$M$288,MATCH($A151,Prospectos!$A$2:$A$288,0)),"")</f>
        <v>mantenimiento / despacho</v>
      </c>
      <c r="I151" s="23" t="str">
        <f>IFERROR(INDEX(Prospectos!$N$2:$N$288,MATCH($A151,Prospectos!$A$2:$A$288,0)),"")</f>
        <v>Movimientos especiales de mantenimiento, repuestos pesados, equipos y mudanzas internas o entre plantas.</v>
      </c>
      <c r="J151" s="23" t="str">
        <f>IFERROR(INDEX(Prospectos!$AJ$2:$AJ$288,MATCH($A151,Prospectos!$A$2:$A$288,0)),"")</f>
        <v>Muy alta</v>
      </c>
      <c r="K151" s="29"/>
    </row>
    <row r="152" spans="1:11" s="32" customFormat="1" ht="33.950000000000003" customHeight="1" thickBot="1">
      <c r="A152" s="30" t="s">
        <v>210</v>
      </c>
      <c r="B152" s="30" t="str">
        <f>IFERROR(INDEX(Prospectos!$F$2:$F$288,MATCH($A152,Prospectos!$A$2:$A$288,0)),"")</f>
        <v>A</v>
      </c>
      <c r="C152" s="30" t="str">
        <f>IFERROR(INDEX(Prospectos!$H$2:$H$288,MATCH($A152,Prospectos!$A$2:$A$288,0)),"")</f>
        <v>Vial Truck S.A.</v>
      </c>
      <c r="D152" s="30" t="str">
        <f>IFERROR(INDEX(Prospectos!$J$2:$J$288,MATCH($A152,Prospectos!$A$2:$A$288,0)),"")</f>
        <v>Industria y mantenimiento</v>
      </c>
      <c r="E152" s="30" t="str">
        <f>IFERROR(INDEX(Prospectos!$C$2:$C$288,MATCH($A152,Prospectos!$A$2:$A$288,0)),"")</f>
        <v>Oncativo / RN9</v>
      </c>
      <c r="F152" s="30" t="str">
        <f>IFERROR(INDEX(Prospectos!$E$2:$E$288,MATCH($A152,Prospectos!$A$2:$A$288,0)),"")</f>
        <v>Oncativo</v>
      </c>
      <c r="G152" s="30" t="str">
        <f>IFERROR(INDEX(Prospectos!$K$2:$K$288,MATCH($A152,Prospectos!$A$2:$A$288,0)),"")</f>
        <v>03572 455688</v>
      </c>
      <c r="H152" s="30" t="str">
        <f>IFERROR(INDEX(Prospectos!$M$2:$M$288,MATCH($A152,Prospectos!$A$2:$A$288,0)),"")</f>
        <v>logística / despacho / postventa</v>
      </c>
      <c r="I152" s="30" t="str">
        <f>IFERROR(INDEX(Prospectos!$N$2:$N$288,MATCH($A152,Prospectos!$A$2:$A$288,0)),"")</f>
        <v>Traslado de maquinaria, implementos, equipos terminados y componentes de gran porte entre planta, cliente, obra o feria.</v>
      </c>
      <c r="J152" s="30" t="str">
        <f>IFERROR(INDEX(Prospectos!$AJ$2:$AJ$288,MATCH($A152,Prospectos!$A$2:$A$288,0)),"")</f>
        <v>Muy alta</v>
      </c>
      <c r="K152" s="31"/>
    </row>
    <row r="153" spans="1:11" s="32" customFormat="1" ht="33.950000000000003" customHeight="1">
      <c r="A153" s="34" t="s">
        <v>211</v>
      </c>
      <c r="B153" s="34" t="str">
        <f>IFERROR(INDEX(Prospectos!$F$2:$F$288,MATCH($A153,Prospectos!$A$2:$A$288,0)),"")</f>
        <v>B</v>
      </c>
      <c r="C153" s="34" t="str">
        <f>IFERROR(INDEX(Prospectos!$H$2:$H$288,MATCH($A153,Prospectos!$A$2:$A$288,0)),"")</f>
        <v>Metalúrgica Rosas</v>
      </c>
      <c r="D153" s="34" t="str">
        <f>IFERROR(INDEX(Prospectos!$J$2:$J$288,MATCH($A153,Prospectos!$A$2:$A$288,0)),"")</f>
        <v>Metalúrgica y fabricación</v>
      </c>
      <c r="E153" s="34" t="str">
        <f>IFERROR(INDEX(Prospectos!$C$2:$C$288,MATCH($A153,Prospectos!$A$2:$A$288,0)),"")</f>
        <v>Oncativo / RN9</v>
      </c>
      <c r="F153" s="34" t="str">
        <f>IFERROR(INDEX(Prospectos!$E$2:$E$288,MATCH($A153,Prospectos!$A$2:$A$288,0)),"")</f>
        <v>Oncativo</v>
      </c>
      <c r="G153" s="34" t="str">
        <f>IFERROR(INDEX(Prospectos!$K$2:$K$288,MATCH($A153,Prospectos!$A$2:$A$288,0)),"")</f>
        <v>+54 9 3572 549003 / 03572 15617489</v>
      </c>
      <c r="H153" s="34" t="str">
        <f>IFERROR(INDEX(Prospectos!$M$2:$M$288,MATCH($A153,Prospectos!$A$2:$A$288,0)),"")</f>
        <v>despacho / producción</v>
      </c>
      <c r="I153" s="34" t="str">
        <f>IFERROR(INDEX(Prospectos!$N$2:$N$288,MATCH($A153,Prospectos!$A$2:$A$288,0)),"")</f>
        <v>Despacho de estructuras, piezas, equipos y conjuntos metalmecánicos de gran porte hacia obras o clientes.</v>
      </c>
      <c r="J153" s="34" t="str">
        <f>IFERROR(INDEX(Prospectos!$AJ$2:$AJ$288,MATCH($A153,Prospectos!$A$2:$A$288,0)),"")</f>
        <v>Alta</v>
      </c>
      <c r="K153" s="31"/>
    </row>
    <row r="154" spans="1:11" s="32" customFormat="1" ht="33.950000000000003" customHeight="1">
      <c r="A154" s="30" t="s">
        <v>212</v>
      </c>
      <c r="B154" s="30" t="str">
        <f>IFERROR(INDEX(Prospectos!$F$2:$F$288,MATCH($A154,Prospectos!$A$2:$A$288,0)),"")</f>
        <v>B</v>
      </c>
      <c r="C154" s="30" t="str">
        <f>IFERROR(INDEX(Prospectos!$H$2:$H$288,MATCH($A154,Prospectos!$A$2:$A$288,0)),"")</f>
        <v>Bartolomé Cerutti SRL</v>
      </c>
      <c r="D154" s="30" t="str">
        <f>IFERROR(INDEX(Prospectos!$J$2:$J$288,MATCH($A154,Prospectos!$A$2:$A$288,0)),"")</f>
        <v>Maquinaria agrícola</v>
      </c>
      <c r="E154" s="30" t="str">
        <f>IFERROR(INDEX(Prospectos!$C$2:$C$288,MATCH($A154,Prospectos!$A$2:$A$288,0)),"")</f>
        <v>Oncativo / RN9</v>
      </c>
      <c r="F154" s="30" t="str">
        <f>IFERROR(INDEX(Prospectos!$E$2:$E$288,MATCH($A154,Prospectos!$A$2:$A$288,0)),"")</f>
        <v>Oncativo</v>
      </c>
      <c r="G154" s="30" t="str">
        <f>IFERROR(INDEX(Prospectos!$K$2:$K$288,MATCH($A154,Prospectos!$A$2:$A$288,0)),"")</f>
        <v>03572 460754</v>
      </c>
      <c r="H154" s="30" t="str">
        <f>IFERROR(INDEX(Prospectos!$M$2:$M$288,MATCH($A154,Prospectos!$A$2:$A$288,0)),"")</f>
        <v>logística / entregas / postventa</v>
      </c>
      <c r="I154" s="30" t="str">
        <f>IFERROR(INDEX(Prospectos!$N$2:$N$288,MATCH($A154,Prospectos!$A$2:$A$288,0)),"")</f>
        <v>Traslado de maquinaria agrícola o vial entre sucursal, cliente, taller, campo y eventos.</v>
      </c>
      <c r="J154" s="30" t="str">
        <f>IFERROR(INDEX(Prospectos!$AJ$2:$AJ$288,MATCH($A154,Prospectos!$A$2:$A$288,0)),"")</f>
        <v>Alta</v>
      </c>
      <c r="K154" s="31"/>
    </row>
    <row r="155" spans="1:11" s="32" customFormat="1" ht="33.950000000000003" customHeight="1">
      <c r="A155" s="30" t="s">
        <v>213</v>
      </c>
      <c r="B155" s="30" t="str">
        <f>IFERROR(INDEX(Prospectos!$F$2:$F$288,MATCH($A155,Prospectos!$A$2:$A$288,0)),"")</f>
        <v>B</v>
      </c>
      <c r="C155" s="30" t="str">
        <f>IFERROR(INDEX(Prospectos!$H$2:$H$288,MATCH($A155,Prospectos!$A$2:$A$288,0)),"")</f>
        <v>E Postacchini S.A.S.</v>
      </c>
      <c r="D155" s="30" t="str">
        <f>IFERROR(INDEX(Prospectos!$J$2:$J$288,MATCH($A155,Prospectos!$A$2:$A$288,0)),"")</f>
        <v>Maquinaria agrícola</v>
      </c>
      <c r="E155" s="30" t="str">
        <f>IFERROR(INDEX(Prospectos!$C$2:$C$288,MATCH($A155,Prospectos!$A$2:$A$288,0)),"")</f>
        <v>Oncativo / RN9</v>
      </c>
      <c r="F155" s="30" t="str">
        <f>IFERROR(INDEX(Prospectos!$E$2:$E$288,MATCH($A155,Prospectos!$A$2:$A$288,0)),"")</f>
        <v>Oncativo</v>
      </c>
      <c r="G155" s="30" t="str">
        <f>IFERROR(INDEX(Prospectos!$K$2:$K$288,MATCH($A155,Prospectos!$A$2:$A$288,0)),"")</f>
        <v>A relevar</v>
      </c>
      <c r="H155" s="30" t="str">
        <f>IFERROR(INDEX(Prospectos!$M$2:$M$288,MATCH($A155,Prospectos!$A$2:$A$288,0)),"")</f>
        <v>logística / entregas / postventa</v>
      </c>
      <c r="I155" s="30" t="str">
        <f>IFERROR(INDEX(Prospectos!$N$2:$N$288,MATCH($A155,Prospectos!$A$2:$A$288,0)),"")</f>
        <v>Traslado de maquinaria agrícola o vial entre sucursal, cliente, taller, campo y eventos.</v>
      </c>
      <c r="J155" s="30" t="str">
        <f>IFERROR(INDEX(Prospectos!$AJ$2:$AJ$288,MATCH($A155,Prospectos!$A$2:$A$288,0)),"")</f>
        <v>Media</v>
      </c>
      <c r="K155" s="31"/>
    </row>
    <row r="156" spans="1:11" s="32" customFormat="1" ht="33.950000000000003" customHeight="1" thickBot="1">
      <c r="A156" s="30" t="s">
        <v>214</v>
      </c>
      <c r="B156" s="30" t="str">
        <f>IFERROR(INDEX(Prospectos!$F$2:$F$288,MATCH($A156,Prospectos!$A$2:$A$288,0)),"")</f>
        <v>B</v>
      </c>
      <c r="C156" s="30" t="str">
        <f>IFERROR(INDEX(Prospectos!$H$2:$H$288,MATCH($A156,Prospectos!$A$2:$A$288,0)),"")</f>
        <v>Serra Obras y Redes</v>
      </c>
      <c r="D156" s="30" t="str">
        <f>IFERROR(INDEX(Prospectos!$J$2:$J$288,MATCH($A156,Prospectos!$A$2:$A$288,0)),"")</f>
        <v>Construcción y obra vial</v>
      </c>
      <c r="E156" s="30" t="str">
        <f>IFERROR(INDEX(Prospectos!$C$2:$C$288,MATCH($A156,Prospectos!$A$2:$A$288,0)),"")</f>
        <v>Oncativo / RN9</v>
      </c>
      <c r="F156" s="30" t="str">
        <f>IFERROR(INDEX(Prospectos!$E$2:$E$288,MATCH($A156,Prospectos!$A$2:$A$288,0)),"")</f>
        <v>Oncativo</v>
      </c>
      <c r="G156" s="30" t="str">
        <f>IFERROR(INDEX(Prospectos!$K$2:$K$288,MATCH($A156,Prospectos!$A$2:$A$288,0)),"")</f>
        <v>03572 436146</v>
      </c>
      <c r="H156" s="30" t="str">
        <f>IFERROR(INDEX(Prospectos!$M$2:$M$288,MATCH($A156,Prospectos!$A$2:$A$288,0)),"")</f>
        <v>jefe de obra / operaciones</v>
      </c>
      <c r="I156" s="30" t="str">
        <f>IFERROR(INDEX(Prospectos!$N$2:$N$288,MATCH($A156,Prospectos!$A$2:$A$288,0)),"")</f>
        <v>Traslado de maquinaria, módulos de obrador, estructuras y equipos entre depósitos y frentes de obra.</v>
      </c>
      <c r="J156" s="30" t="str">
        <f>IFERROR(INDEX(Prospectos!$AJ$2:$AJ$288,MATCH($A156,Prospectos!$A$2:$A$288,0)),"")</f>
        <v>Alta</v>
      </c>
      <c r="K156" s="31"/>
    </row>
    <row r="157" spans="1:11" s="32" customFormat="1" ht="33.950000000000003" customHeight="1">
      <c r="A157" s="34" t="s">
        <v>215</v>
      </c>
      <c r="B157" s="34" t="str">
        <f>IFERROR(INDEX(Prospectos!$F$2:$F$288,MATCH($A157,Prospectos!$A$2:$A$288,0)),"")</f>
        <v>B</v>
      </c>
      <c r="C157" s="34" t="str">
        <f>IFERROR(INDEX(Prospectos!$H$2:$H$288,MATCH($A157,Prospectos!$A$2:$A$288,0)),"")</f>
        <v>Tantucci Construcciones</v>
      </c>
      <c r="D157" s="34" t="str">
        <f>IFERROR(INDEX(Prospectos!$J$2:$J$288,MATCH($A157,Prospectos!$A$2:$A$288,0)),"")</f>
        <v>Construcción y obra vial</v>
      </c>
      <c r="E157" s="34" t="str">
        <f>IFERROR(INDEX(Prospectos!$C$2:$C$288,MATCH($A157,Prospectos!$A$2:$A$288,0)),"")</f>
        <v>Oncativo / RN9</v>
      </c>
      <c r="F157" s="34" t="str">
        <f>IFERROR(INDEX(Prospectos!$E$2:$E$288,MATCH($A157,Prospectos!$A$2:$A$288,0)),"")</f>
        <v>Oncativo</v>
      </c>
      <c r="G157" s="34" t="str">
        <f>IFERROR(INDEX(Prospectos!$K$2:$K$288,MATCH($A157,Prospectos!$A$2:$A$288,0)),"")</f>
        <v>03572 402571</v>
      </c>
      <c r="H157" s="34" t="str">
        <f>IFERROR(INDEX(Prospectos!$M$2:$M$288,MATCH($A157,Prospectos!$A$2:$A$288,0)),"")</f>
        <v>jefe de obra / operaciones</v>
      </c>
      <c r="I157" s="34" t="str">
        <f>IFERROR(INDEX(Prospectos!$N$2:$N$288,MATCH($A157,Prospectos!$A$2:$A$288,0)),"")</f>
        <v>Traslado de maquinaria, módulos de obrador, estructuras y equipos entre depósitos y frentes de obra.</v>
      </c>
      <c r="J157" s="34" t="str">
        <f>IFERROR(INDEX(Prospectos!$AJ$2:$AJ$288,MATCH($A157,Prospectos!$A$2:$A$288,0)),"")</f>
        <v>Alta</v>
      </c>
      <c r="K157" s="31"/>
    </row>
    <row r="158" spans="1:11" s="32" customFormat="1" ht="33.950000000000003" customHeight="1">
      <c r="A158" s="35" t="s">
        <v>216</v>
      </c>
      <c r="B158" s="35" t="str">
        <f>IFERROR(INDEX(Prospectos!$F$2:$F$288,MATCH($A158,Prospectos!$A$2:$A$288,0)),"")</f>
        <v>B</v>
      </c>
      <c r="C158" s="35" t="str">
        <f>IFERROR(INDEX(Prospectos!$H$2:$H$288,MATCH($A158,Prospectos!$A$2:$A$288,0)),"")</f>
        <v>Agro Repuestos Oncativo</v>
      </c>
      <c r="D158" s="35" t="str">
        <f>IFERROR(INDEX(Prospectos!$J$2:$J$288,MATCH($A158,Prospectos!$A$2:$A$288,0)),"")</f>
        <v>Maquinaria agrícola</v>
      </c>
      <c r="E158" s="35" t="str">
        <f>IFERROR(INDEX(Prospectos!$C$2:$C$288,MATCH($A158,Prospectos!$A$2:$A$288,0)),"")</f>
        <v>Oncativo / RN9</v>
      </c>
      <c r="F158" s="35" t="str">
        <f>IFERROR(INDEX(Prospectos!$E$2:$E$288,MATCH($A158,Prospectos!$A$2:$A$288,0)),"")</f>
        <v>Oncativo</v>
      </c>
      <c r="G158" s="35" t="str">
        <f>IFERROR(INDEX(Prospectos!$K$2:$K$288,MATCH($A158,Prospectos!$A$2:$A$288,0)),"")</f>
        <v>03572 466328</v>
      </c>
      <c r="H158" s="35" t="str">
        <f>IFERROR(INDEX(Prospectos!$M$2:$M$288,MATCH($A158,Prospectos!$A$2:$A$288,0)),"")</f>
        <v>logística / entregas / postventa</v>
      </c>
      <c r="I158" s="35" t="str">
        <f>IFERROR(INDEX(Prospectos!$N$2:$N$288,MATCH($A158,Prospectos!$A$2:$A$288,0)),"")</f>
        <v>Traslado de maquinaria agrícola o vial entre sucursal, cliente, taller, campo y eventos.</v>
      </c>
      <c r="J158" s="35" t="str">
        <f>IFERROR(INDEX(Prospectos!$AJ$2:$AJ$288,MATCH($A158,Prospectos!$A$2:$A$288,0)),"")</f>
        <v>Alta</v>
      </c>
      <c r="K158" s="31"/>
    </row>
    <row r="159" spans="1:11" s="32" customFormat="1" ht="33.950000000000003" customHeight="1">
      <c r="A159" s="30" t="s">
        <v>217</v>
      </c>
      <c r="B159" s="30" t="str">
        <f>IFERROR(INDEX(Prospectos!$F$2:$F$288,MATCH($A159,Prospectos!$A$2:$A$288,0)),"")</f>
        <v>C</v>
      </c>
      <c r="C159" s="30" t="str">
        <f>IFERROR(INDEX(Prospectos!$H$2:$H$288,MATCH($A159,Prospectos!$A$2:$A$288,0)),"")</f>
        <v>Murature Oncativo S.A.</v>
      </c>
      <c r="D159" s="30" t="str">
        <f>IFERROR(INDEX(Prospectos!$J$2:$J$288,MATCH($A159,Prospectos!$A$2:$A$288,0)),"")</f>
        <v>Agro, acopio y cooperativas</v>
      </c>
      <c r="E159" s="30" t="str">
        <f>IFERROR(INDEX(Prospectos!$C$2:$C$288,MATCH($A159,Prospectos!$A$2:$A$288,0)),"")</f>
        <v>Oncativo / RN9</v>
      </c>
      <c r="F159" s="30" t="str">
        <f>IFERROR(INDEX(Prospectos!$E$2:$E$288,MATCH($A159,Prospectos!$A$2:$A$288,0)),"")</f>
        <v>Oncativo</v>
      </c>
      <c r="G159" s="30" t="str">
        <f>IFERROR(INDEX(Prospectos!$K$2:$K$288,MATCH($A159,Prospectos!$A$2:$A$288,0)),"")</f>
        <v>A relevar</v>
      </c>
      <c r="H159" s="30" t="str">
        <f>IFERROR(INDEX(Prospectos!$M$2:$M$288,MATCH($A159,Prospectos!$A$2:$A$288,0)),"")</f>
        <v>responsable de acopio / mantenimiento</v>
      </c>
      <c r="I159" s="30" t="str">
        <f>IFERROR(INDEX(Prospectos!$N$2:$N$288,MATCH($A159,Prospectos!$A$2:$A$288,0)),"")</f>
        <v>Traslado de equipos de planta, silos, repuestos pesados, balanzas, implementos y cargas especiales.</v>
      </c>
      <c r="J159" s="30" t="str">
        <f>IFERROR(INDEX(Prospectos!$AJ$2:$AJ$288,MATCH($A159,Prospectos!$A$2:$A$288,0)),"")</f>
        <v>Baja / visitar solo por cercanía</v>
      </c>
      <c r="K159" s="31"/>
    </row>
    <row r="160" spans="1:11" s="32" customFormat="1" ht="33.950000000000003" customHeight="1">
      <c r="A160" s="30" t="s">
        <v>218</v>
      </c>
      <c r="B160" s="30" t="str">
        <f>IFERROR(INDEX(Prospectos!$F$2:$F$288,MATCH($A160,Prospectos!$A$2:$A$288,0)),"")</f>
        <v>A</v>
      </c>
      <c r="C160" s="30" t="str">
        <f>IFERROR(INDEX(Prospectos!$H$2:$H$288,MATCH($A160,Prospectos!$A$2:$A$288,0)),"")</f>
        <v>Cooperativa Agrícola Ganadera y de Consumo de Oncativo Ltda.</v>
      </c>
      <c r="D160" s="30" t="str">
        <f>IFERROR(INDEX(Prospectos!$J$2:$J$288,MATCH($A160,Prospectos!$A$2:$A$288,0)),"")</f>
        <v>Agro, acopio y cooperativas</v>
      </c>
      <c r="E160" s="30" t="str">
        <f>IFERROR(INDEX(Prospectos!$C$2:$C$288,MATCH($A160,Prospectos!$A$2:$A$288,0)),"")</f>
        <v>Oncativo / RN9-RP10</v>
      </c>
      <c r="F160" s="30" t="str">
        <f>IFERROR(INDEX(Prospectos!$E$2:$E$288,MATCH($A160,Prospectos!$A$2:$A$288,0)),"")</f>
        <v>Oncativo</v>
      </c>
      <c r="G160" s="30" t="str">
        <f>IFERROR(INDEX(Prospectos!$K$2:$K$288,MATCH($A160,Prospectos!$A$2:$A$288,0)),"")</f>
        <v>03572 456777 / 03572 15583757</v>
      </c>
      <c r="H160" s="30" t="str">
        <f>IFERROR(INDEX(Prospectos!$M$2:$M$288,MATCH($A160,Prospectos!$A$2:$A$288,0)),"")</f>
        <v>acopio / insumos / mantenimiento</v>
      </c>
      <c r="I160" s="30" t="str">
        <f>IFERROR(INDEX(Prospectos!$N$2:$N$288,MATCH($A160,Prospectos!$A$2:$A$288,0)),"")</f>
        <v>Traslado de insumos, pallets, fertilizantes, repuestos pesados, silos/equipos y apoyo de mantenimiento en planta.</v>
      </c>
      <c r="J160" s="30" t="str">
        <f>IFERROR(INDEX(Prospectos!$AJ$2:$AJ$288,MATCH($A160,Prospectos!$A$2:$A$288,0)),"")</f>
        <v>Muy alta</v>
      </c>
      <c r="K160" s="31"/>
    </row>
    <row r="161" spans="1:11" s="32" customFormat="1" ht="33.950000000000003" customHeight="1">
      <c r="A161" s="30" t="s">
        <v>219</v>
      </c>
      <c r="B161" s="30" t="str">
        <f>IFERROR(INDEX(Prospectos!$F$2:$F$288,MATCH($A161,Prospectos!$A$2:$A$288,0)),"")</f>
        <v>B</v>
      </c>
      <c r="C161" s="30" t="str">
        <f>IFERROR(INDEX(Prospectos!$H$2:$H$288,MATCH($A161,Prospectos!$A$2:$A$288,0)),"")</f>
        <v>El Triunfo Oncativo</v>
      </c>
      <c r="D161" s="30" t="str">
        <f>IFERROR(INDEX(Prospectos!$J$2:$J$288,MATCH($A161,Prospectos!$A$2:$A$288,0)),"")</f>
        <v>Agro, acopio y cooperativas</v>
      </c>
      <c r="E161" s="30" t="str">
        <f>IFERROR(INDEX(Prospectos!$C$2:$C$288,MATCH($A161,Prospectos!$A$2:$A$288,0)),"")</f>
        <v>Oncativo / RN9-RP10</v>
      </c>
      <c r="F161" s="30" t="str">
        <f>IFERROR(INDEX(Prospectos!$E$2:$E$288,MATCH($A161,Prospectos!$A$2:$A$288,0)),"")</f>
        <v>Oncativo</v>
      </c>
      <c r="G161" s="30" t="str">
        <f>IFERROR(INDEX(Prospectos!$K$2:$K$288,MATCH($A161,Prospectos!$A$2:$A$288,0)),"")</f>
        <v>03572 466288 / +54 9 3572 408824</v>
      </c>
      <c r="H161" s="30" t="str">
        <f>IFERROR(INDEX(Prospectos!$M$2:$M$288,MATCH($A161,Prospectos!$A$2:$A$288,0)),"")</f>
        <v>acopio / logística / insumos</v>
      </c>
      <c r="I161" s="30" t="str">
        <f>IFERROR(INDEX(Prospectos!$N$2:$N$288,MATCH($A161,Prospectos!$A$2:$A$288,0)),"")</f>
        <v>Traslado de insumos, pallets, fertilizantes, repuestos pesados, silos/equipos y apoyo de mantenimiento en planta.</v>
      </c>
      <c r="J161" s="30" t="str">
        <f>IFERROR(INDEX(Prospectos!$AJ$2:$AJ$288,MATCH($A161,Prospectos!$A$2:$A$288,0)),"")</f>
        <v>Alta</v>
      </c>
      <c r="K161" s="31"/>
    </row>
    <row r="162" spans="1:11" s="32" customFormat="1" ht="33.950000000000003" customHeight="1">
      <c r="A162" s="30" t="s">
        <v>220</v>
      </c>
      <c r="B162" s="30" t="str">
        <f>IFERROR(INDEX(Prospectos!$F$2:$F$288,MATCH($A162,Prospectos!$A$2:$A$288,0)),"")</f>
        <v>B</v>
      </c>
      <c r="C162" s="30" t="str">
        <f>IFERROR(INDEX(Prospectos!$H$2:$H$288,MATCH($A162,Prospectos!$A$2:$A$288,0)),"")</f>
        <v>IPC Oncativo / Piscinas IPC</v>
      </c>
      <c r="D162" s="30" t="str">
        <f>IFERROR(INDEX(Prospectos!$J$2:$J$288,MATCH($A162,Prospectos!$A$2:$A$288,0)),"")</f>
        <v>PRFV y plásticos</v>
      </c>
      <c r="E162" s="30" t="str">
        <f>IFERROR(INDEX(Prospectos!$C$2:$C$288,MATCH($A162,Prospectos!$A$2:$A$288,0)),"")</f>
        <v>Oncativo / RN9-RP10</v>
      </c>
      <c r="F162" s="30" t="str">
        <f>IFERROR(INDEX(Prospectos!$E$2:$E$288,MATCH($A162,Prospectos!$A$2:$A$288,0)),"")</f>
        <v>Oncativo</v>
      </c>
      <c r="G162" s="30" t="str">
        <f>IFERROR(INDEX(Prospectos!$K$2:$K$288,MATCH($A162,Prospectos!$A$2:$A$288,0)),"")</f>
        <v>3572 53-2233</v>
      </c>
      <c r="H162" s="30" t="str">
        <f>IFERROR(INDEX(Prospectos!$M$2:$M$288,MATCH($A162,Prospectos!$A$2:$A$288,0)),"")</f>
        <v>ventas / logística</v>
      </c>
      <c r="I162" s="30" t="str">
        <f>IFERROR(INDEX(Prospectos!$N$2:$N$288,MATCH($A162,Prospectos!$A$2:$A$288,0)),"")</f>
        <v>Retiro, traslado y descarga de piletas/fibra o piezas voluminosas livianas, con cuidado de maniobra.</v>
      </c>
      <c r="J162" s="30" t="str">
        <f>IFERROR(INDEX(Prospectos!$AJ$2:$AJ$288,MATCH($A162,Prospectos!$A$2:$A$288,0)),"")</f>
        <v>Alta</v>
      </c>
      <c r="K162" s="31"/>
    </row>
    <row r="163" spans="1:11" s="32" customFormat="1" ht="33.950000000000003" customHeight="1">
      <c r="A163" s="30" t="s">
        <v>221</v>
      </c>
      <c r="B163" s="30" t="str">
        <f>IFERROR(INDEX(Prospectos!$F$2:$F$288,MATCH($A163,Prospectos!$A$2:$A$288,0)),"")</f>
        <v>B</v>
      </c>
      <c r="C163" s="30" t="str">
        <f>IFERROR(INDEX(Prospectos!$H$2:$H$288,MATCH($A163,Prospectos!$A$2:$A$288,0)),"")</f>
        <v>Premoldeados Oncativo</v>
      </c>
      <c r="D163" s="30" t="str">
        <f>IFERROR(INDEX(Prospectos!$J$2:$J$288,MATCH($A163,Prospectos!$A$2:$A$288,0)),"")</f>
        <v>Hormigón, áridos y materiales</v>
      </c>
      <c r="E163" s="30" t="str">
        <f>IFERROR(INDEX(Prospectos!$C$2:$C$288,MATCH($A163,Prospectos!$A$2:$A$288,0)),"")</f>
        <v>Oncativo / RN9-RP10</v>
      </c>
      <c r="F163" s="30" t="str">
        <f>IFERROR(INDEX(Prospectos!$E$2:$E$288,MATCH($A163,Prospectos!$A$2:$A$288,0)),"")</f>
        <v>Oncativo</v>
      </c>
      <c r="G163" s="30" t="str">
        <f>IFERROR(INDEX(Prospectos!$K$2:$K$288,MATCH($A163,Prospectos!$A$2:$A$288,0)),"")</f>
        <v>03572 466096</v>
      </c>
      <c r="H163" s="30" t="str">
        <f>IFERROR(INDEX(Prospectos!$M$2:$M$288,MATCH($A163,Prospectos!$A$2:$A$288,0)),"")</f>
        <v>planta / despacho</v>
      </c>
      <c r="I163" s="30" t="str">
        <f>IFERROR(INDEX(Prospectos!$N$2:$N$288,MATCH($A163,Prospectos!$A$2:$A$288,0)),"")</f>
        <v>Movimiento de áridos, premoldeados, equipos de planta/cantera, moldes, bolsones y materiales de obra.</v>
      </c>
      <c r="J163" s="30" t="str">
        <f>IFERROR(INDEX(Prospectos!$AJ$2:$AJ$288,MATCH($A163,Prospectos!$A$2:$A$288,0)),"")</f>
        <v>Alta</v>
      </c>
      <c r="K163" s="31"/>
    </row>
    <row r="164" spans="1:11" ht="33.950000000000003" customHeight="1">
      <c r="A164" s="3" t="s">
        <v>222</v>
      </c>
      <c r="B164" s="3" t="str">
        <f>IFERROR(INDEX(Prospectos!$F$2:$F$288,MATCH($A164,Prospectos!$A$2:$A$288,0)),"")</f>
        <v>C</v>
      </c>
      <c r="C164" s="3" t="str">
        <f>IFERROR(INDEX(Prospectos!$H$2:$H$288,MATCH($A164,Prospectos!$A$2:$A$288,0)),"")</f>
        <v>CESOPOL Oncativo</v>
      </c>
      <c r="D164" s="3" t="str">
        <f>IFERROR(INDEX(Prospectos!$J$2:$J$288,MATCH($A164,Prospectos!$A$2:$A$288,0)),"")</f>
        <v>Agro, acopio y cooperativas</v>
      </c>
      <c r="E164" s="3" t="str">
        <f>IFERROR(INDEX(Prospectos!$C$2:$C$288,MATCH($A164,Prospectos!$A$2:$A$288,0)),"")</f>
        <v>Oncativo / RN9-RP10</v>
      </c>
      <c r="F164" s="3" t="str">
        <f>IFERROR(INDEX(Prospectos!$E$2:$E$288,MATCH($A164,Prospectos!$A$2:$A$288,0)),"")</f>
        <v>Oncativo</v>
      </c>
      <c r="G164" s="3" t="str">
        <f>IFERROR(INDEX(Prospectos!$K$2:$K$288,MATCH($A164,Prospectos!$A$2:$A$288,0)),"")</f>
        <v>03572 455000 / +54 9 3572 593391</v>
      </c>
      <c r="H164" s="3" t="str">
        <f>IFERROR(INDEX(Prospectos!$M$2:$M$288,MATCH($A164,Prospectos!$A$2:$A$288,0)),"")</f>
        <v>mantenimiento / redes / compras</v>
      </c>
      <c r="I164" s="3" t="str">
        <f>IFERROR(INDEX(Prospectos!$N$2:$N$288,MATCH($A164,Prospectos!$A$2:$A$288,0)),"")</f>
        <v>Traslado de insumos, pallets, fertilizantes, repuestos pesados, silos/equipos y apoyo de mantenimiento en planta.</v>
      </c>
      <c r="J164" s="3" t="str">
        <f>IFERROR(INDEX(Prospectos!$AJ$2:$AJ$288,MATCH($A164,Prospectos!$A$2:$A$288,0)),"")</f>
        <v>Media</v>
      </c>
      <c r="K164" s="29"/>
    </row>
    <row r="165" spans="1:11" ht="33.950000000000003" customHeight="1">
      <c r="A165" s="23" t="s">
        <v>223</v>
      </c>
      <c r="B165" s="23" t="str">
        <f>IFERROR(INDEX(Prospectos!$F$2:$F$288,MATCH($A165,Prospectos!$A$2:$A$288,0)),"")</f>
        <v>A</v>
      </c>
      <c r="C165" s="23" t="str">
        <f>IFERROR(INDEX(Prospectos!$H$2:$H$288,MATCH($A165,Prospectos!$A$2:$A$288,0)),"")</f>
        <v>Cotagro — Alcira Gigena</v>
      </c>
      <c r="D165" s="23" t="str">
        <f>IFERROR(INDEX(Prospectos!$J$2:$J$288,MATCH($A165,Prospectos!$A$2:$A$288,0)),"")</f>
        <v>Agroindustria y alimentos</v>
      </c>
      <c r="E165" s="23" t="str">
        <f>IFERROR(INDEX(Prospectos!$C$2:$C$288,MATCH($A165,Prospectos!$A$2:$A$288,0)),"")</f>
        <v>Río Cuarto / RN36 sur</v>
      </c>
      <c r="F165" s="23" t="str">
        <f>IFERROR(INDEX(Prospectos!$E$2:$E$288,MATCH($A165,Prospectos!$A$2:$A$288,0)),"")</f>
        <v>Alcira Gigena</v>
      </c>
      <c r="G165" s="23" t="str">
        <f>IFERROR(INDEX(Prospectos!$K$2:$K$288,MATCH($A165,Prospectos!$A$2:$A$288,0)),"")</f>
        <v>358 4393127 / 358 4125695 / 0358 4933333</v>
      </c>
      <c r="H165" s="23" t="str">
        <f>IFERROR(INDEX(Prospectos!$M$2:$M$288,MATCH($A165,Prospectos!$A$2:$A$288,0)),"")</f>
        <v>operaciones / entregas</v>
      </c>
      <c r="I165" s="23" t="str">
        <f>IFERROR(INDEX(Prospectos!$N$2:$N$288,MATCH($A165,Prospectos!$A$2:$A$288,0)),"")</f>
        <v>Traslado de equipos de planta, silos, repuestos pesados, balanzas, implementos y cargas especiales.</v>
      </c>
      <c r="J165" s="23" t="str">
        <f>IFERROR(INDEX(Prospectos!$AJ$2:$AJ$288,MATCH($A165,Prospectos!$A$2:$A$288,0)),"")</f>
        <v>Muy alta</v>
      </c>
      <c r="K165" s="29"/>
    </row>
    <row r="166" spans="1:11" ht="33.950000000000003" customHeight="1">
      <c r="A166" s="3" t="s">
        <v>224</v>
      </c>
      <c r="B166" s="3" t="str">
        <f>IFERROR(INDEX(Prospectos!$F$2:$F$288,MATCH($A166,Prospectos!$A$2:$A$288,0)),"")</f>
        <v>A</v>
      </c>
      <c r="C166" s="3" t="str">
        <f>IFERROR(INDEX(Prospectos!$H$2:$H$288,MATCH($A166,Prospectos!$A$2:$A$288,0)),"")</f>
        <v>Tecno Mac S.R.L.</v>
      </c>
      <c r="D166" s="3" t="str">
        <f>IFERROR(INDEX(Prospectos!$J$2:$J$288,MATCH($A166,Prospectos!$A$2:$A$288,0)),"")</f>
        <v>Maquinaria agrícola</v>
      </c>
      <c r="E166" s="3" t="str">
        <f>IFERROR(INDEX(Prospectos!$C$2:$C$288,MATCH($A166,Prospectos!$A$2:$A$288,0)),"")</f>
        <v>Río Cuarto / RN36 sur</v>
      </c>
      <c r="F166" s="3" t="str">
        <f>IFERROR(INDEX(Prospectos!$E$2:$E$288,MATCH($A166,Prospectos!$A$2:$A$288,0)),"")</f>
        <v>Alcira Gigena</v>
      </c>
      <c r="G166" s="3" t="str">
        <f>IFERROR(INDEX(Prospectos!$K$2:$K$288,MATCH($A166,Prospectos!$A$2:$A$288,0)),"")</f>
        <v>+54 9 358 4960187</v>
      </c>
      <c r="H166" s="3" t="str">
        <f>IFERROR(INDEX(Prospectos!$M$2:$M$288,MATCH($A166,Prospectos!$A$2:$A$288,0)),"")</f>
        <v>logística / ventas / postventa</v>
      </c>
      <c r="I166" s="3" t="str">
        <f>IFERROR(INDEX(Prospectos!$N$2:$N$288,MATCH($A166,Prospectos!$A$2:$A$288,0)),"")</f>
        <v>Entrega y retiro de tractores, cosechadoras, pulverizadoras, sembradoras e implementos; movimientos por venta, service, canje, demostraciones o ferias.</v>
      </c>
      <c r="J166" s="3" t="str">
        <f>IFERROR(INDEX(Prospectos!$AJ$2:$AJ$288,MATCH($A166,Prospectos!$A$2:$A$288,0)),"")</f>
        <v>Muy alta</v>
      </c>
      <c r="K166" s="29"/>
    </row>
    <row r="167" spans="1:11" ht="33.950000000000003" customHeight="1">
      <c r="A167" s="23" t="s">
        <v>225</v>
      </c>
      <c r="B167" s="23" t="str">
        <f>IFERROR(INDEX(Prospectos!$F$2:$F$288,MATCH($A167,Prospectos!$A$2:$A$288,0)),"")</f>
        <v>A</v>
      </c>
      <c r="C167" s="23" t="str">
        <f>IFERROR(INDEX(Prospectos!$H$2:$H$288,MATCH($A167,Prospectos!$A$2:$A$288,0)),"")</f>
        <v>M y G Maquinarias S.R.L.</v>
      </c>
      <c r="D167" s="23" t="str">
        <f>IFERROR(INDEX(Prospectos!$J$2:$J$288,MATCH($A167,Prospectos!$A$2:$A$288,0)),"")</f>
        <v>Maquinaria agrícola</v>
      </c>
      <c r="E167" s="23" t="str">
        <f>IFERROR(INDEX(Prospectos!$C$2:$C$288,MATCH($A167,Prospectos!$A$2:$A$288,0)),"")</f>
        <v>Río Cuarto / RN36 sur</v>
      </c>
      <c r="F167" s="23" t="str">
        <f>IFERROR(INDEX(Prospectos!$E$2:$E$288,MATCH($A167,Prospectos!$A$2:$A$288,0)),"")</f>
        <v>Alcira Gigena</v>
      </c>
      <c r="G167" s="23" t="str">
        <f>IFERROR(INDEX(Prospectos!$K$2:$K$288,MATCH($A167,Prospectos!$A$2:$A$288,0)),"")</f>
        <v>+54 9 3584 255555</v>
      </c>
      <c r="H167" s="23" t="str">
        <f>IFERROR(INDEX(Prospectos!$M$2:$M$288,MATCH($A167,Prospectos!$A$2:$A$288,0)),"")</f>
        <v>logística / ventas / postventa</v>
      </c>
      <c r="I167" s="23" t="str">
        <f>IFERROR(INDEX(Prospectos!$N$2:$N$288,MATCH($A167,Prospectos!$A$2:$A$288,0)),"")</f>
        <v>Entrega y retiro de tractores, cosechadoras, pulverizadoras, sembradoras e implementos; movimientos por venta, service, canje, demostraciones o ferias.</v>
      </c>
      <c r="J167" s="23" t="str">
        <f>IFERROR(INDEX(Prospectos!$AJ$2:$AJ$288,MATCH($A167,Prospectos!$A$2:$A$288,0)),"")</f>
        <v>Alta</v>
      </c>
      <c r="K167" s="29"/>
    </row>
    <row r="168" spans="1:11" ht="33.950000000000003" customHeight="1">
      <c r="A168" s="3" t="s">
        <v>226</v>
      </c>
      <c r="B168" s="3" t="str">
        <f>IFERROR(INDEX(Prospectos!$F$2:$F$288,MATCH($A168,Prospectos!$A$2:$A$288,0)),"")</f>
        <v>B</v>
      </c>
      <c r="C168" s="3" t="str">
        <f>IFERROR(INDEX(Prospectos!$H$2:$H$288,MATCH($A168,Prospectos!$A$2:$A$288,0)),"")</f>
        <v>Cooperativa Alba de Gigena</v>
      </c>
      <c r="D168" s="3" t="str">
        <f>IFERROR(INDEX(Prospectos!$J$2:$J$288,MATCH($A168,Prospectos!$A$2:$A$288,0)),"")</f>
        <v>Agro, acopio y cooperativas</v>
      </c>
      <c r="E168" s="3" t="str">
        <f>IFERROR(INDEX(Prospectos!$C$2:$C$288,MATCH($A168,Prospectos!$A$2:$A$288,0)),"")</f>
        <v>Río Cuarto / RN36 sur</v>
      </c>
      <c r="F168" s="3" t="str">
        <f>IFERROR(INDEX(Prospectos!$E$2:$E$288,MATCH($A168,Prospectos!$A$2:$A$288,0)),"")</f>
        <v>Alcira Gigena</v>
      </c>
      <c r="G168" s="3" t="str">
        <f>IFERROR(INDEX(Prospectos!$K$2:$K$288,MATCH($A168,Prospectos!$A$2:$A$288,0)),"")</f>
        <v>0358 4960151</v>
      </c>
      <c r="H168" s="3" t="str">
        <f>IFERROR(INDEX(Prospectos!$M$2:$M$288,MATCH($A168,Prospectos!$A$2:$A$288,0)),"")</f>
        <v>responsable de acopio / mantenimiento</v>
      </c>
      <c r="I168" s="3" t="str">
        <f>IFERROR(INDEX(Prospectos!$N$2:$N$288,MATCH($A168,Prospectos!$A$2:$A$288,0)),"")</f>
        <v>Traslado de equipos de planta, silos, repuestos pesados, balanzas, implementos y cargas especiales.</v>
      </c>
      <c r="J168" s="3" t="str">
        <f>IFERROR(INDEX(Prospectos!$AJ$2:$AJ$288,MATCH($A168,Prospectos!$A$2:$A$288,0)),"")</f>
        <v>Alta</v>
      </c>
      <c r="K168" s="29"/>
    </row>
    <row r="169" spans="1:11" ht="33.950000000000003" customHeight="1">
      <c r="A169" s="23" t="s">
        <v>227</v>
      </c>
      <c r="B169" s="23" t="str">
        <f>IFERROR(INDEX(Prospectos!$F$2:$F$288,MATCH($A169,Prospectos!$A$2:$A$288,0)),"")</f>
        <v>B</v>
      </c>
      <c r="C169" s="23" t="str">
        <f>IFERROR(INDEX(Prospectos!$H$2:$H$288,MATCH($A169,Prospectos!$A$2:$A$288,0)),"")</f>
        <v>Daniotti Maquinarias</v>
      </c>
      <c r="D169" s="23" t="str">
        <f>IFERROR(INDEX(Prospectos!$J$2:$J$288,MATCH($A169,Prospectos!$A$2:$A$288,0)),"")</f>
        <v>Maquinaria agrícola</v>
      </c>
      <c r="E169" s="23" t="str">
        <f>IFERROR(INDEX(Prospectos!$C$2:$C$288,MATCH($A169,Prospectos!$A$2:$A$288,0)),"")</f>
        <v>Río Cuarto / RN36 sur</v>
      </c>
      <c r="F169" s="23" t="str">
        <f>IFERROR(INDEX(Prospectos!$E$2:$E$288,MATCH($A169,Prospectos!$A$2:$A$288,0)),"")</f>
        <v>Alcira Gigena</v>
      </c>
      <c r="G169" s="23" t="str">
        <f>IFERROR(INDEX(Prospectos!$K$2:$K$288,MATCH($A169,Prospectos!$A$2:$A$288,0)),"")</f>
        <v>0358 4960939</v>
      </c>
      <c r="H169" s="23" t="str">
        <f>IFERROR(INDEX(Prospectos!$M$2:$M$288,MATCH($A169,Prospectos!$A$2:$A$288,0)),"")</f>
        <v>logística / ventas / postventa</v>
      </c>
      <c r="I169" s="23" t="str">
        <f>IFERROR(INDEX(Prospectos!$N$2:$N$288,MATCH($A169,Prospectos!$A$2:$A$288,0)),"")</f>
        <v>Entrega y retiro de tractores, cosechadoras, pulverizadoras, sembradoras e implementos; movimientos por venta, service, canje, demostraciones o ferias.</v>
      </c>
      <c r="J169" s="23" t="str">
        <f>IFERROR(INDEX(Prospectos!$AJ$2:$AJ$288,MATCH($A169,Prospectos!$A$2:$A$288,0)),"")</f>
        <v>Media</v>
      </c>
      <c r="K169" s="29"/>
    </row>
    <row r="170" spans="1:11" ht="33.950000000000003" customHeight="1">
      <c r="A170" s="3" t="s">
        <v>228</v>
      </c>
      <c r="B170" s="3" t="str">
        <f>IFERROR(INDEX(Prospectos!$F$2:$F$288,MATCH($A170,Prospectos!$A$2:$A$288,0)),"")</f>
        <v>C</v>
      </c>
      <c r="C170" s="3" t="str">
        <f>IFERROR(INDEX(Prospectos!$H$2:$H$288,MATCH($A170,Prospectos!$A$2:$A$288,0)),"")</f>
        <v>3C Biogás S.A.</v>
      </c>
      <c r="D170" s="3" t="str">
        <f>IFERROR(INDEX(Prospectos!$J$2:$J$288,MATCH($A170,Prospectos!$A$2:$A$288,0)),"")</f>
        <v>Industria y mantenimiento</v>
      </c>
      <c r="E170" s="3" t="str">
        <f>IFERROR(INDEX(Prospectos!$C$2:$C$288,MATCH($A170,Prospectos!$A$2:$A$288,0)),"")</f>
        <v>Río Cuarto / RN36 sur</v>
      </c>
      <c r="F170" s="3" t="str">
        <f>IFERROR(INDEX(Prospectos!$E$2:$E$288,MATCH($A170,Prospectos!$A$2:$A$288,0)),"")</f>
        <v>Alcira Gigena</v>
      </c>
      <c r="G170" s="3" t="str">
        <f>IFERROR(INDEX(Prospectos!$K$2:$K$288,MATCH($A170,Prospectos!$A$2:$A$288,0)),"")</f>
        <v>A relevar</v>
      </c>
      <c r="H170" s="3" t="str">
        <f>IFERROR(INDEX(Prospectos!$M$2:$M$288,MATCH($A170,Prospectos!$A$2:$A$288,0)),"")</f>
        <v>despacho / producción</v>
      </c>
      <c r="I170" s="3" t="str">
        <f>IFERROR(INDEX(Prospectos!$N$2:$N$288,MATCH($A170,Prospectos!$A$2:$A$288,0)),"")</f>
        <v>Movimientos especiales de mantenimiento, repuestos pesados y mudanzas internas de equipos.</v>
      </c>
      <c r="J170" s="3" t="str">
        <f>IFERROR(INDEX(Prospectos!$AJ$2:$AJ$288,MATCH($A170,Prospectos!$A$2:$A$288,0)),"")</f>
        <v>Baja / visitar solo por cercanía</v>
      </c>
      <c r="K170" s="29"/>
    </row>
    <row r="171" spans="1:11" ht="33.950000000000003" customHeight="1">
      <c r="A171" s="23" t="s">
        <v>229</v>
      </c>
      <c r="B171" s="23" t="str">
        <f>IFERROR(INDEX(Prospectos!$F$2:$F$288,MATCH($A171,Prospectos!$A$2:$A$288,0)),"")</f>
        <v>A</v>
      </c>
      <c r="C171" s="23" t="str">
        <f>IFERROR(INDEX(Prospectos!$H$2:$H$288,MATCH($A171,Prospectos!$A$2:$A$288,0)),"")</f>
        <v>Nicola Hnos.</v>
      </c>
      <c r="D171" s="23" t="str">
        <f>IFERROR(INDEX(Prospectos!$J$2:$J$288,MATCH($A171,Prospectos!$A$2:$A$288,0)),"")</f>
        <v>Maquinaria agrícola</v>
      </c>
      <c r="E171" s="23" t="str">
        <f>IFERROR(INDEX(Prospectos!$C$2:$C$288,MATCH($A171,Prospectos!$A$2:$A$288,0)),"")</f>
        <v>Río Cuarto / RN36 sur</v>
      </c>
      <c r="F171" s="23" t="str">
        <f>IFERROR(INDEX(Prospectos!$E$2:$E$288,MATCH($A171,Prospectos!$A$2:$A$288,0)),"")</f>
        <v>Berrotarán</v>
      </c>
      <c r="G171" s="23" t="str">
        <f>IFERROR(INDEX(Prospectos!$K$2:$K$288,MATCH($A171,Prospectos!$A$2:$A$288,0)),"")</f>
        <v>0358 4940580 / 0358 4942582</v>
      </c>
      <c r="H171" s="23" t="str">
        <f>IFERROR(INDEX(Prospectos!$M$2:$M$288,MATCH($A171,Prospectos!$A$2:$A$288,0)),"")</f>
        <v>logística / ventas / postventa</v>
      </c>
      <c r="I171" s="23" t="str">
        <f>IFERROR(INDEX(Prospectos!$N$2:$N$288,MATCH($A171,Prospectos!$A$2:$A$288,0)),"")</f>
        <v>Entrega y retiro de tractores, cosechadoras, pulverizadoras, sembradoras e implementos; movimientos por venta, service, canje, demostraciones o ferias.</v>
      </c>
      <c r="J171" s="23" t="str">
        <f>IFERROR(INDEX(Prospectos!$AJ$2:$AJ$288,MATCH($A171,Prospectos!$A$2:$A$288,0)),"")</f>
        <v>Alta</v>
      </c>
      <c r="K171" s="29"/>
    </row>
    <row r="172" spans="1:11" ht="33.950000000000003" customHeight="1">
      <c r="A172" s="3" t="s">
        <v>230</v>
      </c>
      <c r="B172" s="3" t="str">
        <f>IFERROR(INDEX(Prospectos!$F$2:$F$288,MATCH($A172,Prospectos!$A$2:$A$288,0)),"")</f>
        <v>B</v>
      </c>
      <c r="C172" s="3" t="str">
        <f>IFERROR(INDEX(Prospectos!$H$2:$H$288,MATCH($A172,Prospectos!$A$2:$A$288,0)),"")</f>
        <v>Doble A Servicios Metalúrgicos</v>
      </c>
      <c r="D172" s="3" t="str">
        <f>IFERROR(INDEX(Prospectos!$J$2:$J$288,MATCH($A172,Prospectos!$A$2:$A$288,0)),"")</f>
        <v>Metalúrgica y fabricación</v>
      </c>
      <c r="E172" s="3" t="str">
        <f>IFERROR(INDEX(Prospectos!$C$2:$C$288,MATCH($A172,Prospectos!$A$2:$A$288,0)),"")</f>
        <v>Río Cuarto / RN36 sur</v>
      </c>
      <c r="F172" s="3" t="str">
        <f>IFERROR(INDEX(Prospectos!$E$2:$E$288,MATCH($A172,Prospectos!$A$2:$A$288,0)),"")</f>
        <v>Berrotarán</v>
      </c>
      <c r="G172" s="3" t="str">
        <f>IFERROR(INDEX(Prospectos!$K$2:$K$288,MATCH($A172,Prospectos!$A$2:$A$288,0)),"")</f>
        <v>358 4185826</v>
      </c>
      <c r="H172" s="3" t="str">
        <f>IFERROR(INDEX(Prospectos!$M$2:$M$288,MATCH($A172,Prospectos!$A$2:$A$288,0)),"")</f>
        <v>despacho / producción</v>
      </c>
      <c r="I172" s="3" t="str">
        <f>IFERROR(INDEX(Prospectos!$N$2:$N$288,MATCH($A172,Prospectos!$A$2:$A$288,0)),"")</f>
        <v>Despacho seguro de estructuras, carrozados, tanques, piezas industriales y equipos sobre plataforma.</v>
      </c>
      <c r="J172" s="3" t="str">
        <f>IFERROR(INDEX(Prospectos!$AJ$2:$AJ$288,MATCH($A172,Prospectos!$A$2:$A$288,0)),"")</f>
        <v>Alta</v>
      </c>
      <c r="K172" s="29"/>
    </row>
    <row r="173" spans="1:11" ht="33.950000000000003" customHeight="1">
      <c r="A173" s="23" t="s">
        <v>231</v>
      </c>
      <c r="B173" s="23" t="str">
        <f>IFERROR(INDEX(Prospectos!$F$2:$F$288,MATCH($A173,Prospectos!$A$2:$A$288,0)),"")</f>
        <v>C</v>
      </c>
      <c r="C173" s="23" t="str">
        <f>IFERROR(INDEX(Prospectos!$H$2:$H$288,MATCH($A173,Prospectos!$A$2:$A$288,0)),"")</f>
        <v>Canteras/corralones locales</v>
      </c>
      <c r="D173" s="23" t="str">
        <f>IFERROR(INDEX(Prospectos!$J$2:$J$288,MATCH($A173,Prospectos!$A$2:$A$288,0)),"")</f>
        <v>Hormigón, áridos y materiales</v>
      </c>
      <c r="E173" s="23" t="str">
        <f>IFERROR(INDEX(Prospectos!$C$2:$C$288,MATCH($A173,Prospectos!$A$2:$A$288,0)),"")</f>
        <v>Río Cuarto / RN36 sur</v>
      </c>
      <c r="F173" s="23" t="str">
        <f>IFERROR(INDEX(Prospectos!$E$2:$E$288,MATCH($A173,Prospectos!$A$2:$A$288,0)),"")</f>
        <v>Berrotarán</v>
      </c>
      <c r="G173" s="23" t="str">
        <f>IFERROR(INDEX(Prospectos!$K$2:$K$288,MATCH($A173,Prospectos!$A$2:$A$288,0)),"")</f>
        <v>A relevar</v>
      </c>
      <c r="H173" s="23" t="str">
        <f>IFERROR(INDEX(Prospectos!$M$2:$M$288,MATCH($A173,Prospectos!$A$2:$A$288,0)),"")</f>
        <v>planta / mantenimiento</v>
      </c>
      <c r="I173" s="23" t="str">
        <f>IFERROR(INDEX(Prospectos!$N$2:$N$288,MATCH($A173,Prospectos!$A$2:$A$288,0)),"")</f>
        <v>Movimiento de premoldeados, equipos de planta/cantera, bombas, moldes y cargas pesadas.</v>
      </c>
      <c r="J173" s="23" t="str">
        <f>IFERROR(INDEX(Prospectos!$AJ$2:$AJ$288,MATCH($A173,Prospectos!$A$2:$A$288,0)),"")</f>
        <v>Baja / visitar solo por cercanía</v>
      </c>
      <c r="K173" s="29"/>
    </row>
    <row r="174" spans="1:11" ht="33.950000000000003" customHeight="1">
      <c r="A174" s="7" t="s">
        <v>232</v>
      </c>
      <c r="B174" s="7" t="str">
        <f>IFERROR(INDEX(Prospectos!$F$2:$F$288,MATCH($A174,Prospectos!$A$2:$A$288,0)),"")</f>
        <v>B</v>
      </c>
      <c r="C174" s="7" t="str">
        <f>IFERROR(INDEX(Prospectos!$H$2:$H$288,MATCH($A174,Prospectos!$A$2:$A$288,0)),"")</f>
        <v>Cotagro — Sucursal Chucul</v>
      </c>
      <c r="D174" s="7" t="str">
        <f>IFERROR(INDEX(Prospectos!$J$2:$J$288,MATCH($A174,Prospectos!$A$2:$A$288,0)),"")</f>
        <v>Agro, acopio y cooperativas</v>
      </c>
      <c r="E174" s="7" t="str">
        <f>IFERROR(INDEX(Prospectos!$C$2:$C$288,MATCH($A174,Prospectos!$A$2:$A$288,0)),"")</f>
        <v>Río Cuarto / RN36 sur</v>
      </c>
      <c r="F174" s="7" t="str">
        <f>IFERROR(INDEX(Prospectos!$E$2:$E$288,MATCH($A174,Prospectos!$A$2:$A$288,0)),"")</f>
        <v>Chucul</v>
      </c>
      <c r="G174" s="7" t="str">
        <f>IFERROR(INDEX(Prospectos!$K$2:$K$288,MATCH($A174,Prospectos!$A$2:$A$288,0)),"")</f>
        <v>0358 4912008 / 0358 4933333</v>
      </c>
      <c r="H174" s="7" t="str">
        <f>IFERROR(INDEX(Prospectos!$M$2:$M$288,MATCH($A174,Prospectos!$A$2:$A$288,0)),"")</f>
        <v>responsable de acopio / mantenimiento</v>
      </c>
      <c r="I174" s="7" t="str">
        <f>IFERROR(INDEX(Prospectos!$N$2:$N$288,MATCH($A174,Prospectos!$A$2:$A$288,0)),"")</f>
        <v>Traslado de equipos de planta, silos, repuestos pesados, balanzas, implementos y cargas especiales.</v>
      </c>
      <c r="J174" s="7" t="str">
        <f>IFERROR(INDEX(Prospectos!$AJ$2:$AJ$288,MATCH($A174,Prospectos!$A$2:$A$288,0)),"")</f>
        <v>Alta</v>
      </c>
      <c r="K174" s="29"/>
    </row>
    <row r="175" spans="1:11" ht="33.950000000000003" customHeight="1">
      <c r="A175" s="23" t="s">
        <v>233</v>
      </c>
      <c r="B175" s="23" t="str">
        <f>IFERROR(INDEX(Prospectos!$F$2:$F$288,MATCH($A175,Prospectos!$A$2:$A$288,0)),"")</f>
        <v>A</v>
      </c>
      <c r="C175" s="23" t="str">
        <f>IFERROR(INDEX(Prospectos!$H$2:$H$288,MATCH($A175,Prospectos!$A$2:$A$288,0)),"")</f>
        <v>CAGLE — Cooperativa Agrícola de Elena</v>
      </c>
      <c r="D175" s="23" t="str">
        <f>IFERROR(INDEX(Prospectos!$J$2:$J$288,MATCH($A175,Prospectos!$A$2:$A$288,0)),"")</f>
        <v>Agro, acopio y cooperativas</v>
      </c>
      <c r="E175" s="23" t="str">
        <f>IFERROR(INDEX(Prospectos!$C$2:$C$288,MATCH($A175,Prospectos!$A$2:$A$288,0)),"")</f>
        <v>Río Cuarto / RN36 sur</v>
      </c>
      <c r="F175" s="23" t="str">
        <f>IFERROR(INDEX(Prospectos!$E$2:$E$288,MATCH($A175,Prospectos!$A$2:$A$288,0)),"")</f>
        <v>Elena</v>
      </c>
      <c r="G175" s="23" t="str">
        <f>IFERROR(INDEX(Prospectos!$K$2:$K$288,MATCH($A175,Prospectos!$A$2:$A$288,0)),"")</f>
        <v>3584 881118</v>
      </c>
      <c r="H175" s="23" t="str">
        <f>IFERROR(INDEX(Prospectos!$M$2:$M$288,MATCH($A175,Prospectos!$A$2:$A$288,0)),"")</f>
        <v>operaciones / entregas</v>
      </c>
      <c r="I175" s="23" t="str">
        <f>IFERROR(INDEX(Prospectos!$N$2:$N$288,MATCH($A175,Prospectos!$A$2:$A$288,0)),"")</f>
        <v>Traslado de equipos de planta, silos, repuestos pesados, balanzas, implementos y cargas especiales.</v>
      </c>
      <c r="J175" s="23" t="str">
        <f>IFERROR(INDEX(Prospectos!$AJ$2:$AJ$288,MATCH($A175,Prospectos!$A$2:$A$288,0)),"")</f>
        <v>Muy alta</v>
      </c>
      <c r="K175" s="29"/>
    </row>
    <row r="176" spans="1:11" ht="33.950000000000003" customHeight="1">
      <c r="A176" s="7" t="s">
        <v>234</v>
      </c>
      <c r="B176" s="7" t="str">
        <f>IFERROR(INDEX(Prospectos!$F$2:$F$288,MATCH($A176,Prospectos!$A$2:$A$288,0)),"")</f>
        <v>A</v>
      </c>
      <c r="C176" s="7" t="str">
        <f>IFERROR(INDEX(Prospectos!$H$2:$H$288,MATCH($A176,Prospectos!$A$2:$A$288,0)),"")</f>
        <v>Agro Elena</v>
      </c>
      <c r="D176" s="7" t="str">
        <f>IFERROR(INDEX(Prospectos!$J$2:$J$288,MATCH($A176,Prospectos!$A$2:$A$288,0)),"")</f>
        <v>Maquinaria agrícola</v>
      </c>
      <c r="E176" s="7" t="str">
        <f>IFERROR(INDEX(Prospectos!$C$2:$C$288,MATCH($A176,Prospectos!$A$2:$A$288,0)),"")</f>
        <v>Río Cuarto / RN36 sur</v>
      </c>
      <c r="F176" s="7" t="str">
        <f>IFERROR(INDEX(Prospectos!$E$2:$E$288,MATCH($A176,Prospectos!$A$2:$A$288,0)),"")</f>
        <v>Elena</v>
      </c>
      <c r="G176" s="7" t="str">
        <f>IFERROR(INDEX(Prospectos!$K$2:$K$288,MATCH($A176,Prospectos!$A$2:$A$288,0)),"")</f>
        <v>03584 012336</v>
      </c>
      <c r="H176" s="7" t="str">
        <f>IFERROR(INDEX(Prospectos!$M$2:$M$288,MATCH($A176,Prospectos!$A$2:$A$288,0)),"")</f>
        <v>logística / ventas / postventa</v>
      </c>
      <c r="I176" s="7" t="str">
        <f>IFERROR(INDEX(Prospectos!$N$2:$N$288,MATCH($A176,Prospectos!$A$2:$A$288,0)),"")</f>
        <v>Entrega y retiro de tractores, cosechadoras, pulverizadoras, sembradoras e implementos; movimientos por venta, service, canje, demostraciones o ferias.</v>
      </c>
      <c r="J176" s="7" t="str">
        <f>IFERROR(INDEX(Prospectos!$AJ$2:$AJ$288,MATCH($A176,Prospectos!$A$2:$A$288,0)),"")</f>
        <v>Alta</v>
      </c>
      <c r="K176" s="29"/>
    </row>
    <row r="177" spans="1:11" ht="33.950000000000003" customHeight="1">
      <c r="A177" s="23" t="s">
        <v>235</v>
      </c>
      <c r="B177" s="23" t="str">
        <f>IFERROR(INDEX(Prospectos!$F$2:$F$288,MATCH($A177,Prospectos!$A$2:$A$288,0)),"")</f>
        <v>B</v>
      </c>
      <c r="C177" s="23" t="str">
        <f>IFERROR(INDEX(Prospectos!$H$2:$H$288,MATCH($A177,Prospectos!$A$2:$A$288,0)),"")</f>
        <v>Gliestore S.A.</v>
      </c>
      <c r="D177" s="23" t="str">
        <f>IFERROR(INDEX(Prospectos!$J$2:$J$288,MATCH($A177,Prospectos!$A$2:$A$288,0)),"")</f>
        <v>Agroindustria y alimentos</v>
      </c>
      <c r="E177" s="23" t="str">
        <f>IFERROR(INDEX(Prospectos!$C$2:$C$288,MATCH($A177,Prospectos!$A$2:$A$288,0)),"")</f>
        <v>Río Cuarto / RN36 sur</v>
      </c>
      <c r="F177" s="23" t="str">
        <f>IFERROR(INDEX(Prospectos!$E$2:$E$288,MATCH($A177,Prospectos!$A$2:$A$288,0)),"")</f>
        <v>Elena</v>
      </c>
      <c r="G177" s="23" t="str">
        <f>IFERROR(INDEX(Prospectos!$K$2:$K$288,MATCH($A177,Prospectos!$A$2:$A$288,0)),"")</f>
        <v>0358 4641548 / 9358 4024598</v>
      </c>
      <c r="H177" s="23" t="str">
        <f>IFERROR(INDEX(Prospectos!$M$2:$M$288,MATCH($A177,Prospectos!$A$2:$A$288,0)),"")</f>
        <v>responsable de acopio / mantenimiento</v>
      </c>
      <c r="I177" s="23" t="str">
        <f>IFERROR(INDEX(Prospectos!$N$2:$N$288,MATCH($A177,Prospectos!$A$2:$A$288,0)),"")</f>
        <v>Movimientos especiales de mantenimiento, repuestos pesados y mudanzas internas de equipos.</v>
      </c>
      <c r="J177" s="23" t="str">
        <f>IFERROR(INDEX(Prospectos!$AJ$2:$AJ$288,MATCH($A177,Prospectos!$A$2:$A$288,0)),"")</f>
        <v>Alta</v>
      </c>
      <c r="K177" s="29"/>
    </row>
    <row r="178" spans="1:11" ht="33.950000000000003" customHeight="1">
      <c r="A178" s="3" t="s">
        <v>236</v>
      </c>
      <c r="B178" s="3" t="str">
        <f>IFERROR(INDEX(Prospectos!$F$2:$F$288,MATCH($A178,Prospectos!$A$2:$A$288,0)),"")</f>
        <v>B</v>
      </c>
      <c r="C178" s="3" t="str">
        <f>IFERROR(INDEX(Prospectos!$H$2:$H$288,MATCH($A178,Prospectos!$A$2:$A$288,0)),"")</f>
        <v>Ecocaio</v>
      </c>
      <c r="D178" s="3" t="str">
        <f>IFERROR(INDEX(Prospectos!$J$2:$J$288,MATCH($A178,Prospectos!$A$2:$A$288,0)),"")</f>
        <v>Maquinaria agrícola</v>
      </c>
      <c r="E178" s="3" t="str">
        <f>IFERROR(INDEX(Prospectos!$C$2:$C$288,MATCH($A178,Prospectos!$A$2:$A$288,0)),"")</f>
        <v>Río Cuarto / RN36 sur</v>
      </c>
      <c r="F178" s="3" t="str">
        <f>IFERROR(INDEX(Prospectos!$E$2:$E$288,MATCH($A178,Prospectos!$A$2:$A$288,0)),"")</f>
        <v>Elena</v>
      </c>
      <c r="G178" s="3" t="str">
        <f>IFERROR(INDEX(Prospectos!$K$2:$K$288,MATCH($A178,Prospectos!$A$2:$A$288,0)),"")</f>
        <v>A relevar</v>
      </c>
      <c r="H178" s="3" t="str">
        <f>IFERROR(INDEX(Prospectos!$M$2:$M$288,MATCH($A178,Prospectos!$A$2:$A$288,0)),"")</f>
        <v>logística / ventas / postventa</v>
      </c>
      <c r="I178" s="3" t="str">
        <f>IFERROR(INDEX(Prospectos!$N$2:$N$288,MATCH($A178,Prospectos!$A$2:$A$288,0)),"")</f>
        <v>Entrega y retiro de tractores, cosechadoras, pulverizadoras, sembradoras e implementos; movimientos por venta, service, canje, demostraciones o ferias.</v>
      </c>
      <c r="J178" s="3" t="str">
        <f>IFERROR(INDEX(Prospectos!$AJ$2:$AJ$288,MATCH($A178,Prospectos!$A$2:$A$288,0)),"")</f>
        <v>Media</v>
      </c>
      <c r="K178" s="29"/>
    </row>
    <row r="179" spans="1:11" ht="33.950000000000003" customHeight="1">
      <c r="A179" s="23" t="s">
        <v>237</v>
      </c>
      <c r="B179" s="23" t="str">
        <f>IFERROR(INDEX(Prospectos!$F$2:$F$288,MATCH($A179,Prospectos!$A$2:$A$288,0)),"")</f>
        <v>A</v>
      </c>
      <c r="C179" s="23" t="str">
        <f>IFERROR(INDEX(Prospectos!$H$2:$H$288,MATCH($A179,Prospectos!$A$2:$A$288,0)),"")</f>
        <v>Todo Campo S.R.L.</v>
      </c>
      <c r="D179" s="23" t="str">
        <f>IFERROR(INDEX(Prospectos!$J$2:$J$288,MATCH($A179,Prospectos!$A$2:$A$288,0)),"")</f>
        <v>Maquinaria agrícola</v>
      </c>
      <c r="E179" s="23" t="str">
        <f>IFERROR(INDEX(Prospectos!$C$2:$C$288,MATCH($A179,Prospectos!$A$2:$A$288,0)),"")</f>
        <v>Río Cuarto / RN36 sur</v>
      </c>
      <c r="F179" s="23" t="str">
        <f>IFERROR(INDEX(Prospectos!$E$2:$E$288,MATCH($A179,Prospectos!$A$2:$A$288,0)),"")</f>
        <v>Las Acequias</v>
      </c>
      <c r="G179" s="23" t="str">
        <f>IFERROR(INDEX(Prospectos!$K$2:$K$288,MATCH($A179,Prospectos!$A$2:$A$288,0)),"")</f>
        <v>0358 4890191 / 0358 4890057</v>
      </c>
      <c r="H179" s="23" t="str">
        <f>IFERROR(INDEX(Prospectos!$M$2:$M$288,MATCH($A179,Prospectos!$A$2:$A$288,0)),"")</f>
        <v>logística / entregas / usados / postventa / gerente comercial</v>
      </c>
      <c r="I179" s="23" t="str">
        <f>IFERROR(INDEX(Prospectos!$N$2:$N$288,MATCH($A179,Prospectos!$A$2:$A$288,0)),"")</f>
        <v>Entrega y retiro de tractores, cosechadoras, pulverizadoras, sembradoras e implementos; movimientos por ventas, canjes, usados, service, demostraciones y ferias.</v>
      </c>
      <c r="J179" s="23" t="str">
        <f>IFERROR(INDEX(Prospectos!$AJ$2:$AJ$288,MATCH($A179,Prospectos!$A$2:$A$288,0)),"")</f>
        <v>Alta</v>
      </c>
      <c r="K179" s="29"/>
    </row>
    <row r="180" spans="1:11" ht="33.950000000000003" customHeight="1">
      <c r="A180" s="3" t="s">
        <v>238</v>
      </c>
      <c r="B180" s="3" t="str">
        <f>IFERROR(INDEX(Prospectos!$F$2:$F$288,MATCH($A180,Prospectos!$A$2:$A$288,0)),"")</f>
        <v>B</v>
      </c>
      <c r="C180" s="3" t="str">
        <f>IFERROR(INDEX(Prospectos!$H$2:$H$288,MATCH($A180,Prospectos!$A$2:$A$288,0)),"")</f>
        <v>Parque Industrial y Logístico Las Higueras</v>
      </c>
      <c r="D180" s="3" t="str">
        <f>IFERROR(INDEX(Prospectos!$J$2:$J$288,MATCH($A180,Prospectos!$A$2:$A$288,0)),"")</f>
        <v>Institucional y parques</v>
      </c>
      <c r="E180" s="3" t="str">
        <f>IFERROR(INDEX(Prospectos!$C$2:$C$288,MATCH($A180,Prospectos!$A$2:$A$288,0)),"")</f>
        <v>Río Cuarto / RN36 sur</v>
      </c>
      <c r="F180" s="3" t="str">
        <f>IFERROR(INDEX(Prospectos!$E$2:$E$288,MATCH($A180,Prospectos!$A$2:$A$288,0)),"")</f>
        <v>Las Higueras</v>
      </c>
      <c r="G180" s="3" t="str">
        <f>IFERROR(INDEX(Prospectos!$K$2:$K$288,MATCH($A180,Prospectos!$A$2:$A$288,0)),"")</f>
        <v>A relevar vía municipio/parque</v>
      </c>
      <c r="H180" s="3" t="str">
        <f>IFERROR(INDEX(Prospectos!$M$2:$M$288,MATCH($A180,Prospectos!$A$2:$A$288,0)),"")</f>
        <v>despacho / producción</v>
      </c>
      <c r="I180" s="3" t="str">
        <f>IFERROR(INDEX(Prospectos!$N$2:$N$288,MATCH($A180,Prospectos!$A$2:$A$288,0)),"")</f>
        <v>Acceso a padrón de empresas radicadas, obras de infraestructura y derivaciones a responsables.</v>
      </c>
      <c r="J180" s="3" t="str">
        <f>IFERROR(INDEX(Prospectos!$AJ$2:$AJ$288,MATCH($A180,Prospectos!$A$2:$A$288,0)),"")</f>
        <v>Media</v>
      </c>
      <c r="K180" s="29"/>
    </row>
    <row r="181" spans="1:11" ht="33.950000000000003" customHeight="1">
      <c r="A181" s="23" t="s">
        <v>239</v>
      </c>
      <c r="B181" s="23" t="str">
        <f>IFERROR(INDEX(Prospectos!$F$2:$F$288,MATCH($A181,Prospectos!$A$2:$A$288,0)),"")</f>
        <v>A</v>
      </c>
      <c r="C181" s="23" t="str">
        <f>IFERROR(INDEX(Prospectos!$H$2:$H$288,MATCH($A181,Prospectos!$A$2:$A$288,0)),"")</f>
        <v>AFEMA S.A.</v>
      </c>
      <c r="D181" s="23" t="str">
        <f>IFERROR(INDEX(Prospectos!$J$2:$J$288,MATCH($A181,Prospectos!$A$2:$A$288,0)),"")</f>
        <v>Construcción y obra vial</v>
      </c>
      <c r="E181" s="23" t="str">
        <f>IFERROR(INDEX(Prospectos!$C$2:$C$288,MATCH($A181,Prospectos!$A$2:$A$288,0)),"")</f>
        <v>Río Cuarto / RN36 sur</v>
      </c>
      <c r="F181" s="23" t="str">
        <f>IFERROR(INDEX(Prospectos!$E$2:$E$288,MATCH($A181,Prospectos!$A$2:$A$288,0)),"")</f>
        <v>Río Cuarto</v>
      </c>
      <c r="G181" s="23" t="str">
        <f>IFERROR(INDEX(Prospectos!$K$2:$K$288,MATCH($A181,Prospectos!$A$2:$A$288,0)),"")</f>
        <v>0351 7371862</v>
      </c>
      <c r="H181" s="23" t="str">
        <f>IFERROR(INDEX(Prospectos!$M$2:$M$288,MATCH($A181,Prospectos!$A$2:$A$288,0)),"")</f>
        <v>jefe de obra / logística</v>
      </c>
      <c r="I181" s="23" t="str">
        <f>IFERROR(INDEX(Prospectos!$N$2:$N$288,MATCH($A181,Prospectos!$A$2:$A$288,0)),"")</f>
        <v>Traslado de maquinaria, módulos de obrador, estructuras, equipos y cargas pesadas entre frentes.</v>
      </c>
      <c r="J181" s="23" t="str">
        <f>IFERROR(INDEX(Prospectos!$AJ$2:$AJ$288,MATCH($A181,Prospectos!$A$2:$A$288,0)),"")</f>
        <v>Muy alta</v>
      </c>
      <c r="K181" s="29"/>
    </row>
    <row r="182" spans="1:11" ht="33.950000000000003" customHeight="1">
      <c r="A182" s="3" t="s">
        <v>240</v>
      </c>
      <c r="B182" s="3" t="str">
        <f>IFERROR(INDEX(Prospectos!$F$2:$F$288,MATCH($A182,Prospectos!$A$2:$A$288,0)),"")</f>
        <v>A</v>
      </c>
      <c r="C182" s="3" t="str">
        <f>IFERROR(INDEX(Prospectos!$H$2:$H$288,MATCH($A182,Prospectos!$A$2:$A$288,0)),"")</f>
        <v>AgroBigo Maquinarias</v>
      </c>
      <c r="D182" s="3" t="str">
        <f>IFERROR(INDEX(Prospectos!$J$2:$J$288,MATCH($A182,Prospectos!$A$2:$A$288,0)),"")</f>
        <v>Maquinaria agrícola</v>
      </c>
      <c r="E182" s="3" t="str">
        <f>IFERROR(INDEX(Prospectos!$C$2:$C$288,MATCH($A182,Prospectos!$A$2:$A$288,0)),"")</f>
        <v>Río Cuarto / RN36 sur</v>
      </c>
      <c r="F182" s="3" t="str">
        <f>IFERROR(INDEX(Prospectos!$E$2:$E$288,MATCH($A182,Prospectos!$A$2:$A$288,0)),"")</f>
        <v>Río Cuarto</v>
      </c>
      <c r="G182" s="3" t="str">
        <f>IFERROR(INDEX(Prospectos!$K$2:$K$288,MATCH($A182,Prospectos!$A$2:$A$288,0)),"")</f>
        <v>0358 4335762</v>
      </c>
      <c r="H182" s="3" t="str">
        <f>IFERROR(INDEX(Prospectos!$M$2:$M$288,MATCH($A182,Prospectos!$A$2:$A$288,0)),"")</f>
        <v>logística / entregas / usados / postventa / gerente comercial</v>
      </c>
      <c r="I182" s="3" t="str">
        <f>IFERROR(INDEX(Prospectos!$N$2:$N$288,MATCH($A182,Prospectos!$A$2:$A$288,0)),"")</f>
        <v>Entrega y retiro de tractores, cosechadoras, pulverizadoras, sembradoras e implementos; movimientos por ventas, canjes, usados, service, demostraciones y ferias.</v>
      </c>
      <c r="J182" s="3" t="str">
        <f>IFERROR(INDEX(Prospectos!$AJ$2:$AJ$288,MATCH($A182,Prospectos!$A$2:$A$288,0)),"")</f>
        <v>Muy alta</v>
      </c>
      <c r="K182" s="29"/>
    </row>
    <row r="183" spans="1:11" ht="33.950000000000003" customHeight="1">
      <c r="A183" s="23" t="s">
        <v>241</v>
      </c>
      <c r="B183" s="23" t="str">
        <f>IFERROR(INDEX(Prospectos!$F$2:$F$288,MATCH($A183,Prospectos!$A$2:$A$288,0)),"")</f>
        <v>A</v>
      </c>
      <c r="C183" s="23" t="str">
        <f>IFERROR(INDEX(Prospectos!$H$2:$H$288,MATCH($A183,Prospectos!$A$2:$A$288,0)),"")</f>
        <v>Canteras Bringas</v>
      </c>
      <c r="D183" s="23" t="str">
        <f>IFERROR(INDEX(Prospectos!$J$2:$J$288,MATCH($A183,Prospectos!$A$2:$A$288,0)),"")</f>
        <v>Hormigón, áridos y materiales</v>
      </c>
      <c r="E183" s="23" t="str">
        <f>IFERROR(INDEX(Prospectos!$C$2:$C$288,MATCH($A183,Prospectos!$A$2:$A$288,0)),"")</f>
        <v>Río Cuarto / RN36 sur</v>
      </c>
      <c r="F183" s="23" t="str">
        <f>IFERROR(INDEX(Prospectos!$E$2:$E$288,MATCH($A183,Prospectos!$A$2:$A$288,0)),"")</f>
        <v>Río Cuarto</v>
      </c>
      <c r="G183" s="23" t="str">
        <f>IFERROR(INDEX(Prospectos!$K$2:$K$288,MATCH($A183,Prospectos!$A$2:$A$288,0)),"")</f>
        <v>0358 154906010</v>
      </c>
      <c r="H183" s="23" t="str">
        <f>IFERROR(INDEX(Prospectos!$M$2:$M$288,MATCH($A183,Prospectos!$A$2:$A$288,0)),"")</f>
        <v>jefe de obra / logística</v>
      </c>
      <c r="I183" s="23" t="str">
        <f>IFERROR(INDEX(Prospectos!$N$2:$N$288,MATCH($A183,Prospectos!$A$2:$A$288,0)),"")</f>
        <v>Movimiento de premoldeados, equipos de planta/cantera, bombas, moldes y cargas pesadas.</v>
      </c>
      <c r="J183" s="23" t="str">
        <f>IFERROR(INDEX(Prospectos!$AJ$2:$AJ$288,MATCH($A183,Prospectos!$A$2:$A$288,0)),"")</f>
        <v>Muy alta</v>
      </c>
      <c r="K183" s="29"/>
    </row>
    <row r="184" spans="1:11" ht="33.950000000000003" customHeight="1">
      <c r="A184" s="3" t="s">
        <v>242</v>
      </c>
      <c r="B184" s="3" t="str">
        <f>IFERROR(INDEX(Prospectos!$F$2:$F$288,MATCH($A184,Prospectos!$A$2:$A$288,0)),"")</f>
        <v>A</v>
      </c>
      <c r="C184" s="3" t="str">
        <f>IFERROR(INDEX(Prospectos!$H$2:$H$288,MATCH($A184,Prospectos!$A$2:$A$288,0)),"")</f>
        <v>CasaContainer Río Cuarto</v>
      </c>
      <c r="D184" s="3" t="str">
        <f>IFERROR(INDEX(Prospectos!$J$2:$J$288,MATCH($A184,Prospectos!$A$2:$A$288,0)),"")</f>
        <v>Módulos y contenedores</v>
      </c>
      <c r="E184" s="3" t="str">
        <f>IFERROR(INDEX(Prospectos!$C$2:$C$288,MATCH($A184,Prospectos!$A$2:$A$288,0)),"")</f>
        <v>Río Cuarto / RN36 sur</v>
      </c>
      <c r="F184" s="3" t="str">
        <f>IFERROR(INDEX(Prospectos!$E$2:$E$288,MATCH($A184,Prospectos!$A$2:$A$288,0)),"")</f>
        <v>Río Cuarto</v>
      </c>
      <c r="G184" s="3" t="str">
        <f>IFERROR(INDEX(Prospectos!$K$2:$K$288,MATCH($A184,Prospectos!$A$2:$A$288,0)),"")</f>
        <v>0358 4310288</v>
      </c>
      <c r="H184" s="3" t="str">
        <f>IFERROR(INDEX(Prospectos!$M$2:$M$288,MATCH($A184,Prospectos!$A$2:$A$288,0)),"")</f>
        <v>operaciones / entregas</v>
      </c>
      <c r="I184" s="3" t="str">
        <f>IFERROR(INDEX(Prospectos!$N$2:$N$288,MATCH($A184,Prospectos!$A$2:$A$288,0)),"")</f>
        <v>Entrega, descarga y posicionamiento de módulos/containers en obra o cliente final.</v>
      </c>
      <c r="J184" s="3" t="str">
        <f>IFERROR(INDEX(Prospectos!$AJ$2:$AJ$288,MATCH($A184,Prospectos!$A$2:$A$288,0)),"")</f>
        <v>Muy alta</v>
      </c>
      <c r="K184" s="29"/>
    </row>
    <row r="185" spans="1:11" ht="33.950000000000003" customHeight="1">
      <c r="A185" s="23" t="s">
        <v>243</v>
      </c>
      <c r="B185" s="23" t="str">
        <f>IFERROR(INDEX(Prospectos!$F$2:$F$288,MATCH($A185,Prospectos!$A$2:$A$288,0)),"")</f>
        <v>A</v>
      </c>
      <c r="C185" s="23" t="str">
        <f>IFERROR(INDEX(Prospectos!$H$2:$H$288,MATCH($A185,Prospectos!$A$2:$A$288,0)),"")</f>
        <v>Catpro Maquinarias</v>
      </c>
      <c r="D185" s="23" t="str">
        <f>IFERROR(INDEX(Prospectos!$J$2:$J$288,MATCH($A185,Prospectos!$A$2:$A$288,0)),"")</f>
        <v>Maquinaria agrícola</v>
      </c>
      <c r="E185" s="23" t="str">
        <f>IFERROR(INDEX(Prospectos!$C$2:$C$288,MATCH($A185,Prospectos!$A$2:$A$288,0)),"")</f>
        <v>Río Cuarto / RN36 sur</v>
      </c>
      <c r="F185" s="23" t="str">
        <f>IFERROR(INDEX(Prospectos!$E$2:$E$288,MATCH($A185,Prospectos!$A$2:$A$288,0)),"")</f>
        <v>Río Cuarto</v>
      </c>
      <c r="G185" s="23" t="str">
        <f>IFERROR(INDEX(Prospectos!$K$2:$K$288,MATCH($A185,Prospectos!$A$2:$A$288,0)),"")</f>
        <v>0358 4650092 / 0358 4632206</v>
      </c>
      <c r="H185" s="23" t="str">
        <f>IFERROR(INDEX(Prospectos!$M$2:$M$288,MATCH($A185,Prospectos!$A$2:$A$288,0)),"")</f>
        <v>logística / ventas / postventa</v>
      </c>
      <c r="I185" s="23" t="str">
        <f>IFERROR(INDEX(Prospectos!$N$2:$N$288,MATCH($A185,Prospectos!$A$2:$A$288,0)),"")</f>
        <v>Entrega y retiro de tractores, cosechadoras, pulverizadoras, sembradoras e implementos; movimientos por venta, service, canje, demostraciones o ferias.</v>
      </c>
      <c r="J185" s="23" t="str">
        <f>IFERROR(INDEX(Prospectos!$AJ$2:$AJ$288,MATCH($A185,Prospectos!$A$2:$A$288,0)),"")</f>
        <v>Muy alta</v>
      </c>
      <c r="K185" s="29"/>
    </row>
    <row r="186" spans="1:11" ht="33.950000000000003" customHeight="1">
      <c r="A186" s="3" t="s">
        <v>244</v>
      </c>
      <c r="B186" s="3" t="str">
        <f>IFERROR(INDEX(Prospectos!$F$2:$F$288,MATCH($A186,Prospectos!$A$2:$A$288,0)),"")</f>
        <v>A</v>
      </c>
      <c r="C186" s="3" t="str">
        <f>IFERROR(INDEX(Prospectos!$H$2:$H$288,MATCH($A186,Prospectos!$A$2:$A$288,0)),"")</f>
        <v>Construcciones Metálicas El Colono S.A.</v>
      </c>
      <c r="D186" s="3" t="str">
        <f>IFERROR(INDEX(Prospectos!$J$2:$J$288,MATCH($A186,Prospectos!$A$2:$A$288,0)),"")</f>
        <v>Metalúrgica y fabricación</v>
      </c>
      <c r="E186" s="3" t="str">
        <f>IFERROR(INDEX(Prospectos!$C$2:$C$288,MATCH($A186,Prospectos!$A$2:$A$288,0)),"")</f>
        <v>Río Cuarto / RN36 sur</v>
      </c>
      <c r="F186" s="3" t="str">
        <f>IFERROR(INDEX(Prospectos!$E$2:$E$288,MATCH($A186,Prospectos!$A$2:$A$288,0)),"")</f>
        <v>Río Cuarto</v>
      </c>
      <c r="G186" s="3" t="str">
        <f>IFERROR(INDEX(Prospectos!$K$2:$K$288,MATCH($A186,Prospectos!$A$2:$A$288,0)),"")</f>
        <v>0358 4628525</v>
      </c>
      <c r="H186" s="3" t="str">
        <f>IFERROR(INDEX(Prospectos!$M$2:$M$288,MATCH($A186,Prospectos!$A$2:$A$288,0)),"")</f>
        <v>jefe de obra / logística</v>
      </c>
      <c r="I186" s="3" t="str">
        <f>IFERROR(INDEX(Prospectos!$N$2:$N$288,MATCH($A186,Prospectos!$A$2:$A$288,0)),"")</f>
        <v>Traslado de equipos de planta, silos, repuestos pesados, balanzas, implementos y cargas especiales.</v>
      </c>
      <c r="J186" s="3" t="str">
        <f>IFERROR(INDEX(Prospectos!$AJ$2:$AJ$288,MATCH($A186,Prospectos!$A$2:$A$288,0)),"")</f>
        <v>Muy alta</v>
      </c>
      <c r="K186" s="29"/>
    </row>
    <row r="187" spans="1:11" ht="33.950000000000003" customHeight="1">
      <c r="A187" s="23" t="s">
        <v>245</v>
      </c>
      <c r="B187" s="23" t="str">
        <f>IFERROR(INDEX(Prospectos!$F$2:$F$288,MATCH($A187,Prospectos!$A$2:$A$288,0)),"")</f>
        <v>A</v>
      </c>
      <c r="C187" s="23" t="str">
        <f>IFERROR(INDEX(Prospectos!$H$2:$H$288,MATCH($A187,Prospectos!$A$2:$A$288,0)),"")</f>
        <v>Da Ros Premoldeados</v>
      </c>
      <c r="D187" s="23" t="str">
        <f>IFERROR(INDEX(Prospectos!$J$2:$J$288,MATCH($A187,Prospectos!$A$2:$A$288,0)),"")</f>
        <v>Agro, acopio y cooperativas</v>
      </c>
      <c r="E187" s="23" t="str">
        <f>IFERROR(INDEX(Prospectos!$C$2:$C$288,MATCH($A187,Prospectos!$A$2:$A$288,0)),"")</f>
        <v>Río Cuarto / RN36 sur</v>
      </c>
      <c r="F187" s="23" t="str">
        <f>IFERROR(INDEX(Prospectos!$E$2:$E$288,MATCH($A187,Prospectos!$A$2:$A$288,0)),"")</f>
        <v>Río Cuarto</v>
      </c>
      <c r="G187" s="23" t="str">
        <f>IFERROR(INDEX(Prospectos!$K$2:$K$288,MATCH($A187,Prospectos!$A$2:$A$288,0)),"")</f>
        <v>+54 358 508-9009</v>
      </c>
      <c r="H187" s="23" t="str">
        <f>IFERROR(INDEX(Prospectos!$M$2:$M$288,MATCH($A187,Prospectos!$A$2:$A$288,0)),"")</f>
        <v>despacho / logística</v>
      </c>
      <c r="I187" s="23" t="str">
        <f>IFERROR(INDEX(Prospectos!$N$2:$N$288,MATCH($A187,Prospectos!$A$2:$A$288,0)),"")</f>
        <v>Traslado de equipos de planta, silos, repuestos pesados, balanzas, implementos y cargas especiales.</v>
      </c>
      <c r="J187" s="23" t="str">
        <f>IFERROR(INDEX(Prospectos!$AJ$2:$AJ$288,MATCH($A187,Prospectos!$A$2:$A$288,0)),"")</f>
        <v>Muy alta</v>
      </c>
      <c r="K187" s="29"/>
    </row>
    <row r="188" spans="1:11" ht="33.950000000000003" customHeight="1">
      <c r="A188" s="3" t="s">
        <v>246</v>
      </c>
      <c r="B188" s="3" t="str">
        <f>IFERROR(INDEX(Prospectos!$F$2:$F$288,MATCH($A188,Prospectos!$A$2:$A$288,0)),"")</f>
        <v>A</v>
      </c>
      <c r="C188" s="3" t="str">
        <f>IFERROR(INDEX(Prospectos!$H$2:$H$288,MATCH($A188,Prospectos!$A$2:$A$288,0)),"")</f>
        <v>Demarchi S.A.</v>
      </c>
      <c r="D188" s="3" t="str">
        <f>IFERROR(INDEX(Prospectos!$J$2:$J$288,MATCH($A188,Prospectos!$A$2:$A$288,0)),"")</f>
        <v>Maquinaria agrícola</v>
      </c>
      <c r="E188" s="3" t="str">
        <f>IFERROR(INDEX(Prospectos!$C$2:$C$288,MATCH($A188,Prospectos!$A$2:$A$288,0)),"")</f>
        <v>Río Cuarto / RN36 sur</v>
      </c>
      <c r="F188" s="3" t="str">
        <f>IFERROR(INDEX(Prospectos!$E$2:$E$288,MATCH($A188,Prospectos!$A$2:$A$288,0)),"")</f>
        <v>Río Cuarto</v>
      </c>
      <c r="G188" s="3" t="str">
        <f>IFERROR(INDEX(Prospectos!$K$2:$K$288,MATCH($A188,Prospectos!$A$2:$A$288,0)),"")</f>
        <v>0358 4010714</v>
      </c>
      <c r="H188" s="3" t="str">
        <f>IFERROR(INDEX(Prospectos!$M$2:$M$288,MATCH($A188,Prospectos!$A$2:$A$288,0)),"")</f>
        <v>logística / entregas / usados / postventa / gerente comercial</v>
      </c>
      <c r="I188" s="3" t="str">
        <f>IFERROR(INDEX(Prospectos!$N$2:$N$288,MATCH($A188,Prospectos!$A$2:$A$288,0)),"")</f>
        <v>Entrega y retiro de tractores, cosechadoras, pulverizadoras, sembradoras e implementos; movimientos por ventas, canjes, usados, service, demostraciones y ferias.</v>
      </c>
      <c r="J188" s="3" t="str">
        <f>IFERROR(INDEX(Prospectos!$AJ$2:$AJ$288,MATCH($A188,Prospectos!$A$2:$A$288,0)),"")</f>
        <v>Muy alta</v>
      </c>
      <c r="K188" s="29"/>
    </row>
    <row r="189" spans="1:11" ht="33.950000000000003" customHeight="1">
      <c r="A189" s="23" t="s">
        <v>247</v>
      </c>
      <c r="B189" s="23" t="str">
        <f>IFERROR(INDEX(Prospectos!$F$2:$F$288,MATCH($A189,Prospectos!$A$2:$A$288,0)),"")</f>
        <v>A</v>
      </c>
      <c r="C189" s="23" t="str">
        <f>IFERROR(INDEX(Prospectos!$H$2:$H$288,MATCH($A189,Prospectos!$A$2:$A$288,0)),"")</f>
        <v>Dexco Constructora</v>
      </c>
      <c r="D189" s="23" t="str">
        <f>IFERROR(INDEX(Prospectos!$J$2:$J$288,MATCH($A189,Prospectos!$A$2:$A$288,0)),"")</f>
        <v>Construcción y obra vial</v>
      </c>
      <c r="E189" s="23" t="str">
        <f>IFERROR(INDEX(Prospectos!$C$2:$C$288,MATCH($A189,Prospectos!$A$2:$A$288,0)),"")</f>
        <v>Río Cuarto / RN36 sur</v>
      </c>
      <c r="F189" s="23" t="str">
        <f>IFERROR(INDEX(Prospectos!$E$2:$E$288,MATCH($A189,Prospectos!$A$2:$A$288,0)),"")</f>
        <v>Río Cuarto</v>
      </c>
      <c r="G189" s="23" t="str">
        <f>IFERROR(INDEX(Prospectos!$K$2:$K$288,MATCH($A189,Prospectos!$A$2:$A$288,0)),"")</f>
        <v>0358 4640139 / 0358 154869634</v>
      </c>
      <c r="H189" s="23" t="str">
        <f>IFERROR(INDEX(Prospectos!$M$2:$M$288,MATCH($A189,Prospectos!$A$2:$A$288,0)),"")</f>
        <v>jefe de obra / logística</v>
      </c>
      <c r="I189" s="23" t="str">
        <f>IFERROR(INDEX(Prospectos!$N$2:$N$288,MATCH($A189,Prospectos!$A$2:$A$288,0)),"")</f>
        <v>Traslado de maquinaria, módulos de obrador, estructuras, equipos y cargas pesadas entre frentes.</v>
      </c>
      <c r="J189" s="23" t="str">
        <f>IFERROR(INDEX(Prospectos!$AJ$2:$AJ$288,MATCH($A189,Prospectos!$A$2:$A$288,0)),"")</f>
        <v>Muy alta</v>
      </c>
      <c r="K189" s="29"/>
    </row>
    <row r="190" spans="1:11" ht="33.950000000000003" customHeight="1">
      <c r="A190" s="3" t="s">
        <v>248</v>
      </c>
      <c r="B190" s="3" t="str">
        <f>IFERROR(INDEX(Prospectos!$F$2:$F$288,MATCH($A190,Prospectos!$A$2:$A$288,0)),"")</f>
        <v>A</v>
      </c>
      <c r="C190" s="3" t="str">
        <f>IFERROR(INDEX(Prospectos!$H$2:$H$288,MATCH($A190,Prospectos!$A$2:$A$288,0)),"")</f>
        <v>INCISA S.A. — División Hormigones</v>
      </c>
      <c r="D190" s="3" t="str">
        <f>IFERROR(INDEX(Prospectos!$J$2:$J$288,MATCH($A190,Prospectos!$A$2:$A$288,0)),"")</f>
        <v>Hormigón, áridos y materiales</v>
      </c>
      <c r="E190" s="3" t="str">
        <f>IFERROR(INDEX(Prospectos!$C$2:$C$288,MATCH($A190,Prospectos!$A$2:$A$288,0)),"")</f>
        <v>Río Cuarto / RN36 sur</v>
      </c>
      <c r="F190" s="3" t="str">
        <f>IFERROR(INDEX(Prospectos!$E$2:$E$288,MATCH($A190,Prospectos!$A$2:$A$288,0)),"")</f>
        <v>Río Cuarto</v>
      </c>
      <c r="G190" s="3" t="str">
        <f>IFERROR(INDEX(Prospectos!$K$2:$K$288,MATCH($A190,Prospectos!$A$2:$A$288,0)),"")</f>
        <v>3584 38 9870</v>
      </c>
      <c r="H190" s="3" t="str">
        <f>IFERROR(INDEX(Prospectos!$M$2:$M$288,MATCH($A190,Prospectos!$A$2:$A$288,0)),"")</f>
        <v>planta / mantenimiento / logística</v>
      </c>
      <c r="I190" s="3" t="str">
        <f>IFERROR(INDEX(Prospectos!$N$2:$N$288,MATCH($A190,Prospectos!$A$2:$A$288,0)),"")</f>
        <v>Movimiento de premoldeados, equipos de planta/cantera, bombas, moldes y cargas pesadas.</v>
      </c>
      <c r="J190" s="3" t="str">
        <f>IFERROR(INDEX(Prospectos!$AJ$2:$AJ$288,MATCH($A190,Prospectos!$A$2:$A$288,0)),"")</f>
        <v>Muy alta</v>
      </c>
      <c r="K190" s="29"/>
    </row>
    <row r="191" spans="1:11" ht="33.950000000000003" customHeight="1">
      <c r="A191" s="23" t="s">
        <v>249</v>
      </c>
      <c r="B191" s="23" t="str">
        <f>IFERROR(INDEX(Prospectos!$F$2:$F$288,MATCH($A191,Prospectos!$A$2:$A$288,0)),"")</f>
        <v>A</v>
      </c>
      <c r="C191" s="23" t="str">
        <f>IFERROR(INDEX(Prospectos!$H$2:$H$288,MATCH($A191,Prospectos!$A$2:$A$288,0)),"")</f>
        <v>Marinelli S.A.</v>
      </c>
      <c r="D191" s="23" t="str">
        <f>IFERROR(INDEX(Prospectos!$J$2:$J$288,MATCH($A191,Prospectos!$A$2:$A$288,0)),"")</f>
        <v>Construcción y obra vial</v>
      </c>
      <c r="E191" s="23" t="str">
        <f>IFERROR(INDEX(Prospectos!$C$2:$C$288,MATCH($A191,Prospectos!$A$2:$A$288,0)),"")</f>
        <v>Río Cuarto / RN36 sur</v>
      </c>
      <c r="F191" s="23" t="str">
        <f>IFERROR(INDEX(Prospectos!$E$2:$E$288,MATCH($A191,Prospectos!$A$2:$A$288,0)),"")</f>
        <v>Río Cuarto</v>
      </c>
      <c r="G191" s="23" t="str">
        <f>IFERROR(INDEX(Prospectos!$K$2:$K$288,MATCH($A191,Prospectos!$A$2:$A$288,0)),"")</f>
        <v>0358 4647058</v>
      </c>
      <c r="H191" s="23" t="str">
        <f>IFERROR(INDEX(Prospectos!$M$2:$M$288,MATCH($A191,Prospectos!$A$2:$A$288,0)),"")</f>
        <v>jefe de obra / logística</v>
      </c>
      <c r="I191" s="23" t="str">
        <f>IFERROR(INDEX(Prospectos!$N$2:$N$288,MATCH($A191,Prospectos!$A$2:$A$288,0)),"")</f>
        <v>Traslado de maquinaria, módulos de obrador, estructuras, equipos y cargas pesadas entre frentes.</v>
      </c>
      <c r="J191" s="23" t="str">
        <f>IFERROR(INDEX(Prospectos!$AJ$2:$AJ$288,MATCH($A191,Prospectos!$A$2:$A$288,0)),"")</f>
        <v>Muy alta</v>
      </c>
      <c r="K191" s="29"/>
    </row>
    <row r="192" spans="1:11" ht="33.950000000000003" customHeight="1">
      <c r="A192" s="3" t="s">
        <v>250</v>
      </c>
      <c r="B192" s="3" t="str">
        <f>IFERROR(INDEX(Prospectos!$F$2:$F$288,MATCH($A192,Prospectos!$A$2:$A$288,0)),"")</f>
        <v>A</v>
      </c>
      <c r="C192" s="3" t="str">
        <f>IFERROR(INDEX(Prospectos!$H$2:$H$288,MATCH($A192,Prospectos!$A$2:$A$288,0)),"")</f>
        <v>Paolini Hnos S.A.</v>
      </c>
      <c r="D192" s="3" t="str">
        <f>IFERROR(INDEX(Prospectos!$J$2:$J$288,MATCH($A192,Prospectos!$A$2:$A$288,0)),"")</f>
        <v>Construcción y obra vial</v>
      </c>
      <c r="E192" s="3" t="str">
        <f>IFERROR(INDEX(Prospectos!$C$2:$C$288,MATCH($A192,Prospectos!$A$2:$A$288,0)),"")</f>
        <v>Río Cuarto / RN36 sur</v>
      </c>
      <c r="F192" s="3" t="str">
        <f>IFERROR(INDEX(Prospectos!$E$2:$E$288,MATCH($A192,Prospectos!$A$2:$A$288,0)),"")</f>
        <v>Río Cuarto</v>
      </c>
      <c r="G192" s="3" t="str">
        <f>IFERROR(INDEX(Prospectos!$K$2:$K$288,MATCH($A192,Prospectos!$A$2:$A$288,0)),"")</f>
        <v>011 48779600</v>
      </c>
      <c r="H192" s="3" t="str">
        <f>IFERROR(INDEX(Prospectos!$M$2:$M$288,MATCH($A192,Prospectos!$A$2:$A$288,0)),"")</f>
        <v>jefe de obra / logística</v>
      </c>
      <c r="I192" s="3" t="str">
        <f>IFERROR(INDEX(Prospectos!$N$2:$N$288,MATCH($A192,Prospectos!$A$2:$A$288,0)),"")</f>
        <v>Traslado de maquinaria, módulos de obrador, estructuras, equipos y cargas pesadas entre frentes.</v>
      </c>
      <c r="J192" s="3" t="str">
        <f>IFERROR(INDEX(Prospectos!$AJ$2:$AJ$288,MATCH($A192,Prospectos!$A$2:$A$288,0)),"")</f>
        <v>Muy alta</v>
      </c>
      <c r="K192" s="29"/>
    </row>
    <row r="193" spans="1:11" ht="33.950000000000003" customHeight="1">
      <c r="A193" s="23" t="s">
        <v>251</v>
      </c>
      <c r="B193" s="23" t="str">
        <f>IFERROR(INDEX(Prospectos!$F$2:$F$288,MATCH($A193,Prospectos!$A$2:$A$288,0)),"")</f>
        <v>A</v>
      </c>
      <c r="C193" s="23" t="str">
        <f>IFERROR(INDEX(Prospectos!$H$2:$H$288,MATCH($A193,Prospectos!$A$2:$A$288,0)),"")</f>
        <v>SALA / Agrotecnología Sala — Río Cuarto</v>
      </c>
      <c r="D193" s="23" t="str">
        <f>IFERROR(INDEX(Prospectos!$J$2:$J$288,MATCH($A193,Prospectos!$A$2:$A$288,0)),"")</f>
        <v>Maquinaria agrícola</v>
      </c>
      <c r="E193" s="23" t="str">
        <f>IFERROR(INDEX(Prospectos!$C$2:$C$288,MATCH($A193,Prospectos!$A$2:$A$288,0)),"")</f>
        <v>Río Cuarto / RN36 sur</v>
      </c>
      <c r="F193" s="23" t="str">
        <f>IFERROR(INDEX(Prospectos!$E$2:$E$288,MATCH($A193,Prospectos!$A$2:$A$288,0)),"")</f>
        <v>Río Cuarto</v>
      </c>
      <c r="G193" s="23" t="str">
        <f>IFERROR(INDEX(Prospectos!$K$2:$K$288,MATCH($A193,Prospectos!$A$2:$A$288,0)),"")</f>
        <v>A relevar</v>
      </c>
      <c r="H193" s="23" t="str">
        <f>IFERROR(INDEX(Prospectos!$M$2:$M$288,MATCH($A193,Prospectos!$A$2:$A$288,0)),"")</f>
        <v>logística / entregas / usados / postventa / gerente comercial</v>
      </c>
      <c r="I193" s="23" t="str">
        <f>IFERROR(INDEX(Prospectos!$N$2:$N$288,MATCH($A193,Prospectos!$A$2:$A$288,0)),"")</f>
        <v>Entrega y retiro de tractores, cosechadoras, pulverizadoras, sembradoras e implementos; movimientos por ventas, canjes, usados, service, demostraciones y ferias.</v>
      </c>
      <c r="J193" s="23" t="str">
        <f>IFERROR(INDEX(Prospectos!$AJ$2:$AJ$288,MATCH($A193,Prospectos!$A$2:$A$288,0)),"")</f>
        <v>Muy alta</v>
      </c>
      <c r="K193" s="29"/>
    </row>
    <row r="194" spans="1:11" ht="33.950000000000003" customHeight="1">
      <c r="A194" s="3" t="s">
        <v>252</v>
      </c>
      <c r="B194" s="3" t="str">
        <f>IFERROR(INDEX(Prospectos!$F$2:$F$288,MATCH($A194,Prospectos!$A$2:$A$288,0)),"")</f>
        <v>A</v>
      </c>
      <c r="C194" s="3" t="str">
        <f>IFERROR(INDEX(Prospectos!$H$2:$H$288,MATCH($A194,Prospectos!$A$2:$A$288,0)),"")</f>
        <v>Soardo Construcciones</v>
      </c>
      <c r="D194" s="3" t="str">
        <f>IFERROR(INDEX(Prospectos!$J$2:$J$288,MATCH($A194,Prospectos!$A$2:$A$288,0)),"")</f>
        <v>Construcción y obra vial</v>
      </c>
      <c r="E194" s="3" t="str">
        <f>IFERROR(INDEX(Prospectos!$C$2:$C$288,MATCH($A194,Prospectos!$A$2:$A$288,0)),"")</f>
        <v>Río Cuarto / RN36 sur</v>
      </c>
      <c r="F194" s="3" t="str">
        <f>IFERROR(INDEX(Prospectos!$E$2:$E$288,MATCH($A194,Prospectos!$A$2:$A$288,0)),"")</f>
        <v>Río Cuarto</v>
      </c>
      <c r="G194" s="3" t="str">
        <f>IFERROR(INDEX(Prospectos!$K$2:$K$288,MATCH($A194,Prospectos!$A$2:$A$288,0)),"")</f>
        <v>0358 4166315</v>
      </c>
      <c r="H194" s="3" t="str">
        <f>IFERROR(INDEX(Prospectos!$M$2:$M$288,MATCH($A194,Prospectos!$A$2:$A$288,0)),"")</f>
        <v>jefe de obra / logística</v>
      </c>
      <c r="I194" s="3" t="str">
        <f>IFERROR(INDEX(Prospectos!$N$2:$N$288,MATCH($A194,Prospectos!$A$2:$A$288,0)),"")</f>
        <v>Traslado de maquinaria, módulos de obrador, estructuras, equipos y cargas pesadas entre frentes.</v>
      </c>
      <c r="J194" s="3" t="str">
        <f>IFERROR(INDEX(Prospectos!$AJ$2:$AJ$288,MATCH($A194,Prospectos!$A$2:$A$288,0)),"")</f>
        <v>Muy alta</v>
      </c>
      <c r="K194" s="29"/>
    </row>
    <row r="195" spans="1:11" ht="33.950000000000003" customHeight="1">
      <c r="A195" s="23" t="s">
        <v>253</v>
      </c>
      <c r="B195" s="23" t="str">
        <f>IFERROR(INDEX(Prospectos!$F$2:$F$288,MATCH($A195,Prospectos!$A$2:$A$288,0)),"")</f>
        <v>A</v>
      </c>
      <c r="C195" s="23" t="str">
        <f>IFERROR(INDEX(Prospectos!$H$2:$H$288,MATCH($A195,Prospectos!$A$2:$A$288,0)),"")</f>
        <v>Agrokeegan Maquinarias</v>
      </c>
      <c r="D195" s="23" t="str">
        <f>IFERROR(INDEX(Prospectos!$J$2:$J$288,MATCH($A195,Prospectos!$A$2:$A$288,0)),"")</f>
        <v>Maquinaria agrícola</v>
      </c>
      <c r="E195" s="23" t="str">
        <f>IFERROR(INDEX(Prospectos!$C$2:$C$288,MATCH($A195,Prospectos!$A$2:$A$288,0)),"")</f>
        <v>Río Cuarto / RN36 sur</v>
      </c>
      <c r="F195" s="23" t="str">
        <f>IFERROR(INDEX(Prospectos!$E$2:$E$288,MATCH($A195,Prospectos!$A$2:$A$288,0)),"")</f>
        <v>Río Cuarto</v>
      </c>
      <c r="G195" s="23" t="str">
        <f>IFERROR(INDEX(Prospectos!$K$2:$K$288,MATCH($A195,Prospectos!$A$2:$A$288,0)),"")</f>
        <v>+54 358 6014848</v>
      </c>
      <c r="H195" s="23" t="str">
        <f>IFERROR(INDEX(Prospectos!$M$2:$M$288,MATCH($A195,Prospectos!$A$2:$A$288,0)),"")</f>
        <v>logística / entregas / usados / postventa / gerente comercial</v>
      </c>
      <c r="I195" s="23" t="str">
        <f>IFERROR(INDEX(Prospectos!$N$2:$N$288,MATCH($A195,Prospectos!$A$2:$A$288,0)),"")</f>
        <v>Entrega y retiro de tractores, cosechadoras, pulverizadoras, sembradoras e implementos; movimientos por ventas, canjes, usados, service, demostraciones y ferias.</v>
      </c>
      <c r="J195" s="23" t="str">
        <f>IFERROR(INDEX(Prospectos!$AJ$2:$AJ$288,MATCH($A195,Prospectos!$A$2:$A$288,0)),"")</f>
        <v>Muy alta</v>
      </c>
      <c r="K195" s="29"/>
    </row>
    <row r="196" spans="1:11" ht="33.950000000000003" customHeight="1">
      <c r="A196" s="18" t="s">
        <v>254</v>
      </c>
      <c r="B196" s="18" t="str">
        <f>IFERROR(INDEX(Prospectos!$F$2:$F$288,MATCH($A196,Prospectos!$A$2:$A$288,0)),"")</f>
        <v>A</v>
      </c>
      <c r="C196" s="18" t="str">
        <f>IFERROR(INDEX(Prospectos!$H$2:$H$288,MATCH($A196,Prospectos!$A$2:$A$288,0)),"")</f>
        <v>Risio Maquinarias</v>
      </c>
      <c r="D196" s="18" t="str">
        <f>IFERROR(INDEX(Prospectos!$J$2:$J$288,MATCH($A196,Prospectos!$A$2:$A$288,0)),"")</f>
        <v>Maquinaria agrícola</v>
      </c>
      <c r="E196" s="18" t="str">
        <f>IFERROR(INDEX(Prospectos!$C$2:$C$288,MATCH($A196,Prospectos!$A$2:$A$288,0)),"")</f>
        <v>Río Cuarto / RN36 sur</v>
      </c>
      <c r="F196" s="18" t="str">
        <f>IFERROR(INDEX(Prospectos!$E$2:$E$288,MATCH($A196,Prospectos!$A$2:$A$288,0)),"")</f>
        <v>Río Cuarto</v>
      </c>
      <c r="G196" s="18" t="str">
        <f>IFERROR(INDEX(Prospectos!$K$2:$K$288,MATCH($A196,Prospectos!$A$2:$A$288,0)),"")</f>
        <v>0358 4195111</v>
      </c>
      <c r="H196" s="18" t="str">
        <f>IFERROR(INDEX(Prospectos!$M$2:$M$288,MATCH($A196,Prospectos!$A$2:$A$288,0)),"")</f>
        <v>logística / entregas / usados / postventa / gerente comercial</v>
      </c>
      <c r="I196" s="18" t="str">
        <f>IFERROR(INDEX(Prospectos!$N$2:$N$288,MATCH($A196,Prospectos!$A$2:$A$288,0)),"")</f>
        <v>Entrega y retiro de tractores, cosechadoras, pulverizadoras, sembradoras e implementos; movimientos por ventas, canjes, usados, service, demostraciones y ferias.</v>
      </c>
      <c r="J196" s="18" t="str">
        <f>IFERROR(INDEX(Prospectos!$AJ$2:$AJ$288,MATCH($A196,Prospectos!$A$2:$A$288,0)),"")</f>
        <v>Muy alta</v>
      </c>
      <c r="K196" s="29"/>
    </row>
    <row r="197" spans="1:11" ht="33.950000000000003" customHeight="1">
      <c r="A197" s="26" t="s">
        <v>255</v>
      </c>
      <c r="B197" s="26" t="str">
        <f>IFERROR(INDEX(Prospectos!$F$2:$F$288,MATCH($A197,Prospectos!$A$2:$A$288,0)),"")</f>
        <v>A</v>
      </c>
      <c r="C197" s="26" t="str">
        <f>IFERROR(INDEX(Prospectos!$H$2:$H$288,MATCH($A197,Prospectos!$A$2:$A$288,0)),"")</f>
        <v>Agro GM — Río Cuarto</v>
      </c>
      <c r="D197" s="26" t="str">
        <f>IFERROR(INDEX(Prospectos!$J$2:$J$288,MATCH($A197,Prospectos!$A$2:$A$288,0)),"")</f>
        <v>Maquinaria agrícola</v>
      </c>
      <c r="E197" s="26" t="str">
        <f>IFERROR(INDEX(Prospectos!$C$2:$C$288,MATCH($A197,Prospectos!$A$2:$A$288,0)),"")</f>
        <v>Río Cuarto / RN36 sur</v>
      </c>
      <c r="F197" s="26" t="str">
        <f>IFERROR(INDEX(Prospectos!$E$2:$E$288,MATCH($A197,Prospectos!$A$2:$A$288,0)),"")</f>
        <v>Río Cuarto</v>
      </c>
      <c r="G197" s="26" t="str">
        <f>IFERROR(INDEX(Prospectos!$K$2:$K$288,MATCH($A197,Prospectos!$A$2:$A$288,0)),"")</f>
        <v>0358 4626444 / +54 9 358 4296332</v>
      </c>
      <c r="H197" s="26" t="str">
        <f>IFERROR(INDEX(Prospectos!$M$2:$M$288,MATCH($A197,Prospectos!$A$2:$A$288,0)),"")</f>
        <v>logística / ventas / postventa</v>
      </c>
      <c r="I197" s="26" t="str">
        <f>IFERROR(INDEX(Prospectos!$N$2:$N$288,MATCH($A197,Prospectos!$A$2:$A$288,0)),"")</f>
        <v>Entrega y retiro de tractores, cosechadoras, pulverizadoras, sembradoras e implementos; movimientos por venta, service, canje, demostraciones o ferias.</v>
      </c>
      <c r="J197" s="26" t="str">
        <f>IFERROR(INDEX(Prospectos!$AJ$2:$AJ$288,MATCH($A197,Prospectos!$A$2:$A$288,0)),"")</f>
        <v>Muy alta</v>
      </c>
      <c r="K197" s="29"/>
    </row>
    <row r="198" spans="1:11" ht="33.950000000000003" customHeight="1">
      <c r="A198" s="18" t="s">
        <v>256</v>
      </c>
      <c r="B198" s="18" t="str">
        <f>IFERROR(INDEX(Prospectos!$F$2:$F$288,MATCH($A198,Prospectos!$A$2:$A$288,0)),"")</f>
        <v>A</v>
      </c>
      <c r="C198" s="18" t="str">
        <f>IFERROR(INDEX(Prospectos!$H$2:$H$288,MATCH($A198,Prospectos!$A$2:$A$288,0)),"")</f>
        <v>Pallotti Maquinarias</v>
      </c>
      <c r="D198" s="18" t="str">
        <f>IFERROR(INDEX(Prospectos!$J$2:$J$288,MATCH($A198,Prospectos!$A$2:$A$288,0)),"")</f>
        <v>Maquinaria agrícola</v>
      </c>
      <c r="E198" s="18" t="str">
        <f>IFERROR(INDEX(Prospectos!$C$2:$C$288,MATCH($A198,Prospectos!$A$2:$A$288,0)),"")</f>
        <v>Río Cuarto / RN36 sur</v>
      </c>
      <c r="F198" s="18" t="str">
        <f>IFERROR(INDEX(Prospectos!$E$2:$E$288,MATCH($A198,Prospectos!$A$2:$A$288,0)),"")</f>
        <v>Río Cuarto</v>
      </c>
      <c r="G198" s="18" t="str">
        <f>IFERROR(INDEX(Prospectos!$K$2:$K$288,MATCH($A198,Prospectos!$A$2:$A$288,0)),"")</f>
        <v>+54 358 5713137 / +54 358 5091218</v>
      </c>
      <c r="H198" s="18" t="str">
        <f>IFERROR(INDEX(Prospectos!$M$2:$M$288,MATCH($A198,Prospectos!$A$2:$A$288,0)),"")</f>
        <v>logística / ventas / postventa</v>
      </c>
      <c r="I198" s="18" t="str">
        <f>IFERROR(INDEX(Prospectos!$N$2:$N$288,MATCH($A198,Prospectos!$A$2:$A$288,0)),"")</f>
        <v>Entrega y retiro de tractores, cosechadoras, pulverizadoras, sembradoras e implementos; movimientos por venta, service, canje, demostraciones o ferias.</v>
      </c>
      <c r="J198" s="18" t="str">
        <f>IFERROR(INDEX(Prospectos!$AJ$2:$AJ$288,MATCH($A198,Prospectos!$A$2:$A$288,0)),"")</f>
        <v>Muy alta</v>
      </c>
      <c r="K198" s="29"/>
    </row>
    <row r="199" spans="1:11" ht="33.950000000000003" customHeight="1">
      <c r="A199" s="26" t="s">
        <v>257</v>
      </c>
      <c r="B199" s="26" t="str">
        <f>IFERROR(INDEX(Prospectos!$F$2:$F$288,MATCH($A199,Prospectos!$A$2:$A$288,0)),"")</f>
        <v>A</v>
      </c>
      <c r="C199" s="26" t="str">
        <f>IFERROR(INDEX(Prospectos!$H$2:$H$288,MATCH($A199,Prospectos!$A$2:$A$288,0)),"")</f>
        <v>Rodagro — Río Cuarto</v>
      </c>
      <c r="D199" s="26" t="str">
        <f>IFERROR(INDEX(Prospectos!$J$2:$J$288,MATCH($A199,Prospectos!$A$2:$A$288,0)),"")</f>
        <v>Maquinaria agrícola</v>
      </c>
      <c r="E199" s="26" t="str">
        <f>IFERROR(INDEX(Prospectos!$C$2:$C$288,MATCH($A199,Prospectos!$A$2:$A$288,0)),"")</f>
        <v>Río Cuarto / RN36 sur</v>
      </c>
      <c r="F199" s="26" t="str">
        <f>IFERROR(INDEX(Prospectos!$E$2:$E$288,MATCH($A199,Prospectos!$A$2:$A$288,0)),"")</f>
        <v>Río Cuarto</v>
      </c>
      <c r="G199" s="26" t="str">
        <f>IFERROR(INDEX(Prospectos!$K$2:$K$288,MATCH($A199,Prospectos!$A$2:$A$288,0)),"")</f>
        <v>+54 9 358 4797917</v>
      </c>
      <c r="H199" s="26" t="str">
        <f>IFERROR(INDEX(Prospectos!$M$2:$M$288,MATCH($A199,Prospectos!$A$2:$A$288,0)),"")</f>
        <v>logística / entregas / usados / postventa / gerente comercial</v>
      </c>
      <c r="I199" s="26" t="str">
        <f>IFERROR(INDEX(Prospectos!$N$2:$N$288,MATCH($A199,Prospectos!$A$2:$A$288,0)),"")</f>
        <v>Entrega y retiro de tractores, cosechadoras, pulverizadoras, sembradoras e implementos; movimientos por ventas, canjes, usados, service, demostraciones y ferias.</v>
      </c>
      <c r="J199" s="26" t="str">
        <f>IFERROR(INDEX(Prospectos!$AJ$2:$AJ$288,MATCH($A199,Prospectos!$A$2:$A$288,0)),"")</f>
        <v>Muy alta</v>
      </c>
      <c r="K199" s="29"/>
    </row>
    <row r="200" spans="1:11" ht="33.950000000000003" customHeight="1">
      <c r="A200" s="18" t="s">
        <v>258</v>
      </c>
      <c r="B200" s="18" t="str">
        <f>IFERROR(INDEX(Prospectos!$F$2:$F$288,MATCH($A200,Prospectos!$A$2:$A$288,0)),"")</f>
        <v>A</v>
      </c>
      <c r="C200" s="18" t="str">
        <f>IFERROR(INDEX(Prospectos!$H$2:$H$288,MATCH($A200,Prospectos!$A$2:$A$288,0)),"")</f>
        <v>Semtraco — Río Cuarto</v>
      </c>
      <c r="D200" s="18" t="str">
        <f>IFERROR(INDEX(Prospectos!$J$2:$J$288,MATCH($A200,Prospectos!$A$2:$A$288,0)),"")</f>
        <v>Maquinaria agrícola</v>
      </c>
      <c r="E200" s="18" t="str">
        <f>IFERROR(INDEX(Prospectos!$C$2:$C$288,MATCH($A200,Prospectos!$A$2:$A$288,0)),"")</f>
        <v>Río Cuarto / RN36 sur</v>
      </c>
      <c r="F200" s="18" t="str">
        <f>IFERROR(INDEX(Prospectos!$E$2:$E$288,MATCH($A200,Prospectos!$A$2:$A$288,0)),"")</f>
        <v>Río Cuarto</v>
      </c>
      <c r="G200" s="18" t="str">
        <f>IFERROR(INDEX(Prospectos!$K$2:$K$288,MATCH($A200,Prospectos!$A$2:$A$288,0)),"")</f>
        <v>03584 158451</v>
      </c>
      <c r="H200" s="18" t="str">
        <f>IFERROR(INDEX(Prospectos!$M$2:$M$288,MATCH($A200,Prospectos!$A$2:$A$288,0)),"")</f>
        <v>logística / ventas / postventa</v>
      </c>
      <c r="I200" s="18" t="str">
        <f>IFERROR(INDEX(Prospectos!$N$2:$N$288,MATCH($A200,Prospectos!$A$2:$A$288,0)),"")</f>
        <v>Entrega y retiro de tractores, cosechadoras, pulverizadoras, sembradoras e implementos; movimientos por venta, service, canje, demostraciones o ferias.</v>
      </c>
      <c r="J200" s="18" t="str">
        <f>IFERROR(INDEX(Prospectos!$AJ$2:$AJ$288,MATCH($A200,Prospectos!$A$2:$A$288,0)),"")</f>
        <v>Muy alta</v>
      </c>
      <c r="K200" s="29"/>
    </row>
    <row r="201" spans="1:11" ht="33.950000000000003" customHeight="1">
      <c r="A201" s="26" t="s">
        <v>259</v>
      </c>
      <c r="B201" s="26" t="str">
        <f>IFERROR(INDEX(Prospectos!$F$2:$F$288,MATCH($A201,Prospectos!$A$2:$A$288,0)),"")</f>
        <v>A</v>
      </c>
      <c r="C201" s="26" t="str">
        <f>IFERROR(INDEX(Prospectos!$H$2:$H$288,MATCH($A201,Prospectos!$A$2:$A$288,0)),"")</f>
        <v>Simonassi — Río Cuarto</v>
      </c>
      <c r="D201" s="26" t="str">
        <f>IFERROR(INDEX(Prospectos!$J$2:$J$288,MATCH($A201,Prospectos!$A$2:$A$288,0)),"")</f>
        <v>Maquinaria agrícola</v>
      </c>
      <c r="E201" s="26" t="str">
        <f>IFERROR(INDEX(Prospectos!$C$2:$C$288,MATCH($A201,Prospectos!$A$2:$A$288,0)),"")</f>
        <v>Río Cuarto / RN36 sur</v>
      </c>
      <c r="F201" s="26" t="str">
        <f>IFERROR(INDEX(Prospectos!$E$2:$E$288,MATCH($A201,Prospectos!$A$2:$A$288,0)),"")</f>
        <v>Río Cuarto</v>
      </c>
      <c r="G201" s="26" t="str">
        <f>IFERROR(INDEX(Prospectos!$K$2:$K$288,MATCH($A201,Prospectos!$A$2:$A$288,0)),"")</f>
        <v>0358 4654124 / 0358 4637034</v>
      </c>
      <c r="H201" s="26" t="str">
        <f>IFERROR(INDEX(Prospectos!$M$2:$M$288,MATCH($A201,Prospectos!$A$2:$A$288,0)),"")</f>
        <v>logística / ventas / postventa</v>
      </c>
      <c r="I201" s="26" t="str">
        <f>IFERROR(INDEX(Prospectos!$N$2:$N$288,MATCH($A201,Prospectos!$A$2:$A$288,0)),"")</f>
        <v>Entrega y retiro de tractores, cosechadoras, pulverizadoras, sembradoras e implementos; movimientos por venta, service, canje, demostraciones o ferias.</v>
      </c>
      <c r="J201" s="26" t="str">
        <f>IFERROR(INDEX(Prospectos!$AJ$2:$AJ$288,MATCH($A201,Prospectos!$A$2:$A$288,0)),"")</f>
        <v>Muy alta</v>
      </c>
      <c r="K201" s="29"/>
    </row>
    <row r="202" spans="1:11" ht="33.950000000000003" customHeight="1">
      <c r="A202" s="18" t="s">
        <v>260</v>
      </c>
      <c r="B202" s="18" t="str">
        <f>IFERROR(INDEX(Prospectos!$F$2:$F$288,MATCH($A202,Prospectos!$A$2:$A$288,0)),"")</f>
        <v>A</v>
      </c>
      <c r="C202" s="18" t="str">
        <f>IFERROR(INDEX(Prospectos!$H$2:$H$288,MATCH($A202,Prospectos!$A$2:$A$288,0)),"")</f>
        <v>Ulla Maquinarias — Río Cuarto</v>
      </c>
      <c r="D202" s="18" t="str">
        <f>IFERROR(INDEX(Prospectos!$J$2:$J$288,MATCH($A202,Prospectos!$A$2:$A$288,0)),"")</f>
        <v>Maquinaria agrícola</v>
      </c>
      <c r="E202" s="18" t="str">
        <f>IFERROR(INDEX(Prospectos!$C$2:$C$288,MATCH($A202,Prospectos!$A$2:$A$288,0)),"")</f>
        <v>Río Cuarto / RN36 sur</v>
      </c>
      <c r="F202" s="18" t="str">
        <f>IFERROR(INDEX(Prospectos!$E$2:$E$288,MATCH($A202,Prospectos!$A$2:$A$288,0)),"")</f>
        <v>Río Cuarto</v>
      </c>
      <c r="G202" s="18" t="str">
        <f>IFERROR(INDEX(Prospectos!$K$2:$K$288,MATCH($A202,Prospectos!$A$2:$A$288,0)),"")</f>
        <v>A relevar</v>
      </c>
      <c r="H202" s="18" t="str">
        <f>IFERROR(INDEX(Prospectos!$M$2:$M$288,MATCH($A202,Prospectos!$A$2:$A$288,0)),"")</f>
        <v>logística / entregas / usados / postventa / gerente comercial</v>
      </c>
      <c r="I202" s="18" t="str">
        <f>IFERROR(INDEX(Prospectos!$N$2:$N$288,MATCH($A202,Prospectos!$A$2:$A$288,0)),"")</f>
        <v>Entrega y retiro de tractores, cosechadoras, pulverizadoras, sembradoras e implementos; movimientos por ventas, canjes, usados, service, demostraciones y ferias.</v>
      </c>
      <c r="J202" s="18" t="str">
        <f>IFERROR(INDEX(Prospectos!$AJ$2:$AJ$288,MATCH($A202,Prospectos!$A$2:$A$288,0)),"")</f>
        <v>Muy alta</v>
      </c>
      <c r="K202" s="29"/>
    </row>
    <row r="203" spans="1:11" ht="33.950000000000003" customHeight="1">
      <c r="A203" s="26" t="s">
        <v>261</v>
      </c>
      <c r="B203" s="26" t="str">
        <f>IFERROR(INDEX(Prospectos!$F$2:$F$288,MATCH($A203,Prospectos!$A$2:$A$288,0)),"")</f>
        <v>A</v>
      </c>
      <c r="C203" s="26" t="str">
        <f>IFERROR(INDEX(Prospectos!$H$2:$H$288,MATCH($A203,Prospectos!$A$2:$A$288,0)),"")</f>
        <v>Indusplast Piscinas — Río Cuarto</v>
      </c>
      <c r="D203" s="26" t="str">
        <f>IFERROR(INDEX(Prospectos!$J$2:$J$288,MATCH($A203,Prospectos!$A$2:$A$288,0)),"")</f>
        <v>PRFV y plásticos</v>
      </c>
      <c r="E203" s="26" t="str">
        <f>IFERROR(INDEX(Prospectos!$C$2:$C$288,MATCH($A203,Prospectos!$A$2:$A$288,0)),"")</f>
        <v>Río Cuarto / RN36 sur</v>
      </c>
      <c r="F203" s="26" t="str">
        <f>IFERROR(INDEX(Prospectos!$E$2:$E$288,MATCH($A203,Prospectos!$A$2:$A$288,0)),"")</f>
        <v>Río Cuarto</v>
      </c>
      <c r="G203" s="26" t="str">
        <f>IFERROR(INDEX(Prospectos!$K$2:$K$288,MATCH($A203,Prospectos!$A$2:$A$288,0)),"")</f>
        <v>0358 6028628</v>
      </c>
      <c r="H203" s="26" t="str">
        <f>IFERROR(INDEX(Prospectos!$M$2:$M$288,MATCH($A203,Prospectos!$A$2:$A$288,0)),"")</f>
        <v>logística / instalaciones / obras / ventas</v>
      </c>
      <c r="I203" s="26" t="str">
        <f>IFERROR(INDEX(Prospectos!$N$2:$N$288,MATCH($A203,Prospectos!$A$2:$A$288,0)),"")</f>
        <v>Entrega de piscinas de fibra desde depósito/franquicia hasta domicilio y apoyo de grúa cuando el casco debe superar medianeras, techos o accesos angostos.</v>
      </c>
      <c r="J203" s="26" t="str">
        <f>IFERROR(INDEX(Prospectos!$AJ$2:$AJ$288,MATCH($A203,Prospectos!$A$2:$A$288,0)),"")</f>
        <v>Muy alta</v>
      </c>
      <c r="K203" s="29"/>
    </row>
    <row r="204" spans="1:11" ht="33.950000000000003" customHeight="1">
      <c r="A204" s="18" t="s">
        <v>262</v>
      </c>
      <c r="B204" s="18" t="str">
        <f>IFERROR(INDEX(Prospectos!$F$2:$F$288,MATCH($A204,Prospectos!$A$2:$A$288,0)),"")</f>
        <v>A</v>
      </c>
      <c r="C204" s="18" t="str">
        <f>IFERROR(INDEX(Prospectos!$H$2:$H$288,MATCH($A204,Prospectos!$A$2:$A$288,0)),"")</f>
        <v>Luvi Piscinas — Río Cuarto</v>
      </c>
      <c r="D204" s="18" t="str">
        <f>IFERROR(INDEX(Prospectos!$J$2:$J$288,MATCH($A204,Prospectos!$A$2:$A$288,0)),"")</f>
        <v>PRFV y plásticos</v>
      </c>
      <c r="E204" s="18" t="str">
        <f>IFERROR(INDEX(Prospectos!$C$2:$C$288,MATCH($A204,Prospectos!$A$2:$A$288,0)),"")</f>
        <v>Río Cuarto / RN36 sur</v>
      </c>
      <c r="F204" s="18" t="str">
        <f>IFERROR(INDEX(Prospectos!$E$2:$E$288,MATCH($A204,Prospectos!$A$2:$A$288,0)),"")</f>
        <v>Río Cuarto</v>
      </c>
      <c r="G204" s="18" t="str">
        <f>IFERROR(INDEX(Prospectos!$K$2:$K$288,MATCH($A204,Prospectos!$A$2:$A$288,0)),"")</f>
        <v>0358 4826734</v>
      </c>
      <c r="H204" s="18" t="str">
        <f>IFERROR(INDEX(Prospectos!$M$2:$M$288,MATCH($A204,Prospectos!$A$2:$A$288,0)),"")</f>
        <v>logística / instalaciones / obras / ventas</v>
      </c>
      <c r="I204" s="18" t="str">
        <f>IFERROR(INDEX(Prospectos!$N$2:$N$288,MATCH($A204,Prospectos!$A$2:$A$288,0)),"")</f>
        <v>Despacho recurrente de cascos PRFV de gran volumen desde fábrica hacia obras, franquicias o domicilios; coordinación de descarga y posicionamiento en patios con accesos restringidos.</v>
      </c>
      <c r="J204" s="18" t="str">
        <f>IFERROR(INDEX(Prospectos!$AJ$2:$AJ$288,MATCH($A204,Prospectos!$A$2:$A$288,0)),"")</f>
        <v>Muy alta</v>
      </c>
      <c r="K204" s="29"/>
    </row>
    <row r="205" spans="1:11" ht="33.950000000000003" customHeight="1">
      <c r="A205" s="26" t="s">
        <v>263</v>
      </c>
      <c r="B205" s="26" t="str">
        <f>IFERROR(INDEX(Prospectos!$F$2:$F$288,MATCH($A205,Prospectos!$A$2:$A$288,0)),"")</f>
        <v>A</v>
      </c>
      <c r="C205" s="26" t="str">
        <f>IFERROR(INDEX(Prospectos!$H$2:$H$288,MATCH($A205,Prospectos!$A$2:$A$288,0)),"")</f>
        <v>Da Natureza Piscinas y Riegos</v>
      </c>
      <c r="D205" s="26" t="str">
        <f>IFERROR(INDEX(Prospectos!$J$2:$J$288,MATCH($A205,Prospectos!$A$2:$A$288,0)),"")</f>
        <v>PRFV y plásticos</v>
      </c>
      <c r="E205" s="26" t="str">
        <f>IFERROR(INDEX(Prospectos!$C$2:$C$288,MATCH($A205,Prospectos!$A$2:$A$288,0)),"")</f>
        <v>Río Cuarto / RN36 sur</v>
      </c>
      <c r="F205" s="26" t="str">
        <f>IFERROR(INDEX(Prospectos!$E$2:$E$288,MATCH($A205,Prospectos!$A$2:$A$288,0)),"")</f>
        <v>Río Cuarto</v>
      </c>
      <c r="G205" s="26" t="str">
        <f>IFERROR(INDEX(Prospectos!$K$2:$K$288,MATCH($A205,Prospectos!$A$2:$A$288,0)),"")</f>
        <v>+54 9 358 4287330</v>
      </c>
      <c r="H205" s="26" t="str">
        <f>IFERROR(INDEX(Prospectos!$M$2:$M$288,MATCH($A205,Prospectos!$A$2:$A$288,0)),"")</f>
        <v>logística / instalaciones / obras / ventas</v>
      </c>
      <c r="I205" s="26" t="str">
        <f>IFERROR(INDEX(Prospectos!$N$2:$N$288,MATCH($A205,Prospectos!$A$2:$A$288,0)),"")</f>
        <v>Entrega de piscinas de fibra desde depósito/franquicia hasta domicilio y apoyo de grúa cuando el casco debe superar medianeras, techos o accesos angostos.</v>
      </c>
      <c r="J205" s="26" t="str">
        <f>IFERROR(INDEX(Prospectos!$AJ$2:$AJ$288,MATCH($A205,Prospectos!$A$2:$A$288,0)),"")</f>
        <v>Muy alta</v>
      </c>
      <c r="K205" s="29"/>
    </row>
    <row r="206" spans="1:11" ht="33.950000000000003" customHeight="1">
      <c r="A206" s="18" t="s">
        <v>264</v>
      </c>
      <c r="B206" s="18" t="str">
        <f>IFERROR(INDEX(Prospectos!$F$2:$F$288,MATCH($A206,Prospectos!$A$2:$A$288,0)),"")</f>
        <v>A</v>
      </c>
      <c r="C206" s="18" t="str">
        <f>IFERROR(INDEX(Prospectos!$H$2:$H$288,MATCH($A206,Prospectos!$A$2:$A$288,0)),"")</f>
        <v>Piscinas iGUi — Río Cuarto</v>
      </c>
      <c r="D206" s="18" t="str">
        <f>IFERROR(INDEX(Prospectos!$J$2:$J$288,MATCH($A206,Prospectos!$A$2:$A$288,0)),"")</f>
        <v>PRFV y plásticos</v>
      </c>
      <c r="E206" s="18" t="str">
        <f>IFERROR(INDEX(Prospectos!$C$2:$C$288,MATCH($A206,Prospectos!$A$2:$A$288,0)),"")</f>
        <v>Río Cuarto / RN36 sur</v>
      </c>
      <c r="F206" s="18" t="str">
        <f>IFERROR(INDEX(Prospectos!$E$2:$E$288,MATCH($A206,Prospectos!$A$2:$A$288,0)),"")</f>
        <v>Río Cuarto</v>
      </c>
      <c r="G206" s="18" t="str">
        <f>IFERROR(INDEX(Prospectos!$K$2:$K$288,MATCH($A206,Prospectos!$A$2:$A$288,0)),"")</f>
        <v>0800 222 4484</v>
      </c>
      <c r="H206" s="18" t="str">
        <f>IFERROR(INDEX(Prospectos!$M$2:$M$288,MATCH($A206,Prospectos!$A$2:$A$288,0)),"")</f>
        <v>logística / instalaciones / obras / ventas</v>
      </c>
      <c r="I206" s="18" t="str">
        <f>IFERROR(INDEX(Prospectos!$N$2:$N$288,MATCH($A206,Prospectos!$A$2:$A$288,0)),"")</f>
        <v>Entrega de piscinas de fibra desde depósito/franquicia hasta domicilio y apoyo de grúa cuando el casco debe superar medianeras, techos o accesos angostos.</v>
      </c>
      <c r="J206" s="18" t="str">
        <f>IFERROR(INDEX(Prospectos!$AJ$2:$AJ$288,MATCH($A206,Prospectos!$A$2:$A$288,0)),"")</f>
        <v>Alta</v>
      </c>
      <c r="K206" s="29"/>
    </row>
    <row r="207" spans="1:11" ht="33.950000000000003" customHeight="1">
      <c r="A207" s="26" t="s">
        <v>265</v>
      </c>
      <c r="B207" s="26" t="str">
        <f>IFERROR(INDEX(Prospectos!$F$2:$F$288,MATCH($A207,Prospectos!$A$2:$A$288,0)),"")</f>
        <v>A</v>
      </c>
      <c r="C207" s="26" t="str">
        <f>IFERROR(INDEX(Prospectos!$H$2:$H$288,MATCH($A207,Prospectos!$A$2:$A$288,0)),"")</f>
        <v>Rubén Marconi Maquinarias</v>
      </c>
      <c r="D207" s="26" t="str">
        <f>IFERROR(INDEX(Prospectos!$J$2:$J$288,MATCH($A207,Prospectos!$A$2:$A$288,0)),"")</f>
        <v>Maquinaria agrícola</v>
      </c>
      <c r="E207" s="26" t="str">
        <f>IFERROR(INDEX(Prospectos!$C$2:$C$288,MATCH($A207,Prospectos!$A$2:$A$288,0)),"")</f>
        <v>Río Cuarto / RN36 sur</v>
      </c>
      <c r="F207" s="26" t="str">
        <f>IFERROR(INDEX(Prospectos!$E$2:$E$288,MATCH($A207,Prospectos!$A$2:$A$288,0)),"")</f>
        <v>Río Cuarto</v>
      </c>
      <c r="G207" s="26" t="str">
        <f>IFERROR(INDEX(Prospectos!$K$2:$K$288,MATCH($A207,Prospectos!$A$2:$A$288,0)),"")</f>
        <v>0358 4629706</v>
      </c>
      <c r="H207" s="26" t="str">
        <f>IFERROR(INDEX(Prospectos!$M$2:$M$288,MATCH($A207,Prospectos!$A$2:$A$288,0)),"")</f>
        <v>logística / entregas / usados / postventa / gerente comercial</v>
      </c>
      <c r="I207" s="26" t="str">
        <f>IFERROR(INDEX(Prospectos!$N$2:$N$288,MATCH($A207,Prospectos!$A$2:$A$288,0)),"")</f>
        <v>Entrega y retiro de tractores, cosechadoras, pulverizadoras, sembradoras e implementos; movimientos por ventas, canjes, usados, service, demostraciones y ferias.</v>
      </c>
      <c r="J207" s="26" t="str">
        <f>IFERROR(INDEX(Prospectos!$AJ$2:$AJ$288,MATCH($A207,Prospectos!$A$2:$A$288,0)),"")</f>
        <v>Alta</v>
      </c>
      <c r="K207" s="29"/>
    </row>
    <row r="208" spans="1:11" ht="33.950000000000003" customHeight="1">
      <c r="A208" s="18" t="s">
        <v>266</v>
      </c>
      <c r="B208" s="18" t="str">
        <f>IFERROR(INDEX(Prospectos!$F$2:$F$288,MATCH($A208,Prospectos!$A$2:$A$288,0)),"")</f>
        <v>A</v>
      </c>
      <c r="C208" s="18" t="str">
        <f>IFERROR(INDEX(Prospectos!$H$2:$H$288,MATCH($A208,Prospectos!$A$2:$A$288,0)),"")</f>
        <v>CyS Agro — Río Cuarto</v>
      </c>
      <c r="D208" s="18" t="str">
        <f>IFERROR(INDEX(Prospectos!$J$2:$J$288,MATCH($A208,Prospectos!$A$2:$A$288,0)),"")</f>
        <v>Maquinaria agrícola</v>
      </c>
      <c r="E208" s="18" t="str">
        <f>IFERROR(INDEX(Prospectos!$C$2:$C$288,MATCH($A208,Prospectos!$A$2:$A$288,0)),"")</f>
        <v>Río Cuarto / RN36 sur</v>
      </c>
      <c r="F208" s="18" t="str">
        <f>IFERROR(INDEX(Prospectos!$E$2:$E$288,MATCH($A208,Prospectos!$A$2:$A$288,0)),"")</f>
        <v>Río Cuarto</v>
      </c>
      <c r="G208" s="18" t="str">
        <f>IFERROR(INDEX(Prospectos!$K$2:$K$288,MATCH($A208,Prospectos!$A$2:$A$288,0)),"")</f>
        <v>+54 9 358 6012240</v>
      </c>
      <c r="H208" s="18" t="str">
        <f>IFERROR(INDEX(Prospectos!$M$2:$M$288,MATCH($A208,Prospectos!$A$2:$A$288,0)),"")</f>
        <v>logística / ventas / postventa</v>
      </c>
      <c r="I208" s="18" t="str">
        <f>IFERROR(INDEX(Prospectos!$N$2:$N$288,MATCH($A208,Prospectos!$A$2:$A$288,0)),"")</f>
        <v>Entrega y retiro de tractores, cosechadoras, pulverizadoras, sembradoras e implementos; movimientos por venta, service, canje, demostraciones o ferias.</v>
      </c>
      <c r="J208" s="18" t="str">
        <f>IFERROR(INDEX(Prospectos!$AJ$2:$AJ$288,MATCH($A208,Prospectos!$A$2:$A$288,0)),"")</f>
        <v>Alta</v>
      </c>
      <c r="K208" s="29"/>
    </row>
    <row r="209" spans="1:11" ht="33.950000000000003" customHeight="1">
      <c r="A209" s="26" t="s">
        <v>267</v>
      </c>
      <c r="B209" s="26" t="str">
        <f>IFERROR(INDEX(Prospectos!$F$2:$F$288,MATCH($A209,Prospectos!$A$2:$A$288,0)),"")</f>
        <v>A</v>
      </c>
      <c r="C209" s="26" t="str">
        <f>IFERROR(INDEX(Prospectos!$H$2:$H$288,MATCH($A209,Prospectos!$A$2:$A$288,0)),"")</f>
        <v>Establecimiento Industrial Rattini S.A.</v>
      </c>
      <c r="D209" s="26" t="str">
        <f>IFERROR(INDEX(Prospectos!$J$2:$J$288,MATCH($A209,Prospectos!$A$2:$A$288,0)),"")</f>
        <v>Maquinaria agrícola</v>
      </c>
      <c r="E209" s="26" t="str">
        <f>IFERROR(INDEX(Prospectos!$C$2:$C$288,MATCH($A209,Prospectos!$A$2:$A$288,0)),"")</f>
        <v>Río Cuarto / RN36 sur</v>
      </c>
      <c r="F209" s="26" t="str">
        <f>IFERROR(INDEX(Prospectos!$E$2:$E$288,MATCH($A209,Prospectos!$A$2:$A$288,0)),"")</f>
        <v>Río Cuarto</v>
      </c>
      <c r="G209" s="26" t="str">
        <f>IFERROR(INDEX(Prospectos!$K$2:$K$288,MATCH($A209,Prospectos!$A$2:$A$288,0)),"")</f>
        <v>0358 4621480 / 0358 6003429</v>
      </c>
      <c r="H209" s="26" t="str">
        <f>IFERROR(INDEX(Prospectos!$M$2:$M$288,MATCH($A209,Prospectos!$A$2:$A$288,0)),"")</f>
        <v>logística / ventas / postventa</v>
      </c>
      <c r="I209" s="26" t="str">
        <f>IFERROR(INDEX(Prospectos!$N$2:$N$288,MATCH($A209,Prospectos!$A$2:$A$288,0)),"")</f>
        <v>Despacho de implementos, tolvas, sembradoras, estructuras, equipos terminados y componentes de gran porte hacia concesionarios, clientes, ferias o campo.</v>
      </c>
      <c r="J209" s="26" t="str">
        <f>IFERROR(INDEX(Prospectos!$AJ$2:$AJ$288,MATCH($A209,Prospectos!$A$2:$A$288,0)),"")</f>
        <v>Alta</v>
      </c>
      <c r="K209" s="29"/>
    </row>
    <row r="210" spans="1:11" ht="33.950000000000003" customHeight="1">
      <c r="A210" s="18" t="s">
        <v>268</v>
      </c>
      <c r="B210" s="18" t="str">
        <f>IFERROR(INDEX(Prospectos!$F$2:$F$288,MATCH($A210,Prospectos!$A$2:$A$288,0)),"")</f>
        <v>A</v>
      </c>
      <c r="C210" s="18" t="str">
        <f>IFERROR(INDEX(Prospectos!$H$2:$H$288,MATCH($A210,Prospectos!$A$2:$A$288,0)),"")</f>
        <v>Alfredo y Diego D'Eramo</v>
      </c>
      <c r="D210" s="18" t="str">
        <f>IFERROR(INDEX(Prospectos!$J$2:$J$288,MATCH($A210,Prospectos!$A$2:$A$288,0)),"")</f>
        <v>Maquinaria agrícola</v>
      </c>
      <c r="E210" s="18" t="str">
        <f>IFERROR(INDEX(Prospectos!$C$2:$C$288,MATCH($A210,Prospectos!$A$2:$A$288,0)),"")</f>
        <v>Río Cuarto / RN36 sur</v>
      </c>
      <c r="F210" s="18" t="str">
        <f>IFERROR(INDEX(Prospectos!$E$2:$E$288,MATCH($A210,Prospectos!$A$2:$A$288,0)),"")</f>
        <v>Río Cuarto</v>
      </c>
      <c r="G210" s="18" t="str">
        <f>IFERROR(INDEX(Prospectos!$K$2:$K$288,MATCH($A210,Prospectos!$A$2:$A$288,0)),"")</f>
        <v>0358 4630339 / +54 9 358 6017301</v>
      </c>
      <c r="H210" s="18" t="str">
        <f>IFERROR(INDEX(Prospectos!$M$2:$M$288,MATCH($A210,Prospectos!$A$2:$A$288,0)),"")</f>
        <v>logística / ventas / postventa</v>
      </c>
      <c r="I210" s="18" t="str">
        <f>IFERROR(INDEX(Prospectos!$N$2:$N$288,MATCH($A210,Prospectos!$A$2:$A$288,0)),"")</f>
        <v>Entrega y retiro de tractores, cosechadoras, pulverizadoras, sembradoras e implementos; movimientos por venta, service, canje, demostraciones o ferias.</v>
      </c>
      <c r="J210" s="18" t="str">
        <f>IFERROR(INDEX(Prospectos!$AJ$2:$AJ$288,MATCH($A210,Prospectos!$A$2:$A$288,0)),"")</f>
        <v>Alta</v>
      </c>
      <c r="K210" s="29"/>
    </row>
    <row r="211" spans="1:11" ht="33.950000000000003" customHeight="1">
      <c r="A211" s="26" t="s">
        <v>269</v>
      </c>
      <c r="B211" s="26" t="str">
        <f>IFERROR(INDEX(Prospectos!$F$2:$F$288,MATCH($A211,Prospectos!$A$2:$A$288,0)),"")</f>
        <v>A</v>
      </c>
      <c r="C211" s="26" t="str">
        <f>IFERROR(INDEX(Prospectos!$H$2:$H$288,MATCH($A211,Prospectos!$A$2:$A$288,0)),"")</f>
        <v>BIDESA Obras Viales y Civiles</v>
      </c>
      <c r="D211" s="26" t="str">
        <f>IFERROR(INDEX(Prospectos!$J$2:$J$288,MATCH($A211,Prospectos!$A$2:$A$288,0)),"")</f>
        <v>Construcción y obra vial</v>
      </c>
      <c r="E211" s="26" t="str">
        <f>IFERROR(INDEX(Prospectos!$C$2:$C$288,MATCH($A211,Prospectos!$A$2:$A$288,0)),"")</f>
        <v>Río Cuarto / RN36 sur</v>
      </c>
      <c r="F211" s="26" t="str">
        <f>IFERROR(INDEX(Prospectos!$E$2:$E$288,MATCH($A211,Prospectos!$A$2:$A$288,0)),"")</f>
        <v>Río Cuarto</v>
      </c>
      <c r="G211" s="26" t="str">
        <f>IFERROR(INDEX(Prospectos!$K$2:$K$288,MATCH($A211,Prospectos!$A$2:$A$288,0)),"")</f>
        <v>A relevar en obrador</v>
      </c>
      <c r="H211" s="26" t="str">
        <f>IFERROR(INDEX(Prospectos!$M$2:$M$288,MATCH($A211,Prospectos!$A$2:$A$288,0)),"")</f>
        <v>jefe de obra / logística</v>
      </c>
      <c r="I211" s="26" t="str">
        <f>IFERROR(INDEX(Prospectos!$N$2:$N$288,MATCH($A211,Prospectos!$A$2:$A$288,0)),"")</f>
        <v>Traslado de maquinaria, módulos de obrador, estructuras, equipos y cargas pesadas entre frentes.</v>
      </c>
      <c r="J211" s="26" t="str">
        <f>IFERROR(INDEX(Prospectos!$AJ$2:$AJ$288,MATCH($A211,Prospectos!$A$2:$A$288,0)),"")</f>
        <v>Alta</v>
      </c>
      <c r="K211" s="29"/>
    </row>
    <row r="212" spans="1:11" ht="33.950000000000003" customHeight="1">
      <c r="A212" s="18" t="s">
        <v>270</v>
      </c>
      <c r="B212" s="18" t="str">
        <f>IFERROR(INDEX(Prospectos!$F$2:$F$288,MATCH($A212,Prospectos!$A$2:$A$288,0)),"")</f>
        <v>A</v>
      </c>
      <c r="C212" s="18" t="str">
        <f>IFERROR(INDEX(Prospectos!$H$2:$H$288,MATCH($A212,Prospectos!$A$2:$A$288,0)),"")</f>
        <v>Luciano S.A.</v>
      </c>
      <c r="D212" s="18" t="str">
        <f>IFERROR(INDEX(Prospectos!$J$2:$J$288,MATCH($A212,Prospectos!$A$2:$A$288,0)),"")</f>
        <v>Construcción y obra vial</v>
      </c>
      <c r="E212" s="18" t="str">
        <f>IFERROR(INDEX(Prospectos!$C$2:$C$288,MATCH($A212,Prospectos!$A$2:$A$288,0)),"")</f>
        <v>Río Cuarto / RN36 sur</v>
      </c>
      <c r="F212" s="18" t="str">
        <f>IFERROR(INDEX(Prospectos!$E$2:$E$288,MATCH($A212,Prospectos!$A$2:$A$288,0)),"")</f>
        <v>Río Cuarto</v>
      </c>
      <c r="G212" s="18" t="str">
        <f>IFERROR(INDEX(Prospectos!$K$2:$K$288,MATCH($A212,Prospectos!$A$2:$A$288,0)),"")</f>
        <v>A relevar</v>
      </c>
      <c r="H212" s="18" t="str">
        <f>IFERROR(INDEX(Prospectos!$M$2:$M$288,MATCH($A212,Prospectos!$A$2:$A$288,0)),"")</f>
        <v>jefe de obra / logística</v>
      </c>
      <c r="I212" s="18" t="str">
        <f>IFERROR(INDEX(Prospectos!$N$2:$N$288,MATCH($A212,Prospectos!$A$2:$A$288,0)),"")</f>
        <v>Traslado de maquinaria, módulos de obrador, estructuras, equipos y cargas pesadas entre frentes.</v>
      </c>
      <c r="J212" s="18" t="str">
        <f>IFERROR(INDEX(Prospectos!$AJ$2:$AJ$288,MATCH($A212,Prospectos!$A$2:$A$288,0)),"")</f>
        <v>Alta</v>
      </c>
      <c r="K212" s="29"/>
    </row>
    <row r="213" spans="1:11" ht="33.950000000000003" customHeight="1">
      <c r="A213" s="26" t="s">
        <v>271</v>
      </c>
      <c r="B213" s="26" t="str">
        <f>IFERROR(INDEX(Prospectos!$F$2:$F$288,MATCH($A213,Prospectos!$A$2:$A$288,0)),"")</f>
        <v>B</v>
      </c>
      <c r="C213" s="26" t="str">
        <f>IFERROR(INDEX(Prospectos!$H$2:$H$288,MATCH($A213,Prospectos!$A$2:$A$288,0)),"")</f>
        <v>Corralón Rolotti — Moldear Piscinas</v>
      </c>
      <c r="D213" s="26" t="str">
        <f>IFERROR(INDEX(Prospectos!$J$2:$J$288,MATCH($A213,Prospectos!$A$2:$A$288,0)),"")</f>
        <v>PRFV y plásticos</v>
      </c>
      <c r="E213" s="26" t="str">
        <f>IFERROR(INDEX(Prospectos!$C$2:$C$288,MATCH($A213,Prospectos!$A$2:$A$288,0)),"")</f>
        <v>Río Cuarto / RN36 sur</v>
      </c>
      <c r="F213" s="26" t="str">
        <f>IFERROR(INDEX(Prospectos!$E$2:$E$288,MATCH($A213,Prospectos!$A$2:$A$288,0)),"")</f>
        <v>Río Cuarto</v>
      </c>
      <c r="G213" s="26" t="str">
        <f>IFERROR(INDEX(Prospectos!$K$2:$K$288,MATCH($A213,Prospectos!$A$2:$A$288,0)),"")</f>
        <v>0358 4642105 / +54 9 3585 091698</v>
      </c>
      <c r="H213" s="26" t="str">
        <f>IFERROR(INDEX(Prospectos!$M$2:$M$288,MATCH($A213,Prospectos!$A$2:$A$288,0)),"")</f>
        <v>logística / instalaciones / obras / ventas</v>
      </c>
      <c r="I213" s="26" t="str">
        <f>IFERROR(INDEX(Prospectos!$N$2:$N$288,MATCH($A213,Prospectos!$A$2:$A$288,0)),"")</f>
        <v>Entrega de piscinas de fibra desde depósito/franquicia hasta domicilio y apoyo de grúa cuando el casco debe superar medianeras, techos o accesos angostos.</v>
      </c>
      <c r="J213" s="26" t="str">
        <f>IFERROR(INDEX(Prospectos!$AJ$2:$AJ$288,MATCH($A213,Prospectos!$A$2:$A$288,0)),"")</f>
        <v>Alta</v>
      </c>
      <c r="K213" s="29"/>
    </row>
    <row r="214" spans="1:11" ht="33.950000000000003" customHeight="1">
      <c r="A214" s="18" t="s">
        <v>272</v>
      </c>
      <c r="B214" s="18" t="str">
        <f>IFERROR(INDEX(Prospectos!$F$2:$F$288,MATCH($A214,Prospectos!$A$2:$A$288,0)),"")</f>
        <v>B</v>
      </c>
      <c r="C214" s="18" t="str">
        <f>IFERROR(INDEX(Prospectos!$H$2:$H$288,MATCH($A214,Prospectos!$A$2:$A$288,0)),"")</f>
        <v>Agrorio Maquinarias</v>
      </c>
      <c r="D214" s="18" t="str">
        <f>IFERROR(INDEX(Prospectos!$J$2:$J$288,MATCH($A214,Prospectos!$A$2:$A$288,0)),"")</f>
        <v>Maquinaria agrícola</v>
      </c>
      <c r="E214" s="18" t="str">
        <f>IFERROR(INDEX(Prospectos!$C$2:$C$288,MATCH($A214,Prospectos!$A$2:$A$288,0)),"")</f>
        <v>Río Cuarto / RN36 sur</v>
      </c>
      <c r="F214" s="18" t="str">
        <f>IFERROR(INDEX(Prospectos!$E$2:$E$288,MATCH($A214,Prospectos!$A$2:$A$288,0)),"")</f>
        <v>Río Cuarto</v>
      </c>
      <c r="G214" s="18" t="str">
        <f>IFERROR(INDEX(Prospectos!$K$2:$K$288,MATCH($A214,Prospectos!$A$2:$A$288,0)),"")</f>
        <v>03586 093110</v>
      </c>
      <c r="H214" s="18" t="str">
        <f>IFERROR(INDEX(Prospectos!$M$2:$M$288,MATCH($A214,Prospectos!$A$2:$A$288,0)),"")</f>
        <v>responsable de acopio / mantenimiento</v>
      </c>
      <c r="I214" s="18" t="str">
        <f>IFERROR(INDEX(Prospectos!$N$2:$N$288,MATCH($A214,Prospectos!$A$2:$A$288,0)),"")</f>
        <v>Movimientos especiales de mantenimiento, repuestos pesados y mudanzas internas de equipos.</v>
      </c>
      <c r="J214" s="18" t="str">
        <f>IFERROR(INDEX(Prospectos!$AJ$2:$AJ$288,MATCH($A214,Prospectos!$A$2:$A$288,0)),"")</f>
        <v>Alta</v>
      </c>
      <c r="K214" s="29"/>
    </row>
    <row r="215" spans="1:11" ht="33.950000000000003" customHeight="1">
      <c r="A215" s="26" t="s">
        <v>273</v>
      </c>
      <c r="B215" s="26" t="str">
        <f>IFERROR(INDEX(Prospectos!$F$2:$F$288,MATCH($A215,Prospectos!$A$2:$A$288,0)),"")</f>
        <v>B</v>
      </c>
      <c r="C215" s="26" t="str">
        <f>IFERROR(INDEX(Prospectos!$H$2:$H$288,MATCH($A215,Prospectos!$A$2:$A$288,0)),"")</f>
        <v>Capello S.A.</v>
      </c>
      <c r="D215" s="26" t="str">
        <f>IFERROR(INDEX(Prospectos!$J$2:$J$288,MATCH($A215,Prospectos!$A$2:$A$288,0)),"")</f>
        <v>Construcción y obra vial</v>
      </c>
      <c r="E215" s="26" t="str">
        <f>IFERROR(INDEX(Prospectos!$C$2:$C$288,MATCH($A215,Prospectos!$A$2:$A$288,0)),"")</f>
        <v>Río Cuarto / RN36 sur</v>
      </c>
      <c r="F215" s="26" t="str">
        <f>IFERROR(INDEX(Prospectos!$E$2:$E$288,MATCH($A215,Prospectos!$A$2:$A$288,0)),"")</f>
        <v>Río Cuarto</v>
      </c>
      <c r="G215" s="26" t="str">
        <f>IFERROR(INDEX(Prospectos!$K$2:$K$288,MATCH($A215,Prospectos!$A$2:$A$288,0)),"")</f>
        <v>0358 4645929</v>
      </c>
      <c r="H215" s="26" t="str">
        <f>IFERROR(INDEX(Prospectos!$M$2:$M$288,MATCH($A215,Prospectos!$A$2:$A$288,0)),"")</f>
        <v>jefe de obra / logística</v>
      </c>
      <c r="I215" s="26" t="str">
        <f>IFERROR(INDEX(Prospectos!$N$2:$N$288,MATCH($A215,Prospectos!$A$2:$A$288,0)),"")</f>
        <v>Traslado de maquinaria, módulos de obrador, estructuras, equipos y cargas pesadas entre frentes.</v>
      </c>
      <c r="J215" s="26" t="str">
        <f>IFERROR(INDEX(Prospectos!$AJ$2:$AJ$288,MATCH($A215,Prospectos!$A$2:$A$288,0)),"")</f>
        <v>Alta</v>
      </c>
      <c r="K215" s="29"/>
    </row>
    <row r="216" spans="1:11" ht="33.950000000000003" customHeight="1">
      <c r="A216" s="18" t="s">
        <v>274</v>
      </c>
      <c r="B216" s="18" t="str">
        <f>IFERROR(INDEX(Prospectos!$F$2:$F$288,MATCH($A216,Prospectos!$A$2:$A$288,0)),"")</f>
        <v>B</v>
      </c>
      <c r="C216" s="18" t="str">
        <f>IFERROR(INDEX(Prospectos!$H$2:$H$288,MATCH($A216,Prospectos!$A$2:$A$288,0)),"")</f>
        <v>Cotagro — Río Cuarto</v>
      </c>
      <c r="D216" s="18" t="str">
        <f>IFERROR(INDEX(Prospectos!$J$2:$J$288,MATCH($A216,Prospectos!$A$2:$A$288,0)),"")</f>
        <v>Agro, acopio y cooperativas</v>
      </c>
      <c r="E216" s="18" t="str">
        <f>IFERROR(INDEX(Prospectos!$C$2:$C$288,MATCH($A216,Prospectos!$A$2:$A$288,0)),"")</f>
        <v>Río Cuarto / RN36 sur</v>
      </c>
      <c r="F216" s="18" t="str">
        <f>IFERROR(INDEX(Prospectos!$E$2:$E$288,MATCH($A216,Prospectos!$A$2:$A$288,0)),"")</f>
        <v>Río Cuarto</v>
      </c>
      <c r="G216" s="18" t="str">
        <f>IFERROR(INDEX(Prospectos!$K$2:$K$288,MATCH($A216,Prospectos!$A$2:$A$288,0)),"")</f>
        <v>0358 4933333</v>
      </c>
      <c r="H216" s="18" t="str">
        <f>IFERROR(INDEX(Prospectos!$M$2:$M$288,MATCH($A216,Prospectos!$A$2:$A$288,0)),"")</f>
        <v>responsable de acopio / mantenimiento</v>
      </c>
      <c r="I216" s="18" t="str">
        <f>IFERROR(INDEX(Prospectos!$N$2:$N$288,MATCH($A216,Prospectos!$A$2:$A$288,0)),"")</f>
        <v>Traslado de equipos de planta, silos, repuestos pesados, balanzas, implementos y cargas especiales.</v>
      </c>
      <c r="J216" s="18" t="str">
        <f>IFERROR(INDEX(Prospectos!$AJ$2:$AJ$288,MATCH($A216,Prospectos!$A$2:$A$288,0)),"")</f>
        <v>Alta</v>
      </c>
      <c r="K216" s="29"/>
    </row>
    <row r="217" spans="1:11" ht="33.950000000000003" customHeight="1">
      <c r="A217" s="26" t="s">
        <v>275</v>
      </c>
      <c r="B217" s="26" t="str">
        <f>IFERROR(INDEX(Prospectos!$F$2:$F$288,MATCH($A217,Prospectos!$A$2:$A$288,0)),"")</f>
        <v>B</v>
      </c>
      <c r="C217" s="26" t="str">
        <f>IFERROR(INDEX(Prospectos!$H$2:$H$288,MATCH($A217,Prospectos!$A$2:$A$288,0)),"")</f>
        <v>Fontezuela Cereales</v>
      </c>
      <c r="D217" s="26" t="str">
        <f>IFERROR(INDEX(Prospectos!$J$2:$J$288,MATCH($A217,Prospectos!$A$2:$A$288,0)),"")</f>
        <v>Agro, acopio y cooperativas</v>
      </c>
      <c r="E217" s="26" t="str">
        <f>IFERROR(INDEX(Prospectos!$C$2:$C$288,MATCH($A217,Prospectos!$A$2:$A$288,0)),"")</f>
        <v>Río Cuarto / RN36 sur</v>
      </c>
      <c r="F217" s="26" t="str">
        <f>IFERROR(INDEX(Prospectos!$E$2:$E$288,MATCH($A217,Prospectos!$A$2:$A$288,0)),"")</f>
        <v>Río Cuarto</v>
      </c>
      <c r="G217" s="26" t="str">
        <f>IFERROR(INDEX(Prospectos!$K$2:$K$288,MATCH($A217,Prospectos!$A$2:$A$288,0)),"")</f>
        <v>02477 497135/37</v>
      </c>
      <c r="H217" s="26" t="str">
        <f>IFERROR(INDEX(Prospectos!$M$2:$M$288,MATCH($A217,Prospectos!$A$2:$A$288,0)),"")</f>
        <v>responsable de acopio / mantenimiento</v>
      </c>
      <c r="I217" s="26" t="str">
        <f>IFERROR(INDEX(Prospectos!$N$2:$N$288,MATCH($A217,Prospectos!$A$2:$A$288,0)),"")</f>
        <v>Traslado de equipos de planta, silos, repuestos pesados, balanzas, implementos y cargas especiales.</v>
      </c>
      <c r="J217" s="26" t="str">
        <f>IFERROR(INDEX(Prospectos!$AJ$2:$AJ$288,MATCH($A217,Prospectos!$A$2:$A$288,0)),"")</f>
        <v>Alta</v>
      </c>
      <c r="K217" s="29"/>
    </row>
    <row r="218" spans="1:11" ht="33.950000000000003" customHeight="1">
      <c r="A218" s="18" t="s">
        <v>276</v>
      </c>
      <c r="B218" s="18" t="str">
        <f>IFERROR(INDEX(Prospectos!$F$2:$F$288,MATCH($A218,Prospectos!$A$2:$A$288,0)),"")</f>
        <v>B</v>
      </c>
      <c r="C218" s="18" t="str">
        <f>IFERROR(INDEX(Prospectos!$H$2:$H$288,MATCH($A218,Prospectos!$A$2:$A$288,0)),"")</f>
        <v>Hugo y Enzo Reinaudo S.A.</v>
      </c>
      <c r="D218" s="18" t="str">
        <f>IFERROR(INDEX(Prospectos!$J$2:$J$288,MATCH($A218,Prospectos!$A$2:$A$288,0)),"")</f>
        <v>Maquinaria agrícola</v>
      </c>
      <c r="E218" s="18" t="str">
        <f>IFERROR(INDEX(Prospectos!$C$2:$C$288,MATCH($A218,Prospectos!$A$2:$A$288,0)),"")</f>
        <v>Río Cuarto / RN36 sur</v>
      </c>
      <c r="F218" s="18" t="str">
        <f>IFERROR(INDEX(Prospectos!$E$2:$E$288,MATCH($A218,Prospectos!$A$2:$A$288,0)),"")</f>
        <v>Río Cuarto</v>
      </c>
      <c r="G218" s="18" t="str">
        <f>IFERROR(INDEX(Prospectos!$K$2:$K$288,MATCH($A218,Prospectos!$A$2:$A$288,0)),"")</f>
        <v>0358 4646025</v>
      </c>
      <c r="H218" s="18" t="str">
        <f>IFERROR(INDEX(Prospectos!$M$2:$M$288,MATCH($A218,Prospectos!$A$2:$A$288,0)),"")</f>
        <v>logística / ventas / postventa</v>
      </c>
      <c r="I218" s="18" t="str">
        <f>IFERROR(INDEX(Prospectos!$N$2:$N$288,MATCH($A218,Prospectos!$A$2:$A$288,0)),"")</f>
        <v>Entrega y retiro de tractores, cosechadoras, pulverizadoras, sembradoras e implementos; movimientos por venta, service, canje, demostraciones o ferias.</v>
      </c>
      <c r="J218" s="18" t="str">
        <f>IFERROR(INDEX(Prospectos!$AJ$2:$AJ$288,MATCH($A218,Prospectos!$A$2:$A$288,0)),"")</f>
        <v>Media</v>
      </c>
      <c r="K218" s="29"/>
    </row>
    <row r="219" spans="1:11" ht="33.950000000000003" customHeight="1">
      <c r="A219" s="26" t="s">
        <v>277</v>
      </c>
      <c r="B219" s="26" t="str">
        <f>IFERROR(INDEX(Prospectos!$F$2:$F$288,MATCH($A219,Prospectos!$A$2:$A$288,0)),"")</f>
        <v>B</v>
      </c>
      <c r="C219" s="26" t="str">
        <f>IFERROR(INDEX(Prospectos!$H$2:$H$288,MATCH($A219,Prospectos!$A$2:$A$288,0)),"")</f>
        <v>CARMIX S.R.L.</v>
      </c>
      <c r="D219" s="26" t="str">
        <f>IFERROR(INDEX(Prospectos!$J$2:$J$288,MATCH($A219,Prospectos!$A$2:$A$288,0)),"")</f>
        <v>Agro, acopio y cooperativas</v>
      </c>
      <c r="E219" s="26" t="str">
        <f>IFERROR(INDEX(Prospectos!$C$2:$C$288,MATCH($A219,Prospectos!$A$2:$A$288,0)),"")</f>
        <v>Río Cuarto / RN36 sur</v>
      </c>
      <c r="F219" s="26" t="str">
        <f>IFERROR(INDEX(Prospectos!$E$2:$E$288,MATCH($A219,Prospectos!$A$2:$A$288,0)),"")</f>
        <v>Río Cuarto</v>
      </c>
      <c r="G219" s="26" t="str">
        <f>IFERROR(INDEX(Prospectos!$K$2:$K$288,MATCH($A219,Prospectos!$A$2:$A$288,0)),"")</f>
        <v>A relevar</v>
      </c>
      <c r="H219" s="26" t="str">
        <f>IFERROR(INDEX(Prospectos!$M$2:$M$288,MATCH($A219,Prospectos!$A$2:$A$288,0)),"")</f>
        <v>despacho / obra</v>
      </c>
      <c r="I219" s="26" t="str">
        <f>IFERROR(INDEX(Prospectos!$N$2:$N$288,MATCH($A219,Prospectos!$A$2:$A$288,0)),"")</f>
        <v>Traslado de equipos de planta, silos, repuestos pesados, balanzas, implementos y cargas especiales.</v>
      </c>
      <c r="J219" s="26" t="str">
        <f>IFERROR(INDEX(Prospectos!$AJ$2:$AJ$288,MATCH($A219,Prospectos!$A$2:$A$288,0)),"")</f>
        <v>Media</v>
      </c>
      <c r="K219" s="29"/>
    </row>
    <row r="220" spans="1:11" ht="33.950000000000003" customHeight="1">
      <c r="A220" s="18" t="s">
        <v>278</v>
      </c>
      <c r="B220" s="18" t="str">
        <f>IFERROR(INDEX(Prospectos!$F$2:$F$288,MATCH($A220,Prospectos!$A$2:$A$288,0)),"")</f>
        <v>A</v>
      </c>
      <c r="C220" s="18" t="str">
        <f>IFERROR(INDEX(Prospectos!$H$2:$H$288,MATCH($A220,Prospectos!$A$2:$A$288,0)),"")</f>
        <v>Costa del Río SRL</v>
      </c>
      <c r="D220" s="18" t="str">
        <f>IFERROR(INDEX(Prospectos!$J$2:$J$288,MATCH($A220,Prospectos!$A$2:$A$288,0)),"")</f>
        <v>Agro, acopio y cooperativas</v>
      </c>
      <c r="E220" s="18" t="str">
        <f>IFERROR(INDEX(Prospectos!$C$2:$C$288,MATCH($A220,Prospectos!$A$2:$A$288,0)),"")</f>
        <v>Villa Ascasubi / RP6-E79</v>
      </c>
      <c r="F220" s="18" t="str">
        <f>IFERROR(INDEX(Prospectos!$E$2:$E$288,MATCH($A220,Prospectos!$A$2:$A$288,0)),"")</f>
        <v>Villa Ascasubi</v>
      </c>
      <c r="G220" s="18" t="str">
        <f>IFERROR(INDEX(Prospectos!$K$2:$K$288,MATCH($A220,Prospectos!$A$2:$A$288,0)),"")</f>
        <v>+54 9 3571 363338</v>
      </c>
      <c r="H220" s="18" t="str">
        <f>IFERROR(INDEX(Prospectos!$M$2:$M$288,MATCH($A220,Prospectos!$A$2:$A$288,0)),"")</f>
        <v>cantera / despacho / logística</v>
      </c>
      <c r="I220" s="18" t="str">
        <f>IFERROR(INDEX(Prospectos!$N$2:$N$288,MATCH($A220,Prospectos!$A$2:$A$288,0)),"")</f>
        <v>Traslado de insumos, pallets, fertilizantes, repuestos pesados, silos/equipos y apoyo de mantenimiento en planta.</v>
      </c>
      <c r="J220" s="18" t="str">
        <f>IFERROR(INDEX(Prospectos!$AJ$2:$AJ$288,MATCH($A220,Prospectos!$A$2:$A$288,0)),"")</f>
        <v>Muy alta</v>
      </c>
      <c r="K220" s="29"/>
    </row>
    <row r="221" spans="1:11" s="32" customFormat="1" ht="33.950000000000003" customHeight="1">
      <c r="A221" s="44" t="s">
        <v>279</v>
      </c>
      <c r="B221" s="44" t="str">
        <f>IFERROR(INDEX(Prospectos!$F$2:$F$288,MATCH($A221,Prospectos!$A$2:$A$288,0)),"")</f>
        <v>B</v>
      </c>
      <c r="C221" s="44" t="str">
        <f>IFERROR(INDEX(Prospectos!$H$2:$H$288,MATCH($A221,Prospectos!$A$2:$A$288,0)),"")</f>
        <v>Cooperativa de Villa Ascasubi</v>
      </c>
      <c r="D221" s="44" t="str">
        <f>IFERROR(INDEX(Prospectos!$J$2:$J$288,MATCH($A221,Prospectos!$A$2:$A$288,0)),"")</f>
        <v>Construcción y obra vial</v>
      </c>
      <c r="E221" s="44" t="str">
        <f>IFERROR(INDEX(Prospectos!$C$2:$C$288,MATCH($A221,Prospectos!$A$2:$A$288,0)),"")</f>
        <v>Villa Ascasubi / RP6-E79</v>
      </c>
      <c r="F221" s="44" t="str">
        <f>IFERROR(INDEX(Prospectos!$E$2:$E$288,MATCH($A221,Prospectos!$A$2:$A$288,0)),"")</f>
        <v>Villa Ascasubi</v>
      </c>
      <c r="G221" s="44" t="str">
        <f>IFERROR(INDEX(Prospectos!$K$2:$K$288,MATCH($A221,Prospectos!$A$2:$A$288,0)),"")</f>
        <v>03571 498118 / 3571 520004 guardia</v>
      </c>
      <c r="H221" s="44" t="str">
        <f>IFERROR(INDEX(Prospectos!$M$2:$M$288,MATCH($A221,Prospectos!$A$2:$A$288,0)),"")</f>
        <v>mantenimiento / administración / obras</v>
      </c>
      <c r="I221" s="44" t="str">
        <f>IFERROR(INDEX(Prospectos!$N$2:$N$288,MATCH($A221,Prospectos!$A$2:$A$288,0)),"")</f>
        <v>Traslado de áridos/materiales, maquinaria, módulos de obrador, estructuras y cargas pesadas entre frentes.</v>
      </c>
      <c r="J221" s="44" t="str">
        <f>IFERROR(INDEX(Prospectos!$AJ$2:$AJ$288,MATCH($A221,Prospectos!$A$2:$A$288,0)),"")</f>
        <v>Alta</v>
      </c>
      <c r="K221" s="31"/>
    </row>
    <row r="222" spans="1:11" ht="33.950000000000003" customHeight="1">
      <c r="A222" s="18" t="s">
        <v>280</v>
      </c>
      <c r="B222" s="18" t="str">
        <f>IFERROR(INDEX(Prospectos!$F$2:$F$288,MATCH($A222,Prospectos!$A$2:$A$288,0)),"")</f>
        <v>B</v>
      </c>
      <c r="C222" s="18" t="str">
        <f>IFERROR(INDEX(Prospectos!$H$2:$H$288,MATCH($A222,Prospectos!$A$2:$A$288,0)),"")</f>
        <v>Construir Villa Ascasubi</v>
      </c>
      <c r="D222" s="18" t="str">
        <f>IFERROR(INDEX(Prospectos!$J$2:$J$288,MATCH($A222,Prospectos!$A$2:$A$288,0)),"")</f>
        <v>Hormigón, áridos y materiales</v>
      </c>
      <c r="E222" s="18" t="str">
        <f>IFERROR(INDEX(Prospectos!$C$2:$C$288,MATCH($A222,Prospectos!$A$2:$A$288,0)),"")</f>
        <v>Villa Ascasubi / RP6-E79</v>
      </c>
      <c r="F222" s="18" t="str">
        <f>IFERROR(INDEX(Prospectos!$E$2:$E$288,MATCH($A222,Prospectos!$A$2:$A$288,0)),"")</f>
        <v>Villa Ascasubi</v>
      </c>
      <c r="G222" s="18" t="str">
        <f>IFERROR(INDEX(Prospectos!$K$2:$K$288,MATCH($A222,Prospectos!$A$2:$A$288,0)),"")</f>
        <v>3571 577272</v>
      </c>
      <c r="H222" s="18" t="str">
        <f>IFERROR(INDEX(Prospectos!$M$2:$M$288,MATCH($A222,Prospectos!$A$2:$A$288,0)),"")</f>
        <v>dueño / compras / logística</v>
      </c>
      <c r="I222" s="18" t="str">
        <f>IFERROR(INDEX(Prospectos!$N$2:$N$288,MATCH($A222,Prospectos!$A$2:$A$288,0)),"")</f>
        <v>Movimiento de áridos, premoldeados, equipos de planta/cantera, moldes, bolsones y materiales de obra.</v>
      </c>
      <c r="J222" s="18" t="str">
        <f>IFERROR(INDEX(Prospectos!$AJ$2:$AJ$288,MATCH($A222,Prospectos!$A$2:$A$288,0)),"")</f>
        <v>Media</v>
      </c>
      <c r="K222" s="29"/>
    </row>
    <row r="223" spans="1:11" ht="33.950000000000003" customHeight="1">
      <c r="A223" s="44" t="s">
        <v>281</v>
      </c>
      <c r="B223" s="44" t="str">
        <f>IFERROR(INDEX(Prospectos!$F$2:$F$288,MATCH($A223,Prospectos!$A$2:$A$288,0)),"")</f>
        <v>B</v>
      </c>
      <c r="C223" s="44" t="str">
        <f>IFERROR(INDEX(Prospectos!$H$2:$H$288,MATCH($A223,Prospectos!$A$2:$A$288,0)),"")</f>
        <v>La Vencedora — Sucursal Villa Ascasubi</v>
      </c>
      <c r="D223" s="44" t="str">
        <f>IFERROR(INDEX(Prospectos!$J$2:$J$288,MATCH($A223,Prospectos!$A$2:$A$288,0)),"")</f>
        <v>Agro, acopio y cooperativas</v>
      </c>
      <c r="E223" s="44" t="str">
        <f>IFERROR(INDEX(Prospectos!$C$2:$C$288,MATCH($A223,Prospectos!$A$2:$A$288,0)),"")</f>
        <v>Villa Ascasubi / RP6-E79</v>
      </c>
      <c r="F223" s="44" t="str">
        <f>IFERROR(INDEX(Prospectos!$E$2:$E$288,MATCH($A223,Prospectos!$A$2:$A$288,0)),"")</f>
        <v>Villa Ascasubi</v>
      </c>
      <c r="G223" s="44" t="str">
        <f>IFERROR(INDEX(Prospectos!$K$2:$K$288,MATCH($A223,Prospectos!$A$2:$A$288,0)),"")</f>
        <v>A relevar</v>
      </c>
      <c r="H223" s="44" t="str">
        <f>IFERROR(INDEX(Prospectos!$M$2:$M$288,MATCH($A223,Prospectos!$A$2:$A$288,0)),"")</f>
        <v>acopio / encargado de sucursal</v>
      </c>
      <c r="I223" s="44" t="str">
        <f>IFERROR(INDEX(Prospectos!$N$2:$N$288,MATCH($A223,Prospectos!$A$2:$A$288,0)),"")</f>
        <v>Traslado de insumos, pallets, fertilizantes, repuestos pesados, silos/equipos y apoyo de mantenimiento en planta.</v>
      </c>
      <c r="J223" s="44" t="s">
        <v>2890</v>
      </c>
      <c r="K223" s="31"/>
    </row>
    <row r="224" spans="1:11" ht="33.950000000000003" customHeight="1">
      <c r="A224" s="18" t="s">
        <v>282</v>
      </c>
      <c r="B224" s="18" t="str">
        <f>IFERROR(INDEX(Prospectos!$F$2:$F$288,MATCH($A224,Prospectos!$A$2:$A$288,0)),"")</f>
        <v>A</v>
      </c>
      <c r="C224" s="18" t="str">
        <f>IFERROR(INDEX(Prospectos!$H$2:$H$288,MATCH($A224,Prospectos!$A$2:$A$288,0)),"")</f>
        <v>Servisol Piscinas</v>
      </c>
      <c r="D224" s="18" t="str">
        <f>IFERROR(INDEX(Prospectos!$J$2:$J$288,MATCH($A224,Prospectos!$A$2:$A$288,0)),"")</f>
        <v>PRFV y plásticos</v>
      </c>
      <c r="E224" s="18" t="str">
        <f>IFERROR(INDEX(Prospectos!$C$2:$C$288,MATCH($A224,Prospectos!$A$2:$A$288,0)),"")</f>
        <v>Villa María / RP6</v>
      </c>
      <c r="F224" s="18" t="str">
        <f>IFERROR(INDEX(Prospectos!$E$2:$E$288,MATCH($A224,Prospectos!$A$2:$A$288,0)),"")</f>
        <v>Almafuerte</v>
      </c>
      <c r="G224" s="18" t="str">
        <f>IFERROR(INDEX(Prospectos!$K$2:$K$288,MATCH($A224,Prospectos!$A$2:$A$288,0)),"")</f>
        <v>+54 9 3571 696296</v>
      </c>
      <c r="H224" s="18" t="str">
        <f>IFERROR(INDEX(Prospectos!$M$2:$M$288,MATCH($A224,Prospectos!$A$2:$A$288,0)),"")</f>
        <v>logística / instalaciones / obras / ventas</v>
      </c>
      <c r="I224" s="18" t="str">
        <f>IFERROR(INDEX(Prospectos!$N$2:$N$288,MATCH($A224,Prospectos!$A$2:$A$288,0)),"")</f>
        <v>Entrega de piscinas de fibra desde depósito/franquicia hasta domicilio y apoyo de grúa cuando el casco debe superar medianeras, techos o accesos angostos.</v>
      </c>
      <c r="J224" s="18" t="str">
        <f>IFERROR(INDEX(Prospectos!$AJ$2:$AJ$288,MATCH($A224,Prospectos!$A$2:$A$288,0)),"")</f>
        <v>Muy alta</v>
      </c>
      <c r="K224" s="29"/>
    </row>
    <row r="225" spans="1:11" ht="33.950000000000003" customHeight="1">
      <c r="A225" s="26" t="s">
        <v>283</v>
      </c>
      <c r="B225" s="26" t="str">
        <f>IFERROR(INDEX(Prospectos!$F$2:$F$288,MATCH($A225,Prospectos!$A$2:$A$288,0)),"")</f>
        <v>B</v>
      </c>
      <c r="C225" s="26" t="str">
        <f>IFERROR(INDEX(Prospectos!$H$2:$H$288,MATCH($A225,Prospectos!$A$2:$A$288,0)),"")</f>
        <v>Cooperativa Agropecuaria Almafuerte</v>
      </c>
      <c r="D225" s="26" t="str">
        <f>IFERROR(INDEX(Prospectos!$J$2:$J$288,MATCH($A225,Prospectos!$A$2:$A$288,0)),"")</f>
        <v>Agro, acopio y cooperativas</v>
      </c>
      <c r="E225" s="26" t="str">
        <f>IFERROR(INDEX(Prospectos!$C$2:$C$288,MATCH($A225,Prospectos!$A$2:$A$288,0)),"")</f>
        <v>Villa María / RP6</v>
      </c>
      <c r="F225" s="26" t="str">
        <f>IFERROR(INDEX(Prospectos!$E$2:$E$288,MATCH($A225,Prospectos!$A$2:$A$288,0)),"")</f>
        <v>Almafuerte</v>
      </c>
      <c r="G225" s="26" t="str">
        <f>IFERROR(INDEX(Prospectos!$K$2:$K$288,MATCH($A225,Prospectos!$A$2:$A$288,0)),"")</f>
        <v>03571 471182</v>
      </c>
      <c r="H225" s="26" t="str">
        <f>IFERROR(INDEX(Prospectos!$M$2:$M$288,MATCH($A225,Prospectos!$A$2:$A$288,0)),"")</f>
        <v>operaciones / entregas</v>
      </c>
      <c r="I225" s="26" t="str">
        <f>IFERROR(INDEX(Prospectos!$N$2:$N$288,MATCH($A225,Prospectos!$A$2:$A$288,0)),"")</f>
        <v>Traslado de equipos de planta, silos, repuestos pesados, balanzas, implementos y cargas especiales.</v>
      </c>
      <c r="J225" s="26" t="str">
        <f>IFERROR(INDEX(Prospectos!$AJ$2:$AJ$288,MATCH($A225,Prospectos!$A$2:$A$288,0)),"")</f>
        <v>Alta</v>
      </c>
      <c r="K225" s="29"/>
    </row>
    <row r="226" spans="1:11" ht="33.950000000000003" customHeight="1">
      <c r="A226" s="18" t="s">
        <v>284</v>
      </c>
      <c r="B226" s="18" t="str">
        <f>IFERROR(INDEX(Prospectos!$F$2:$F$288,MATCH($A226,Prospectos!$A$2:$A$288,0)),"")</f>
        <v>B</v>
      </c>
      <c r="C226" s="18" t="str">
        <f>IFERROR(INDEX(Prospectos!$H$2:$H$288,MATCH($A226,Prospectos!$A$2:$A$288,0)),"")</f>
        <v>Gil Daniel — Maquinaria Agrícola</v>
      </c>
      <c r="D226" s="18" t="str">
        <f>IFERROR(INDEX(Prospectos!$J$2:$J$288,MATCH($A226,Prospectos!$A$2:$A$288,0)),"")</f>
        <v>Maquinaria agrícola</v>
      </c>
      <c r="E226" s="18" t="str">
        <f>IFERROR(INDEX(Prospectos!$C$2:$C$288,MATCH($A226,Prospectos!$A$2:$A$288,0)),"")</f>
        <v>Villa María / RP6</v>
      </c>
      <c r="F226" s="18" t="str">
        <f>IFERROR(INDEX(Prospectos!$E$2:$E$288,MATCH($A226,Prospectos!$A$2:$A$288,0)),"")</f>
        <v>Almafuerte</v>
      </c>
      <c r="G226" s="18" t="str">
        <f>IFERROR(INDEX(Prospectos!$K$2:$K$288,MATCH($A226,Prospectos!$A$2:$A$288,0)),"")</f>
        <v>03571 472325</v>
      </c>
      <c r="H226" s="18" t="str">
        <f>IFERROR(INDEX(Prospectos!$M$2:$M$288,MATCH($A226,Prospectos!$A$2:$A$288,0)),"")</f>
        <v>logística / ventas / postventa</v>
      </c>
      <c r="I226" s="18" t="str">
        <f>IFERROR(INDEX(Prospectos!$N$2:$N$288,MATCH($A226,Prospectos!$A$2:$A$288,0)),"")</f>
        <v>Entrega y retiro de tractores, cosechadoras, pulverizadoras, sembradoras e implementos; movimientos por venta, service, canje, demostraciones o ferias.</v>
      </c>
      <c r="J226" s="18" t="str">
        <f>IFERROR(INDEX(Prospectos!$AJ$2:$AJ$288,MATCH($A226,Prospectos!$A$2:$A$288,0)),"")</f>
        <v>Media</v>
      </c>
      <c r="K226" s="29"/>
    </row>
    <row r="227" spans="1:11" s="32" customFormat="1" ht="33.950000000000003" customHeight="1">
      <c r="A227" s="44" t="s">
        <v>285</v>
      </c>
      <c r="B227" s="44" t="str">
        <f>IFERROR(INDEX(Prospectos!$F$2:$F$288,MATCH($A227,Prospectos!$A$2:$A$288,0)),"")</f>
        <v>A</v>
      </c>
      <c r="C227" s="44" t="str">
        <f>IFERROR(INDEX(Prospectos!$H$2:$H$288,MATCH($A227,Prospectos!$A$2:$A$288,0)),"")</f>
        <v>Cooperativa Agrícola La Vencedora</v>
      </c>
      <c r="D227" s="44" t="str">
        <f>IFERROR(INDEX(Prospectos!$J$2:$J$288,MATCH($A227,Prospectos!$A$2:$A$288,0)),"")</f>
        <v>Agro, acopio y cooperativas</v>
      </c>
      <c r="E227" s="44" t="str">
        <f>IFERROR(INDEX(Prospectos!$C$2:$C$288,MATCH($A227,Prospectos!$A$2:$A$288,0)),"")</f>
        <v>Villa María / RP6</v>
      </c>
      <c r="F227" s="44" t="str">
        <f>IFERROR(INDEX(Prospectos!$E$2:$E$288,MATCH($A227,Prospectos!$A$2:$A$288,0)),"")</f>
        <v>Hernando</v>
      </c>
      <c r="G227" s="44" t="str">
        <f>IFERROR(INDEX(Prospectos!$K$2:$K$288,MATCH($A227,Prospectos!$A$2:$A$288,0)),"")</f>
        <v>0353 4847133</v>
      </c>
      <c r="H227" s="44" t="str">
        <f>IFERROR(INDEX(Prospectos!$M$2:$M$288,MATCH($A227,Prospectos!$A$2:$A$288,0)),"")</f>
        <v>operaciones / entregas</v>
      </c>
      <c r="I227" s="44" t="str">
        <f>IFERROR(INDEX(Prospectos!$N$2:$N$288,MATCH($A227,Prospectos!$A$2:$A$288,0)),"")</f>
        <v>Traslado de equipos de planta, silos, repuestos pesados, balanzas, implementos y cargas especiales.</v>
      </c>
      <c r="J227" s="44" t="str">
        <f>IFERROR(INDEX(Prospectos!$AJ$2:$AJ$288,MATCH($A227,Prospectos!$A$2:$A$288,0)),"")</f>
        <v>Muy alta</v>
      </c>
      <c r="K227" s="31"/>
    </row>
    <row r="228" spans="1:11" s="32" customFormat="1" ht="33.950000000000003" customHeight="1">
      <c r="A228" s="44" t="s">
        <v>286</v>
      </c>
      <c r="B228" s="44" t="str">
        <f>IFERROR(INDEX(Prospectos!$F$2:$F$288,MATCH($A228,Prospectos!$A$2:$A$288,0)),"")</f>
        <v>A</v>
      </c>
      <c r="C228" s="44" t="str">
        <f>IFERROR(INDEX(Prospectos!$H$2:$H$288,MATCH($A228,Prospectos!$A$2:$A$288,0)),"")</f>
        <v>DELCRE Construcciones SRL</v>
      </c>
      <c r="D228" s="44" t="str">
        <f>IFERROR(INDEX(Prospectos!$J$2:$J$288,MATCH($A228,Prospectos!$A$2:$A$288,0)),"")</f>
        <v>Construcción y obra vial</v>
      </c>
      <c r="E228" s="44" t="str">
        <f>IFERROR(INDEX(Prospectos!$C$2:$C$288,MATCH($A228,Prospectos!$A$2:$A$288,0)),"")</f>
        <v>Villa María / RP6</v>
      </c>
      <c r="F228" s="44" t="str">
        <f>IFERROR(INDEX(Prospectos!$E$2:$E$288,MATCH($A228,Prospectos!$A$2:$A$288,0)),"")</f>
        <v>Hernando</v>
      </c>
      <c r="G228" s="44" t="str">
        <f>IFERROR(INDEX(Prospectos!$K$2:$K$288,MATCH($A228,Prospectos!$A$2:$A$288,0)),"")</f>
        <v>0353 4961086</v>
      </c>
      <c r="H228" s="44" t="str">
        <f>IFERROR(INDEX(Prospectos!$M$2:$M$288,MATCH($A228,Prospectos!$A$2:$A$288,0)),"")</f>
        <v>jefe de obra / operaciones</v>
      </c>
      <c r="I228" s="44" t="str">
        <f>IFERROR(INDEX(Prospectos!$N$2:$N$288,MATCH($A228,Prospectos!$A$2:$A$288,0)),"")</f>
        <v>Traslado de maquinaria, módulos de obrador, estructuras y equipos entre depósitos y frentes de obra.</v>
      </c>
      <c r="J228" s="44" t="str">
        <f>IFERROR(INDEX(Prospectos!$AJ$2:$AJ$288,MATCH($A228,Prospectos!$A$2:$A$288,0)),"")</f>
        <v>Muy alta</v>
      </c>
      <c r="K228" s="31" t="s">
        <v>2894</v>
      </c>
    </row>
    <row r="229" spans="1:11" s="32" customFormat="1" ht="33.950000000000003" customHeight="1">
      <c r="A229" s="44" t="s">
        <v>287</v>
      </c>
      <c r="B229" s="44" t="str">
        <f>IFERROR(INDEX(Prospectos!$F$2:$F$288,MATCH($A229,Prospectos!$A$2:$A$288,0)),"")</f>
        <v>A</v>
      </c>
      <c r="C229" s="44" t="str">
        <f>IFERROR(INDEX(Prospectos!$H$2:$H$288,MATCH($A229,Prospectos!$A$2:$A$288,0)),"")</f>
        <v>NEUF Agricole</v>
      </c>
      <c r="D229" s="44" t="str">
        <f>IFERROR(INDEX(Prospectos!$J$2:$J$288,MATCH($A229,Prospectos!$A$2:$A$288,0)),"")</f>
        <v>Módulos y contenedores</v>
      </c>
      <c r="E229" s="44" t="str">
        <f>IFERROR(INDEX(Prospectos!$C$2:$C$288,MATCH($A229,Prospectos!$A$2:$A$288,0)),"")</f>
        <v>Villa María / RP6</v>
      </c>
      <c r="F229" s="44" t="str">
        <f>IFERROR(INDEX(Prospectos!$E$2:$E$288,MATCH($A229,Prospectos!$A$2:$A$288,0)),"")</f>
        <v>Hernando</v>
      </c>
      <c r="G229" s="44" t="str">
        <f>IFERROR(INDEX(Prospectos!$K$2:$K$288,MATCH($A229,Prospectos!$A$2:$A$288,0)),"")</f>
        <v>+54 9 353 4846256 / +54 353 4960391</v>
      </c>
      <c r="H229" s="44" t="str">
        <f>IFERROR(INDEX(Prospectos!$M$2:$M$288,MATCH($A229,Prospectos!$A$2:$A$288,0)),"")</f>
        <v>logística / despacho / postventa</v>
      </c>
      <c r="I229" s="44" t="str">
        <f>IFERROR(INDEX(Prospectos!$N$2:$N$288,MATCH($A229,Prospectos!$A$2:$A$288,0)),"")</f>
        <v>Traslado de maquinaria, implementos, equipos terminados y componentes de gran porte entre planta, cliente, obra o feria.</v>
      </c>
      <c r="J229" s="44" t="str">
        <f>IFERROR(INDEX(Prospectos!$AJ$2:$AJ$288,MATCH($A229,Prospectos!$A$2:$A$288,0)),"")</f>
        <v>Muy alta</v>
      </c>
      <c r="K229" s="31"/>
    </row>
    <row r="230" spans="1:11" s="32" customFormat="1" ht="33.950000000000003" customHeight="1">
      <c r="A230" s="44" t="s">
        <v>288</v>
      </c>
      <c r="B230" s="44" t="str">
        <f>IFERROR(INDEX(Prospectos!$F$2:$F$288,MATCH($A230,Prospectos!$A$2:$A$288,0)),"")</f>
        <v>A</v>
      </c>
      <c r="C230" s="44" t="str">
        <f>IFERROR(INDEX(Prospectos!$H$2:$H$288,MATCH($A230,Prospectos!$A$2:$A$288,0)),"")</f>
        <v>Caón Maquinarias — Hernando</v>
      </c>
      <c r="D230" s="44" t="str">
        <f>IFERROR(INDEX(Prospectos!$J$2:$J$288,MATCH($A230,Prospectos!$A$2:$A$288,0)),"")</f>
        <v>Maquinaria agrícola</v>
      </c>
      <c r="E230" s="44" t="str">
        <f>IFERROR(INDEX(Prospectos!$C$2:$C$288,MATCH($A230,Prospectos!$A$2:$A$288,0)),"")</f>
        <v>Villa María / RP6</v>
      </c>
      <c r="F230" s="44" t="str">
        <f>IFERROR(INDEX(Prospectos!$E$2:$E$288,MATCH($A230,Prospectos!$A$2:$A$288,0)),"")</f>
        <v>Hernando</v>
      </c>
      <c r="G230" s="44" t="str">
        <f>IFERROR(INDEX(Prospectos!$K$2:$K$288,MATCH($A230,Prospectos!$A$2:$A$288,0)),"")</f>
        <v>+54 9 353 4201218</v>
      </c>
      <c r="H230" s="44" t="str">
        <f>IFERROR(INDEX(Prospectos!$M$2:$M$288,MATCH($A230,Prospectos!$A$2:$A$288,0)),"")</f>
        <v>logística / ventas / postventa</v>
      </c>
      <c r="I230" s="44" t="str">
        <f>IFERROR(INDEX(Prospectos!$N$2:$N$288,MATCH($A230,Prospectos!$A$2:$A$288,0)),"")</f>
        <v>Entrega y retiro de tractores, cosechadoras, pulverizadoras, sembradoras e implementos; movimientos por venta, service, canje, demostraciones o ferias.</v>
      </c>
      <c r="J230" s="44" t="str">
        <f>IFERROR(INDEX(Prospectos!$AJ$2:$AJ$288,MATCH($A230,Prospectos!$A$2:$A$288,0)),"")</f>
        <v>Muy alta</v>
      </c>
      <c r="K230" s="31"/>
    </row>
    <row r="231" spans="1:11" s="32" customFormat="1" ht="33.950000000000003" customHeight="1">
      <c r="A231" s="44" t="s">
        <v>289</v>
      </c>
      <c r="B231" s="44" t="str">
        <f>IFERROR(INDEX(Prospectos!$F$2:$F$288,MATCH($A231,Prospectos!$A$2:$A$288,0)),"")</f>
        <v>A</v>
      </c>
      <c r="C231" s="44" t="str">
        <f>IFERROR(INDEX(Prospectos!$H$2:$H$288,MATCH($A231,Prospectos!$A$2:$A$288,0)),"")</f>
        <v>Viejo Tala S.R.L. — Hernando</v>
      </c>
      <c r="D231" s="44" t="str">
        <f>IFERROR(INDEX(Prospectos!$J$2:$J$288,MATCH($A231,Prospectos!$A$2:$A$288,0)),"")</f>
        <v>Maquinaria agrícola</v>
      </c>
      <c r="E231" s="44" t="str">
        <f>IFERROR(INDEX(Prospectos!$C$2:$C$288,MATCH($A231,Prospectos!$A$2:$A$288,0)),"")</f>
        <v>Villa María / RP6</v>
      </c>
      <c r="F231" s="44" t="str">
        <f>IFERROR(INDEX(Prospectos!$E$2:$E$288,MATCH($A231,Prospectos!$A$2:$A$288,0)),"")</f>
        <v>Hernando</v>
      </c>
      <c r="G231" s="44" t="str">
        <f>IFERROR(INDEX(Prospectos!$K$2:$K$288,MATCH($A231,Prospectos!$A$2:$A$288,0)),"")</f>
        <v>0353 4962995</v>
      </c>
      <c r="H231" s="44" t="str">
        <f>IFERROR(INDEX(Prospectos!$M$2:$M$288,MATCH($A231,Prospectos!$A$2:$A$288,0)),"")</f>
        <v>logística / ventas / postventa</v>
      </c>
      <c r="I231" s="44" t="str">
        <f>IFERROR(INDEX(Prospectos!$N$2:$N$288,MATCH($A231,Prospectos!$A$2:$A$288,0)),"")</f>
        <v>Entrega y retiro de tractores, cosechadoras, pulverizadoras, sembradoras e implementos; movimientos por venta, service, canje, demostraciones o ferias.</v>
      </c>
      <c r="J231" s="44" t="str">
        <f>IFERROR(INDEX(Prospectos!$AJ$2:$AJ$288,MATCH($A231,Prospectos!$A$2:$A$288,0)),"")</f>
        <v>Muy alta</v>
      </c>
      <c r="K231" s="31" t="s">
        <v>2895</v>
      </c>
    </row>
    <row r="232" spans="1:11" s="32" customFormat="1" ht="33.950000000000003" customHeight="1">
      <c r="A232" s="44" t="s">
        <v>290</v>
      </c>
      <c r="B232" s="44" t="str">
        <f>IFERROR(INDEX(Prospectos!$F$2:$F$288,MATCH($A232,Prospectos!$A$2:$A$288,0)),"")</f>
        <v>A</v>
      </c>
      <c r="C232" s="44" t="str">
        <f>IFERROR(INDEX(Prospectos!$H$2:$H$288,MATCH($A232,Prospectos!$A$2:$A$288,0)),"")</f>
        <v>CyS Agro — Hernando</v>
      </c>
      <c r="D232" s="44" t="str">
        <f>IFERROR(INDEX(Prospectos!$J$2:$J$288,MATCH($A232,Prospectos!$A$2:$A$288,0)),"")</f>
        <v>Maquinaria agrícola</v>
      </c>
      <c r="E232" s="44" t="str">
        <f>IFERROR(INDEX(Prospectos!$C$2:$C$288,MATCH($A232,Prospectos!$A$2:$A$288,0)),"")</f>
        <v>Villa María / RP6</v>
      </c>
      <c r="F232" s="44" t="str">
        <f>IFERROR(INDEX(Prospectos!$E$2:$E$288,MATCH($A232,Prospectos!$A$2:$A$288,0)),"")</f>
        <v>Hernando</v>
      </c>
      <c r="G232" s="44" t="str">
        <f>IFERROR(INDEX(Prospectos!$K$2:$K$288,MATCH($A232,Prospectos!$A$2:$A$288,0)),"")</f>
        <v>0353 4846206</v>
      </c>
      <c r="H232" s="44" t="str">
        <f>IFERROR(INDEX(Prospectos!$M$2:$M$288,MATCH($A232,Prospectos!$A$2:$A$288,0)),"")</f>
        <v>logística / ventas / postventa</v>
      </c>
      <c r="I232" s="44" t="str">
        <f>IFERROR(INDEX(Prospectos!$N$2:$N$288,MATCH($A232,Prospectos!$A$2:$A$288,0)),"")</f>
        <v>Entrega y retiro de tractores, cosechadoras, pulverizadoras, sembradoras e implementos; movimientos por venta, service, canje, demostraciones o ferias.</v>
      </c>
      <c r="J232" s="44" t="str">
        <f>IFERROR(INDEX(Prospectos!$AJ$2:$AJ$288,MATCH($A232,Prospectos!$A$2:$A$288,0)),"")</f>
        <v>Alta</v>
      </c>
      <c r="K232" s="31" t="s">
        <v>2896</v>
      </c>
    </row>
    <row r="233" spans="1:11" s="43" customFormat="1" ht="33.950000000000003" customHeight="1">
      <c r="A233" s="53" t="s">
        <v>291</v>
      </c>
      <c r="B233" s="53" t="str">
        <f>IFERROR(INDEX(Prospectos!$F$2:$F$288,MATCH($A233,Prospectos!$A$2:$A$288,0)),"")</f>
        <v>A</v>
      </c>
      <c r="C233" s="53" t="str">
        <f>IFERROR(INDEX(Prospectos!$H$2:$H$288,MATCH($A233,Prospectos!$A$2:$A$288,0)),"")</f>
        <v>Zuppa Hermanos — Hernando</v>
      </c>
      <c r="D233" s="53" t="str">
        <f>IFERROR(INDEX(Prospectos!$J$2:$J$288,MATCH($A233,Prospectos!$A$2:$A$288,0)),"")</f>
        <v>PRFV y plásticos</v>
      </c>
      <c r="E233" s="53" t="str">
        <f>IFERROR(INDEX(Prospectos!$C$2:$C$288,MATCH($A233,Prospectos!$A$2:$A$288,0)),"")</f>
        <v>Villa María / RP6</v>
      </c>
      <c r="F233" s="53" t="str">
        <f>IFERROR(INDEX(Prospectos!$E$2:$E$288,MATCH($A233,Prospectos!$A$2:$A$288,0)),"")</f>
        <v>Hernando</v>
      </c>
      <c r="G233" s="53" t="str">
        <f>IFERROR(INDEX(Prospectos!$K$2:$K$288,MATCH($A233,Prospectos!$A$2:$A$288,0)),"")</f>
        <v>0353 154257089</v>
      </c>
      <c r="H233" s="53" t="str">
        <f>IFERROR(INDEX(Prospectos!$M$2:$M$288,MATCH($A233,Prospectos!$A$2:$A$288,0)),"")</f>
        <v>logística / instalaciones / obras / ventas</v>
      </c>
      <c r="I233" s="53" t="str">
        <f>IFERROR(INDEX(Prospectos!$N$2:$N$288,MATCH($A233,Prospectos!$A$2:$A$288,0)),"")</f>
        <v>Entrega de piscinas de fibra desde depósito/franquicia hasta domicilio y apoyo de grúa cuando el casco debe superar medianeras, techos o accesos angostos.</v>
      </c>
      <c r="J233" s="53" t="str">
        <f>IFERROR(INDEX(Prospectos!$AJ$2:$AJ$288,MATCH($A233,Prospectos!$A$2:$A$288,0)),"")</f>
        <v>Alta</v>
      </c>
      <c r="K233" s="42" t="s">
        <v>2897</v>
      </c>
    </row>
    <row r="234" spans="1:11" s="32" customFormat="1" ht="33.950000000000003" customHeight="1">
      <c r="A234" s="44" t="s">
        <v>292</v>
      </c>
      <c r="B234" s="44" t="str">
        <f>IFERROR(INDEX(Prospectos!$F$2:$F$288,MATCH($A234,Prospectos!$A$2:$A$288,0)),"")</f>
        <v>A</v>
      </c>
      <c r="C234" s="44" t="str">
        <f>IFERROR(INDEX(Prospectos!$H$2:$H$288,MATCH($A234,Prospectos!$A$2:$A$288,0)),"")</f>
        <v>AGD - Acopio Hernando</v>
      </c>
      <c r="D234" s="44" t="str">
        <f>IFERROR(INDEX(Prospectos!$J$2:$J$288,MATCH($A234,Prospectos!$A$2:$A$288,0)),"")</f>
        <v>Agro, acopio y cooperativas</v>
      </c>
      <c r="E234" s="44" t="str">
        <f>IFERROR(INDEX(Prospectos!$C$2:$C$288,MATCH($A234,Prospectos!$A$2:$A$288,0)),"")</f>
        <v>Villa María / RP6</v>
      </c>
      <c r="F234" s="44" t="str">
        <f>IFERROR(INDEX(Prospectos!$E$2:$E$288,MATCH($A234,Prospectos!$A$2:$A$288,0)),"")</f>
        <v>Hernando</v>
      </c>
      <c r="G234" s="44" t="str">
        <f>IFERROR(INDEX(Prospectos!$K$2:$K$288,MATCH($A234,Prospectos!$A$2:$A$288,0)),"")</f>
        <v>0353 4960609</v>
      </c>
      <c r="H234" s="44" t="str">
        <f>IFERROR(INDEX(Prospectos!$M$2:$M$288,MATCH($A234,Prospectos!$A$2:$A$288,0)),"")</f>
        <v>responsable de acopio / mantenimiento</v>
      </c>
      <c r="I234" s="44" t="str">
        <f>IFERROR(INDEX(Prospectos!$N$2:$N$288,MATCH($A234,Prospectos!$A$2:$A$288,0)),"")</f>
        <v>Traslado de equipos de planta, silos, repuestos pesados, balanzas, implementos y cargas especiales.</v>
      </c>
      <c r="J234" s="44" t="str">
        <f>IFERROR(INDEX(Prospectos!$AJ$2:$AJ$288,MATCH($A234,Prospectos!$A$2:$A$288,0)),"")</f>
        <v>Muy alta</v>
      </c>
      <c r="K234" s="31"/>
    </row>
    <row r="235" spans="1:11" s="32" customFormat="1" ht="33.950000000000003" customHeight="1">
      <c r="A235" s="44" t="s">
        <v>293</v>
      </c>
      <c r="B235" s="44" t="str">
        <f>IFERROR(INDEX(Prospectos!$F$2:$F$288,MATCH($A235,Prospectos!$A$2:$A$288,0)),"")</f>
        <v>A</v>
      </c>
      <c r="C235" s="44" t="str">
        <f>IFERROR(INDEX(Prospectos!$H$2:$H$288,MATCH($A235,Prospectos!$A$2:$A$288,0)),"")</f>
        <v>AGRO ARG S.R.L. Planta de Maní</v>
      </c>
      <c r="D235" s="44" t="str">
        <f>IFERROR(INDEX(Prospectos!$J$2:$J$288,MATCH($A235,Prospectos!$A$2:$A$288,0)),"")</f>
        <v>Agroindustria y alimentos</v>
      </c>
      <c r="E235" s="44" t="str">
        <f>IFERROR(INDEX(Prospectos!$C$2:$C$288,MATCH($A235,Prospectos!$A$2:$A$288,0)),"")</f>
        <v>Villa María / RP6</v>
      </c>
      <c r="F235" s="44" t="str">
        <f>IFERROR(INDEX(Prospectos!$E$2:$E$288,MATCH($A235,Prospectos!$A$2:$A$288,0)),"")</f>
        <v>Hernando</v>
      </c>
      <c r="G235" s="44" t="str">
        <f>IFERROR(INDEX(Prospectos!$K$2:$K$288,MATCH($A235,Prospectos!$A$2:$A$288,0)),"")</f>
        <v>+54 9 353 6575171</v>
      </c>
      <c r="H235" s="44" t="str">
        <f>IFERROR(INDEX(Prospectos!$M$2:$M$288,MATCH($A235,Prospectos!$A$2:$A$288,0)),"")</f>
        <v>responsable de acopio / mantenimiento</v>
      </c>
      <c r="I235" s="44" t="str">
        <f>IFERROR(INDEX(Prospectos!$N$2:$N$288,MATCH($A235,Prospectos!$A$2:$A$288,0)),"")</f>
        <v>Traslado de equipos de planta, silos, repuestos pesados, balanzas, implementos y cargas especiales.</v>
      </c>
      <c r="J235" s="44" t="str">
        <f>IFERROR(INDEX(Prospectos!$AJ$2:$AJ$288,MATCH($A235,Prospectos!$A$2:$A$288,0)),"")</f>
        <v>Muy alta</v>
      </c>
      <c r="K235" s="31"/>
    </row>
    <row r="236" spans="1:11" s="32" customFormat="1" ht="33.950000000000003" customHeight="1">
      <c r="A236" s="44" t="s">
        <v>294</v>
      </c>
      <c r="B236" s="44" t="str">
        <f>IFERROR(INDEX(Prospectos!$F$2:$F$288,MATCH($A236,Prospectos!$A$2:$A$288,0)),"")</f>
        <v>A</v>
      </c>
      <c r="C236" s="44" t="str">
        <f>IFERROR(INDEX(Prospectos!$H$2:$H$288,MATCH($A236,Prospectos!$A$2:$A$288,0)),"")</f>
        <v>MULTITRAC S.A.S Agromaquinarias</v>
      </c>
      <c r="D236" s="44" t="str">
        <f>IFERROR(INDEX(Prospectos!$J$2:$J$288,MATCH($A236,Prospectos!$A$2:$A$288,0)),"")</f>
        <v>Maquinaria agrícola</v>
      </c>
      <c r="E236" s="44" t="str">
        <f>IFERROR(INDEX(Prospectos!$C$2:$C$288,MATCH($A236,Prospectos!$A$2:$A$288,0)),"")</f>
        <v>Villa María / RP6</v>
      </c>
      <c r="F236" s="44" t="str">
        <f>IFERROR(INDEX(Prospectos!$E$2:$E$288,MATCH($A236,Prospectos!$A$2:$A$288,0)),"")</f>
        <v>Hernando</v>
      </c>
      <c r="G236" s="44" t="str">
        <f>IFERROR(INDEX(Prospectos!$K$2:$K$288,MATCH($A236,Prospectos!$A$2:$A$288,0)),"")</f>
        <v>0353 4125716</v>
      </c>
      <c r="H236" s="44" t="str">
        <f>IFERROR(INDEX(Prospectos!$M$2:$M$288,MATCH($A236,Prospectos!$A$2:$A$288,0)),"")</f>
        <v>logística / entregas / postventa</v>
      </c>
      <c r="I236" s="44" t="str">
        <f>IFERROR(INDEX(Prospectos!$N$2:$N$288,MATCH($A236,Prospectos!$A$2:$A$288,0)),"")</f>
        <v>Traslado de maquinaria agrícola o vial entre sucursal, cliente, taller, campo y eventos.</v>
      </c>
      <c r="J236" s="44" t="str">
        <f>IFERROR(INDEX(Prospectos!$AJ$2:$AJ$288,MATCH($A236,Prospectos!$A$2:$A$288,0)),"")</f>
        <v>Muy alta</v>
      </c>
      <c r="K236" s="31"/>
    </row>
    <row r="237" spans="1:11" s="32" customFormat="1" ht="33.950000000000003" customHeight="1">
      <c r="A237" s="44" t="s">
        <v>295</v>
      </c>
      <c r="B237" s="44" t="str">
        <f>IFERROR(INDEX(Prospectos!$F$2:$F$288,MATCH($A237,Prospectos!$A$2:$A$288,0)),"")</f>
        <v>A</v>
      </c>
      <c r="C237" s="44" t="str">
        <f>IFERROR(INDEX(Prospectos!$H$2:$H$288,MATCH($A237,Prospectos!$A$2:$A$288,0)),"")</f>
        <v>Servagrop - Especialistas en Maní</v>
      </c>
      <c r="D237" s="44" t="str">
        <f>IFERROR(INDEX(Prospectos!$J$2:$J$288,MATCH($A237,Prospectos!$A$2:$A$288,0)),"")</f>
        <v>Agroindustria y alimentos</v>
      </c>
      <c r="E237" s="44" t="str">
        <f>IFERROR(INDEX(Prospectos!$C$2:$C$288,MATCH($A237,Prospectos!$A$2:$A$288,0)),"")</f>
        <v>Villa María / RP6</v>
      </c>
      <c r="F237" s="44" t="str">
        <f>IFERROR(INDEX(Prospectos!$E$2:$E$288,MATCH($A237,Prospectos!$A$2:$A$288,0)),"")</f>
        <v>Hernando</v>
      </c>
      <c r="G237" s="44" t="str">
        <f>IFERROR(INDEX(Prospectos!$K$2:$K$288,MATCH($A237,Prospectos!$A$2:$A$288,0)),"")</f>
        <v>0353 4960348</v>
      </c>
      <c r="H237" s="44" t="str">
        <f>IFERROR(INDEX(Prospectos!$M$2:$M$288,MATCH($A237,Prospectos!$A$2:$A$288,0)),"")</f>
        <v>responsable de acopio / mantenimiento</v>
      </c>
      <c r="I237" s="44" t="str">
        <f>IFERROR(INDEX(Prospectos!$N$2:$N$288,MATCH($A237,Prospectos!$A$2:$A$288,0)),"")</f>
        <v>Traslado de equipos de planta, silos, repuestos pesados, balanzas, implementos y cargas especiales.</v>
      </c>
      <c r="J237" s="44" t="str">
        <f>IFERROR(INDEX(Prospectos!$AJ$2:$AJ$288,MATCH($A237,Prospectos!$A$2:$A$288,0)),"")</f>
        <v>Muy alta</v>
      </c>
      <c r="K237" s="31"/>
    </row>
    <row r="238" spans="1:11" ht="33.950000000000003" customHeight="1">
      <c r="A238" s="18" t="s">
        <v>296</v>
      </c>
      <c r="B238" s="18" t="str">
        <f>IFERROR(INDEX(Prospectos!$F$2:$F$288,MATCH($A238,Prospectos!$A$2:$A$288,0)),"")</f>
        <v>B</v>
      </c>
      <c r="C238" s="18" t="str">
        <f>IFERROR(INDEX(Prospectos!$H$2:$H$288,MATCH($A238,Prospectos!$A$2:$A$288,0)),"")</f>
        <v>Plegados Hernando S.A.</v>
      </c>
      <c r="D238" s="18" t="str">
        <f>IFERROR(INDEX(Prospectos!$J$2:$J$288,MATCH($A238,Prospectos!$A$2:$A$288,0)),"")</f>
        <v>Metalúrgica y fabricación</v>
      </c>
      <c r="E238" s="18" t="str">
        <f>IFERROR(INDEX(Prospectos!$C$2:$C$288,MATCH($A238,Prospectos!$A$2:$A$288,0)),"")</f>
        <v>Villa María / RP6</v>
      </c>
      <c r="F238" s="18" t="str">
        <f>IFERROR(INDEX(Prospectos!$E$2:$E$288,MATCH($A238,Prospectos!$A$2:$A$288,0)),"")</f>
        <v>Hernando</v>
      </c>
      <c r="G238" s="18" t="str">
        <f>IFERROR(INDEX(Prospectos!$K$2:$K$288,MATCH($A238,Prospectos!$A$2:$A$288,0)),"")</f>
        <v>0353 4962200 / +54 353 4962200</v>
      </c>
      <c r="H238" s="18" t="str">
        <f>IFERROR(INDEX(Prospectos!$M$2:$M$288,MATCH($A238,Prospectos!$A$2:$A$288,0)),"")</f>
        <v>despacho / producción</v>
      </c>
      <c r="I238" s="18" t="str">
        <f>IFERROR(INDEX(Prospectos!$N$2:$N$288,MATCH($A238,Prospectos!$A$2:$A$288,0)),"")</f>
        <v>Despacho de estructuras, piezas, equipos y conjuntos metalmecánicos de gran porte hacia obras o clientes.</v>
      </c>
      <c r="J238" s="18" t="str">
        <f>IFERROR(INDEX(Prospectos!$AJ$2:$AJ$288,MATCH($A238,Prospectos!$A$2:$A$288,0)),"")</f>
        <v>Alta</v>
      </c>
      <c r="K238" s="29"/>
    </row>
    <row r="239" spans="1:11" s="32" customFormat="1" ht="33.950000000000003" customHeight="1">
      <c r="A239" s="44" t="s">
        <v>297</v>
      </c>
      <c r="B239" s="44" t="str">
        <f>IFERROR(INDEX(Prospectos!$F$2:$F$288,MATCH($A239,Prospectos!$A$2:$A$288,0)),"")</f>
        <v>B</v>
      </c>
      <c r="C239" s="44" t="str">
        <f>IFERROR(INDEX(Prospectos!$H$2:$H$288,MATCH($A239,Prospectos!$A$2:$A$288,0)),"")</f>
        <v>Agrohernando</v>
      </c>
      <c r="D239" s="44" t="str">
        <f>IFERROR(INDEX(Prospectos!$J$2:$J$288,MATCH($A239,Prospectos!$A$2:$A$288,0)),"")</f>
        <v>Agro, acopio y cooperativas</v>
      </c>
      <c r="E239" s="44" t="str">
        <f>IFERROR(INDEX(Prospectos!$C$2:$C$288,MATCH($A239,Prospectos!$A$2:$A$288,0)),"")</f>
        <v>Villa María / RP6</v>
      </c>
      <c r="F239" s="44" t="str">
        <f>IFERROR(INDEX(Prospectos!$E$2:$E$288,MATCH($A239,Prospectos!$A$2:$A$288,0)),"")</f>
        <v>Hernando</v>
      </c>
      <c r="G239" s="44" t="str">
        <f>IFERROR(INDEX(Prospectos!$K$2:$K$288,MATCH($A239,Prospectos!$A$2:$A$288,0)),"")</f>
        <v>0353 4960418</v>
      </c>
      <c r="H239" s="44" t="str">
        <f>IFERROR(INDEX(Prospectos!$M$2:$M$288,MATCH($A239,Prospectos!$A$2:$A$288,0)),"")</f>
        <v>responsable de acopio / mantenimiento</v>
      </c>
      <c r="I239" s="44" t="str">
        <f>IFERROR(INDEX(Prospectos!$N$2:$N$288,MATCH($A239,Prospectos!$A$2:$A$288,0)),"")</f>
        <v>Traslado de equipos de planta, silos, repuestos pesados, balanzas, implementos y cargas especiales.</v>
      </c>
      <c r="J239" s="44" t="str">
        <f>IFERROR(INDEX(Prospectos!$AJ$2:$AJ$288,MATCH($A239,Prospectos!$A$2:$A$288,0)),"")</f>
        <v>Alta</v>
      </c>
      <c r="K239" s="31"/>
    </row>
    <row r="240" spans="1:11" s="32" customFormat="1" ht="33.950000000000003" customHeight="1">
      <c r="A240" s="44" t="s">
        <v>298</v>
      </c>
      <c r="B240" s="44" t="str">
        <f>IFERROR(INDEX(Prospectos!$F$2:$F$288,MATCH($A240,Prospectos!$A$2:$A$288,0)),"")</f>
        <v>B</v>
      </c>
      <c r="C240" s="44" t="str">
        <f>IFERROR(INDEX(Prospectos!$H$2:$H$288,MATCH($A240,Prospectos!$A$2:$A$288,0)),"")</f>
        <v>Agrícola José Verra S.A.</v>
      </c>
      <c r="D240" s="44" t="str">
        <f>IFERROR(INDEX(Prospectos!$J$2:$J$288,MATCH($A240,Prospectos!$A$2:$A$288,0)),"")</f>
        <v>Maquinaria agrícola</v>
      </c>
      <c r="E240" s="44" t="str">
        <f>IFERROR(INDEX(Prospectos!$C$2:$C$288,MATCH($A240,Prospectos!$A$2:$A$288,0)),"")</f>
        <v>Villa María / RP6</v>
      </c>
      <c r="F240" s="44" t="str">
        <f>IFERROR(INDEX(Prospectos!$E$2:$E$288,MATCH($A240,Prospectos!$A$2:$A$288,0)),"")</f>
        <v>Hernando</v>
      </c>
      <c r="G240" s="44" t="str">
        <f>IFERROR(INDEX(Prospectos!$K$2:$K$288,MATCH($A240,Prospectos!$A$2:$A$288,0)),"")</f>
        <v>03532 415543</v>
      </c>
      <c r="H240" s="44" t="str">
        <f>IFERROR(INDEX(Prospectos!$M$2:$M$288,MATCH($A240,Prospectos!$A$2:$A$288,0)),"")</f>
        <v>logística / entregas / postventa</v>
      </c>
      <c r="I240" s="44" t="str">
        <f>IFERROR(INDEX(Prospectos!$N$2:$N$288,MATCH($A240,Prospectos!$A$2:$A$288,0)),"")</f>
        <v>Traslado de maquinaria agrícola o vial entre sucursal, cliente, taller, campo y eventos.</v>
      </c>
      <c r="J240" s="44" t="str">
        <f>IFERROR(INDEX(Prospectos!$AJ$2:$AJ$288,MATCH($A240,Prospectos!$A$2:$A$288,0)),"")</f>
        <v>Alta</v>
      </c>
      <c r="K240" s="31"/>
    </row>
    <row r="241" spans="1:11" s="32" customFormat="1" ht="33.950000000000003" customHeight="1">
      <c r="A241" s="44" t="s">
        <v>299</v>
      </c>
      <c r="B241" s="44" t="str">
        <f>IFERROR(INDEX(Prospectos!$F$2:$F$288,MATCH($A241,Prospectos!$A$2:$A$288,0)),"")</f>
        <v>B</v>
      </c>
      <c r="C241" s="44" t="str">
        <f>IFERROR(INDEX(Prospectos!$H$2:$H$288,MATCH($A241,Prospectos!$A$2:$A$288,0)),"")</f>
        <v>Boero Maquinarias</v>
      </c>
      <c r="D241" s="44" t="str">
        <f>IFERROR(INDEX(Prospectos!$J$2:$J$288,MATCH($A241,Prospectos!$A$2:$A$288,0)),"")</f>
        <v>Maquinaria agrícola</v>
      </c>
      <c r="E241" s="44" t="str">
        <f>IFERROR(INDEX(Prospectos!$C$2:$C$288,MATCH($A241,Prospectos!$A$2:$A$288,0)),"")</f>
        <v>Villa María / RP6</v>
      </c>
      <c r="F241" s="44" t="str">
        <f>IFERROR(INDEX(Prospectos!$E$2:$E$288,MATCH($A241,Prospectos!$A$2:$A$288,0)),"")</f>
        <v>Hernando</v>
      </c>
      <c r="G241" s="44" t="str">
        <f>IFERROR(INDEX(Prospectos!$K$2:$K$288,MATCH($A241,Prospectos!$A$2:$A$288,0)),"")</f>
        <v>0353 4960847 / +54 353 4187486</v>
      </c>
      <c r="H241" s="44" t="str">
        <f>IFERROR(INDEX(Prospectos!$M$2:$M$288,MATCH($A241,Prospectos!$A$2:$A$288,0)),"")</f>
        <v>logística / ventas / postventa</v>
      </c>
      <c r="I241" s="44" t="str">
        <f>IFERROR(INDEX(Prospectos!$N$2:$N$288,MATCH($A241,Prospectos!$A$2:$A$288,0)),"")</f>
        <v>Entrega y retiro de tractores, cosechadoras, pulverizadoras, sembradoras e implementos; movimientos por venta, service, canje, demostraciones o ferias.</v>
      </c>
      <c r="J241" s="44" t="str">
        <f>IFERROR(INDEX(Prospectos!$AJ$2:$AJ$288,MATCH($A241,Prospectos!$A$2:$A$288,0)),"")</f>
        <v>Media</v>
      </c>
      <c r="K241" s="31"/>
    </row>
    <row r="242" spans="1:11" ht="33.950000000000003" customHeight="1">
      <c r="A242" s="18" t="s">
        <v>300</v>
      </c>
      <c r="B242" s="18" t="str">
        <f>IFERROR(INDEX(Prospectos!$F$2:$F$288,MATCH($A242,Prospectos!$A$2:$A$288,0)),"")</f>
        <v>B</v>
      </c>
      <c r="C242" s="18" t="str">
        <f>IFERROR(INDEX(Prospectos!$H$2:$H$288,MATCH($A242,Prospectos!$A$2:$A$288,0)),"")</f>
        <v>Cismondi Construcciones</v>
      </c>
      <c r="D242" s="18" t="str">
        <f>IFERROR(INDEX(Prospectos!$J$2:$J$288,MATCH($A242,Prospectos!$A$2:$A$288,0)),"")</f>
        <v>Construcción y obra vial</v>
      </c>
      <c r="E242" s="18" t="str">
        <f>IFERROR(INDEX(Prospectos!$C$2:$C$288,MATCH($A242,Prospectos!$A$2:$A$288,0)),"")</f>
        <v>Villa María / RP6</v>
      </c>
      <c r="F242" s="18" t="str">
        <f>IFERROR(INDEX(Prospectos!$E$2:$E$288,MATCH($A242,Prospectos!$A$2:$A$288,0)),"")</f>
        <v>Hernando</v>
      </c>
      <c r="G242" s="18" t="str">
        <f>IFERROR(INDEX(Prospectos!$K$2:$K$288,MATCH($A242,Prospectos!$A$2:$A$288,0)),"")</f>
        <v>03536 579486</v>
      </c>
      <c r="H242" s="18" t="str">
        <f>IFERROR(INDEX(Prospectos!$M$2:$M$288,MATCH($A242,Prospectos!$A$2:$A$288,0)),"")</f>
        <v>jefe de obra / operaciones</v>
      </c>
      <c r="I242" s="18" t="str">
        <f>IFERROR(INDEX(Prospectos!$N$2:$N$288,MATCH($A242,Prospectos!$A$2:$A$288,0)),"")</f>
        <v>Traslado de maquinaria, módulos de obrador, estructuras y equipos entre depósitos y frentes de obra.</v>
      </c>
      <c r="J242" s="18" t="str">
        <f>IFERROR(INDEX(Prospectos!$AJ$2:$AJ$288,MATCH($A242,Prospectos!$A$2:$A$288,0)),"")</f>
        <v>Alta</v>
      </c>
      <c r="K242" s="29"/>
    </row>
    <row r="243" spans="1:11" s="32" customFormat="1" ht="33.950000000000003" customHeight="1">
      <c r="A243" s="44" t="s">
        <v>301</v>
      </c>
      <c r="B243" s="44" t="str">
        <f>IFERROR(INDEX(Prospectos!$F$2:$F$288,MATCH($A243,Prospectos!$A$2:$A$288,0)),"")</f>
        <v>B</v>
      </c>
      <c r="C243" s="44" t="str">
        <f>IFERROR(INDEX(Prospectos!$H$2:$H$288,MATCH($A243,Prospectos!$A$2:$A$288,0)),"")</f>
        <v>Industria Metal-Her</v>
      </c>
      <c r="D243" s="44" t="str">
        <f>IFERROR(INDEX(Prospectos!$J$2:$J$288,MATCH($A243,Prospectos!$A$2:$A$288,0)),"")</f>
        <v>Maquinaria agrícola</v>
      </c>
      <c r="E243" s="44" t="str">
        <f>IFERROR(INDEX(Prospectos!$C$2:$C$288,MATCH($A243,Prospectos!$A$2:$A$288,0)),"")</f>
        <v>Villa María / RP6</v>
      </c>
      <c r="F243" s="44" t="str">
        <f>IFERROR(INDEX(Prospectos!$E$2:$E$288,MATCH($A243,Prospectos!$A$2:$A$288,0)),"")</f>
        <v>Hernando</v>
      </c>
      <c r="G243" s="44" t="str">
        <f>IFERROR(INDEX(Prospectos!$K$2:$K$288,MATCH($A243,Prospectos!$A$2:$A$288,0)),"")</f>
        <v>0353 156568385 / 0353 4846509</v>
      </c>
      <c r="H243" s="44" t="str">
        <f>IFERROR(INDEX(Prospectos!$M$2:$M$288,MATCH($A243,Prospectos!$A$2:$A$288,0)),"")</f>
        <v>responsable de acopio / mantenimiento</v>
      </c>
      <c r="I243" s="44" t="str">
        <f>IFERROR(INDEX(Prospectos!$N$2:$N$288,MATCH($A243,Prospectos!$A$2:$A$288,0)),"")</f>
        <v>Movimientos especiales de mantenimiento, repuestos pesados y mudanzas internas de equipos.</v>
      </c>
      <c r="J243" s="44" t="str">
        <f>IFERROR(INDEX(Prospectos!$AJ$2:$AJ$288,MATCH($A243,Prospectos!$A$2:$A$288,0)),"")</f>
        <v>Alta</v>
      </c>
      <c r="K243" s="31"/>
    </row>
    <row r="244" spans="1:11" ht="33.950000000000003" customHeight="1">
      <c r="A244" s="18" t="s">
        <v>302</v>
      </c>
      <c r="B244" s="18" t="str">
        <f>IFERROR(INDEX(Prospectos!$F$2:$F$288,MATCH($A244,Prospectos!$A$2:$A$288,0)),"")</f>
        <v>B</v>
      </c>
      <c r="C244" s="18" t="str">
        <f>IFERROR(INDEX(Prospectos!$H$2:$H$288,MATCH($A244,Prospectos!$A$2:$A$288,0)),"")</f>
        <v>Tornería y Soldadura Carlos Gastaldi</v>
      </c>
      <c r="D244" s="18" t="str">
        <f>IFERROR(INDEX(Prospectos!$J$2:$J$288,MATCH($A244,Prospectos!$A$2:$A$288,0)),"")</f>
        <v>Metalúrgica y fabricación</v>
      </c>
      <c r="E244" s="18" t="str">
        <f>IFERROR(INDEX(Prospectos!$C$2:$C$288,MATCH($A244,Prospectos!$A$2:$A$288,0)),"")</f>
        <v>Villa María / RP6</v>
      </c>
      <c r="F244" s="18" t="str">
        <f>IFERROR(INDEX(Prospectos!$E$2:$E$288,MATCH($A244,Prospectos!$A$2:$A$288,0)),"")</f>
        <v>Hernando</v>
      </c>
      <c r="G244" s="18" t="str">
        <f>IFERROR(INDEX(Prospectos!$K$2:$K$288,MATCH($A244,Prospectos!$A$2:$A$288,0)),"")</f>
        <v>0353 4298156</v>
      </c>
      <c r="H244" s="18" t="str">
        <f>IFERROR(INDEX(Prospectos!$M$2:$M$288,MATCH($A244,Prospectos!$A$2:$A$288,0)),"")</f>
        <v>despacho / producción</v>
      </c>
      <c r="I244" s="18" t="str">
        <f>IFERROR(INDEX(Prospectos!$N$2:$N$288,MATCH($A244,Prospectos!$A$2:$A$288,0)),"")</f>
        <v>Despacho de estructuras, piezas, equipos y conjuntos metalmecánicos de gran porte hacia obras o clientes.</v>
      </c>
      <c r="J244" s="18" t="str">
        <f>IFERROR(INDEX(Prospectos!$AJ$2:$AJ$288,MATCH($A244,Prospectos!$A$2:$A$288,0)),"")</f>
        <v>Alta</v>
      </c>
      <c r="K244" s="29"/>
    </row>
    <row r="245" spans="1:11" s="32" customFormat="1" ht="33.950000000000003" customHeight="1">
      <c r="A245" s="44" t="s">
        <v>303</v>
      </c>
      <c r="B245" s="44" t="str">
        <f>IFERROR(INDEX(Prospectos!$F$2:$F$288,MATCH($A245,Prospectos!$A$2:$A$288,0)),"")</f>
        <v>B</v>
      </c>
      <c r="C245" s="44" t="str">
        <f>IFERROR(INDEX(Prospectos!$H$2:$H$288,MATCH($A245,Prospectos!$A$2:$A$288,0)),"")</f>
        <v>TOTI CONTI - Máquinas Agrícolas</v>
      </c>
      <c r="D245" s="44" t="str">
        <f>IFERROR(INDEX(Prospectos!$J$2:$J$288,MATCH($A245,Prospectos!$A$2:$A$288,0)),"")</f>
        <v>Maquinaria agrícola</v>
      </c>
      <c r="E245" s="44" t="str">
        <f>IFERROR(INDEX(Prospectos!$C$2:$C$288,MATCH($A245,Prospectos!$A$2:$A$288,0)),"")</f>
        <v>Villa María / RP6</v>
      </c>
      <c r="F245" s="44" t="str">
        <f>IFERROR(INDEX(Prospectos!$E$2:$E$288,MATCH($A245,Prospectos!$A$2:$A$288,0)),"")</f>
        <v>Hernando</v>
      </c>
      <c r="G245" s="44" t="str">
        <f>IFERROR(INDEX(Prospectos!$K$2:$K$288,MATCH($A245,Prospectos!$A$2:$A$288,0)),"")</f>
        <v>0353 4846557</v>
      </c>
      <c r="H245" s="44" t="str">
        <f>IFERROR(INDEX(Prospectos!$M$2:$M$288,MATCH($A245,Prospectos!$A$2:$A$288,0)),"")</f>
        <v>logística / entregas / postventa</v>
      </c>
      <c r="I245" s="44" t="str">
        <f>IFERROR(INDEX(Prospectos!$N$2:$N$288,MATCH($A245,Prospectos!$A$2:$A$288,0)),"")</f>
        <v>Traslado de maquinaria agrícola o vial entre sucursal, cliente, taller, campo y eventos.</v>
      </c>
      <c r="J245" s="44" t="str">
        <f>IFERROR(INDEX(Prospectos!$AJ$2:$AJ$288,MATCH($A245,Prospectos!$A$2:$A$288,0)),"")</f>
        <v>Alta</v>
      </c>
      <c r="K245" s="31" t="s">
        <v>2898</v>
      </c>
    </row>
    <row r="246" spans="1:11" s="32" customFormat="1" ht="33.950000000000003" customHeight="1">
      <c r="A246" s="44" t="s">
        <v>304</v>
      </c>
      <c r="B246" s="44" t="str">
        <f>IFERROR(INDEX(Prospectos!$F$2:$F$288,MATCH($A246,Prospectos!$A$2:$A$288,0)),"")</f>
        <v>C</v>
      </c>
      <c r="C246" s="44" t="str">
        <f>IFERROR(INDEX(Prospectos!$H$2:$H$288,MATCH($A246,Prospectos!$A$2:$A$288,0)),"")</f>
        <v>Her.Agro Maquinarias</v>
      </c>
      <c r="D246" s="44" t="str">
        <f>IFERROR(INDEX(Prospectos!$J$2:$J$288,MATCH($A246,Prospectos!$A$2:$A$288,0)),"")</f>
        <v>Maquinaria agrícola</v>
      </c>
      <c r="E246" s="44" t="str">
        <f>IFERROR(INDEX(Prospectos!$C$2:$C$288,MATCH($A246,Prospectos!$A$2:$A$288,0)),"")</f>
        <v>Villa María / RP6</v>
      </c>
      <c r="F246" s="44" t="str">
        <f>IFERROR(INDEX(Prospectos!$E$2:$E$288,MATCH($A246,Prospectos!$A$2:$A$288,0)),"")</f>
        <v>Hernando</v>
      </c>
      <c r="G246" s="44" t="str">
        <f>IFERROR(INDEX(Prospectos!$K$2:$K$288,MATCH($A246,Prospectos!$A$2:$A$288,0)),"")</f>
        <v>3535 690587 (a confirmar)</v>
      </c>
      <c r="H246" s="44" t="str">
        <f>IFERROR(INDEX(Prospectos!$M$2:$M$288,MATCH($A246,Prospectos!$A$2:$A$288,0)),"")</f>
        <v>responsable de acopio / mantenimiento</v>
      </c>
      <c r="I246" s="44" t="str">
        <f>IFERROR(INDEX(Prospectos!$N$2:$N$288,MATCH($A246,Prospectos!$A$2:$A$288,0)),"")</f>
        <v>Movimientos especiales de mantenimiento, repuestos pesados y mudanzas internas de equipos.</v>
      </c>
      <c r="J246" s="44" t="str">
        <f>IFERROR(INDEX(Prospectos!$AJ$2:$AJ$288,MATCH($A246,Prospectos!$A$2:$A$288,0)),"")</f>
        <v>Baja / visitar solo por cercanía</v>
      </c>
      <c r="K246" s="31"/>
    </row>
    <row r="247" spans="1:11" s="32" customFormat="1" ht="33.950000000000003" customHeight="1">
      <c r="A247" s="44" t="s">
        <v>305</v>
      </c>
      <c r="B247" s="44" t="str">
        <f>IFERROR(INDEX(Prospectos!$F$2:$F$288,MATCH($A247,Prospectos!$A$2:$A$288,0)),"")</f>
        <v>C</v>
      </c>
      <c r="C247" s="44" t="str">
        <f>IFERROR(INDEX(Prospectos!$H$2:$H$288,MATCH($A247,Prospectos!$A$2:$A$288,0)),"")</f>
        <v>AgroServ S.R.L.</v>
      </c>
      <c r="D247" s="44" t="str">
        <f>IFERROR(INDEX(Prospectos!$J$2:$J$288,MATCH($A247,Prospectos!$A$2:$A$288,0)),"")</f>
        <v>Maquinaria agrícola</v>
      </c>
      <c r="E247" s="44" t="str">
        <f>IFERROR(INDEX(Prospectos!$C$2:$C$288,MATCH($A247,Prospectos!$A$2:$A$288,0)),"")</f>
        <v>Villa María / RP6</v>
      </c>
      <c r="F247" s="44" t="str">
        <f>IFERROR(INDEX(Prospectos!$E$2:$E$288,MATCH($A247,Prospectos!$A$2:$A$288,0)),"")</f>
        <v>Hernando</v>
      </c>
      <c r="G247" s="44" t="str">
        <f>IFERROR(INDEX(Prospectos!$K$2:$K$288,MATCH($A247,Prospectos!$A$2:$A$288,0)),"")</f>
        <v>A relevar</v>
      </c>
      <c r="H247" s="44" t="str">
        <f>IFERROR(INDEX(Prospectos!$M$2:$M$288,MATCH($A247,Prospectos!$A$2:$A$288,0)),"")</f>
        <v>responsable de acopio / mantenimiento</v>
      </c>
      <c r="I247" s="44" t="str">
        <f>IFERROR(INDEX(Prospectos!$N$2:$N$288,MATCH($A247,Prospectos!$A$2:$A$288,0)),"")</f>
        <v>Movimientos especiales de mantenimiento, repuestos pesados y mudanzas internas de equipos.</v>
      </c>
      <c r="J247" s="44" t="str">
        <f>IFERROR(INDEX(Prospectos!$AJ$2:$AJ$288,MATCH($A247,Prospectos!$A$2:$A$288,0)),"")</f>
        <v>Baja / visitar solo por cercanía</v>
      </c>
      <c r="K247" s="31"/>
    </row>
    <row r="248" spans="1:11" s="32" customFormat="1" ht="33.950000000000003" customHeight="1">
      <c r="A248" s="30" t="s">
        <v>306</v>
      </c>
      <c r="B248" s="30" t="str">
        <f>IFERROR(INDEX(Prospectos!$F$2:$F$288,MATCH($A248,Prospectos!$A$2:$A$288,0)),"")</f>
        <v>A</v>
      </c>
      <c r="C248" s="30" t="str">
        <f>IFERROR(INDEX(Prospectos!$H$2:$H$288,MATCH($A248,Prospectos!$A$2:$A$288,0)),"")</f>
        <v>ACA — Centro de Desarrollo Comercial Tío Pujio</v>
      </c>
      <c r="D248" s="30" t="str">
        <f>IFERROR(INDEX(Prospectos!$J$2:$J$288,MATCH($A248,Prospectos!$A$2:$A$288,0)),"")</f>
        <v>Agro, acopio y cooperativas</v>
      </c>
      <c r="E248" s="30" t="str">
        <f>IFERROR(INDEX(Prospectos!$C$2:$C$288,MATCH($A248,Prospectos!$A$2:$A$288,0)),"")</f>
        <v>Villa María / RP6</v>
      </c>
      <c r="F248" s="30" t="str">
        <f>IFERROR(INDEX(Prospectos!$E$2:$E$288,MATCH($A248,Prospectos!$A$2:$A$288,0)),"")</f>
        <v>Tío Pujio</v>
      </c>
      <c r="G248" s="30" t="str">
        <f>IFERROR(INDEX(Prospectos!$K$2:$K$288,MATCH($A248,Prospectos!$A$2:$A$288,0)),"")</f>
        <v>353 5622710 / 0353 4860518 / 0353 4860519</v>
      </c>
      <c r="H248" s="30" t="str">
        <f>IFERROR(INDEX(Prospectos!$M$2:$M$288,MATCH($A248,Prospectos!$A$2:$A$288,0)),"")</f>
        <v>responsable de acopio / mantenimiento</v>
      </c>
      <c r="I248" s="30" t="str">
        <f>IFERROR(INDEX(Prospectos!$N$2:$N$288,MATCH($A248,Prospectos!$A$2:$A$288,0)),"")</f>
        <v>Traslado de equipos de planta, silos, repuestos pesados, balanzas, implementos y cargas especiales.</v>
      </c>
      <c r="J248" s="30" t="str">
        <f>IFERROR(INDEX(Prospectos!$AJ$2:$AJ$288,MATCH($A248,Prospectos!$A$2:$A$288,0)),"")</f>
        <v>Muy alta</v>
      </c>
      <c r="K248" s="31"/>
    </row>
    <row r="249" spans="1:11" s="32" customFormat="1" ht="33.950000000000003" customHeight="1">
      <c r="A249" s="44" t="s">
        <v>307</v>
      </c>
      <c r="B249" s="44" t="str">
        <f>IFERROR(INDEX(Prospectos!$F$2:$F$288,MATCH($A249,Prospectos!$A$2:$A$288,0)),"")</f>
        <v>B</v>
      </c>
      <c r="C249" s="44" t="str">
        <f>IFERROR(INDEX(Prospectos!$H$2:$H$288,MATCH($A249,Prospectos!$A$2:$A$288,0)),"")</f>
        <v>Metalúrgica Jor-Ba / Grupo Tío Pujio</v>
      </c>
      <c r="D249" s="44" t="str">
        <f>IFERROR(INDEX(Prospectos!$J$2:$J$288,MATCH($A249,Prospectos!$A$2:$A$288,0)),"")</f>
        <v>Metalúrgica y fabricación</v>
      </c>
      <c r="E249" s="44" t="str">
        <f>IFERROR(INDEX(Prospectos!$C$2:$C$288,MATCH($A249,Prospectos!$A$2:$A$288,0)),"")</f>
        <v>Villa María / RP6</v>
      </c>
      <c r="F249" s="44" t="str">
        <f>IFERROR(INDEX(Prospectos!$E$2:$E$288,MATCH($A249,Prospectos!$A$2:$A$288,0)),"")</f>
        <v>Tío Pujio</v>
      </c>
      <c r="G249" s="44" t="str">
        <f>IFERROR(INDEX(Prospectos!$K$2:$K$288,MATCH($A249,Prospectos!$A$2:$A$288,0)),"")</f>
        <v>03573 402941</v>
      </c>
      <c r="H249" s="44" t="str">
        <f>IFERROR(INDEX(Prospectos!$M$2:$M$288,MATCH($A249,Prospectos!$A$2:$A$288,0)),"")</f>
        <v>responsable de acopio / mantenimiento</v>
      </c>
      <c r="I249" s="44" t="str">
        <f>IFERROR(INDEX(Prospectos!$N$2:$N$288,MATCH($A249,Prospectos!$A$2:$A$288,0)),"")</f>
        <v>Despacho seguro de estructuras, carrozados, tanques, piezas industriales y equipos sobre plataforma.</v>
      </c>
      <c r="J249" s="44" t="str">
        <f>IFERROR(INDEX(Prospectos!$AJ$2:$AJ$288,MATCH($A249,Prospectos!$A$2:$A$288,0)),"")</f>
        <v>Alta</v>
      </c>
      <c r="K249" s="31"/>
    </row>
    <row r="250" spans="1:11" ht="33.950000000000003" customHeight="1">
      <c r="A250" s="18" t="s">
        <v>308</v>
      </c>
      <c r="B250" s="18" t="str">
        <f>IFERROR(INDEX(Prospectos!$F$2:$F$288,MATCH($A250,Prospectos!$A$2:$A$288,0)),"")</f>
        <v>A</v>
      </c>
      <c r="C250" s="18" t="str">
        <f>IFERROR(INDEX(Prospectos!$H$2:$H$288,MATCH($A250,Prospectos!$A$2:$A$288,0)),"")</f>
        <v>Comercializadora Pauny — Villa María</v>
      </c>
      <c r="D250" s="18" t="str">
        <f>IFERROR(INDEX(Prospectos!$J$2:$J$288,MATCH($A250,Prospectos!$A$2:$A$288,0)),"")</f>
        <v>Maquinaria agrícola</v>
      </c>
      <c r="E250" s="18" t="str">
        <f>IFERROR(INDEX(Prospectos!$C$2:$C$288,MATCH($A250,Prospectos!$A$2:$A$288,0)),"")</f>
        <v>Villa María / RP6</v>
      </c>
      <c r="F250" s="18" t="str">
        <f>IFERROR(INDEX(Prospectos!$E$2:$E$288,MATCH($A250,Prospectos!$A$2:$A$288,0)),"")</f>
        <v>Villa María</v>
      </c>
      <c r="G250" s="18" t="str">
        <f>IFERROR(INDEX(Prospectos!$K$2:$K$288,MATCH($A250,Prospectos!$A$2:$A$288,0)),"")</f>
        <v>0353 5002145</v>
      </c>
      <c r="H250" s="18" t="str">
        <f>IFERROR(INDEX(Prospectos!$M$2:$M$288,MATCH($A250,Prospectos!$A$2:$A$288,0)),"")</f>
        <v>logística / entregas / usados / postventa / gerente comercial</v>
      </c>
      <c r="I250" s="18" t="str">
        <f>IFERROR(INDEX(Prospectos!$N$2:$N$288,MATCH($A250,Prospectos!$A$2:$A$288,0)),"")</f>
        <v>Entrega y retiro de tractores, cosechadoras, pulverizadoras, sembradoras e implementos; movimientos por ventas, canjes, usados, service, demostraciones y ferias.</v>
      </c>
      <c r="J250" s="18" t="str">
        <f>IFERROR(INDEX(Prospectos!$AJ$2:$AJ$288,MATCH($A250,Prospectos!$A$2:$A$288,0)),"")</f>
        <v>Muy alta</v>
      </c>
      <c r="K250" s="29"/>
    </row>
    <row r="251" spans="1:11" ht="33.950000000000003" customHeight="1">
      <c r="A251" s="26" t="s">
        <v>309</v>
      </c>
      <c r="B251" s="26" t="str">
        <f>IFERROR(INDEX(Prospectos!$F$2:$F$288,MATCH($A251,Prospectos!$A$2:$A$288,0)),"")</f>
        <v>A</v>
      </c>
      <c r="C251" s="26" t="str">
        <f>IFERROR(INDEX(Prospectos!$H$2:$H$288,MATCH($A251,Prospectos!$A$2:$A$288,0)),"")</f>
        <v>Grupo Caon — Villa María</v>
      </c>
      <c r="D251" s="26" t="str">
        <f>IFERROR(INDEX(Prospectos!$J$2:$J$288,MATCH($A251,Prospectos!$A$2:$A$288,0)),"")</f>
        <v>Maquinaria agrícola</v>
      </c>
      <c r="E251" s="26" t="str">
        <f>IFERROR(INDEX(Prospectos!$C$2:$C$288,MATCH($A251,Prospectos!$A$2:$A$288,0)),"")</f>
        <v>Villa María / RP6</v>
      </c>
      <c r="F251" s="26" t="str">
        <f>IFERROR(INDEX(Prospectos!$E$2:$E$288,MATCH($A251,Prospectos!$A$2:$A$288,0)),"")</f>
        <v>Villa María</v>
      </c>
      <c r="G251" s="26" t="str">
        <f>IFERROR(INDEX(Prospectos!$K$2:$K$288,MATCH($A251,Prospectos!$A$2:$A$288,0)),"")</f>
        <v>A relevar</v>
      </c>
      <c r="H251" s="26" t="str">
        <f>IFERROR(INDEX(Prospectos!$M$2:$M$288,MATCH($A251,Prospectos!$A$2:$A$288,0)),"")</f>
        <v>logística / ventas / postventa</v>
      </c>
      <c r="I251" s="26" t="str">
        <f>IFERROR(INDEX(Prospectos!$N$2:$N$288,MATCH($A251,Prospectos!$A$2:$A$288,0)),"")</f>
        <v>Entrega y retiro de tractores, cosechadoras, pulverizadoras, sembradoras e implementos; movimientos por venta, service, canje, demostraciones o ferias.</v>
      </c>
      <c r="J251" s="26" t="str">
        <f>IFERROR(INDEX(Prospectos!$AJ$2:$AJ$288,MATCH($A251,Prospectos!$A$2:$A$288,0)),"")</f>
        <v>Muy alta</v>
      </c>
      <c r="K251" s="29"/>
    </row>
    <row r="252" spans="1:11" ht="33.950000000000003" customHeight="1">
      <c r="A252" s="18" t="s">
        <v>310</v>
      </c>
      <c r="B252" s="18" t="str">
        <f>IFERROR(INDEX(Prospectos!$F$2:$F$288,MATCH($A252,Prospectos!$A$2:$A$288,0)),"")</f>
        <v>A</v>
      </c>
      <c r="C252" s="18" t="str">
        <f>IFERROR(INDEX(Prospectos!$H$2:$H$288,MATCH($A252,Prospectos!$A$2:$A$288,0)),"")</f>
        <v>Industrias Cormetal S.A.</v>
      </c>
      <c r="D252" s="18" t="str">
        <f>IFERROR(INDEX(Prospectos!$J$2:$J$288,MATCH($A252,Prospectos!$A$2:$A$288,0)),"")</f>
        <v>Metalúrgica y fabricación</v>
      </c>
      <c r="E252" s="18" t="str">
        <f>IFERROR(INDEX(Prospectos!$C$2:$C$288,MATCH($A252,Prospectos!$A$2:$A$288,0)),"")</f>
        <v>Villa María / RP6</v>
      </c>
      <c r="F252" s="18" t="str">
        <f>IFERROR(INDEX(Prospectos!$E$2:$E$288,MATCH($A252,Prospectos!$A$2:$A$288,0)),"")</f>
        <v>Villa María</v>
      </c>
      <c r="G252" s="18" t="str">
        <f>IFERROR(INDEX(Prospectos!$K$2:$K$288,MATCH($A252,Prospectos!$A$2:$A$288,0)),"")</f>
        <v>0353 4610900 / 0353 6567355</v>
      </c>
      <c r="H252" s="18" t="str">
        <f>IFERROR(INDEX(Prospectos!$M$2:$M$288,MATCH($A252,Prospectos!$A$2:$A$288,0)),"")</f>
        <v>despacho / producción</v>
      </c>
      <c r="I252" s="18" t="str">
        <f>IFERROR(INDEX(Prospectos!$N$2:$N$288,MATCH($A252,Prospectos!$A$2:$A$288,0)),"")</f>
        <v>Despacho seguro de estructuras, carrozados, tanques, piezas industriales y equipos sobre plataforma.</v>
      </c>
      <c r="J252" s="18" t="str">
        <f>IFERROR(INDEX(Prospectos!$AJ$2:$AJ$288,MATCH($A252,Prospectos!$A$2:$A$288,0)),"")</f>
        <v>Muy alta</v>
      </c>
      <c r="K252" s="29"/>
    </row>
    <row r="253" spans="1:11" ht="33.950000000000003" customHeight="1">
      <c r="A253" s="26" t="s">
        <v>311</v>
      </c>
      <c r="B253" s="26" t="str">
        <f>IFERROR(INDEX(Prospectos!$F$2:$F$288,MATCH($A253,Prospectos!$A$2:$A$288,0)),"")</f>
        <v>A</v>
      </c>
      <c r="C253" s="26" t="str">
        <f>IFERROR(INDEX(Prospectos!$H$2:$H$288,MATCH($A253,Prospectos!$A$2:$A$288,0)),"")</f>
        <v>Mayo Transformadores S.R.L.</v>
      </c>
      <c r="D253" s="26" t="str">
        <f>IFERROR(INDEX(Prospectos!$J$2:$J$288,MATCH($A253,Prospectos!$A$2:$A$288,0)),"")</f>
        <v>Metalúrgica y fabricación</v>
      </c>
      <c r="E253" s="26" t="str">
        <f>IFERROR(INDEX(Prospectos!$C$2:$C$288,MATCH($A253,Prospectos!$A$2:$A$288,0)),"")</f>
        <v>Villa María / RP6</v>
      </c>
      <c r="F253" s="26" t="str">
        <f>IFERROR(INDEX(Prospectos!$E$2:$E$288,MATCH($A253,Prospectos!$A$2:$A$288,0)),"")</f>
        <v>Villa María</v>
      </c>
      <c r="G253" s="26" t="str">
        <f>IFERROR(INDEX(Prospectos!$K$2:$K$288,MATCH($A253,Prospectos!$A$2:$A$288,0)),"")</f>
        <v>0353 4647606</v>
      </c>
      <c r="H253" s="26" t="str">
        <f>IFERROR(INDEX(Prospectos!$M$2:$M$288,MATCH($A253,Prospectos!$A$2:$A$288,0)),"")</f>
        <v>despacho / producción</v>
      </c>
      <c r="I253" s="26" t="str">
        <f>IFERROR(INDEX(Prospectos!$N$2:$N$288,MATCH($A253,Prospectos!$A$2:$A$288,0)),"")</f>
        <v>Despacho seguro de estructuras, carrozados, tanques, piezas industriales y equipos sobre plataforma.</v>
      </c>
      <c r="J253" s="26" t="str">
        <f>IFERROR(INDEX(Prospectos!$AJ$2:$AJ$288,MATCH($A253,Prospectos!$A$2:$A$288,0)),"")</f>
        <v>Muy alta</v>
      </c>
      <c r="K253" s="29"/>
    </row>
    <row r="254" spans="1:11" ht="33.950000000000003" customHeight="1">
      <c r="A254" s="18" t="s">
        <v>312</v>
      </c>
      <c r="B254" s="18" t="str">
        <f>IFERROR(INDEX(Prospectos!$F$2:$F$288,MATCH($A254,Prospectos!$A$2:$A$288,0)),"")</f>
        <v>A</v>
      </c>
      <c r="C254" s="18" t="str">
        <f>IFERROR(INDEX(Prospectos!$H$2:$H$288,MATCH($A254,Prospectos!$A$2:$A$288,0)),"")</f>
        <v>Metalúrgica JAP / MJAP</v>
      </c>
      <c r="D254" s="18" t="str">
        <f>IFERROR(INDEX(Prospectos!$J$2:$J$288,MATCH($A254,Prospectos!$A$2:$A$288,0)),"")</f>
        <v>Metalúrgica y fabricación</v>
      </c>
      <c r="E254" s="18" t="str">
        <f>IFERROR(INDEX(Prospectos!$C$2:$C$288,MATCH($A254,Prospectos!$A$2:$A$288,0)),"")</f>
        <v>Villa María / RP6</v>
      </c>
      <c r="F254" s="18" t="str">
        <f>IFERROR(INDEX(Prospectos!$E$2:$E$288,MATCH($A254,Prospectos!$A$2:$A$288,0)),"")</f>
        <v>Villa María</v>
      </c>
      <c r="G254" s="18" t="str">
        <f>IFERROR(INDEX(Prospectos!$K$2:$K$288,MATCH($A254,Prospectos!$A$2:$A$288,0)),"")</f>
        <v>+54 35 3656-3732 / +54 35 3565-7977</v>
      </c>
      <c r="H254" s="18" t="str">
        <f>IFERROR(INDEX(Prospectos!$M$2:$M$288,MATCH($A254,Prospectos!$A$2:$A$288,0)),"")</f>
        <v>Juan / Ronald / producción</v>
      </c>
      <c r="I254" s="18" t="str">
        <f>IFERROR(INDEX(Prospectos!$N$2:$N$288,MATCH($A254,Prospectos!$A$2:$A$288,0)),"")</f>
        <v>Despacho seguro de estructuras, carrozados, tanques, piezas industriales y equipos sobre plataforma.</v>
      </c>
      <c r="J254" s="18" t="str">
        <f>IFERROR(INDEX(Prospectos!$AJ$2:$AJ$288,MATCH($A254,Prospectos!$A$2:$A$288,0)),"")</f>
        <v>Muy alta</v>
      </c>
      <c r="K254" s="29"/>
    </row>
    <row r="255" spans="1:11" ht="33.950000000000003" customHeight="1">
      <c r="A255" s="26" t="s">
        <v>313</v>
      </c>
      <c r="B255" s="26" t="str">
        <f>IFERROR(INDEX(Prospectos!$F$2:$F$288,MATCH($A255,Prospectos!$A$2:$A$288,0)),"")</f>
        <v>A</v>
      </c>
      <c r="C255" s="26" t="str">
        <f>IFERROR(INDEX(Prospectos!$H$2:$H$288,MATCH($A255,Prospectos!$A$2:$A$288,0)),"")</f>
        <v>SALA / Agrotecnología Sala — Villa María</v>
      </c>
      <c r="D255" s="26" t="str">
        <f>IFERROR(INDEX(Prospectos!$J$2:$J$288,MATCH($A255,Prospectos!$A$2:$A$288,0)),"")</f>
        <v>Maquinaria agrícola</v>
      </c>
      <c r="E255" s="26" t="str">
        <f>IFERROR(INDEX(Prospectos!$C$2:$C$288,MATCH($A255,Prospectos!$A$2:$A$288,0)),"")</f>
        <v>Villa María / RP6</v>
      </c>
      <c r="F255" s="26" t="str">
        <f>IFERROR(INDEX(Prospectos!$E$2:$E$288,MATCH($A255,Prospectos!$A$2:$A$288,0)),"")</f>
        <v>Villa María</v>
      </c>
      <c r="G255" s="26" t="str">
        <f>IFERROR(INDEX(Prospectos!$K$2:$K$288,MATCH($A255,Prospectos!$A$2:$A$288,0)),"")</f>
        <v>A relevar</v>
      </c>
      <c r="H255" s="26" t="str">
        <f>IFERROR(INDEX(Prospectos!$M$2:$M$288,MATCH($A255,Prospectos!$A$2:$A$288,0)),"")</f>
        <v>logística / entregas / usados / postventa / gerente comercial</v>
      </c>
      <c r="I255" s="26" t="str">
        <f>IFERROR(INDEX(Prospectos!$N$2:$N$288,MATCH($A255,Prospectos!$A$2:$A$288,0)),"")</f>
        <v>Entrega y retiro de tractores, cosechadoras, pulverizadoras, sembradoras e implementos; movimientos por ventas, canjes, usados, service, demostraciones y ferias.</v>
      </c>
      <c r="J255" s="26" t="str">
        <f>IFERROR(INDEX(Prospectos!$AJ$2:$AJ$288,MATCH($A255,Prospectos!$A$2:$A$288,0)),"")</f>
        <v>Muy alta</v>
      </c>
      <c r="K255" s="29"/>
    </row>
    <row r="256" spans="1:11" ht="33.950000000000003" customHeight="1">
      <c r="A256" s="18" t="s">
        <v>314</v>
      </c>
      <c r="B256" s="18" t="str">
        <f>IFERROR(INDEX(Prospectos!$F$2:$F$288,MATCH($A256,Prospectos!$A$2:$A$288,0)),"")</f>
        <v>A</v>
      </c>
      <c r="C256" s="18" t="str">
        <f>IFERROR(INDEX(Prospectos!$H$2:$H$288,MATCH($A256,Prospectos!$A$2:$A$288,0)),"")</f>
        <v>Salsiteco S.A.</v>
      </c>
      <c r="D256" s="18" t="str">
        <f>IFERROR(INDEX(Prospectos!$J$2:$J$288,MATCH($A256,Prospectos!$A$2:$A$288,0)),"")</f>
        <v>Construcción y obra vial</v>
      </c>
      <c r="E256" s="18" t="str">
        <f>IFERROR(INDEX(Prospectos!$C$2:$C$288,MATCH($A256,Prospectos!$A$2:$A$288,0)),"")</f>
        <v>Villa María / RP6</v>
      </c>
      <c r="F256" s="18" t="str">
        <f>IFERROR(INDEX(Prospectos!$E$2:$E$288,MATCH($A256,Prospectos!$A$2:$A$288,0)),"")</f>
        <v>Villa María</v>
      </c>
      <c r="G256" s="18" t="str">
        <f>IFERROR(INDEX(Prospectos!$K$2:$K$288,MATCH($A256,Prospectos!$A$2:$A$288,0)),"")</f>
        <v>0353 4524006 / 0353 5006023</v>
      </c>
      <c r="H256" s="18" t="str">
        <f>IFERROR(INDEX(Prospectos!$M$2:$M$288,MATCH($A256,Prospectos!$A$2:$A$288,0)),"")</f>
        <v>jefe de obra / logística</v>
      </c>
      <c r="I256" s="18" t="str">
        <f>IFERROR(INDEX(Prospectos!$N$2:$N$288,MATCH($A256,Prospectos!$A$2:$A$288,0)),"")</f>
        <v>Traslado de maquinaria, módulos de obrador, estructuras, equipos y cargas pesadas entre frentes.</v>
      </c>
      <c r="J256" s="18" t="str">
        <f>IFERROR(INDEX(Prospectos!$AJ$2:$AJ$288,MATCH($A256,Prospectos!$A$2:$A$288,0)),"")</f>
        <v>Muy alta</v>
      </c>
      <c r="K256" s="29"/>
    </row>
    <row r="257" spans="1:11" ht="33.950000000000003" customHeight="1">
      <c r="A257" s="26" t="s">
        <v>315</v>
      </c>
      <c r="B257" s="26" t="str">
        <f>IFERROR(INDEX(Prospectos!$F$2:$F$288,MATCH($A257,Prospectos!$A$2:$A$288,0)),"")</f>
        <v>A</v>
      </c>
      <c r="C257" s="26" t="str">
        <f>IFERROR(INDEX(Prospectos!$H$2:$H$288,MATCH($A257,Prospectos!$A$2:$A$288,0)),"")</f>
        <v>Zuppa Hermanos — Villa María</v>
      </c>
      <c r="D257" s="26" t="str">
        <f>IFERROR(INDEX(Prospectos!$J$2:$J$288,MATCH($A257,Prospectos!$A$2:$A$288,0)),"")</f>
        <v>PRFV y plásticos</v>
      </c>
      <c r="E257" s="26" t="str">
        <f>IFERROR(INDEX(Prospectos!$C$2:$C$288,MATCH($A257,Prospectos!$A$2:$A$288,0)),"")</f>
        <v>Villa María / RP6</v>
      </c>
      <c r="F257" s="26" t="str">
        <f>IFERROR(INDEX(Prospectos!$E$2:$E$288,MATCH($A257,Prospectos!$A$2:$A$288,0)),"")</f>
        <v>Villa María</v>
      </c>
      <c r="G257" s="26" t="str">
        <f>IFERROR(INDEX(Prospectos!$K$2:$K$288,MATCH($A257,Prospectos!$A$2:$A$288,0)),"")</f>
        <v>+54 9 353 4257089</v>
      </c>
      <c r="H257" s="26" t="str">
        <f>IFERROR(INDEX(Prospectos!$M$2:$M$288,MATCH($A257,Prospectos!$A$2:$A$288,0)),"")</f>
        <v>logística / instalaciones / obras / ventas</v>
      </c>
      <c r="I257" s="26" t="str">
        <f>IFERROR(INDEX(Prospectos!$N$2:$N$288,MATCH($A257,Prospectos!$A$2:$A$288,0)),"")</f>
        <v>Entrega de piscinas de fibra desde depósito/franquicia hasta domicilio y apoyo de grúa cuando el casco debe superar medianeras, techos o accesos angostos.</v>
      </c>
      <c r="J257" s="26" t="str">
        <f>IFERROR(INDEX(Prospectos!$AJ$2:$AJ$288,MATCH($A257,Prospectos!$A$2:$A$288,0)),"")</f>
        <v>Muy alta</v>
      </c>
      <c r="K257" s="29"/>
    </row>
    <row r="258" spans="1:11" ht="33.950000000000003" customHeight="1">
      <c r="A258" s="18" t="s">
        <v>316</v>
      </c>
      <c r="B258" s="18" t="str">
        <f>IFERROR(INDEX(Prospectos!$F$2:$F$288,MATCH($A258,Prospectos!$A$2:$A$288,0)),"")</f>
        <v>A</v>
      </c>
      <c r="C258" s="18" t="str">
        <f>IFERROR(INDEX(Prospectos!$H$2:$H$288,MATCH($A258,Prospectos!$A$2:$A$288,0)),"")</f>
        <v>Agro GM — Villa María</v>
      </c>
      <c r="D258" s="18" t="str">
        <f>IFERROR(INDEX(Prospectos!$J$2:$J$288,MATCH($A258,Prospectos!$A$2:$A$288,0)),"")</f>
        <v>Maquinaria agrícola</v>
      </c>
      <c r="E258" s="18" t="str">
        <f>IFERROR(INDEX(Prospectos!$C$2:$C$288,MATCH($A258,Prospectos!$A$2:$A$288,0)),"")</f>
        <v>Villa María / RP6</v>
      </c>
      <c r="F258" s="18" t="str">
        <f>IFERROR(INDEX(Prospectos!$E$2:$E$288,MATCH($A258,Prospectos!$A$2:$A$288,0)),"")</f>
        <v>Villa María</v>
      </c>
      <c r="G258" s="18" t="str">
        <f>IFERROR(INDEX(Prospectos!$K$2:$K$288,MATCH($A258,Prospectos!$A$2:$A$288,0)),"")</f>
        <v>0353 6560055</v>
      </c>
      <c r="H258" s="18" t="str">
        <f>IFERROR(INDEX(Prospectos!$M$2:$M$288,MATCH($A258,Prospectos!$A$2:$A$288,0)),"")</f>
        <v>logística / ventas / postventa</v>
      </c>
      <c r="I258" s="18" t="str">
        <f>IFERROR(INDEX(Prospectos!$N$2:$N$288,MATCH($A258,Prospectos!$A$2:$A$288,0)),"")</f>
        <v>Entrega y retiro de tractores, cosechadoras, pulverizadoras, sembradoras e implementos; movimientos por venta, service, canje, demostraciones o ferias.</v>
      </c>
      <c r="J258" s="18" t="str">
        <f>IFERROR(INDEX(Prospectos!$AJ$2:$AJ$288,MATCH($A258,Prospectos!$A$2:$A$288,0)),"")</f>
        <v>Muy alta</v>
      </c>
      <c r="K258" s="29"/>
    </row>
    <row r="259" spans="1:11" ht="33.950000000000003" customHeight="1">
      <c r="A259" s="26" t="s">
        <v>317</v>
      </c>
      <c r="B259" s="26" t="str">
        <f>IFERROR(INDEX(Prospectos!$F$2:$F$288,MATCH($A259,Prospectos!$A$2:$A$288,0)),"")</f>
        <v>A</v>
      </c>
      <c r="C259" s="26" t="str">
        <f>IFERROR(INDEX(Prospectos!$H$2:$H$288,MATCH($A259,Prospectos!$A$2:$A$288,0)),"")</f>
        <v>Bartolomé Cerutti SRL — Villa María</v>
      </c>
      <c r="D259" s="26" t="str">
        <f>IFERROR(INDEX(Prospectos!$J$2:$J$288,MATCH($A259,Prospectos!$A$2:$A$288,0)),"")</f>
        <v>Maquinaria agrícola</v>
      </c>
      <c r="E259" s="26" t="str">
        <f>IFERROR(INDEX(Prospectos!$C$2:$C$288,MATCH($A259,Prospectos!$A$2:$A$288,0)),"")</f>
        <v>Villa María / RP6</v>
      </c>
      <c r="F259" s="26" t="str">
        <f>IFERROR(INDEX(Prospectos!$E$2:$E$288,MATCH($A259,Prospectos!$A$2:$A$288,0)),"")</f>
        <v>Villa María</v>
      </c>
      <c r="G259" s="26" t="str">
        <f>IFERROR(INDEX(Prospectos!$K$2:$K$288,MATCH($A259,Prospectos!$A$2:$A$288,0)),"")</f>
        <v>0353 4522560 / +54 9 353 4208761</v>
      </c>
      <c r="H259" s="26" t="str">
        <f>IFERROR(INDEX(Prospectos!$M$2:$M$288,MATCH($A259,Prospectos!$A$2:$A$288,0)),"")</f>
        <v>logística / ventas / postventa</v>
      </c>
      <c r="I259" s="26" t="str">
        <f>IFERROR(INDEX(Prospectos!$N$2:$N$288,MATCH($A259,Prospectos!$A$2:$A$288,0)),"")</f>
        <v>Entrega y retiro de tractores, cosechadoras, pulverizadoras, sembradoras e implementos; movimientos por venta, service, canje, demostraciones o ferias.</v>
      </c>
      <c r="J259" s="26" t="str">
        <f>IFERROR(INDEX(Prospectos!$AJ$2:$AJ$288,MATCH($A259,Prospectos!$A$2:$A$288,0)),"")</f>
        <v>Muy alta</v>
      </c>
      <c r="K259" s="29"/>
    </row>
    <row r="260" spans="1:11" ht="33.950000000000003" customHeight="1">
      <c r="A260" s="18" t="s">
        <v>318</v>
      </c>
      <c r="B260" s="18" t="str">
        <f>IFERROR(INDEX(Prospectos!$F$2:$F$288,MATCH($A260,Prospectos!$A$2:$A$288,0)),"")</f>
        <v>A</v>
      </c>
      <c r="C260" s="18" t="str">
        <f>IFERROR(INDEX(Prospectos!$H$2:$H$288,MATCH($A260,Prospectos!$A$2:$A$288,0)),"")</f>
        <v>Baumar S.A.S.</v>
      </c>
      <c r="D260" s="18" t="str">
        <f>IFERROR(INDEX(Prospectos!$J$2:$J$288,MATCH($A260,Prospectos!$A$2:$A$288,0)),"")</f>
        <v>Maquinaria agrícola</v>
      </c>
      <c r="E260" s="18" t="str">
        <f>IFERROR(INDEX(Prospectos!$C$2:$C$288,MATCH($A260,Prospectos!$A$2:$A$288,0)),"")</f>
        <v>Villa María / RP6</v>
      </c>
      <c r="F260" s="18" t="str">
        <f>IFERROR(INDEX(Prospectos!$E$2:$E$288,MATCH($A260,Prospectos!$A$2:$A$288,0)),"")</f>
        <v>Villa María</v>
      </c>
      <c r="G260" s="18" t="str">
        <f>IFERROR(INDEX(Prospectos!$K$2:$K$288,MATCH($A260,Prospectos!$A$2:$A$288,0)),"")</f>
        <v>+54 9 353 4014200</v>
      </c>
      <c r="H260" s="18" t="str">
        <f>IFERROR(INDEX(Prospectos!$M$2:$M$288,MATCH($A260,Prospectos!$A$2:$A$288,0)),"")</f>
        <v>logística / entregas / usados / postventa / gerente comercial</v>
      </c>
      <c r="I260" s="18" t="str">
        <f>IFERROR(INDEX(Prospectos!$N$2:$N$288,MATCH($A260,Prospectos!$A$2:$A$288,0)),"")</f>
        <v>Entrega y retiro de tractores, cosechadoras, pulverizadoras, sembradoras e implementos; movimientos por ventas, canjes, usados, service, demostraciones y ferias.</v>
      </c>
      <c r="J260" s="18" t="str">
        <f>IFERROR(INDEX(Prospectos!$AJ$2:$AJ$288,MATCH($A260,Prospectos!$A$2:$A$288,0)),"")</f>
        <v>Muy alta</v>
      </c>
      <c r="K260" s="29"/>
    </row>
    <row r="261" spans="1:11" ht="33.950000000000003" customHeight="1">
      <c r="A261" s="26" t="s">
        <v>319</v>
      </c>
      <c r="B261" s="26" t="str">
        <f>IFERROR(INDEX(Prospectos!$F$2:$F$288,MATCH($A261,Prospectos!$A$2:$A$288,0)),"")</f>
        <v>A</v>
      </c>
      <c r="C261" s="26" t="str">
        <f>IFERROR(INDEX(Prospectos!$H$2:$H$288,MATCH($A261,Prospectos!$A$2:$A$288,0)),"")</f>
        <v>RC Piscinas y Losetas</v>
      </c>
      <c r="D261" s="26" t="str">
        <f>IFERROR(INDEX(Prospectos!$J$2:$J$288,MATCH($A261,Prospectos!$A$2:$A$288,0)),"")</f>
        <v>PRFV y plásticos</v>
      </c>
      <c r="E261" s="26" t="str">
        <f>IFERROR(INDEX(Prospectos!$C$2:$C$288,MATCH($A261,Prospectos!$A$2:$A$288,0)),"")</f>
        <v>Villa María / RP6</v>
      </c>
      <c r="F261" s="26" t="str">
        <f>IFERROR(INDEX(Prospectos!$E$2:$E$288,MATCH($A261,Prospectos!$A$2:$A$288,0)),"")</f>
        <v>Villa María</v>
      </c>
      <c r="G261" s="26" t="str">
        <f>IFERROR(INDEX(Prospectos!$K$2:$K$288,MATCH($A261,Prospectos!$A$2:$A$288,0)),"")</f>
        <v>0353 4236038</v>
      </c>
      <c r="H261" s="26" t="str">
        <f>IFERROR(INDEX(Prospectos!$M$2:$M$288,MATCH($A261,Prospectos!$A$2:$A$288,0)),"")</f>
        <v>logística / instalaciones / obras / ventas</v>
      </c>
      <c r="I261" s="26" t="str">
        <f>IFERROR(INDEX(Prospectos!$N$2:$N$288,MATCH($A261,Prospectos!$A$2:$A$288,0)),"")</f>
        <v>Entrega de piscinas de fibra desde depósito/franquicia hasta domicilio y apoyo de grúa cuando el casco debe superar medianeras, techos o accesos angostos.</v>
      </c>
      <c r="J261" s="26" t="str">
        <f>IFERROR(INDEX(Prospectos!$AJ$2:$AJ$288,MATCH($A261,Prospectos!$A$2:$A$288,0)),"")</f>
        <v>Muy alta</v>
      </c>
      <c r="K261" s="29"/>
    </row>
    <row r="262" spans="1:11" ht="33.950000000000003" customHeight="1">
      <c r="A262" s="18" t="s">
        <v>320</v>
      </c>
      <c r="B262" s="18" t="str">
        <f>IFERROR(INDEX(Prospectos!$F$2:$F$288,MATCH($A262,Prospectos!$A$2:$A$288,0)),"")</f>
        <v>A</v>
      </c>
      <c r="C262" s="18" t="str">
        <f>IFERROR(INDEX(Prospectos!$H$2:$H$288,MATCH($A262,Prospectos!$A$2:$A$288,0)),"")</f>
        <v>Indusplast Piscinas — Villa María</v>
      </c>
      <c r="D262" s="18" t="str">
        <f>IFERROR(INDEX(Prospectos!$J$2:$J$288,MATCH($A262,Prospectos!$A$2:$A$288,0)),"")</f>
        <v>PRFV y plásticos</v>
      </c>
      <c r="E262" s="18" t="str">
        <f>IFERROR(INDEX(Prospectos!$C$2:$C$288,MATCH($A262,Prospectos!$A$2:$A$288,0)),"")</f>
        <v>Villa María / RP6</v>
      </c>
      <c r="F262" s="18" t="str">
        <f>IFERROR(INDEX(Prospectos!$E$2:$E$288,MATCH($A262,Prospectos!$A$2:$A$288,0)),"")</f>
        <v>Villa María</v>
      </c>
      <c r="G262" s="18" t="str">
        <f>IFERROR(INDEX(Prospectos!$K$2:$K$288,MATCH($A262,Prospectos!$A$2:$A$288,0)),"")</f>
        <v>0353 4520828 / +54 9 353 5668994</v>
      </c>
      <c r="H262" s="18" t="str">
        <f>IFERROR(INDEX(Prospectos!$M$2:$M$288,MATCH($A262,Prospectos!$A$2:$A$288,0)),"")</f>
        <v>logística / instalaciones / obras / ventas</v>
      </c>
      <c r="I262" s="18" t="str">
        <f>IFERROR(INDEX(Prospectos!$N$2:$N$288,MATCH($A262,Prospectos!$A$2:$A$288,0)),"")</f>
        <v>Entrega de piscinas de fibra desde depósito/franquicia hasta domicilio y apoyo de grúa cuando el casco debe superar medianeras, techos o accesos angostos.</v>
      </c>
      <c r="J262" s="18" t="str">
        <f>IFERROR(INDEX(Prospectos!$AJ$2:$AJ$288,MATCH($A262,Prospectos!$A$2:$A$288,0)),"")</f>
        <v>Alta</v>
      </c>
      <c r="K262" s="29"/>
    </row>
    <row r="263" spans="1:11" ht="33.950000000000003" customHeight="1">
      <c r="A263" s="26" t="s">
        <v>321</v>
      </c>
      <c r="B263" s="26" t="str">
        <f>IFERROR(INDEX(Prospectos!$F$2:$F$288,MATCH($A263,Prospectos!$A$2:$A$288,0)),"")</f>
        <v>A</v>
      </c>
      <c r="C263" s="26" t="str">
        <f>IFERROR(INDEX(Prospectos!$H$2:$H$288,MATCH($A263,Prospectos!$A$2:$A$288,0)),"")</f>
        <v>Managro Implementos Agrícolas</v>
      </c>
      <c r="D263" s="26" t="str">
        <f>IFERROR(INDEX(Prospectos!$J$2:$J$288,MATCH($A263,Prospectos!$A$2:$A$288,0)),"")</f>
        <v>Maquinaria agrícola</v>
      </c>
      <c r="E263" s="26" t="str">
        <f>IFERROR(INDEX(Prospectos!$C$2:$C$288,MATCH($A263,Prospectos!$A$2:$A$288,0)),"")</f>
        <v>Villa María / RP6</v>
      </c>
      <c r="F263" s="26" t="str">
        <f>IFERROR(INDEX(Prospectos!$E$2:$E$288,MATCH($A263,Prospectos!$A$2:$A$288,0)),"")</f>
        <v>Villa María</v>
      </c>
      <c r="G263" s="26" t="str">
        <f>IFERROR(INDEX(Prospectos!$K$2:$K$288,MATCH($A263,Prospectos!$A$2:$A$288,0)),"")</f>
        <v>A relevar</v>
      </c>
      <c r="H263" s="26" t="str">
        <f>IFERROR(INDEX(Prospectos!$M$2:$M$288,MATCH($A263,Prospectos!$A$2:$A$288,0)),"")</f>
        <v>logística / ventas / postventa</v>
      </c>
      <c r="I263" s="26" t="str">
        <f>IFERROR(INDEX(Prospectos!$N$2:$N$288,MATCH($A263,Prospectos!$A$2:$A$288,0)),"")</f>
        <v>Entrega y retiro de tractores, cosechadoras, pulverizadoras, sembradoras e implementos; movimientos por venta, service, canje, demostraciones o ferias.</v>
      </c>
      <c r="J263" s="26" t="str">
        <f>IFERROR(INDEX(Prospectos!$AJ$2:$AJ$288,MATCH($A263,Prospectos!$A$2:$A$288,0)),"")</f>
        <v>Muy alta</v>
      </c>
      <c r="K263" s="29"/>
    </row>
    <row r="264" spans="1:11" ht="33.950000000000003" customHeight="1">
      <c r="A264" s="18" t="s">
        <v>322</v>
      </c>
      <c r="B264" s="18" t="str">
        <f>IFERROR(INDEX(Prospectos!$F$2:$F$288,MATCH($A264,Prospectos!$A$2:$A$288,0)),"")</f>
        <v>A</v>
      </c>
      <c r="C264" s="18" t="str">
        <f>IFERROR(INDEX(Prospectos!$H$2:$H$288,MATCH($A264,Prospectos!$A$2:$A$288,0)),"")</f>
        <v>Metalfor — Villa María</v>
      </c>
      <c r="D264" s="18" t="str">
        <f>IFERROR(INDEX(Prospectos!$J$2:$J$288,MATCH($A264,Prospectos!$A$2:$A$288,0)),"")</f>
        <v>Maquinaria agrícola</v>
      </c>
      <c r="E264" s="18" t="str">
        <f>IFERROR(INDEX(Prospectos!$C$2:$C$288,MATCH($A264,Prospectos!$A$2:$A$288,0)),"")</f>
        <v>Villa María / RP6</v>
      </c>
      <c r="F264" s="18" t="str">
        <f>IFERROR(INDEX(Prospectos!$E$2:$E$288,MATCH($A264,Prospectos!$A$2:$A$288,0)),"")</f>
        <v>Villa María</v>
      </c>
      <c r="G264" s="18" t="str">
        <f>IFERROR(INDEX(Prospectos!$K$2:$K$288,MATCH($A264,Prospectos!$A$2:$A$288,0)),"")</f>
        <v>0353 4614731</v>
      </c>
      <c r="H264" s="18" t="str">
        <f>IFERROR(INDEX(Prospectos!$M$2:$M$288,MATCH($A264,Prospectos!$A$2:$A$288,0)),"")</f>
        <v>logística / ventas / postventa</v>
      </c>
      <c r="I264" s="18" t="str">
        <f>IFERROR(INDEX(Prospectos!$N$2:$N$288,MATCH($A264,Prospectos!$A$2:$A$288,0)),"")</f>
        <v>Entrega y retiro de tractores, cosechadoras, pulverizadoras, sembradoras e implementos; movimientos por venta, service, canje, demostraciones o ferias.</v>
      </c>
      <c r="J264" s="18" t="str">
        <f>IFERROR(INDEX(Prospectos!$AJ$2:$AJ$288,MATCH($A264,Prospectos!$A$2:$A$288,0)),"")</f>
        <v>Muy alta</v>
      </c>
      <c r="K264" s="29"/>
    </row>
    <row r="265" spans="1:11" ht="33.950000000000003" customHeight="1">
      <c r="A265" s="26" t="s">
        <v>323</v>
      </c>
      <c r="B265" s="26" t="str">
        <f>IFERROR(INDEX(Prospectos!$F$2:$F$288,MATCH($A265,Prospectos!$A$2:$A$288,0)),"")</f>
        <v>A</v>
      </c>
      <c r="C265" s="26" t="str">
        <f>IFERROR(INDEX(Prospectos!$H$2:$H$288,MATCH($A265,Prospectos!$A$2:$A$288,0)),"")</f>
        <v>VM Agrícola</v>
      </c>
      <c r="D265" s="26" t="str">
        <f>IFERROR(INDEX(Prospectos!$J$2:$J$288,MATCH($A265,Prospectos!$A$2:$A$288,0)),"")</f>
        <v>Maquinaria agrícola</v>
      </c>
      <c r="E265" s="26" t="str">
        <f>IFERROR(INDEX(Prospectos!$C$2:$C$288,MATCH($A265,Prospectos!$A$2:$A$288,0)),"")</f>
        <v>Villa María / RP6</v>
      </c>
      <c r="F265" s="26" t="str">
        <f>IFERROR(INDEX(Prospectos!$E$2:$E$288,MATCH($A265,Prospectos!$A$2:$A$288,0)),"")</f>
        <v>Villa María</v>
      </c>
      <c r="G265" s="26" t="str">
        <f>IFERROR(INDEX(Prospectos!$K$2:$K$288,MATCH($A265,Prospectos!$A$2:$A$288,0)),"")</f>
        <v>0353 5695760</v>
      </c>
      <c r="H265" s="26" t="str">
        <f>IFERROR(INDEX(Prospectos!$M$2:$M$288,MATCH($A265,Prospectos!$A$2:$A$288,0)),"")</f>
        <v>logística / entregas / usados / ventas</v>
      </c>
      <c r="I265" s="26" t="str">
        <f>IFERROR(INDEX(Prospectos!$N$2:$N$288,MATCH($A265,Prospectos!$A$2:$A$288,0)),"")</f>
        <v>Entrega y retiro de tractores, cosechadoras, sembradoras e implementos nuevos/usados; movimientos por ventas y canjes.</v>
      </c>
      <c r="J265" s="26" t="str">
        <f>IFERROR(INDEX(Prospectos!$AJ$2:$AJ$288,MATCH($A265,Prospectos!$A$2:$A$288,0)),"")</f>
        <v>Muy alta</v>
      </c>
      <c r="K265" s="29"/>
    </row>
    <row r="266" spans="1:11" ht="33.950000000000003" customHeight="1">
      <c r="A266" s="18" t="s">
        <v>324</v>
      </c>
      <c r="B266" s="18" t="str">
        <f>IFERROR(INDEX(Prospectos!$F$2:$F$288,MATCH($A266,Prospectos!$A$2:$A$288,0)),"")</f>
        <v>A</v>
      </c>
      <c r="C266" s="18" t="str">
        <f>IFERROR(INDEX(Prospectos!$H$2:$H$288,MATCH($A266,Prospectos!$A$2:$A$288,0)),"")</f>
        <v>IPC Pools — Villa María</v>
      </c>
      <c r="D266" s="18" t="str">
        <f>IFERROR(INDEX(Prospectos!$J$2:$J$288,MATCH($A266,Prospectos!$A$2:$A$288,0)),"")</f>
        <v>PRFV y plásticos</v>
      </c>
      <c r="E266" s="18" t="str">
        <f>IFERROR(INDEX(Prospectos!$C$2:$C$288,MATCH($A266,Prospectos!$A$2:$A$288,0)),"")</f>
        <v>Villa María / RP6</v>
      </c>
      <c r="F266" s="18" t="str">
        <f>IFERROR(INDEX(Prospectos!$E$2:$E$288,MATCH($A266,Prospectos!$A$2:$A$288,0)),"")</f>
        <v>Villa María</v>
      </c>
      <c r="G266" s="18" t="str">
        <f>IFERROR(INDEX(Prospectos!$K$2:$K$288,MATCH($A266,Prospectos!$A$2:$A$288,0)),"")</f>
        <v>0353 5637879 / 0353 4913814</v>
      </c>
      <c r="H266" s="18" t="str">
        <f>IFERROR(INDEX(Prospectos!$M$2:$M$288,MATCH($A266,Prospectos!$A$2:$A$288,0)),"")</f>
        <v>logística / instalaciones / obras / ventas</v>
      </c>
      <c r="I266" s="18" t="str">
        <f>IFERROR(INDEX(Prospectos!$N$2:$N$288,MATCH($A266,Prospectos!$A$2:$A$288,0)),"")</f>
        <v>Traslado del casco PRFV hasta la obra y maniobra de descarga/posicionamiento dentro del lote, muchas veces sobre medianeras o con acceso limitado.</v>
      </c>
      <c r="J266" s="18" t="str">
        <f>IFERROR(INDEX(Prospectos!$AJ$2:$AJ$288,MATCH($A266,Prospectos!$A$2:$A$288,0)),"")</f>
        <v>Alta</v>
      </c>
      <c r="K266" s="29"/>
    </row>
    <row r="267" spans="1:11" ht="33.950000000000003" customHeight="1">
      <c r="A267" s="26" t="s">
        <v>325</v>
      </c>
      <c r="B267" s="26" t="str">
        <f>IFERROR(INDEX(Prospectos!$F$2:$F$288,MATCH($A267,Prospectos!$A$2:$A$288,0)),"")</f>
        <v>A</v>
      </c>
      <c r="C267" s="26" t="str">
        <f>IFERROR(INDEX(Prospectos!$H$2:$H$288,MATCH($A267,Prospectos!$A$2:$A$288,0)),"")</f>
        <v>MW Agropartes</v>
      </c>
      <c r="D267" s="26" t="str">
        <f>IFERROR(INDEX(Prospectos!$J$2:$J$288,MATCH($A267,Prospectos!$A$2:$A$288,0)),"")</f>
        <v>Maquinaria agrícola</v>
      </c>
      <c r="E267" s="26" t="str">
        <f>IFERROR(INDEX(Prospectos!$C$2:$C$288,MATCH($A267,Prospectos!$A$2:$A$288,0)),"")</f>
        <v>Villa María / RP6</v>
      </c>
      <c r="F267" s="26" t="str">
        <f>IFERROR(INDEX(Prospectos!$E$2:$E$288,MATCH($A267,Prospectos!$A$2:$A$288,0)),"")</f>
        <v>Villa María</v>
      </c>
      <c r="G267" s="26" t="str">
        <f>IFERROR(INDEX(Prospectos!$K$2:$K$288,MATCH($A267,Prospectos!$A$2:$A$288,0)),"")</f>
        <v>+54 9 353 4232403</v>
      </c>
      <c r="H267" s="26" t="str">
        <f>IFERROR(INDEX(Prospectos!$M$2:$M$288,MATCH($A267,Prospectos!$A$2:$A$288,0)),"")</f>
        <v>logística / ventas / postventa</v>
      </c>
      <c r="I267" s="26" t="str">
        <f>IFERROR(INDEX(Prospectos!$N$2:$N$288,MATCH($A267,Prospectos!$A$2:$A$288,0)),"")</f>
        <v>Despacho de implementos, tolvas, sembradoras, estructuras, equipos terminados y componentes de gran porte hacia concesionarios, clientes, ferias o campo.</v>
      </c>
      <c r="J267" s="26" t="str">
        <f>IFERROR(INDEX(Prospectos!$AJ$2:$AJ$288,MATCH($A267,Prospectos!$A$2:$A$288,0)),"")</f>
        <v>Alta</v>
      </c>
      <c r="K267" s="29"/>
    </row>
    <row r="268" spans="1:11" ht="33.950000000000003" customHeight="1">
      <c r="A268" s="18" t="s">
        <v>326</v>
      </c>
      <c r="B268" s="18" t="str">
        <f>IFERROR(INDEX(Prospectos!$F$2:$F$288,MATCH($A268,Prospectos!$A$2:$A$288,0)),"")</f>
        <v>A</v>
      </c>
      <c r="C268" s="18" t="str">
        <f>IFERROR(INDEX(Prospectos!$H$2:$H$288,MATCH($A268,Prospectos!$A$2:$A$288,0)),"")</f>
        <v>PLA Centro de Distribuciones — Villa María</v>
      </c>
      <c r="D268" s="18" t="str">
        <f>IFERROR(INDEX(Prospectos!$J$2:$J$288,MATCH($A268,Prospectos!$A$2:$A$288,0)),"")</f>
        <v>Maquinaria agrícola</v>
      </c>
      <c r="E268" s="18" t="str">
        <f>IFERROR(INDEX(Prospectos!$C$2:$C$288,MATCH($A268,Prospectos!$A$2:$A$288,0)),"")</f>
        <v>Villa María / RP6</v>
      </c>
      <c r="F268" s="18" t="str">
        <f>IFERROR(INDEX(Prospectos!$E$2:$E$288,MATCH($A268,Prospectos!$A$2:$A$288,0)),"")</f>
        <v>Villa María</v>
      </c>
      <c r="G268" s="18" t="str">
        <f>IFERROR(INDEX(Prospectos!$K$2:$K$288,MATCH($A268,Prospectos!$A$2:$A$288,0)),"")</f>
        <v>0353 4614161</v>
      </c>
      <c r="H268" s="18" t="str">
        <f>IFERROR(INDEX(Prospectos!$M$2:$M$288,MATCH($A268,Prospectos!$A$2:$A$288,0)),"")</f>
        <v>logística / ventas / postventa</v>
      </c>
      <c r="I268" s="18" t="str">
        <f>IFERROR(INDEX(Prospectos!$N$2:$N$288,MATCH($A268,Prospectos!$A$2:$A$288,0)),"")</f>
        <v>Entrega y retiro de tractores, cosechadoras, pulverizadoras, sembradoras e implementos; movimientos por venta, service, canje, demostraciones o ferias.</v>
      </c>
      <c r="J268" s="18" t="str">
        <f>IFERROR(INDEX(Prospectos!$AJ$2:$AJ$288,MATCH($A268,Prospectos!$A$2:$A$288,0)),"")</f>
        <v>Alta</v>
      </c>
      <c r="K268" s="29"/>
    </row>
    <row r="269" spans="1:11" ht="33.950000000000003" customHeight="1">
      <c r="A269" s="26" t="s">
        <v>327</v>
      </c>
      <c r="B269" s="26" t="str">
        <f>IFERROR(INDEX(Prospectos!$F$2:$F$288,MATCH($A269,Prospectos!$A$2:$A$288,0)),"")</f>
        <v>A</v>
      </c>
      <c r="C269" s="26" t="str">
        <f>IFERROR(INDEX(Prospectos!$H$2:$H$288,MATCH($A269,Prospectos!$A$2:$A$288,0)),"")</f>
        <v>Terramar Logística SRL / Terminal Villa María</v>
      </c>
      <c r="D269" s="26" t="str">
        <f>IFERROR(INDEX(Prospectos!$J$2:$J$288,MATCH($A269,Prospectos!$A$2:$A$288,0)),"")</f>
        <v>Módulos y contenedores</v>
      </c>
      <c r="E269" s="26" t="str">
        <f>IFERROR(INDEX(Prospectos!$C$2:$C$288,MATCH($A269,Prospectos!$A$2:$A$288,0)),"")</f>
        <v>Villa María / RP6</v>
      </c>
      <c r="F269" s="26" t="str">
        <f>IFERROR(INDEX(Prospectos!$E$2:$E$288,MATCH($A269,Prospectos!$A$2:$A$288,0)),"")</f>
        <v>Villa María</v>
      </c>
      <c r="G269" s="26" t="str">
        <f>IFERROR(INDEX(Prospectos!$K$2:$K$288,MATCH($A269,Prospectos!$A$2:$A$288,0)),"")</f>
        <v>0353 4533821</v>
      </c>
      <c r="H269" s="26" t="str">
        <f>IFERROR(INDEX(Prospectos!$M$2:$M$288,MATCH($A269,Prospectos!$A$2:$A$288,0)),"")</f>
        <v>operaciones terminal / logística</v>
      </c>
      <c r="I269" s="26" t="str">
        <f>IFERROR(INDEX(Prospectos!$N$2:$N$288,MATCH($A269,Prospectos!$A$2:$A$288,0)),"")</f>
        <v>Entrega, descarga y posicionamiento de módulos/containers en obra o cliente final.</v>
      </c>
      <c r="J269" s="26" t="str">
        <f>IFERROR(INDEX(Prospectos!$AJ$2:$AJ$288,MATCH($A269,Prospectos!$A$2:$A$288,0)),"")</f>
        <v>Muy alta</v>
      </c>
      <c r="K269" s="29"/>
    </row>
    <row r="270" spans="1:11" ht="33.950000000000003" customHeight="1">
      <c r="A270" s="18" t="s">
        <v>328</v>
      </c>
      <c r="B270" s="18" t="str">
        <f>IFERROR(INDEX(Prospectos!$F$2:$F$288,MATCH($A270,Prospectos!$A$2:$A$288,0)),"")</f>
        <v>A</v>
      </c>
      <c r="C270" s="18" t="str">
        <f>IFERROR(INDEX(Prospectos!$H$2:$H$288,MATCH($A270,Prospectos!$A$2:$A$288,0)),"")</f>
        <v>Ombú Máquinas Agrícolas — Villa María</v>
      </c>
      <c r="D270" s="18" t="str">
        <f>IFERROR(INDEX(Prospectos!$J$2:$J$288,MATCH($A270,Prospectos!$A$2:$A$288,0)),"")</f>
        <v>Maquinaria agrícola</v>
      </c>
      <c r="E270" s="18" t="str">
        <f>IFERROR(INDEX(Prospectos!$C$2:$C$288,MATCH($A270,Prospectos!$A$2:$A$288,0)),"")</f>
        <v>Villa María / RP6</v>
      </c>
      <c r="F270" s="18" t="str">
        <f>IFERROR(INDEX(Prospectos!$E$2:$E$288,MATCH($A270,Prospectos!$A$2:$A$288,0)),"")</f>
        <v>Villa María</v>
      </c>
      <c r="G270" s="18" t="str">
        <f>IFERROR(INDEX(Prospectos!$K$2:$K$288,MATCH($A270,Prospectos!$A$2:$A$288,0)),"")</f>
        <v>A relevar</v>
      </c>
      <c r="H270" s="18" t="str">
        <f>IFERROR(INDEX(Prospectos!$M$2:$M$288,MATCH($A270,Prospectos!$A$2:$A$288,0)),"")</f>
        <v>logística / ventas / postventa</v>
      </c>
      <c r="I270" s="18" t="str">
        <f>IFERROR(INDEX(Prospectos!$N$2:$N$288,MATCH($A270,Prospectos!$A$2:$A$288,0)),"")</f>
        <v>Entrega y retiro de tractores, cosechadoras, pulverizadoras, sembradoras e implementos; movimientos por venta, service, canje, demostraciones o ferias.</v>
      </c>
      <c r="J270" s="18" t="str">
        <f>IFERROR(INDEX(Prospectos!$AJ$2:$AJ$288,MATCH($A270,Prospectos!$A$2:$A$288,0)),"")</f>
        <v>Alta</v>
      </c>
      <c r="K270" s="29"/>
    </row>
    <row r="271" spans="1:11" ht="33.950000000000003" customHeight="1">
      <c r="A271" s="26" t="s">
        <v>329</v>
      </c>
      <c r="B271" s="26" t="str">
        <f>IFERROR(INDEX(Prospectos!$F$2:$F$288,MATCH($A271,Prospectos!$A$2:$A$288,0)),"")</f>
        <v>A</v>
      </c>
      <c r="C271" s="26" t="str">
        <f>IFERROR(INDEX(Prospectos!$H$2:$H$288,MATCH($A271,Prospectos!$A$2:$A$288,0)),"")</f>
        <v>Héctor A. Bertone S.A.</v>
      </c>
      <c r="D271" s="26" t="str">
        <f>IFERROR(INDEX(Prospectos!$J$2:$J$288,MATCH($A271,Prospectos!$A$2:$A$288,0)),"")</f>
        <v>Agro, acopio y cooperativas</v>
      </c>
      <c r="E271" s="26" t="str">
        <f>IFERROR(INDEX(Prospectos!$C$2:$C$288,MATCH($A271,Prospectos!$A$2:$A$288,0)),"")</f>
        <v>Villa María / RP6</v>
      </c>
      <c r="F271" s="26" t="str">
        <f>IFERROR(INDEX(Prospectos!$E$2:$E$288,MATCH($A271,Prospectos!$A$2:$A$288,0)),"")</f>
        <v>Villa María</v>
      </c>
      <c r="G271" s="26" t="str">
        <f>IFERROR(INDEX(Prospectos!$K$2:$K$288,MATCH($A271,Prospectos!$A$2:$A$288,0)),"")</f>
        <v>A relevar</v>
      </c>
      <c r="H271" s="26" t="str">
        <f>IFERROR(INDEX(Prospectos!$M$2:$M$288,MATCH($A271,Prospectos!$A$2:$A$288,0)),"")</f>
        <v>responsable de acopio / mantenimiento</v>
      </c>
      <c r="I271" s="26" t="str">
        <f>IFERROR(INDEX(Prospectos!$N$2:$N$288,MATCH($A271,Prospectos!$A$2:$A$288,0)),"")</f>
        <v>Traslado de equipos de planta, silos, repuestos pesados, balanzas, implementos y cargas especiales.</v>
      </c>
      <c r="J271" s="26" t="str">
        <f>IFERROR(INDEX(Prospectos!$AJ$2:$AJ$288,MATCH($A271,Prospectos!$A$2:$A$288,0)),"")</f>
        <v>Alta</v>
      </c>
      <c r="K271" s="29"/>
    </row>
    <row r="272" spans="1:11" ht="33.950000000000003" customHeight="1">
      <c r="A272" s="18" t="s">
        <v>330</v>
      </c>
      <c r="B272" s="18" t="str">
        <f>IFERROR(INDEX(Prospectos!$F$2:$F$288,MATCH($A272,Prospectos!$A$2:$A$288,0)),"")</f>
        <v>B</v>
      </c>
      <c r="C272" s="18" t="str">
        <f>IFERROR(INDEX(Prospectos!$H$2:$H$288,MATCH($A272,Prospectos!$A$2:$A$288,0)),"")</f>
        <v>GYC Piletas Villa María</v>
      </c>
      <c r="D272" s="18" t="str">
        <f>IFERROR(INDEX(Prospectos!$J$2:$J$288,MATCH($A272,Prospectos!$A$2:$A$288,0)),"")</f>
        <v>PRFV y plásticos</v>
      </c>
      <c r="E272" s="18" t="str">
        <f>IFERROR(INDEX(Prospectos!$C$2:$C$288,MATCH($A272,Prospectos!$A$2:$A$288,0)),"")</f>
        <v>Villa María / RP6</v>
      </c>
      <c r="F272" s="18" t="str">
        <f>IFERROR(INDEX(Prospectos!$E$2:$E$288,MATCH($A272,Prospectos!$A$2:$A$288,0)),"")</f>
        <v>Villa María</v>
      </c>
      <c r="G272" s="18" t="str">
        <f>IFERROR(INDEX(Prospectos!$K$2:$K$288,MATCH($A272,Prospectos!$A$2:$A$288,0)),"")</f>
        <v>0353 5107887</v>
      </c>
      <c r="H272" s="18" t="str">
        <f>IFERROR(INDEX(Prospectos!$M$2:$M$288,MATCH($A272,Prospectos!$A$2:$A$288,0)),"")</f>
        <v>logística / instalaciones / obras / ventas</v>
      </c>
      <c r="I272" s="18" t="str">
        <f>IFERROR(INDEX(Prospectos!$N$2:$N$288,MATCH($A272,Prospectos!$A$2:$A$288,0)),"")</f>
        <v>Traslado del casco PRFV hasta la obra y maniobra de descarga/posicionamiento dentro del lote, muchas veces sobre medianeras o con acceso limitado.</v>
      </c>
      <c r="J272" s="18" t="str">
        <f>IFERROR(INDEX(Prospectos!$AJ$2:$AJ$288,MATCH($A272,Prospectos!$A$2:$A$288,0)),"")</f>
        <v>Alta</v>
      </c>
      <c r="K272" s="29"/>
    </row>
    <row r="273" spans="1:11" ht="33.950000000000003" customHeight="1">
      <c r="A273" s="26" t="s">
        <v>331</v>
      </c>
      <c r="B273" s="26" t="str">
        <f>IFERROR(INDEX(Prospectos!$F$2:$F$288,MATCH($A273,Prospectos!$A$2:$A$288,0)),"")</f>
        <v>B</v>
      </c>
      <c r="C273" s="26" t="str">
        <f>IFERROR(INDEX(Prospectos!$H$2:$H$288,MATCH($A273,Prospectos!$A$2:$A$288,0)),"")</f>
        <v>Surcar S.R.L.</v>
      </c>
      <c r="D273" s="26" t="str">
        <f>IFERROR(INDEX(Prospectos!$J$2:$J$288,MATCH($A273,Prospectos!$A$2:$A$288,0)),"")</f>
        <v>Maquinaria agrícola</v>
      </c>
      <c r="E273" s="26" t="str">
        <f>IFERROR(INDEX(Prospectos!$C$2:$C$288,MATCH($A273,Prospectos!$A$2:$A$288,0)),"")</f>
        <v>Villa María / RP6</v>
      </c>
      <c r="F273" s="26" t="str">
        <f>IFERROR(INDEX(Prospectos!$E$2:$E$288,MATCH($A273,Prospectos!$A$2:$A$288,0)),"")</f>
        <v>Villa María</v>
      </c>
      <c r="G273" s="26" t="str">
        <f>IFERROR(INDEX(Prospectos!$K$2:$K$288,MATCH($A273,Prospectos!$A$2:$A$288,0)),"")</f>
        <v>+54 9 351 7002987 / 0800 220 0230</v>
      </c>
      <c r="H273" s="26" t="str">
        <f>IFERROR(INDEX(Prospectos!$M$2:$M$288,MATCH($A273,Prospectos!$A$2:$A$288,0)),"")</f>
        <v>logística / ventas / postventa</v>
      </c>
      <c r="I273" s="26" t="str">
        <f>IFERROR(INDEX(Prospectos!$N$2:$N$288,MATCH($A273,Prospectos!$A$2:$A$288,0)),"")</f>
        <v>Movimiento de agropartes, repuestos pesados, conjuntos y eventualmente implementos/equipos entre planta, concesionarios y clientes.</v>
      </c>
      <c r="J273" s="26" t="str">
        <f>IFERROR(INDEX(Prospectos!$AJ$2:$AJ$288,MATCH($A273,Prospectos!$A$2:$A$288,0)),"")</f>
        <v>Alta</v>
      </c>
      <c r="K273" s="29"/>
    </row>
    <row r="274" spans="1:11" ht="33.950000000000003" customHeight="1">
      <c r="A274" s="3" t="s">
        <v>332</v>
      </c>
      <c r="B274" s="3" t="str">
        <f>IFERROR(INDEX(Prospectos!$F$2:$F$288,MATCH($A274,Prospectos!$A$2:$A$288,0)),"")</f>
        <v>B</v>
      </c>
      <c r="C274" s="3" t="str">
        <f>IFERROR(INDEX(Prospectos!$H$2:$H$288,MATCH($A274,Prospectos!$A$2:$A$288,0)),"")</f>
        <v>Impagro Implementos Agrícolas</v>
      </c>
      <c r="D274" s="3" t="str">
        <f>IFERROR(INDEX(Prospectos!$J$2:$J$288,MATCH($A274,Prospectos!$A$2:$A$288,0)),"")</f>
        <v>Maquinaria agrícola</v>
      </c>
      <c r="E274" s="3" t="str">
        <f>IFERROR(INDEX(Prospectos!$C$2:$C$288,MATCH($A274,Prospectos!$A$2:$A$288,0)),"")</f>
        <v>Villa María / RP6</v>
      </c>
      <c r="F274" s="3" t="str">
        <f>IFERROR(INDEX(Prospectos!$E$2:$E$288,MATCH($A274,Prospectos!$A$2:$A$288,0)),"")</f>
        <v>Villa María</v>
      </c>
      <c r="G274" s="3" t="str">
        <f>IFERROR(INDEX(Prospectos!$K$2:$K$288,MATCH($A274,Prospectos!$A$2:$A$288,0)),"")</f>
        <v>0353 154011306</v>
      </c>
      <c r="H274" s="3" t="str">
        <f>IFERROR(INDEX(Prospectos!$M$2:$M$288,MATCH($A274,Prospectos!$A$2:$A$288,0)),"")</f>
        <v>logística / ventas / postventa</v>
      </c>
      <c r="I274" s="3" t="str">
        <f>IFERROR(INDEX(Prospectos!$N$2:$N$288,MATCH($A274,Prospectos!$A$2:$A$288,0)),"")</f>
        <v>Despacho de implementos, tolvas, sembradoras, estructuras, equipos terminados y componentes de gran porte hacia concesionarios, clientes, ferias o campo.</v>
      </c>
      <c r="J274" s="3" t="str">
        <f>IFERROR(INDEX(Prospectos!$AJ$2:$AJ$288,MATCH($A274,Prospectos!$A$2:$A$288,0)),"")</f>
        <v>Alta</v>
      </c>
      <c r="K274" s="29"/>
    </row>
    <row r="275" spans="1:11" ht="33.950000000000003" customHeight="1">
      <c r="A275" s="26" t="s">
        <v>333</v>
      </c>
      <c r="B275" s="26" t="str">
        <f>IFERROR(INDEX(Prospectos!$F$2:$F$288,MATCH($A275,Prospectos!$A$2:$A$288,0)),"")</f>
        <v>B</v>
      </c>
      <c r="C275" s="26" t="str">
        <f>IFERROR(INDEX(Prospectos!$H$2:$H$288,MATCH($A275,Prospectos!$A$2:$A$288,0)),"")</f>
        <v>Carra Sanitarios</v>
      </c>
      <c r="D275" s="26" t="str">
        <f>IFERROR(INDEX(Prospectos!$J$2:$J$288,MATCH($A275,Prospectos!$A$2:$A$288,0)),"")</f>
        <v>Industria y mantenimiento</v>
      </c>
      <c r="E275" s="26" t="str">
        <f>IFERROR(INDEX(Prospectos!$C$2:$C$288,MATCH($A275,Prospectos!$A$2:$A$288,0)),"")</f>
        <v>Villa María / RP6</v>
      </c>
      <c r="F275" s="26" t="str">
        <f>IFERROR(INDEX(Prospectos!$E$2:$E$288,MATCH($A275,Prospectos!$A$2:$A$288,0)),"")</f>
        <v>Villa María</v>
      </c>
      <c r="G275" s="26" t="str">
        <f>IFERROR(INDEX(Prospectos!$K$2:$K$288,MATCH($A275,Prospectos!$A$2:$A$288,0)),"")</f>
        <v>0353 4125456</v>
      </c>
      <c r="H275" s="26" t="str">
        <f>IFERROR(INDEX(Prospectos!$M$2:$M$288,MATCH($A275,Prospectos!$A$2:$A$288,0)),"")</f>
        <v>responsable de logística/compras</v>
      </c>
      <c r="I275" s="26" t="str">
        <f>IFERROR(INDEX(Prospectos!$N$2:$N$288,MATCH($A275,Prospectos!$A$2:$A$288,0)),"")</f>
        <v>Movimientos especiales de mantenimiento, repuestos pesados y mudanzas internas de equipos.</v>
      </c>
      <c r="J275" s="26" t="str">
        <f>IFERROR(INDEX(Prospectos!$AJ$2:$AJ$288,MATCH($A275,Prospectos!$A$2:$A$288,0)),"")</f>
        <v>Alta</v>
      </c>
      <c r="K275" s="29"/>
    </row>
    <row r="276" spans="1:11" ht="33.950000000000003" customHeight="1">
      <c r="A276" s="18" t="s">
        <v>334</v>
      </c>
      <c r="B276" s="18" t="str">
        <f>IFERROR(INDEX(Prospectos!$F$2:$F$288,MATCH($A276,Prospectos!$A$2:$A$288,0)),"")</f>
        <v>B</v>
      </c>
      <c r="C276" s="18" t="str">
        <f>IFERROR(INDEX(Prospectos!$H$2:$H$288,MATCH($A276,Prospectos!$A$2:$A$288,0)),"")</f>
        <v>Dipromas S.R.L.</v>
      </c>
      <c r="D276" s="18" t="str">
        <f>IFERROR(INDEX(Prospectos!$J$2:$J$288,MATCH($A276,Prospectos!$A$2:$A$288,0)),"")</f>
        <v>Metalúrgica y fabricación</v>
      </c>
      <c r="E276" s="18" t="str">
        <f>IFERROR(INDEX(Prospectos!$C$2:$C$288,MATCH($A276,Prospectos!$A$2:$A$288,0)),"")</f>
        <v>Villa María / RP6</v>
      </c>
      <c r="F276" s="18" t="str">
        <f>IFERROR(INDEX(Prospectos!$E$2:$E$288,MATCH($A276,Prospectos!$A$2:$A$288,0)),"")</f>
        <v>Villa María</v>
      </c>
      <c r="G276" s="18" t="str">
        <f>IFERROR(INDEX(Prospectos!$K$2:$K$288,MATCH($A276,Prospectos!$A$2:$A$288,0)),"")</f>
        <v>0353 4296608</v>
      </c>
      <c r="H276" s="18" t="str">
        <f>IFERROR(INDEX(Prospectos!$M$2:$M$288,MATCH($A276,Prospectos!$A$2:$A$288,0)),"")</f>
        <v>despacho / producción</v>
      </c>
      <c r="I276" s="18" t="str">
        <f>IFERROR(INDEX(Prospectos!$N$2:$N$288,MATCH($A276,Prospectos!$A$2:$A$288,0)),"")</f>
        <v>Despacho seguro de estructuras, carrozados, tanques, piezas industriales y equipos sobre plataforma.</v>
      </c>
      <c r="J276" s="18" t="str">
        <f>IFERROR(INDEX(Prospectos!$AJ$2:$AJ$288,MATCH($A276,Prospectos!$A$2:$A$288,0)),"")</f>
        <v>Alta</v>
      </c>
      <c r="K276" s="29"/>
    </row>
    <row r="277" spans="1:11" ht="33.950000000000003" customHeight="1">
      <c r="A277" s="26" t="s">
        <v>335</v>
      </c>
      <c r="B277" s="26" t="str">
        <f>IFERROR(INDEX(Prospectos!$F$2:$F$288,MATCH($A277,Prospectos!$A$2:$A$288,0)),"")</f>
        <v>B</v>
      </c>
      <c r="C277" s="26" t="str">
        <f>IFERROR(INDEX(Prospectos!$H$2:$H$288,MATCH($A277,Prospectos!$A$2:$A$288,0)),"")</f>
        <v>DM Constructora</v>
      </c>
      <c r="D277" s="26" t="str">
        <f>IFERROR(INDEX(Prospectos!$J$2:$J$288,MATCH($A277,Prospectos!$A$2:$A$288,0)),"")</f>
        <v>Construcción y obra vial</v>
      </c>
      <c r="E277" s="26" t="str">
        <f>IFERROR(INDEX(Prospectos!$C$2:$C$288,MATCH($A277,Prospectos!$A$2:$A$288,0)),"")</f>
        <v>Villa María / RP6</v>
      </c>
      <c r="F277" s="26" t="str">
        <f>IFERROR(INDEX(Prospectos!$E$2:$E$288,MATCH($A277,Prospectos!$A$2:$A$288,0)),"")</f>
        <v>Villa María</v>
      </c>
      <c r="G277" s="26" t="str">
        <f>IFERROR(INDEX(Prospectos!$K$2:$K$288,MATCH($A277,Prospectos!$A$2:$A$288,0)),"")</f>
        <v>0353 4260498</v>
      </c>
      <c r="H277" s="26" t="str">
        <f>IFERROR(INDEX(Prospectos!$M$2:$M$288,MATCH($A277,Prospectos!$A$2:$A$288,0)),"")</f>
        <v>jefe de obra / logística</v>
      </c>
      <c r="I277" s="26" t="str">
        <f>IFERROR(INDEX(Prospectos!$N$2:$N$288,MATCH($A277,Prospectos!$A$2:$A$288,0)),"")</f>
        <v>Traslado de maquinaria, módulos de obrador, estructuras, equipos y cargas pesadas entre frentes.</v>
      </c>
      <c r="J277" s="26" t="str">
        <f>IFERROR(INDEX(Prospectos!$AJ$2:$AJ$288,MATCH($A277,Prospectos!$A$2:$A$288,0)),"")</f>
        <v>Alta</v>
      </c>
      <c r="K277" s="29"/>
    </row>
    <row r="278" spans="1:11" ht="33.950000000000003" customHeight="1">
      <c r="A278" s="18" t="s">
        <v>336</v>
      </c>
      <c r="B278" s="18" t="str">
        <f>IFERROR(INDEX(Prospectos!$F$2:$F$288,MATCH($A278,Prospectos!$A$2:$A$288,0)),"")</f>
        <v>B</v>
      </c>
      <c r="C278" s="18" t="str">
        <f>IFERROR(INDEX(Prospectos!$H$2:$H$288,MATCH($A278,Prospectos!$A$2:$A$288,0)),"")</f>
        <v>Frigorífico La Pequeña S.R.L.</v>
      </c>
      <c r="D278" s="18" t="str">
        <f>IFERROR(INDEX(Prospectos!$J$2:$J$288,MATCH($A278,Prospectos!$A$2:$A$288,0)),"")</f>
        <v>Industria y mantenimiento</v>
      </c>
      <c r="E278" s="18" t="str">
        <f>IFERROR(INDEX(Prospectos!$C$2:$C$288,MATCH($A278,Prospectos!$A$2:$A$288,0)),"")</f>
        <v>Villa María / RP6</v>
      </c>
      <c r="F278" s="18" t="str">
        <f>IFERROR(INDEX(Prospectos!$E$2:$E$288,MATCH($A278,Prospectos!$A$2:$A$288,0)),"")</f>
        <v>Villa María</v>
      </c>
      <c r="G278" s="18" t="str">
        <f>IFERROR(INDEX(Prospectos!$K$2:$K$288,MATCH($A278,Prospectos!$A$2:$A$288,0)),"")</f>
        <v>0353 154197312</v>
      </c>
      <c r="H278" s="18" t="str">
        <f>IFERROR(INDEX(Prospectos!$M$2:$M$288,MATCH($A278,Prospectos!$A$2:$A$288,0)),"")</f>
        <v>despacho / producción</v>
      </c>
      <c r="I278" s="18" t="str">
        <f>IFERROR(INDEX(Prospectos!$N$2:$N$288,MATCH($A278,Prospectos!$A$2:$A$288,0)),"")</f>
        <v>Movimientos especiales de mantenimiento, repuestos pesados y mudanzas internas de equipos.</v>
      </c>
      <c r="J278" s="18" t="str">
        <f>IFERROR(INDEX(Prospectos!$AJ$2:$AJ$288,MATCH($A278,Prospectos!$A$2:$A$288,0)),"")</f>
        <v>Alta</v>
      </c>
      <c r="K278" s="29"/>
    </row>
    <row r="279" spans="1:11" ht="33.950000000000003" customHeight="1">
      <c r="A279" s="26" t="s">
        <v>337</v>
      </c>
      <c r="B279" s="26" t="str">
        <f>IFERROR(INDEX(Prospectos!$F$2:$F$288,MATCH($A279,Prospectos!$A$2:$A$288,0)),"")</f>
        <v>B</v>
      </c>
      <c r="C279" s="26" t="str">
        <f>IFERROR(INDEX(Prospectos!$H$2:$H$288,MATCH($A279,Prospectos!$A$2:$A$288,0)),"")</f>
        <v>Ghio Construcciones</v>
      </c>
      <c r="D279" s="26" t="str">
        <f>IFERROR(INDEX(Prospectos!$J$2:$J$288,MATCH($A279,Prospectos!$A$2:$A$288,0)),"")</f>
        <v>Construcción y obra vial</v>
      </c>
      <c r="E279" s="26" t="str">
        <f>IFERROR(INDEX(Prospectos!$C$2:$C$288,MATCH($A279,Prospectos!$A$2:$A$288,0)),"")</f>
        <v>Villa María / RP6</v>
      </c>
      <c r="F279" s="26" t="str">
        <f>IFERROR(INDEX(Prospectos!$E$2:$E$288,MATCH($A279,Prospectos!$A$2:$A$288,0)),"")</f>
        <v>Villa María</v>
      </c>
      <c r="G279" s="26" t="str">
        <f>IFERROR(INDEX(Prospectos!$K$2:$K$288,MATCH($A279,Prospectos!$A$2:$A$288,0)),"")</f>
        <v>0353 4016390</v>
      </c>
      <c r="H279" s="26" t="str">
        <f>IFERROR(INDEX(Prospectos!$M$2:$M$288,MATCH($A279,Prospectos!$A$2:$A$288,0)),"")</f>
        <v>jefe de obra / logística</v>
      </c>
      <c r="I279" s="26" t="str">
        <f>IFERROR(INDEX(Prospectos!$N$2:$N$288,MATCH($A279,Prospectos!$A$2:$A$288,0)),"")</f>
        <v>Traslado de maquinaria, módulos de obrador, estructuras, equipos y cargas pesadas entre frentes.</v>
      </c>
      <c r="J279" s="26" t="str">
        <f>IFERROR(INDEX(Prospectos!$AJ$2:$AJ$288,MATCH($A279,Prospectos!$A$2:$A$288,0)),"")</f>
        <v>Alta</v>
      </c>
      <c r="K279" s="29"/>
    </row>
    <row r="280" spans="1:11" ht="33.950000000000003" customHeight="1">
      <c r="A280" s="18" t="s">
        <v>338</v>
      </c>
      <c r="B280" s="18" t="str">
        <f>IFERROR(INDEX(Prospectos!$F$2:$F$288,MATCH($A280,Prospectos!$A$2:$A$288,0)),"")</f>
        <v>B</v>
      </c>
      <c r="C280" s="18" t="str">
        <f>IFERROR(INDEX(Prospectos!$H$2:$H$288,MATCH($A280,Prospectos!$A$2:$A$288,0)),"")</f>
        <v>S.A. Molinos Fénix</v>
      </c>
      <c r="D280" s="18" t="str">
        <f>IFERROR(INDEX(Prospectos!$J$2:$J$288,MATCH($A280,Prospectos!$A$2:$A$288,0)),"")</f>
        <v>Agroindustria y alimentos</v>
      </c>
      <c r="E280" s="18" t="str">
        <f>IFERROR(INDEX(Prospectos!$C$2:$C$288,MATCH($A280,Prospectos!$A$2:$A$288,0)),"")</f>
        <v>Villa María / RP6</v>
      </c>
      <c r="F280" s="18" t="str">
        <f>IFERROR(INDEX(Prospectos!$E$2:$E$288,MATCH($A280,Prospectos!$A$2:$A$288,0)),"")</f>
        <v>Villa María</v>
      </c>
      <c r="G280" s="18" t="str">
        <f>IFERROR(INDEX(Prospectos!$K$2:$K$288,MATCH($A280,Prospectos!$A$2:$A$288,0)),"")</f>
        <v>0353 4533573</v>
      </c>
      <c r="H280" s="18" t="str">
        <f>IFERROR(INDEX(Prospectos!$M$2:$M$288,MATCH($A280,Prospectos!$A$2:$A$288,0)),"")</f>
        <v>mantenimiento / compras</v>
      </c>
      <c r="I280" s="18" t="str">
        <f>IFERROR(INDEX(Prospectos!$N$2:$N$288,MATCH($A280,Prospectos!$A$2:$A$288,0)),"")</f>
        <v>Movimientos especiales de mantenimiento, repuestos pesados y mudanzas internas de equipos.</v>
      </c>
      <c r="J280" s="18" t="str">
        <f>IFERROR(INDEX(Prospectos!$AJ$2:$AJ$288,MATCH($A280,Prospectos!$A$2:$A$288,0)),"")</f>
        <v>Alta</v>
      </c>
      <c r="K280" s="29"/>
    </row>
    <row r="281" spans="1:11" ht="33.950000000000003" customHeight="1">
      <c r="A281" s="26" t="s">
        <v>339</v>
      </c>
      <c r="B281" s="26" t="str">
        <f>IFERROR(INDEX(Prospectos!$F$2:$F$288,MATCH($A281,Prospectos!$A$2:$A$288,0)),"")</f>
        <v>B</v>
      </c>
      <c r="C281" s="26" t="str">
        <f>IFERROR(INDEX(Prospectos!$H$2:$H$288,MATCH($A281,Prospectos!$A$2:$A$288,0)),"")</f>
        <v>Sarmiento Materiales</v>
      </c>
      <c r="D281" s="26" t="str">
        <f>IFERROR(INDEX(Prospectos!$J$2:$J$288,MATCH($A281,Prospectos!$A$2:$A$288,0)),"")</f>
        <v>Hormigón, áridos y materiales</v>
      </c>
      <c r="E281" s="26" t="str">
        <f>IFERROR(INDEX(Prospectos!$C$2:$C$288,MATCH($A281,Prospectos!$A$2:$A$288,0)),"")</f>
        <v>Villa María / RP6</v>
      </c>
      <c r="F281" s="26" t="str">
        <f>IFERROR(INDEX(Prospectos!$E$2:$E$288,MATCH($A281,Prospectos!$A$2:$A$288,0)),"")</f>
        <v>Villa María</v>
      </c>
      <c r="G281" s="26" t="str">
        <f>IFERROR(INDEX(Prospectos!$K$2:$K$288,MATCH($A281,Prospectos!$A$2:$A$288,0)),"")</f>
        <v>0353 4610259 / 0353 4112139</v>
      </c>
      <c r="H281" s="26" t="str">
        <f>IFERROR(INDEX(Prospectos!$M$2:$M$288,MATCH($A281,Prospectos!$A$2:$A$288,0)),"")</f>
        <v>despacho / producción</v>
      </c>
      <c r="I281" s="26" t="str">
        <f>IFERROR(INDEX(Prospectos!$N$2:$N$288,MATCH($A281,Prospectos!$A$2:$A$288,0)),"")</f>
        <v>Movimiento de premoldeados, equipos de planta/cantera, bombas, moldes y cargas pesadas.</v>
      </c>
      <c r="J281" s="26" t="str">
        <f>IFERROR(INDEX(Prospectos!$AJ$2:$AJ$288,MATCH($A281,Prospectos!$A$2:$A$288,0)),"")</f>
        <v>Alta</v>
      </c>
      <c r="K281" s="29"/>
    </row>
    <row r="282" spans="1:11" ht="33.950000000000003" customHeight="1">
      <c r="A282" s="18" t="s">
        <v>340</v>
      </c>
      <c r="B282" s="18" t="str">
        <f>IFERROR(INDEX(Prospectos!$F$2:$F$288,MATCH($A282,Prospectos!$A$2:$A$288,0)),"")</f>
        <v>B</v>
      </c>
      <c r="C282" s="18" t="str">
        <f>IFERROR(INDEX(Prospectos!$H$2:$H$288,MATCH($A282,Prospectos!$A$2:$A$288,0)),"")</f>
        <v>Stainless Steel Manufacturers S.R.L.</v>
      </c>
      <c r="D282" s="18" t="str">
        <f>IFERROR(INDEX(Prospectos!$J$2:$J$288,MATCH($A282,Prospectos!$A$2:$A$288,0)),"")</f>
        <v>Industria y mantenimiento</v>
      </c>
      <c r="E282" s="18" t="str">
        <f>IFERROR(INDEX(Prospectos!$C$2:$C$288,MATCH($A282,Prospectos!$A$2:$A$288,0)),"")</f>
        <v>Villa María / RP6</v>
      </c>
      <c r="F282" s="18" t="str">
        <f>IFERROR(INDEX(Prospectos!$E$2:$E$288,MATCH($A282,Prospectos!$A$2:$A$288,0)),"")</f>
        <v>Villa María</v>
      </c>
      <c r="G282" s="18" t="str">
        <f>IFERROR(INDEX(Prospectos!$K$2:$K$288,MATCH($A282,Prospectos!$A$2:$A$288,0)),"")</f>
        <v>0353 4792885</v>
      </c>
      <c r="H282" s="18" t="str">
        <f>IFERROR(INDEX(Prospectos!$M$2:$M$288,MATCH($A282,Prospectos!$A$2:$A$288,0)),"")</f>
        <v>despacho / producción</v>
      </c>
      <c r="I282" s="18" t="str">
        <f>IFERROR(INDEX(Prospectos!$N$2:$N$288,MATCH($A282,Prospectos!$A$2:$A$288,0)),"")</f>
        <v>Movimientos especiales de mantenimiento, repuestos pesados y mudanzas internas de equipos.</v>
      </c>
      <c r="J282" s="18" t="str">
        <f>IFERROR(INDEX(Prospectos!$AJ$2:$AJ$288,MATCH($A282,Prospectos!$A$2:$A$288,0)),"")</f>
        <v>Alta</v>
      </c>
      <c r="K282" s="29"/>
    </row>
    <row r="283" spans="1:11" ht="33.950000000000003" customHeight="1">
      <c r="A283" s="26" t="s">
        <v>341</v>
      </c>
      <c r="B283" s="26" t="str">
        <f>IFERROR(INDEX(Prospectos!$F$2:$F$288,MATCH($A283,Prospectos!$A$2:$A$288,0)),"")</f>
        <v>B</v>
      </c>
      <c r="C283" s="26" t="str">
        <f>IFERROR(INDEX(Prospectos!$H$2:$H$288,MATCH($A283,Prospectos!$A$2:$A$288,0)),"")</f>
        <v>Villa María Cereales</v>
      </c>
      <c r="D283" s="26" t="str">
        <f>IFERROR(INDEX(Prospectos!$J$2:$J$288,MATCH($A283,Prospectos!$A$2:$A$288,0)),"")</f>
        <v>Agro, acopio y cooperativas</v>
      </c>
      <c r="E283" s="26" t="str">
        <f>IFERROR(INDEX(Prospectos!$C$2:$C$288,MATCH($A283,Prospectos!$A$2:$A$288,0)),"")</f>
        <v>Villa María / RP6</v>
      </c>
      <c r="F283" s="26" t="str">
        <f>IFERROR(INDEX(Prospectos!$E$2:$E$288,MATCH($A283,Prospectos!$A$2:$A$288,0)),"")</f>
        <v>Villa María</v>
      </c>
      <c r="G283" s="26" t="str">
        <f>IFERROR(INDEX(Prospectos!$K$2:$K$288,MATCH($A283,Prospectos!$A$2:$A$288,0)),"")</f>
        <v>03535 656802</v>
      </c>
      <c r="H283" s="26" t="str">
        <f>IFERROR(INDEX(Prospectos!$M$2:$M$288,MATCH($A283,Prospectos!$A$2:$A$288,0)),"")</f>
        <v>responsable de acopio / mantenimiento</v>
      </c>
      <c r="I283" s="26" t="str">
        <f>IFERROR(INDEX(Prospectos!$N$2:$N$288,MATCH($A283,Prospectos!$A$2:$A$288,0)),"")</f>
        <v>Traslado de equipos de planta, silos, repuestos pesados, balanzas, implementos y cargas especiales.</v>
      </c>
      <c r="J283" s="26" t="str">
        <f>IFERROR(INDEX(Prospectos!$AJ$2:$AJ$288,MATCH($A283,Prospectos!$A$2:$A$288,0)),"")</f>
        <v>Alta</v>
      </c>
      <c r="K283" s="29"/>
    </row>
    <row r="284" spans="1:11" ht="33.950000000000003" customHeight="1">
      <c r="A284" s="18" t="s">
        <v>342</v>
      </c>
      <c r="B284" s="18" t="str">
        <f>IFERROR(INDEX(Prospectos!$F$2:$F$288,MATCH($A284,Prospectos!$A$2:$A$288,0)),"")</f>
        <v>B</v>
      </c>
      <c r="C284" s="18" t="str">
        <f>IFERROR(INDEX(Prospectos!$H$2:$H$288,MATCH($A284,Prospectos!$A$2:$A$288,0)),"")</f>
        <v>Grandes Cosechadoras S.R.L.</v>
      </c>
      <c r="D284" s="18" t="str">
        <f>IFERROR(INDEX(Prospectos!$J$2:$J$288,MATCH($A284,Prospectos!$A$2:$A$288,0)),"")</f>
        <v>Maquinaria agrícola</v>
      </c>
      <c r="E284" s="18" t="str">
        <f>IFERROR(INDEX(Prospectos!$C$2:$C$288,MATCH($A284,Prospectos!$A$2:$A$288,0)),"")</f>
        <v>Villa María / RP6</v>
      </c>
      <c r="F284" s="18" t="str">
        <f>IFERROR(INDEX(Prospectos!$E$2:$E$288,MATCH($A284,Prospectos!$A$2:$A$288,0)),"")</f>
        <v>Villa María</v>
      </c>
      <c r="G284" s="18" t="str">
        <f>IFERROR(INDEX(Prospectos!$K$2:$K$288,MATCH($A284,Prospectos!$A$2:$A$288,0)),"")</f>
        <v>0353 4530785</v>
      </c>
      <c r="H284" s="18" t="str">
        <f>IFERROR(INDEX(Prospectos!$M$2:$M$288,MATCH($A284,Prospectos!$A$2:$A$288,0)),"")</f>
        <v>logística / ventas / postventa</v>
      </c>
      <c r="I284" s="18" t="str">
        <f>IFERROR(INDEX(Prospectos!$N$2:$N$288,MATCH($A284,Prospectos!$A$2:$A$288,0)),"")</f>
        <v>Entrega y retiro de tractores, cosechadoras, pulverizadoras, sembradoras e implementos; movimientos por venta, service, canje, demostraciones o ferias.</v>
      </c>
      <c r="J284" s="18" t="str">
        <f>IFERROR(INDEX(Prospectos!$AJ$2:$AJ$288,MATCH($A284,Prospectos!$A$2:$A$288,0)),"")</f>
        <v>Media</v>
      </c>
      <c r="K284" s="29"/>
    </row>
    <row r="285" spans="1:11" ht="33.950000000000003" customHeight="1">
      <c r="A285" s="26" t="s">
        <v>343</v>
      </c>
      <c r="B285" s="26" t="str">
        <f>IFERROR(INDEX(Prospectos!$F$2:$F$288,MATCH($A285,Prospectos!$A$2:$A$288,0)),"")</f>
        <v>B</v>
      </c>
      <c r="C285" s="26" t="str">
        <f>IFERROR(INDEX(Prospectos!$H$2:$H$288,MATCH($A285,Prospectos!$A$2:$A$288,0)),"")</f>
        <v>Roberto Mosoni — Venta de Tractores</v>
      </c>
      <c r="D285" s="26" t="str">
        <f>IFERROR(INDEX(Prospectos!$J$2:$J$288,MATCH($A285,Prospectos!$A$2:$A$288,0)),"")</f>
        <v>Maquinaria agrícola</v>
      </c>
      <c r="E285" s="26" t="str">
        <f>IFERROR(INDEX(Prospectos!$C$2:$C$288,MATCH($A285,Prospectos!$A$2:$A$288,0)),"")</f>
        <v>Villa María / RP6</v>
      </c>
      <c r="F285" s="26" t="str">
        <f>IFERROR(INDEX(Prospectos!$E$2:$E$288,MATCH($A285,Prospectos!$A$2:$A$288,0)),"")</f>
        <v>Villa María</v>
      </c>
      <c r="G285" s="26" t="str">
        <f>IFERROR(INDEX(Prospectos!$K$2:$K$288,MATCH($A285,Prospectos!$A$2:$A$288,0)),"")</f>
        <v>0353 156566469</v>
      </c>
      <c r="H285" s="26" t="str">
        <f>IFERROR(INDEX(Prospectos!$M$2:$M$288,MATCH($A285,Prospectos!$A$2:$A$288,0)),"")</f>
        <v>logística / ventas / postventa</v>
      </c>
      <c r="I285" s="26" t="str">
        <f>IFERROR(INDEX(Prospectos!$N$2:$N$288,MATCH($A285,Prospectos!$A$2:$A$288,0)),"")</f>
        <v>Entrega y retiro de tractores, cosechadoras, pulverizadoras, sembradoras e implementos; movimientos por venta, service, canje, demostraciones o ferias.</v>
      </c>
      <c r="J285" s="26" t="str">
        <f>IFERROR(INDEX(Prospectos!$AJ$2:$AJ$288,MATCH($A285,Prospectos!$A$2:$A$288,0)),"")</f>
        <v>Media</v>
      </c>
      <c r="K285" s="29"/>
    </row>
    <row r="286" spans="1:11" ht="33.950000000000003" customHeight="1">
      <c r="A286" s="18" t="s">
        <v>344</v>
      </c>
      <c r="B286" s="18" t="str">
        <f>IFERROR(INDEX(Prospectos!$F$2:$F$288,MATCH($A286,Prospectos!$A$2:$A$288,0)),"")</f>
        <v>B</v>
      </c>
      <c r="C286" s="18" t="str">
        <f>IFERROR(INDEX(Prospectos!$H$2:$H$288,MATCH($A286,Prospectos!$A$2:$A$288,0)),"")</f>
        <v>RR Agrícola Maquinarias</v>
      </c>
      <c r="D286" s="18" t="str">
        <f>IFERROR(INDEX(Prospectos!$J$2:$J$288,MATCH($A286,Prospectos!$A$2:$A$288,0)),"")</f>
        <v>Maquinaria agrícola</v>
      </c>
      <c r="E286" s="18" t="str">
        <f>IFERROR(INDEX(Prospectos!$C$2:$C$288,MATCH($A286,Prospectos!$A$2:$A$288,0)),"")</f>
        <v>Villa María / RP6</v>
      </c>
      <c r="F286" s="18" t="str">
        <f>IFERROR(INDEX(Prospectos!$E$2:$E$288,MATCH($A286,Prospectos!$A$2:$A$288,0)),"")</f>
        <v>Villa María</v>
      </c>
      <c r="G286" s="18" t="str">
        <f>IFERROR(INDEX(Prospectos!$K$2:$K$288,MATCH($A286,Prospectos!$A$2:$A$288,0)),"")</f>
        <v>0353 4538056</v>
      </c>
      <c r="H286" s="18" t="str">
        <f>IFERROR(INDEX(Prospectos!$M$2:$M$288,MATCH($A286,Prospectos!$A$2:$A$288,0)),"")</f>
        <v>logística / ventas / postventa</v>
      </c>
      <c r="I286" s="18" t="str">
        <f>IFERROR(INDEX(Prospectos!$N$2:$N$288,MATCH($A286,Prospectos!$A$2:$A$288,0)),"")</f>
        <v>Entrega y retiro de tractores, cosechadoras, pulverizadoras, sembradoras e implementos; movimientos por venta, service, canje, demostraciones o ferias.</v>
      </c>
      <c r="J286" s="18" t="str">
        <f>IFERROR(INDEX(Prospectos!$AJ$2:$AJ$288,MATCH($A286,Prospectos!$A$2:$A$288,0)),"")</f>
        <v>Media</v>
      </c>
      <c r="K286" s="29"/>
    </row>
    <row r="287" spans="1:11" ht="33.950000000000003" customHeight="1">
      <c r="A287" s="26" t="s">
        <v>345</v>
      </c>
      <c r="B287" s="26" t="str">
        <f>IFERROR(INDEX(Prospectos!$F$2:$F$288,MATCH($A287,Prospectos!$A$2:$A$288,0)),"")</f>
        <v>B</v>
      </c>
      <c r="C287" s="26" t="str">
        <f>IFERROR(INDEX(Prospectos!$H$2:$H$288,MATCH($A287,Prospectos!$A$2:$A$288,0)),"")</f>
        <v>Tractocam S.R.L.</v>
      </c>
      <c r="D287" s="26" t="str">
        <f>IFERROR(INDEX(Prospectos!$J$2:$J$288,MATCH($A287,Prospectos!$A$2:$A$288,0)),"")</f>
        <v>Maquinaria agrícola</v>
      </c>
      <c r="E287" s="26" t="str">
        <f>IFERROR(INDEX(Prospectos!$C$2:$C$288,MATCH($A287,Prospectos!$A$2:$A$288,0)),"")</f>
        <v>Villa María / RP6</v>
      </c>
      <c r="F287" s="26" t="str">
        <f>IFERROR(INDEX(Prospectos!$E$2:$E$288,MATCH($A287,Prospectos!$A$2:$A$288,0)),"")</f>
        <v>Villa María</v>
      </c>
      <c r="G287" s="26" t="str">
        <f>IFERROR(INDEX(Prospectos!$K$2:$K$288,MATCH($A287,Prospectos!$A$2:$A$288,0)),"")</f>
        <v>0353 4613192 / 0353 4549261</v>
      </c>
      <c r="H287" s="26" t="str">
        <f>IFERROR(INDEX(Prospectos!$M$2:$M$288,MATCH($A287,Prospectos!$A$2:$A$288,0)),"")</f>
        <v>logística / ventas / postventa</v>
      </c>
      <c r="I287" s="26" t="str">
        <f>IFERROR(INDEX(Prospectos!$N$2:$N$288,MATCH($A287,Prospectos!$A$2:$A$288,0)),"")</f>
        <v>Entrega y retiro de tractores, cosechadoras, pulverizadoras, sembradoras e implementos; movimientos por venta, service, canje, demostraciones o ferias.</v>
      </c>
      <c r="J287" s="26" t="str">
        <f>IFERROR(INDEX(Prospectos!$AJ$2:$AJ$288,MATCH($A287,Prospectos!$A$2:$A$288,0)),"")</f>
        <v>Media</v>
      </c>
      <c r="K287" s="29"/>
    </row>
    <row r="288" spans="1:11" ht="33.950000000000003" customHeight="1">
      <c r="A288" s="18" t="s">
        <v>346</v>
      </c>
      <c r="B288" s="18" t="str">
        <f>IFERROR(INDEX(Prospectos!$F$2:$F$288,MATCH($A288,Prospectos!$A$2:$A$288,0)),"")</f>
        <v>B</v>
      </c>
      <c r="C288" s="18" t="str">
        <f>IFERROR(INDEX(Prospectos!$H$2:$H$288,MATCH($A288,Prospectos!$A$2:$A$288,0)),"")</f>
        <v>Ulla Maquinarias — Villa María</v>
      </c>
      <c r="D288" s="18" t="str">
        <f>IFERROR(INDEX(Prospectos!$J$2:$J$288,MATCH($A288,Prospectos!$A$2:$A$288,0)),"")</f>
        <v>Maquinaria agrícola</v>
      </c>
      <c r="E288" s="18" t="str">
        <f>IFERROR(INDEX(Prospectos!$C$2:$C$288,MATCH($A288,Prospectos!$A$2:$A$288,0)),"")</f>
        <v>Villa María / RP6</v>
      </c>
      <c r="F288" s="18" t="str">
        <f>IFERROR(INDEX(Prospectos!$E$2:$E$288,MATCH($A288,Prospectos!$A$2:$A$288,0)),"")</f>
        <v>Villa María</v>
      </c>
      <c r="G288" s="18" t="str">
        <f>IFERROR(INDEX(Prospectos!$K$2:$K$288,MATCH($A288,Prospectos!$A$2:$A$288,0)),"")</f>
        <v>0353 4507350</v>
      </c>
      <c r="H288" s="18" t="str">
        <f>IFERROR(INDEX(Prospectos!$M$2:$M$288,MATCH($A288,Prospectos!$A$2:$A$288,0)),"")</f>
        <v>logística / ventas / postventa</v>
      </c>
      <c r="I288" s="18" t="str">
        <f>IFERROR(INDEX(Prospectos!$N$2:$N$288,MATCH($A288,Prospectos!$A$2:$A$288,0)),"")</f>
        <v>Entrega y retiro de tractores, cosechadoras, pulverizadoras, sembradoras e implementos; movimientos por venta, service, canje, demostraciones o ferias.</v>
      </c>
      <c r="J288" s="18" t="str">
        <f>IFERROR(INDEX(Prospectos!$AJ$2:$AJ$288,MATCH($A288,Prospectos!$A$2:$A$288,0)),"")</f>
        <v>Media</v>
      </c>
      <c r="K288" s="29"/>
    </row>
    <row r="289" spans="1:11" ht="33.950000000000003" customHeight="1">
      <c r="A289" s="26" t="s">
        <v>347</v>
      </c>
      <c r="B289" s="26" t="str">
        <f>IFERROR(INDEX(Prospectos!$F$2:$F$288,MATCH($A289,Prospectos!$A$2:$A$288,0)),"")</f>
        <v>B</v>
      </c>
      <c r="C289" s="26" t="str">
        <f>IFERROR(INDEX(Prospectos!$H$2:$H$288,MATCH($A289,Prospectos!$A$2:$A$288,0)),"")</f>
        <v>Tracto Par</v>
      </c>
      <c r="D289" s="26" t="str">
        <f>IFERROR(INDEX(Prospectos!$J$2:$J$288,MATCH($A289,Prospectos!$A$2:$A$288,0)),"")</f>
        <v>Maquinaria agrícola</v>
      </c>
      <c r="E289" s="26" t="str">
        <f>IFERROR(INDEX(Prospectos!$C$2:$C$288,MATCH($A289,Prospectos!$A$2:$A$288,0)),"")</f>
        <v>Villa María / RP6</v>
      </c>
      <c r="F289" s="26" t="str">
        <f>IFERROR(INDEX(Prospectos!$E$2:$E$288,MATCH($A289,Prospectos!$A$2:$A$288,0)),"")</f>
        <v>Villa María</v>
      </c>
      <c r="G289" s="26" t="str">
        <f>IFERROR(INDEX(Prospectos!$K$2:$K$288,MATCH($A289,Prospectos!$A$2:$A$288,0)),"")</f>
        <v>0353 4528278</v>
      </c>
      <c r="H289" s="26" t="str">
        <f>IFERROR(INDEX(Prospectos!$M$2:$M$288,MATCH($A289,Prospectos!$A$2:$A$288,0)),"")</f>
        <v>logística / ventas / postventa</v>
      </c>
      <c r="I289" s="26" t="str">
        <f>IFERROR(INDEX(Prospectos!$N$2:$N$288,MATCH($A289,Prospectos!$A$2:$A$288,0)),"")</f>
        <v>Movimiento de agropartes, repuestos pesados, conjuntos y eventualmente implementos/equipos entre planta, concesionarios y clientes.</v>
      </c>
      <c r="J289" s="26" t="str">
        <f>IFERROR(INDEX(Prospectos!$AJ$2:$AJ$288,MATCH($A289,Prospectos!$A$2:$A$288,0)),"")</f>
        <v>Media</v>
      </c>
      <c r="K289" s="29"/>
    </row>
    <row r="290" spans="1:11" ht="33.950000000000003" customHeight="1">
      <c r="A290" s="18" t="s">
        <v>348</v>
      </c>
      <c r="B290" s="18" t="str">
        <f>IFERROR(INDEX(Prospectos!$F$2:$F$288,MATCH($A290,Prospectos!$A$2:$A$288,0)),"")</f>
        <v>B</v>
      </c>
      <c r="C290" s="18" t="str">
        <f>IFERROR(INDEX(Prospectos!$H$2:$H$288,MATCH($A290,Prospectos!$A$2:$A$288,0)),"")</f>
        <v>Ceuta Contenedores</v>
      </c>
      <c r="D290" s="18" t="str">
        <f>IFERROR(INDEX(Prospectos!$J$2:$J$288,MATCH($A290,Prospectos!$A$2:$A$288,0)),"")</f>
        <v>Módulos y contenedores</v>
      </c>
      <c r="E290" s="18" t="str">
        <f>IFERROR(INDEX(Prospectos!$C$2:$C$288,MATCH($A290,Prospectos!$A$2:$A$288,0)),"")</f>
        <v>Villa María / RP6</v>
      </c>
      <c r="F290" s="18" t="str">
        <f>IFERROR(INDEX(Prospectos!$E$2:$E$288,MATCH($A290,Prospectos!$A$2:$A$288,0)),"")</f>
        <v>Villa María</v>
      </c>
      <c r="G290" s="18" t="str">
        <f>IFERROR(INDEX(Prospectos!$K$2:$K$288,MATCH($A290,Prospectos!$A$2:$A$288,0)),"")</f>
        <v>0353 154139159</v>
      </c>
      <c r="H290" s="18" t="str">
        <f>IFERROR(INDEX(Prospectos!$M$2:$M$288,MATCH($A290,Prospectos!$A$2:$A$288,0)),"")</f>
        <v>operaciones / entregas</v>
      </c>
      <c r="I290" s="18" t="str">
        <f>IFERROR(INDEX(Prospectos!$N$2:$N$288,MATCH($A290,Prospectos!$A$2:$A$288,0)),"")</f>
        <v>Entrega, descarga y posicionamiento de módulos/containers en obra o cliente final.</v>
      </c>
      <c r="J290" s="18" t="str">
        <f>IFERROR(INDEX(Prospectos!$AJ$2:$AJ$288,MATCH($A290,Prospectos!$A$2:$A$288,0)),"")</f>
        <v>Media</v>
      </c>
      <c r="K290" s="29"/>
    </row>
    <row r="291" spans="1:11" ht="33.950000000000003" customHeight="1">
      <c r="A291" s="26" t="s">
        <v>349</v>
      </c>
      <c r="B291" s="26" t="str">
        <f>IFERROR(INDEX(Prospectos!$F$2:$F$288,MATCH($A291,Prospectos!$A$2:$A$288,0)),"")</f>
        <v>B</v>
      </c>
      <c r="C291" s="26" t="str">
        <f>IFERROR(INDEX(Prospectos!$H$2:$H$288,MATCH($A291,Prospectos!$A$2:$A$288,0)),"")</f>
        <v>PILT Villa María — Administración</v>
      </c>
      <c r="D291" s="26" t="str">
        <f>IFERROR(INDEX(Prospectos!$J$2:$J$288,MATCH($A291,Prospectos!$A$2:$A$288,0)),"")</f>
        <v>Institucional y parques</v>
      </c>
      <c r="E291" s="26" t="str">
        <f>IFERROR(INDEX(Prospectos!$C$2:$C$288,MATCH($A291,Prospectos!$A$2:$A$288,0)),"")</f>
        <v>Villa María / RP6</v>
      </c>
      <c r="F291" s="26" t="str">
        <f>IFERROR(INDEX(Prospectos!$E$2:$E$288,MATCH($A291,Prospectos!$A$2:$A$288,0)),"")</f>
        <v>Villa María</v>
      </c>
      <c r="G291" s="26" t="str">
        <f>IFERROR(INDEX(Prospectos!$K$2:$K$288,MATCH($A291,Prospectos!$A$2:$A$288,0)),"")</f>
        <v>0353 4618698 / 0353 4608191</v>
      </c>
      <c r="H291" s="26" t="str">
        <f>IFERROR(INDEX(Prospectos!$M$2:$M$288,MATCH($A291,Prospectos!$A$2:$A$288,0)),"")</f>
        <v>administración / listado empresas</v>
      </c>
      <c r="I291" s="26" t="str">
        <f>IFERROR(INDEX(Prospectos!$N$2:$N$288,MATCH($A291,Prospectos!$A$2:$A$288,0)),"")</f>
        <v>Acceso a padrón de empresas radicadas, obras de infraestructura y derivaciones a responsables.</v>
      </c>
      <c r="J291" s="26" t="str">
        <f>IFERROR(INDEX(Prospectos!$AJ$2:$AJ$288,MATCH($A291,Prospectos!$A$2:$A$288,0)),"")</f>
        <v>Media</v>
      </c>
      <c r="K291" s="29"/>
    </row>
    <row r="292" spans="1:11" ht="33.950000000000003" customHeight="1">
      <c r="A292" s="18" t="s">
        <v>350</v>
      </c>
      <c r="B292" s="18" t="str">
        <f>IFERROR(INDEX(Prospectos!$F$2:$F$288,MATCH($A292,Prospectos!$A$2:$A$288,0)),"")</f>
        <v>C</v>
      </c>
      <c r="C292" s="18" t="str">
        <f>IFERROR(INDEX(Prospectos!$H$2:$H$288,MATCH($A292,Prospectos!$A$2:$A$288,0)),"")</f>
        <v>San Borg Internacional / Laboratorios Weende</v>
      </c>
      <c r="D292" s="18" t="str">
        <f>IFERROR(INDEX(Prospectos!$J$2:$J$288,MATCH($A292,Prospectos!$A$2:$A$288,0)),"")</f>
        <v>Agroindustria y alimentos</v>
      </c>
      <c r="E292" s="18" t="str">
        <f>IFERROR(INDEX(Prospectos!$C$2:$C$288,MATCH($A292,Prospectos!$A$2:$A$288,0)),"")</f>
        <v>Villa María / RP6</v>
      </c>
      <c r="F292" s="18" t="str">
        <f>IFERROR(INDEX(Prospectos!$E$2:$E$288,MATCH($A292,Prospectos!$A$2:$A$288,0)),"")</f>
        <v>Villa María</v>
      </c>
      <c r="G292" s="18" t="str">
        <f>IFERROR(INDEX(Prospectos!$K$2:$K$288,MATCH($A292,Prospectos!$A$2:$A$288,0)),"")</f>
        <v>0353 4531453</v>
      </c>
      <c r="H292" s="18" t="str">
        <f>IFERROR(INDEX(Prospectos!$M$2:$M$288,MATCH($A292,Prospectos!$A$2:$A$288,0)),"")</f>
        <v>responsable de acopio / mantenimiento</v>
      </c>
      <c r="I292" s="18" t="str">
        <f>IFERROR(INDEX(Prospectos!$N$2:$N$288,MATCH($A292,Prospectos!$A$2:$A$288,0)),"")</f>
        <v>Traslado de equipos de planta, silos, repuestos pesados, balanzas, implementos y cargas especiales.</v>
      </c>
      <c r="J292" s="18" t="str">
        <f>IFERROR(INDEX(Prospectos!$AJ$2:$AJ$288,MATCH($A292,Prospectos!$A$2:$A$288,0)),"")</f>
        <v>Baja / visitar solo por cercanía</v>
      </c>
      <c r="K292" s="29"/>
    </row>
    <row r="293" spans="1:11" ht="33.950000000000003" customHeight="1">
      <c r="A293" s="26" t="s">
        <v>351</v>
      </c>
      <c r="B293" s="26" t="str">
        <f>IFERROR(INDEX(Prospectos!$F$2:$F$288,MATCH($A293,Prospectos!$A$2:$A$288,0)),"")</f>
        <v>C</v>
      </c>
      <c r="C293" s="26" t="str">
        <f>IFERROR(INDEX(Prospectos!$H$2:$H$288,MATCH($A293,Prospectos!$A$2:$A$288,0)),"")</f>
        <v>Hans Aberturas SRL</v>
      </c>
      <c r="D293" s="26" t="str">
        <f>IFERROR(INDEX(Prospectos!$J$2:$J$288,MATCH($A293,Prospectos!$A$2:$A$288,0)),"")</f>
        <v>Metalúrgica y fabricación</v>
      </c>
      <c r="E293" s="26" t="str">
        <f>IFERROR(INDEX(Prospectos!$C$2:$C$288,MATCH($A293,Prospectos!$A$2:$A$288,0)),"")</f>
        <v>Villa María / RP6</v>
      </c>
      <c r="F293" s="26" t="str">
        <f>IFERROR(INDEX(Prospectos!$E$2:$E$288,MATCH($A293,Prospectos!$A$2:$A$288,0)),"")</f>
        <v>Villa María</v>
      </c>
      <c r="G293" s="26" t="str">
        <f>IFERROR(INDEX(Prospectos!$K$2:$K$288,MATCH($A293,Prospectos!$A$2:$A$288,0)),"")</f>
        <v>+54 353 4446515</v>
      </c>
      <c r="H293" s="26" t="str">
        <f>IFERROR(INDEX(Prospectos!$M$2:$M$288,MATCH($A293,Prospectos!$A$2:$A$288,0)),"")</f>
        <v>producción / despacho</v>
      </c>
      <c r="I293" s="26" t="str">
        <f>IFERROR(INDEX(Prospectos!$N$2:$N$288,MATCH($A293,Prospectos!$A$2:$A$288,0)),"")</f>
        <v>Despacho seguro de estructuras, carrozados, tanques, piezas industriales y equipos sobre plataforma.</v>
      </c>
      <c r="J293" s="26" t="str">
        <f>IFERROR(INDEX(Prospectos!$AJ$2:$AJ$288,MATCH($A293,Prospectos!$A$2:$A$288,0)),"")</f>
        <v>Baja / visitar solo por cercanía</v>
      </c>
      <c r="K293" s="29"/>
    </row>
    <row r="294" spans="1:11" ht="33.950000000000003" customHeight="1">
      <c r="A294" s="18" t="s">
        <v>352</v>
      </c>
      <c r="B294" s="18" t="str">
        <f>IFERROR(INDEX(Prospectos!$F$2:$F$288,MATCH($A294,Prospectos!$A$2:$A$288,0)),"")</f>
        <v>C</v>
      </c>
      <c r="C294" s="18" t="str">
        <f>IFERROR(INDEX(Prospectos!$H$2:$H$288,MATCH($A294,Prospectos!$A$2:$A$288,0)),"")</f>
        <v>Contemar</v>
      </c>
      <c r="D294" s="18" t="str">
        <f>IFERROR(INDEX(Prospectos!$J$2:$J$288,MATCH($A294,Prospectos!$A$2:$A$288,0)),"")</f>
        <v>Módulos y contenedores</v>
      </c>
      <c r="E294" s="18" t="str">
        <f>IFERROR(INDEX(Prospectos!$C$2:$C$288,MATCH($A294,Prospectos!$A$2:$A$288,0)),"")</f>
        <v>Villa María / RP6</v>
      </c>
      <c r="F294" s="18" t="str">
        <f>IFERROR(INDEX(Prospectos!$E$2:$E$288,MATCH($A294,Prospectos!$A$2:$A$288,0)),"")</f>
        <v>Villa María</v>
      </c>
      <c r="G294" s="18" t="str">
        <f>IFERROR(INDEX(Prospectos!$K$2:$K$288,MATCH($A294,Prospectos!$A$2:$A$288,0)),"")</f>
        <v>A relevar</v>
      </c>
      <c r="H294" s="18" t="str">
        <f>IFERROR(INDEX(Prospectos!$M$2:$M$288,MATCH($A294,Prospectos!$A$2:$A$288,0)),"")</f>
        <v>operaciones / entregas</v>
      </c>
      <c r="I294" s="18" t="str">
        <f>IFERROR(INDEX(Prospectos!$N$2:$N$288,MATCH($A294,Prospectos!$A$2:$A$288,0)),"")</f>
        <v>Entrega, descarga y posicionamiento de módulos/containers en obra o cliente final.</v>
      </c>
      <c r="J294" s="18" t="str">
        <f>IFERROR(INDEX(Prospectos!$AJ$2:$AJ$288,MATCH($A294,Prospectos!$A$2:$A$288,0)),"")</f>
        <v>Baja / visitar solo por cercanía</v>
      </c>
      <c r="K294" s="29"/>
    </row>
    <row r="295" spans="1:11" ht="33.950000000000003" customHeight="1">
      <c r="A295" s="23" t="s">
        <v>353</v>
      </c>
      <c r="B295" s="23" t="str">
        <f>IFERROR(INDEX(Prospectos!$F$2:$F$288,MATCH($A295,Prospectos!$A$2:$A$288,0)),"")</f>
        <v>A</v>
      </c>
      <c r="C295" s="23" t="str">
        <f>IFERROR(INDEX(Prospectos!$H$2:$H$288,MATCH($A295,Prospectos!$A$2:$A$288,0)),"")</f>
        <v>Raúl Antonio Re e Hijos S.R.L.</v>
      </c>
      <c r="D295" s="23" t="str">
        <f>IFERROR(INDEX(Prospectos!$J$2:$J$288,MATCH($A295,Prospectos!$A$2:$A$288,0)),"")</f>
        <v>Maquinaria agrícola</v>
      </c>
      <c r="E295" s="23" t="str">
        <f>IFERROR(INDEX(Prospectos!$C$2:$C$288,MATCH($A295,Prospectos!$A$2:$A$288,0)),"")</f>
        <v>Villa María / RP6</v>
      </c>
      <c r="F295" s="23" t="str">
        <f>IFERROR(INDEX(Prospectos!$E$2:$E$288,MATCH($A295,Prospectos!$A$2:$A$288,0)),"")</f>
        <v>Villa Nueva</v>
      </c>
      <c r="G295" s="23" t="str">
        <f>IFERROR(INDEX(Prospectos!$K$2:$K$288,MATCH($A295,Prospectos!$A$2:$A$288,0)),"")</f>
        <v>0353 4912074</v>
      </c>
      <c r="H295" s="23" t="str">
        <f>IFERROR(INDEX(Prospectos!$M$2:$M$288,MATCH($A295,Prospectos!$A$2:$A$288,0)),"")</f>
        <v>logística / ventas / postventa</v>
      </c>
      <c r="I295" s="23" t="str">
        <f>IFERROR(INDEX(Prospectos!$N$2:$N$288,MATCH($A295,Prospectos!$A$2:$A$288,0)),"")</f>
        <v>Entrega y retiro de tractores, cosechadoras, pulverizadoras, sembradoras e implementos; movimientos por venta, service, canje, demostraciones o ferias.</v>
      </c>
      <c r="J295" s="23" t="str">
        <f>IFERROR(INDEX(Prospectos!$AJ$2:$AJ$288,MATCH($A295,Prospectos!$A$2:$A$288,0)),"")</f>
        <v>Alta</v>
      </c>
      <c r="K295" s="29"/>
    </row>
    <row r="296" spans="1:11" s="32" customFormat="1" ht="36">
      <c r="A296" s="46" t="s">
        <v>281</v>
      </c>
      <c r="B296" s="46" t="s">
        <v>724</v>
      </c>
      <c r="C296" s="46" t="s">
        <v>2891</v>
      </c>
      <c r="D296" s="51" t="str">
        <f>IFERROR(INDEX(Prospectos!$J$2:$J$288,MATCH($A296,Prospectos!$A$2:$A$288,0)),"")</f>
        <v>Agro, acopio y cooperativas</v>
      </c>
      <c r="E296" s="46" t="str">
        <f>IFERROR(INDEX(Prospectos!$C$2:$C$288,MATCH($A296,Prospectos!$A$2:$A$288,0)),"")</f>
        <v>Villa Ascasubi / RP6-E79</v>
      </c>
      <c r="F296" s="46" t="str">
        <f>IFERROR(INDEX(Prospectos!$E$2:$E$288,MATCH($A296,Prospectos!$A$2:$A$288,0)),"")</f>
        <v>Villa Ascasubi</v>
      </c>
      <c r="G296" s="46" t="str">
        <f>IFERROR(INDEX(Prospectos!$K$2:$K$288,MATCH($A296,Prospectos!$A$2:$A$288,0)),"")</f>
        <v>A relevar</v>
      </c>
      <c r="H296" s="46" t="str">
        <f>IFERROR(INDEX(Prospectos!$M$2:$M$288,MATCH($A296,Prospectos!$A$2:$A$288,0)),"")</f>
        <v>acopio / encargado de sucursal</v>
      </c>
      <c r="I296" s="46" t="str">
        <f>IFERROR(INDEX(Prospectos!$N$2:$N$288,MATCH($A296,Prospectos!$A$2:$A$288,0)),"")</f>
        <v>Traslado de insumos, pallets, fertilizantes, repuestos pesados, silos/equipos y apoyo de mantenimiento en planta.</v>
      </c>
      <c r="J296" s="45" t="s">
        <v>2890</v>
      </c>
      <c r="K296" s="52" t="s">
        <v>2892</v>
      </c>
    </row>
    <row r="297" spans="1:11" s="32" customFormat="1" ht="30" customHeight="1">
      <c r="A297" s="46" t="s">
        <v>281</v>
      </c>
      <c r="B297" s="46" t="s">
        <v>724</v>
      </c>
      <c r="C297" s="46" t="s">
        <v>2891</v>
      </c>
      <c r="D297" s="51" t="str">
        <f>IFERROR(INDEX(Prospectos!$J$2:$J$288,MATCH($A297,Prospectos!$A$2:$A$288,0)),"")</f>
        <v>Agro, acopio y cooperativas</v>
      </c>
      <c r="E297" s="46" t="str">
        <f>IFERROR(INDEX(Prospectos!$C$2:$C$288,MATCH($A297,Prospectos!$A$2:$A$288,0)),"")</f>
        <v>Villa Ascasubi / RP6-E79</v>
      </c>
      <c r="F297" s="46" t="str">
        <f>IFERROR(INDEX(Prospectos!$E$2:$E$288,MATCH($A297,Prospectos!$A$2:$A$288,0)),"")</f>
        <v>Villa Ascasubi</v>
      </c>
      <c r="G297" s="46" t="str">
        <f>IFERROR(INDEX(Prospectos!$K$2:$K$288,MATCH($A297,Prospectos!$A$2:$A$288,0)),"")</f>
        <v>A relevar</v>
      </c>
      <c r="H297" s="46" t="str">
        <f>IFERROR(INDEX(Prospectos!$M$2:$M$288,MATCH($A297,Prospectos!$A$2:$A$288,0)),"")</f>
        <v>acopio / encargado de sucursal</v>
      </c>
      <c r="I297" s="46" t="str">
        <f>IFERROR(INDEX(Prospectos!$N$2:$N$288,MATCH($A297,Prospectos!$A$2:$A$288,0)),"")</f>
        <v>Traslado de insumos, pallets, fertilizantes, repuestos pesados, silos/equipos y apoyo de mantenimiento en planta.</v>
      </c>
      <c r="J297" s="45" t="s">
        <v>2890</v>
      </c>
      <c r="K297" s="52" t="s">
        <v>2893</v>
      </c>
    </row>
  </sheetData>
  <mergeCells count="12">
    <mergeCell ref="A1:K1"/>
    <mergeCell ref="A2:K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8"/>
  <sheetViews>
    <sheetView workbookViewId="0"/>
  </sheetViews>
  <sheetFormatPr baseColWidth="10" defaultColWidth="9" defaultRowHeight="14.25"/>
  <cols>
    <col min="1" max="1" width="11" customWidth="1"/>
    <col min="2" max="2" width="18" customWidth="1"/>
    <col min="3" max="3" width="22" customWidth="1"/>
    <col min="4" max="4" width="26" customWidth="1"/>
    <col min="5" max="5" width="18" customWidth="1"/>
    <col min="6" max="6" width="7" customWidth="1"/>
    <col min="7" max="7" width="10" customWidth="1"/>
    <col min="8" max="8" width="30" customWidth="1"/>
    <col min="9" max="9" width="28" customWidth="1"/>
    <col min="10" max="10" width="26" customWidth="1"/>
    <col min="11" max="11" width="25" customWidth="1"/>
    <col min="12" max="12" width="14" customWidth="1"/>
    <col min="13" max="13" width="23" customWidth="1"/>
    <col min="14" max="14" width="38" customWidth="1"/>
    <col min="15" max="15" width="40" customWidth="1"/>
    <col min="16" max="17" width="38" customWidth="1"/>
    <col min="18" max="18" width="18" customWidth="1"/>
    <col min="19" max="19" width="30" customWidth="1"/>
    <col min="20" max="20" width="20" customWidth="1"/>
    <col min="21" max="21" width="15" customWidth="1"/>
    <col min="22" max="22" width="25" customWidth="1"/>
    <col min="23" max="23" width="32" customWidth="1"/>
    <col min="24" max="24" width="24" customWidth="1"/>
    <col min="25" max="25" width="28" customWidth="1"/>
    <col min="26" max="26" width="35" customWidth="1"/>
    <col min="27" max="27" width="28" customWidth="1"/>
    <col min="28" max="28" width="25" customWidth="1"/>
    <col min="29" max="29" width="28" customWidth="1"/>
    <col min="30" max="30" width="42" customWidth="1"/>
    <col min="31" max="31" width="16" customWidth="1"/>
    <col min="32" max="32" width="24" customWidth="1"/>
    <col min="33" max="33" width="42" customWidth="1"/>
    <col min="34" max="34" width="28" customWidth="1"/>
    <col min="35" max="35" width="18" customWidth="1"/>
    <col min="36" max="36" width="24" customWidth="1"/>
    <col min="37" max="37" width="38" customWidth="1"/>
    <col min="38" max="38" width="24" customWidth="1"/>
    <col min="39" max="39" width="34" customWidth="1"/>
  </cols>
  <sheetData>
    <row r="1" spans="1:39" ht="33.950000000000003" customHeight="1">
      <c r="A1" s="19" t="s">
        <v>56</v>
      </c>
      <c r="B1" s="19" t="s">
        <v>354</v>
      </c>
      <c r="C1" s="19" t="s">
        <v>60</v>
      </c>
      <c r="D1" s="19" t="s">
        <v>355</v>
      </c>
      <c r="E1" s="19" t="s">
        <v>61</v>
      </c>
      <c r="F1" s="19" t="s">
        <v>57</v>
      </c>
      <c r="G1" s="19" t="s">
        <v>356</v>
      </c>
      <c r="H1" s="19" t="s">
        <v>58</v>
      </c>
      <c r="I1" s="19" t="s">
        <v>357</v>
      </c>
      <c r="J1" s="19" t="s">
        <v>59</v>
      </c>
      <c r="K1" s="19" t="s">
        <v>62</v>
      </c>
      <c r="L1" s="19" t="s">
        <v>358</v>
      </c>
      <c r="M1" s="19" t="s">
        <v>63</v>
      </c>
      <c r="N1" s="19" t="s">
        <v>64</v>
      </c>
      <c r="O1" s="19" t="s">
        <v>359</v>
      </c>
      <c r="P1" s="19" t="s">
        <v>360</v>
      </c>
      <c r="Q1" s="19" t="s">
        <v>361</v>
      </c>
      <c r="R1" s="19" t="s">
        <v>362</v>
      </c>
      <c r="S1" s="19" t="s">
        <v>66</v>
      </c>
      <c r="T1" s="19" t="s">
        <v>363</v>
      </c>
      <c r="U1" s="19" t="s">
        <v>364</v>
      </c>
      <c r="V1" s="19" t="s">
        <v>365</v>
      </c>
      <c r="W1" s="19" t="s">
        <v>366</v>
      </c>
      <c r="X1" s="19" t="s">
        <v>367</v>
      </c>
      <c r="Y1" s="19" t="s">
        <v>368</v>
      </c>
      <c r="Z1" s="19" t="s">
        <v>369</v>
      </c>
      <c r="AA1" s="19" t="s">
        <v>370</v>
      </c>
      <c r="AB1" s="19" t="s">
        <v>371</v>
      </c>
      <c r="AC1" s="19" t="s">
        <v>372</v>
      </c>
      <c r="AD1" s="19" t="s">
        <v>373</v>
      </c>
      <c r="AE1" s="19" t="s">
        <v>374</v>
      </c>
      <c r="AF1" s="19" t="s">
        <v>375</v>
      </c>
      <c r="AG1" s="19" t="s">
        <v>376</v>
      </c>
      <c r="AH1" s="19" t="s">
        <v>377</v>
      </c>
      <c r="AI1" s="19" t="s">
        <v>378</v>
      </c>
      <c r="AJ1" s="19" t="s">
        <v>379</v>
      </c>
      <c r="AK1" s="19" t="s">
        <v>380</v>
      </c>
      <c r="AL1" s="19" t="s">
        <v>381</v>
      </c>
      <c r="AM1" s="19" t="s">
        <v>382</v>
      </c>
    </row>
    <row r="2" spans="1:39" ht="48">
      <c r="A2" s="17" t="s">
        <v>67</v>
      </c>
      <c r="B2" s="17" t="s">
        <v>383</v>
      </c>
      <c r="C2" s="17" t="s">
        <v>384</v>
      </c>
      <c r="D2" s="17" t="s">
        <v>385</v>
      </c>
      <c r="E2" s="17" t="s">
        <v>386</v>
      </c>
      <c r="F2" s="17" t="s">
        <v>387</v>
      </c>
      <c r="G2" s="17">
        <v>100</v>
      </c>
      <c r="H2" s="17" t="s">
        <v>388</v>
      </c>
      <c r="I2" s="17" t="s">
        <v>389</v>
      </c>
      <c r="J2" s="17" t="s">
        <v>23</v>
      </c>
      <c r="K2" s="17" t="s">
        <v>390</v>
      </c>
      <c r="L2" s="17" t="s">
        <v>391</v>
      </c>
      <c r="M2" s="17" t="s">
        <v>392</v>
      </c>
      <c r="N2" s="17" t="s">
        <v>393</v>
      </c>
      <c r="O2" s="17" t="s">
        <v>394</v>
      </c>
      <c r="P2" s="17" t="s">
        <v>395</v>
      </c>
      <c r="Q2" s="17" t="s">
        <v>396</v>
      </c>
      <c r="R2" s="17"/>
      <c r="S2" s="48" t="str">
        <f>IFERROR(T(INDEX('Prospectos Resumen'!$K$9:$K$297,MATCH(A2,'Prospectos Resumen'!$A$9:$A$297,0))),"")</f>
        <v>SERGIO ASCANELLI</v>
      </c>
      <c r="T2" s="17"/>
      <c r="U2" s="17"/>
      <c r="V2" s="17"/>
      <c r="W2" s="17"/>
      <c r="X2" s="17" t="s">
        <v>397</v>
      </c>
      <c r="Y2" s="17" t="s">
        <v>397</v>
      </c>
      <c r="Z2" s="17" t="s">
        <v>398</v>
      </c>
      <c r="AA2" s="17" t="s">
        <v>399</v>
      </c>
      <c r="AB2" s="17" t="s">
        <v>400</v>
      </c>
      <c r="AC2" s="17" t="s">
        <v>401</v>
      </c>
      <c r="AD2" s="17" t="s">
        <v>402</v>
      </c>
      <c r="AE2" s="17" t="s">
        <v>403</v>
      </c>
      <c r="AF2" s="17" t="s">
        <v>404</v>
      </c>
      <c r="AG2" s="17" t="s">
        <v>405</v>
      </c>
      <c r="AH2" s="17" t="s">
        <v>406</v>
      </c>
      <c r="AI2" s="17" t="s">
        <v>407</v>
      </c>
      <c r="AJ2" s="17" t="s">
        <v>408</v>
      </c>
      <c r="AK2" s="17" t="s">
        <v>409</v>
      </c>
      <c r="AL2" s="17" t="s">
        <v>410</v>
      </c>
      <c r="AM2" s="17" t="s">
        <v>411</v>
      </c>
    </row>
    <row r="3" spans="1:39" ht="36">
      <c r="A3" s="18" t="s">
        <v>68</v>
      </c>
      <c r="B3" s="18" t="s">
        <v>383</v>
      </c>
      <c r="C3" s="18" t="s">
        <v>384</v>
      </c>
      <c r="D3" s="18" t="s">
        <v>386</v>
      </c>
      <c r="E3" s="18" t="s">
        <v>386</v>
      </c>
      <c r="F3" s="18" t="s">
        <v>387</v>
      </c>
      <c r="G3" s="18">
        <v>100</v>
      </c>
      <c r="H3" s="18" t="s">
        <v>412</v>
      </c>
      <c r="I3" s="18" t="s">
        <v>413</v>
      </c>
      <c r="J3" s="18" t="s">
        <v>414</v>
      </c>
      <c r="K3" s="18" t="s">
        <v>415</v>
      </c>
      <c r="L3" s="18" t="s">
        <v>391</v>
      </c>
      <c r="M3" s="18" t="s">
        <v>416</v>
      </c>
      <c r="N3" s="18" t="s">
        <v>417</v>
      </c>
      <c r="O3" s="18" t="s">
        <v>418</v>
      </c>
      <c r="P3" s="18" t="s">
        <v>419</v>
      </c>
      <c r="Q3" s="18" t="s">
        <v>420</v>
      </c>
      <c r="R3" s="18"/>
      <c r="S3" s="48" t="str">
        <f>IFERROR(T(INDEX('Prospectos Resumen'!$K$9:$K$297,MATCH(A3,'Prospectos Resumen'!$A$9:$A$297,0))),"")</f>
        <v/>
      </c>
      <c r="T3" s="18"/>
      <c r="U3" s="18"/>
      <c r="V3" s="18"/>
      <c r="W3" s="18"/>
      <c r="X3" s="18" t="s">
        <v>421</v>
      </c>
      <c r="Y3" s="18" t="s">
        <v>422</v>
      </c>
      <c r="Z3" s="18" t="s">
        <v>423</v>
      </c>
      <c r="AA3" s="18" t="s">
        <v>424</v>
      </c>
      <c r="AB3" s="18" t="s">
        <v>425</v>
      </c>
      <c r="AC3" s="18"/>
      <c r="AD3" s="18" t="s">
        <v>426</v>
      </c>
      <c r="AE3" s="18" t="s">
        <v>403</v>
      </c>
      <c r="AF3" s="18" t="s">
        <v>427</v>
      </c>
      <c r="AG3" s="18" t="s">
        <v>428</v>
      </c>
      <c r="AH3" s="18" t="s">
        <v>429</v>
      </c>
      <c r="AI3" s="18" t="s">
        <v>407</v>
      </c>
      <c r="AJ3" s="18" t="s">
        <v>408</v>
      </c>
      <c r="AK3" s="18" t="s">
        <v>430</v>
      </c>
      <c r="AL3" s="18" t="s">
        <v>431</v>
      </c>
      <c r="AM3" s="18" t="s">
        <v>432</v>
      </c>
    </row>
    <row r="4" spans="1:39" ht="48">
      <c r="A4" s="17" t="s">
        <v>69</v>
      </c>
      <c r="B4" s="17" t="s">
        <v>383</v>
      </c>
      <c r="C4" s="17" t="s">
        <v>384</v>
      </c>
      <c r="D4" s="17" t="s">
        <v>385</v>
      </c>
      <c r="E4" s="17" t="s">
        <v>386</v>
      </c>
      <c r="F4" s="17" t="s">
        <v>387</v>
      </c>
      <c r="G4" s="17">
        <v>100</v>
      </c>
      <c r="H4" s="17" t="s">
        <v>433</v>
      </c>
      <c r="I4" s="17" t="s">
        <v>434</v>
      </c>
      <c r="J4" s="17" t="s">
        <v>23</v>
      </c>
      <c r="K4" s="17" t="s">
        <v>435</v>
      </c>
      <c r="L4" s="17" t="s">
        <v>391</v>
      </c>
      <c r="M4" s="17" t="s">
        <v>436</v>
      </c>
      <c r="N4" s="17" t="s">
        <v>437</v>
      </c>
      <c r="O4" s="17" t="s">
        <v>438</v>
      </c>
      <c r="P4" s="17" t="s">
        <v>439</v>
      </c>
      <c r="Q4" s="17" t="s">
        <v>440</v>
      </c>
      <c r="R4" s="17"/>
      <c r="S4" s="48" t="str">
        <f>IFERROR(T(INDEX('Prospectos Resumen'!$K$9:$K$297,MATCH(A4,'Prospectos Resumen'!$A$9:$A$297,0))),"")</f>
        <v>GUILLERMO GOÑI</v>
      </c>
      <c r="T4" s="17"/>
      <c r="U4" s="17"/>
      <c r="V4" s="17"/>
      <c r="W4" s="17"/>
      <c r="X4" s="17" t="s">
        <v>441</v>
      </c>
      <c r="Y4" s="17" t="s">
        <v>442</v>
      </c>
      <c r="Z4" s="17" t="s">
        <v>443</v>
      </c>
      <c r="AA4" s="17" t="s">
        <v>444</v>
      </c>
      <c r="AB4" s="17" t="s">
        <v>445</v>
      </c>
      <c r="AC4" s="17" t="s">
        <v>446</v>
      </c>
      <c r="AD4" s="17" t="s">
        <v>439</v>
      </c>
      <c r="AE4" s="17" t="s">
        <v>403</v>
      </c>
      <c r="AF4" s="17" t="s">
        <v>447</v>
      </c>
      <c r="AG4" s="17" t="s">
        <v>448</v>
      </c>
      <c r="AH4" s="17" t="s">
        <v>449</v>
      </c>
      <c r="AI4" s="17" t="s">
        <v>407</v>
      </c>
      <c r="AJ4" s="17" t="s">
        <v>408</v>
      </c>
      <c r="AK4" s="17"/>
      <c r="AL4" s="17" t="s">
        <v>450</v>
      </c>
      <c r="AM4" s="17"/>
    </row>
    <row r="5" spans="1:39" ht="36">
      <c r="A5" s="18" t="s">
        <v>70</v>
      </c>
      <c r="B5" s="18" t="s">
        <v>383</v>
      </c>
      <c r="C5" s="18" t="s">
        <v>384</v>
      </c>
      <c r="D5" s="18" t="s">
        <v>386</v>
      </c>
      <c r="E5" s="18" t="s">
        <v>386</v>
      </c>
      <c r="F5" s="18" t="s">
        <v>387</v>
      </c>
      <c r="G5" s="18">
        <v>100</v>
      </c>
      <c r="H5" s="18" t="s">
        <v>451</v>
      </c>
      <c r="I5" s="18" t="s">
        <v>452</v>
      </c>
      <c r="J5" s="18" t="s">
        <v>453</v>
      </c>
      <c r="K5" s="18" t="s">
        <v>454</v>
      </c>
      <c r="L5" s="18" t="s">
        <v>391</v>
      </c>
      <c r="M5" s="18" t="s">
        <v>455</v>
      </c>
      <c r="N5" s="18" t="s">
        <v>456</v>
      </c>
      <c r="O5" s="18" t="s">
        <v>457</v>
      </c>
      <c r="P5" s="18" t="s">
        <v>458</v>
      </c>
      <c r="Q5" s="18" t="s">
        <v>420</v>
      </c>
      <c r="R5" s="18"/>
      <c r="S5" s="48" t="str">
        <f>IFERROR(T(INDEX('Prospectos Resumen'!$K$9:$K$297,MATCH(A5,'Prospectos Resumen'!$A$9:$A$297,0))),"")</f>
        <v>CRISTIAN NOVARETTI</v>
      </c>
      <c r="T5" s="18"/>
      <c r="U5" s="18"/>
      <c r="V5" s="18"/>
      <c r="W5" s="18"/>
      <c r="X5" s="18" t="s">
        <v>459</v>
      </c>
      <c r="Y5" s="18" t="s">
        <v>460</v>
      </c>
      <c r="Z5" s="18" t="s">
        <v>423</v>
      </c>
      <c r="AA5" s="18" t="s">
        <v>461</v>
      </c>
      <c r="AB5" s="18" t="s">
        <v>462</v>
      </c>
      <c r="AC5" s="18"/>
      <c r="AD5" s="18" t="s">
        <v>426</v>
      </c>
      <c r="AE5" s="18" t="s">
        <v>403</v>
      </c>
      <c r="AF5" s="18" t="s">
        <v>427</v>
      </c>
      <c r="AG5" s="18" t="s">
        <v>463</v>
      </c>
      <c r="AH5" s="18" t="s">
        <v>464</v>
      </c>
      <c r="AI5" s="18" t="s">
        <v>407</v>
      </c>
      <c r="AJ5" s="18" t="s">
        <v>408</v>
      </c>
      <c r="AK5" s="18"/>
      <c r="AL5" s="18" t="s">
        <v>431</v>
      </c>
      <c r="AM5" s="18" t="s">
        <v>432</v>
      </c>
    </row>
    <row r="6" spans="1:39" ht="60">
      <c r="A6" s="17" t="s">
        <v>71</v>
      </c>
      <c r="B6" s="17" t="s">
        <v>383</v>
      </c>
      <c r="C6" s="17" t="s">
        <v>384</v>
      </c>
      <c r="D6" s="17" t="s">
        <v>465</v>
      </c>
      <c r="E6" s="17" t="s">
        <v>386</v>
      </c>
      <c r="F6" s="17" t="s">
        <v>387</v>
      </c>
      <c r="G6" s="17">
        <v>100</v>
      </c>
      <c r="H6" s="17" t="s">
        <v>466</v>
      </c>
      <c r="I6" s="17" t="s">
        <v>467</v>
      </c>
      <c r="J6" s="17" t="s">
        <v>453</v>
      </c>
      <c r="K6" s="17" t="s">
        <v>468</v>
      </c>
      <c r="L6" s="17" t="s">
        <v>391</v>
      </c>
      <c r="M6" s="17" t="s">
        <v>455</v>
      </c>
      <c r="N6" s="17" t="s">
        <v>469</v>
      </c>
      <c r="O6" s="17" t="s">
        <v>470</v>
      </c>
      <c r="P6" s="17" t="s">
        <v>471</v>
      </c>
      <c r="Q6" s="17" t="s">
        <v>472</v>
      </c>
      <c r="R6" s="17"/>
      <c r="S6" s="48" t="str">
        <f>IFERROR(T(INDEX('Prospectos Resumen'!$K$9:$K$297,MATCH(A6,'Prospectos Resumen'!$A$9:$A$297,0))),"")</f>
        <v>FEDE SERRA</v>
      </c>
      <c r="T6" s="17"/>
      <c r="U6" s="17"/>
      <c r="V6" s="17"/>
      <c r="W6" s="17"/>
      <c r="X6" s="17" t="s">
        <v>473</v>
      </c>
      <c r="Y6" s="17" t="s">
        <v>473</v>
      </c>
      <c r="Z6" s="17" t="s">
        <v>474</v>
      </c>
      <c r="AA6" s="17" t="s">
        <v>475</v>
      </c>
      <c r="AB6" s="17" t="s">
        <v>476</v>
      </c>
      <c r="AC6" s="17" t="s">
        <v>477</v>
      </c>
      <c r="AD6" s="17" t="s">
        <v>478</v>
      </c>
      <c r="AE6" s="17" t="s">
        <v>403</v>
      </c>
      <c r="AF6" s="17" t="s">
        <v>479</v>
      </c>
      <c r="AG6" s="17" t="s">
        <v>463</v>
      </c>
      <c r="AH6" s="17" t="s">
        <v>464</v>
      </c>
      <c r="AI6" s="17" t="s">
        <v>407</v>
      </c>
      <c r="AJ6" s="17" t="s">
        <v>408</v>
      </c>
      <c r="AK6" s="17" t="s">
        <v>480</v>
      </c>
      <c r="AL6" s="17" t="s">
        <v>431</v>
      </c>
      <c r="AM6" s="17" t="s">
        <v>432</v>
      </c>
    </row>
    <row r="7" spans="1:39" ht="48">
      <c r="A7" s="18" t="s">
        <v>72</v>
      </c>
      <c r="B7" s="18" t="s">
        <v>383</v>
      </c>
      <c r="C7" s="18" t="s">
        <v>384</v>
      </c>
      <c r="D7" s="18" t="s">
        <v>481</v>
      </c>
      <c r="E7" s="18" t="s">
        <v>386</v>
      </c>
      <c r="F7" s="18" t="s">
        <v>387</v>
      </c>
      <c r="G7" s="18">
        <v>100</v>
      </c>
      <c r="H7" s="18" t="s">
        <v>482</v>
      </c>
      <c r="I7" s="18" t="s">
        <v>483</v>
      </c>
      <c r="J7" s="18" t="s">
        <v>484</v>
      </c>
      <c r="K7" s="18" t="s">
        <v>485</v>
      </c>
      <c r="L7" s="18" t="s">
        <v>391</v>
      </c>
      <c r="M7" s="18" t="s">
        <v>486</v>
      </c>
      <c r="N7" s="18" t="s">
        <v>487</v>
      </c>
      <c r="O7" s="18" t="s">
        <v>488</v>
      </c>
      <c r="P7" s="18" t="s">
        <v>489</v>
      </c>
      <c r="Q7" s="18" t="s">
        <v>472</v>
      </c>
      <c r="R7" s="18"/>
      <c r="S7" s="48" t="str">
        <f>IFERROR(T(INDEX('Prospectos Resumen'!$K$9:$K$297,MATCH(A7,'Prospectos Resumen'!$A$9:$A$297,0))),"")</f>
        <v/>
      </c>
      <c r="T7" s="18"/>
      <c r="U7" s="18"/>
      <c r="V7" s="18"/>
      <c r="W7" s="18"/>
      <c r="X7" s="18" t="s">
        <v>490</v>
      </c>
      <c r="Y7" s="18" t="s">
        <v>490</v>
      </c>
      <c r="Z7" s="18" t="s">
        <v>474</v>
      </c>
      <c r="AA7" s="18" t="s">
        <v>491</v>
      </c>
      <c r="AB7" s="18" t="s">
        <v>492</v>
      </c>
      <c r="AC7" s="18" t="s">
        <v>493</v>
      </c>
      <c r="AD7" s="18" t="s">
        <v>494</v>
      </c>
      <c r="AE7" s="18" t="s">
        <v>403</v>
      </c>
      <c r="AF7" s="18" t="s">
        <v>479</v>
      </c>
      <c r="AG7" s="18" t="s">
        <v>428</v>
      </c>
      <c r="AH7" s="18" t="s">
        <v>464</v>
      </c>
      <c r="AI7" s="18" t="s">
        <v>407</v>
      </c>
      <c r="AJ7" s="18" t="s">
        <v>408</v>
      </c>
      <c r="AK7" s="18"/>
      <c r="AL7" s="18" t="s">
        <v>431</v>
      </c>
      <c r="AM7" s="18" t="s">
        <v>432</v>
      </c>
    </row>
    <row r="8" spans="1:39" ht="60">
      <c r="A8" s="17" t="s">
        <v>73</v>
      </c>
      <c r="B8" s="17" t="s">
        <v>383</v>
      </c>
      <c r="C8" s="17" t="s">
        <v>384</v>
      </c>
      <c r="D8" s="17" t="s">
        <v>495</v>
      </c>
      <c r="E8" s="17" t="s">
        <v>386</v>
      </c>
      <c r="F8" s="17" t="s">
        <v>387</v>
      </c>
      <c r="G8" s="17">
        <v>100</v>
      </c>
      <c r="H8" s="17" t="s">
        <v>496</v>
      </c>
      <c r="I8" s="17" t="s">
        <v>497</v>
      </c>
      <c r="J8" s="17" t="s">
        <v>23</v>
      </c>
      <c r="K8" s="17" t="s">
        <v>498</v>
      </c>
      <c r="L8" s="17" t="s">
        <v>391</v>
      </c>
      <c r="M8" s="17" t="s">
        <v>499</v>
      </c>
      <c r="N8" s="17" t="s">
        <v>500</v>
      </c>
      <c r="O8" s="17" t="s">
        <v>501</v>
      </c>
      <c r="P8" s="17" t="s">
        <v>502</v>
      </c>
      <c r="Q8" s="17" t="s">
        <v>503</v>
      </c>
      <c r="R8" s="17"/>
      <c r="S8" s="48" t="str">
        <f>IFERROR(T(INDEX('Prospectos Resumen'!$K$9:$K$297,MATCH(A8,'Prospectos Resumen'!$A$9:$A$297,0))),"")</f>
        <v/>
      </c>
      <c r="T8" s="17"/>
      <c r="U8" s="17"/>
      <c r="V8" s="17"/>
      <c r="W8" s="17"/>
      <c r="X8" s="17" t="s">
        <v>504</v>
      </c>
      <c r="Y8" s="17" t="s">
        <v>504</v>
      </c>
      <c r="Z8" s="17" t="s">
        <v>505</v>
      </c>
      <c r="AA8" s="17" t="s">
        <v>506</v>
      </c>
      <c r="AB8" s="17" t="s">
        <v>507</v>
      </c>
      <c r="AC8" s="17" t="s">
        <v>508</v>
      </c>
      <c r="AD8" s="17" t="s">
        <v>509</v>
      </c>
      <c r="AE8" s="17" t="s">
        <v>403</v>
      </c>
      <c r="AF8" s="17" t="s">
        <v>510</v>
      </c>
      <c r="AG8" s="17" t="s">
        <v>511</v>
      </c>
      <c r="AH8" s="17" t="s">
        <v>512</v>
      </c>
      <c r="AI8" s="17" t="s">
        <v>407</v>
      </c>
      <c r="AJ8" s="17" t="s">
        <v>408</v>
      </c>
      <c r="AK8" s="17" t="s">
        <v>513</v>
      </c>
      <c r="AL8" s="17" t="s">
        <v>510</v>
      </c>
      <c r="AM8" s="17" t="s">
        <v>514</v>
      </c>
    </row>
    <row r="9" spans="1:39" ht="48">
      <c r="A9" s="18" t="s">
        <v>74</v>
      </c>
      <c r="B9" s="18" t="s">
        <v>383</v>
      </c>
      <c r="C9" s="18" t="s">
        <v>384</v>
      </c>
      <c r="D9" s="18" t="s">
        <v>385</v>
      </c>
      <c r="E9" s="18" t="s">
        <v>386</v>
      </c>
      <c r="F9" s="18" t="s">
        <v>387</v>
      </c>
      <c r="G9" s="18">
        <v>100</v>
      </c>
      <c r="H9" s="18" t="s">
        <v>515</v>
      </c>
      <c r="I9" s="18" t="s">
        <v>516</v>
      </c>
      <c r="J9" s="18" t="s">
        <v>453</v>
      </c>
      <c r="K9" s="18" t="s">
        <v>517</v>
      </c>
      <c r="L9" s="18" t="s">
        <v>391</v>
      </c>
      <c r="M9" s="18" t="s">
        <v>455</v>
      </c>
      <c r="N9" s="18" t="s">
        <v>518</v>
      </c>
      <c r="O9" s="18" t="s">
        <v>519</v>
      </c>
      <c r="P9" s="18" t="s">
        <v>520</v>
      </c>
      <c r="Q9" s="18" t="s">
        <v>440</v>
      </c>
      <c r="R9" s="18"/>
      <c r="S9" s="48" t="str">
        <f>IFERROR(T(INDEX('Prospectos Resumen'!$K$9:$K$297,MATCH(A9,'Prospectos Resumen'!$A$9:$A$297,0))),"")</f>
        <v/>
      </c>
      <c r="T9" s="18"/>
      <c r="U9" s="18"/>
      <c r="V9" s="18"/>
      <c r="W9" s="18"/>
      <c r="X9" s="18" t="s">
        <v>521</v>
      </c>
      <c r="Y9" s="18" t="s">
        <v>521</v>
      </c>
      <c r="Z9" s="18" t="s">
        <v>443</v>
      </c>
      <c r="AA9" s="18" t="s">
        <v>522</v>
      </c>
      <c r="AB9" s="18" t="s">
        <v>523</v>
      </c>
      <c r="AC9" s="18" t="s">
        <v>524</v>
      </c>
      <c r="AD9" s="18" t="s">
        <v>520</v>
      </c>
      <c r="AE9" s="18" t="s">
        <v>403</v>
      </c>
      <c r="AF9" s="18" t="s">
        <v>447</v>
      </c>
      <c r="AG9" s="18" t="s">
        <v>448</v>
      </c>
      <c r="AH9" s="18" t="s">
        <v>464</v>
      </c>
      <c r="AI9" s="18" t="s">
        <v>407</v>
      </c>
      <c r="AJ9" s="18" t="s">
        <v>408</v>
      </c>
      <c r="AK9" s="18" t="s">
        <v>480</v>
      </c>
      <c r="AL9" s="18" t="s">
        <v>450</v>
      </c>
      <c r="AM9" s="18"/>
    </row>
    <row r="10" spans="1:39" ht="60">
      <c r="A10" s="17" t="s">
        <v>75</v>
      </c>
      <c r="B10" s="17" t="s">
        <v>383</v>
      </c>
      <c r="C10" s="17" t="s">
        <v>384</v>
      </c>
      <c r="D10" s="17" t="s">
        <v>385</v>
      </c>
      <c r="E10" s="17" t="s">
        <v>386</v>
      </c>
      <c r="F10" s="17" t="s">
        <v>387</v>
      </c>
      <c r="G10" s="17">
        <v>100</v>
      </c>
      <c r="H10" s="17" t="s">
        <v>525</v>
      </c>
      <c r="I10" s="17" t="s">
        <v>526</v>
      </c>
      <c r="J10" s="17" t="s">
        <v>23</v>
      </c>
      <c r="K10" s="17" t="s">
        <v>527</v>
      </c>
      <c r="L10" s="17" t="s">
        <v>391</v>
      </c>
      <c r="M10" s="17" t="s">
        <v>436</v>
      </c>
      <c r="N10" s="17" t="s">
        <v>437</v>
      </c>
      <c r="O10" s="17" t="s">
        <v>438</v>
      </c>
      <c r="P10" s="17" t="s">
        <v>528</v>
      </c>
      <c r="Q10" s="17" t="s">
        <v>440</v>
      </c>
      <c r="R10" s="17"/>
      <c r="S10" s="48" t="str">
        <f>IFERROR(T(INDEX('Prospectos Resumen'!$K$9:$K$297,MATCH(A10,'Prospectos Resumen'!$A$9:$A$297,0))),"")</f>
        <v/>
      </c>
      <c r="T10" s="17"/>
      <c r="U10" s="17"/>
      <c r="V10" s="17"/>
      <c r="W10" s="17"/>
      <c r="X10" s="17" t="s">
        <v>529</v>
      </c>
      <c r="Y10" s="17" t="s">
        <v>529</v>
      </c>
      <c r="Z10" s="17" t="s">
        <v>443</v>
      </c>
      <c r="AA10" s="17" t="s">
        <v>530</v>
      </c>
      <c r="AB10" s="17" t="s">
        <v>531</v>
      </c>
      <c r="AC10" s="17" t="s">
        <v>532</v>
      </c>
      <c r="AD10" s="17" t="s">
        <v>528</v>
      </c>
      <c r="AE10" s="17" t="s">
        <v>403</v>
      </c>
      <c r="AF10" s="17" t="s">
        <v>447</v>
      </c>
      <c r="AG10" s="17" t="s">
        <v>448</v>
      </c>
      <c r="AH10" s="17" t="s">
        <v>449</v>
      </c>
      <c r="AI10" s="17" t="s">
        <v>407</v>
      </c>
      <c r="AJ10" s="17" t="s">
        <v>408</v>
      </c>
      <c r="AK10" s="17"/>
      <c r="AL10" s="17" t="s">
        <v>450</v>
      </c>
      <c r="AM10" s="17"/>
    </row>
    <row r="11" spans="1:39" ht="48">
      <c r="A11" s="18" t="s">
        <v>76</v>
      </c>
      <c r="B11" s="18" t="s">
        <v>383</v>
      </c>
      <c r="C11" s="18" t="s">
        <v>384</v>
      </c>
      <c r="D11" s="18" t="s">
        <v>386</v>
      </c>
      <c r="E11" s="18" t="s">
        <v>386</v>
      </c>
      <c r="F11" s="18" t="s">
        <v>387</v>
      </c>
      <c r="G11" s="18">
        <v>100</v>
      </c>
      <c r="H11" s="18" t="s">
        <v>533</v>
      </c>
      <c r="I11" s="18" t="s">
        <v>534</v>
      </c>
      <c r="J11" s="18" t="s">
        <v>535</v>
      </c>
      <c r="K11" s="18" t="s">
        <v>536</v>
      </c>
      <c r="L11" s="18" t="s">
        <v>391</v>
      </c>
      <c r="M11" s="18" t="s">
        <v>537</v>
      </c>
      <c r="N11" s="18" t="s">
        <v>469</v>
      </c>
      <c r="O11" s="18" t="s">
        <v>538</v>
      </c>
      <c r="P11" s="18" t="s">
        <v>539</v>
      </c>
      <c r="Q11" s="18" t="s">
        <v>420</v>
      </c>
      <c r="R11" s="18"/>
      <c r="S11" s="48" t="str">
        <f>IFERROR(T(INDEX('Prospectos Resumen'!$K$9:$K$297,MATCH(A11,'Prospectos Resumen'!$A$9:$A$297,0))),"")</f>
        <v>MATI MENGO</v>
      </c>
      <c r="T11" s="18"/>
      <c r="U11" s="18"/>
      <c r="V11" s="18"/>
      <c r="W11" s="18"/>
      <c r="X11" s="18" t="s">
        <v>540</v>
      </c>
      <c r="Y11" s="18" t="s">
        <v>541</v>
      </c>
      <c r="Z11" s="18" t="s">
        <v>423</v>
      </c>
      <c r="AA11" s="18" t="s">
        <v>542</v>
      </c>
      <c r="AB11" s="18" t="s">
        <v>543</v>
      </c>
      <c r="AC11" s="18"/>
      <c r="AD11" s="18" t="s">
        <v>426</v>
      </c>
      <c r="AE11" s="18" t="s">
        <v>403</v>
      </c>
      <c r="AF11" s="18" t="s">
        <v>427</v>
      </c>
      <c r="AG11" s="18" t="s">
        <v>544</v>
      </c>
      <c r="AH11" s="18" t="s">
        <v>464</v>
      </c>
      <c r="AI11" s="18" t="s">
        <v>407</v>
      </c>
      <c r="AJ11" s="18" t="s">
        <v>408</v>
      </c>
      <c r="AK11" s="18"/>
      <c r="AL11" s="18" t="s">
        <v>431</v>
      </c>
      <c r="AM11" s="18" t="s">
        <v>432</v>
      </c>
    </row>
    <row r="12" spans="1:39" ht="24">
      <c r="A12" s="17" t="s">
        <v>77</v>
      </c>
      <c r="B12" s="17" t="s">
        <v>383</v>
      </c>
      <c r="C12" s="17" t="s">
        <v>384</v>
      </c>
      <c r="D12" s="17" t="s">
        <v>386</v>
      </c>
      <c r="E12" s="17" t="s">
        <v>386</v>
      </c>
      <c r="F12" s="17" t="s">
        <v>387</v>
      </c>
      <c r="G12" s="17">
        <v>100</v>
      </c>
      <c r="H12" s="17" t="s">
        <v>545</v>
      </c>
      <c r="I12" s="17" t="s">
        <v>546</v>
      </c>
      <c r="J12" s="17" t="s">
        <v>484</v>
      </c>
      <c r="K12" s="17" t="s">
        <v>547</v>
      </c>
      <c r="L12" s="17" t="s">
        <v>391</v>
      </c>
      <c r="M12" s="17" t="s">
        <v>548</v>
      </c>
      <c r="N12" s="17" t="s">
        <v>487</v>
      </c>
      <c r="O12" s="17" t="s">
        <v>549</v>
      </c>
      <c r="P12" s="17" t="s">
        <v>550</v>
      </c>
      <c r="Q12" s="17" t="s">
        <v>420</v>
      </c>
      <c r="R12" s="17"/>
      <c r="S12" s="48" t="str">
        <f>IFERROR(T(INDEX('Prospectos Resumen'!$K$9:$K$297,MATCH(A12,'Prospectos Resumen'!$A$9:$A$297,0))),"")</f>
        <v/>
      </c>
      <c r="T12" s="17"/>
      <c r="U12" s="17"/>
      <c r="V12" s="17"/>
      <c r="W12" s="17"/>
      <c r="X12" s="17" t="s">
        <v>551</v>
      </c>
      <c r="Y12" s="17" t="s">
        <v>551</v>
      </c>
      <c r="Z12" s="17" t="s">
        <v>423</v>
      </c>
      <c r="AA12" s="17" t="s">
        <v>552</v>
      </c>
      <c r="AB12" s="17" t="s">
        <v>553</v>
      </c>
      <c r="AC12" s="17"/>
      <c r="AD12" s="17" t="s">
        <v>426</v>
      </c>
      <c r="AE12" s="17" t="s">
        <v>403</v>
      </c>
      <c r="AF12" s="17" t="s">
        <v>427</v>
      </c>
      <c r="AG12" s="17" t="s">
        <v>428</v>
      </c>
      <c r="AH12" s="17" t="s">
        <v>464</v>
      </c>
      <c r="AI12" s="17" t="s">
        <v>407</v>
      </c>
      <c r="AJ12" s="17" t="s">
        <v>408</v>
      </c>
      <c r="AK12" s="17"/>
      <c r="AL12" s="17" t="s">
        <v>431</v>
      </c>
      <c r="AM12" s="17" t="s">
        <v>432</v>
      </c>
    </row>
    <row r="13" spans="1:39" ht="60">
      <c r="A13" s="18" t="s">
        <v>78</v>
      </c>
      <c r="B13" s="18" t="s">
        <v>383</v>
      </c>
      <c r="C13" s="18" t="s">
        <v>384</v>
      </c>
      <c r="D13" s="18" t="s">
        <v>385</v>
      </c>
      <c r="E13" s="18" t="s">
        <v>386</v>
      </c>
      <c r="F13" s="18" t="s">
        <v>387</v>
      </c>
      <c r="G13" s="18">
        <v>96</v>
      </c>
      <c r="H13" s="18" t="s">
        <v>554</v>
      </c>
      <c r="I13" s="18" t="s">
        <v>555</v>
      </c>
      <c r="J13" s="18" t="s">
        <v>414</v>
      </c>
      <c r="K13" s="18" t="s">
        <v>556</v>
      </c>
      <c r="L13" s="18" t="s">
        <v>557</v>
      </c>
      <c r="M13" s="18" t="s">
        <v>558</v>
      </c>
      <c r="N13" s="18" t="s">
        <v>559</v>
      </c>
      <c r="O13" s="18" t="s">
        <v>560</v>
      </c>
      <c r="P13" s="18" t="s">
        <v>561</v>
      </c>
      <c r="Q13" s="18" t="s">
        <v>440</v>
      </c>
      <c r="R13" s="18"/>
      <c r="S13" s="48" t="str">
        <f>IFERROR(T(INDEX('Prospectos Resumen'!$K$9:$K$297,MATCH(A13,'Prospectos Resumen'!$A$9:$A$297,0))),"")</f>
        <v/>
      </c>
      <c r="T13" s="18"/>
      <c r="U13" s="18"/>
      <c r="V13" s="18"/>
      <c r="W13" s="18"/>
      <c r="X13" s="18" t="s">
        <v>562</v>
      </c>
      <c r="Y13" s="18" t="s">
        <v>562</v>
      </c>
      <c r="Z13" s="18" t="s">
        <v>443</v>
      </c>
      <c r="AA13" s="18" t="s">
        <v>563</v>
      </c>
      <c r="AB13" s="18" t="s">
        <v>553</v>
      </c>
      <c r="AC13" s="18" t="s">
        <v>564</v>
      </c>
      <c r="AD13" s="18" t="s">
        <v>565</v>
      </c>
      <c r="AE13" s="18" t="s">
        <v>566</v>
      </c>
      <c r="AF13" s="18" t="s">
        <v>447</v>
      </c>
      <c r="AG13" s="18" t="s">
        <v>428</v>
      </c>
      <c r="AH13" s="18" t="s">
        <v>429</v>
      </c>
      <c r="AI13" s="18" t="s">
        <v>407</v>
      </c>
      <c r="AJ13" s="18" t="s">
        <v>403</v>
      </c>
      <c r="AK13" s="18" t="s">
        <v>430</v>
      </c>
      <c r="AL13" s="18" t="s">
        <v>431</v>
      </c>
      <c r="AM13" s="18" t="s">
        <v>567</v>
      </c>
    </row>
    <row r="14" spans="1:39" ht="60">
      <c r="A14" s="17" t="s">
        <v>79</v>
      </c>
      <c r="B14" s="17" t="s">
        <v>383</v>
      </c>
      <c r="C14" s="17" t="s">
        <v>384</v>
      </c>
      <c r="D14" s="17" t="s">
        <v>385</v>
      </c>
      <c r="E14" s="17" t="s">
        <v>386</v>
      </c>
      <c r="F14" s="17" t="s">
        <v>387</v>
      </c>
      <c r="G14" s="17">
        <v>95</v>
      </c>
      <c r="H14" s="17" t="s">
        <v>568</v>
      </c>
      <c r="I14" s="17" t="s">
        <v>569</v>
      </c>
      <c r="J14" s="17" t="s">
        <v>23</v>
      </c>
      <c r="K14" s="17" t="s">
        <v>570</v>
      </c>
      <c r="L14" s="17" t="s">
        <v>391</v>
      </c>
      <c r="M14" s="17" t="s">
        <v>392</v>
      </c>
      <c r="N14" s="17" t="s">
        <v>571</v>
      </c>
      <c r="O14" s="17" t="s">
        <v>572</v>
      </c>
      <c r="P14" s="17" t="s">
        <v>573</v>
      </c>
      <c r="Q14" s="17" t="s">
        <v>396</v>
      </c>
      <c r="R14" s="17"/>
      <c r="S14" s="48" t="str">
        <f>IFERROR(T(INDEX('Prospectos Resumen'!$K$9:$K$297,MATCH(A14,'Prospectos Resumen'!$A$9:$A$297,0))),"")</f>
        <v/>
      </c>
      <c r="T14" s="17"/>
      <c r="U14" s="17"/>
      <c r="V14" s="17"/>
      <c r="W14" s="17"/>
      <c r="X14" s="17" t="s">
        <v>574</v>
      </c>
      <c r="Y14" s="17" t="s">
        <v>574</v>
      </c>
      <c r="Z14" s="17" t="s">
        <v>398</v>
      </c>
      <c r="AA14" s="17" t="s">
        <v>575</v>
      </c>
      <c r="AB14" s="17" t="s">
        <v>576</v>
      </c>
      <c r="AC14" s="17" t="s">
        <v>577</v>
      </c>
      <c r="AD14" s="17" t="s">
        <v>578</v>
      </c>
      <c r="AE14" s="17" t="s">
        <v>403</v>
      </c>
      <c r="AF14" s="17" t="s">
        <v>404</v>
      </c>
      <c r="AG14" s="17" t="s">
        <v>405</v>
      </c>
      <c r="AH14" s="17" t="s">
        <v>406</v>
      </c>
      <c r="AI14" s="17" t="s">
        <v>407</v>
      </c>
      <c r="AJ14" s="17" t="s">
        <v>408</v>
      </c>
      <c r="AK14" s="17" t="s">
        <v>409</v>
      </c>
      <c r="AL14" s="17" t="s">
        <v>410</v>
      </c>
      <c r="AM14" s="17" t="s">
        <v>411</v>
      </c>
    </row>
    <row r="15" spans="1:39" ht="48">
      <c r="A15" s="18" t="s">
        <v>80</v>
      </c>
      <c r="B15" s="18" t="s">
        <v>383</v>
      </c>
      <c r="C15" s="18" t="s">
        <v>384</v>
      </c>
      <c r="D15" s="18" t="s">
        <v>385</v>
      </c>
      <c r="E15" s="18" t="s">
        <v>386</v>
      </c>
      <c r="F15" s="18" t="s">
        <v>387</v>
      </c>
      <c r="G15" s="18">
        <v>95</v>
      </c>
      <c r="H15" s="18" t="s">
        <v>579</v>
      </c>
      <c r="I15" s="18" t="s">
        <v>580</v>
      </c>
      <c r="J15" s="18" t="s">
        <v>23</v>
      </c>
      <c r="K15" s="18" t="s">
        <v>581</v>
      </c>
      <c r="L15" s="18" t="s">
        <v>391</v>
      </c>
      <c r="M15" s="18" t="s">
        <v>392</v>
      </c>
      <c r="N15" s="18" t="s">
        <v>571</v>
      </c>
      <c r="O15" s="18" t="s">
        <v>572</v>
      </c>
      <c r="P15" s="18" t="s">
        <v>573</v>
      </c>
      <c r="Q15" s="18" t="s">
        <v>396</v>
      </c>
      <c r="R15" s="18"/>
      <c r="S15" s="48" t="str">
        <f>IFERROR(T(INDEX('Prospectos Resumen'!$K$9:$K$297,MATCH(A15,'Prospectos Resumen'!$A$9:$A$297,0))),"")</f>
        <v>GASPAR LOPEZ</v>
      </c>
      <c r="T15" s="18"/>
      <c r="U15" s="18"/>
      <c r="V15" s="18"/>
      <c r="W15" s="18"/>
      <c r="X15" s="18" t="s">
        <v>582</v>
      </c>
      <c r="Y15" s="18" t="s">
        <v>582</v>
      </c>
      <c r="Z15" s="18" t="s">
        <v>398</v>
      </c>
      <c r="AA15" s="18" t="s">
        <v>583</v>
      </c>
      <c r="AB15" s="18" t="s">
        <v>584</v>
      </c>
      <c r="AC15" s="18" t="s">
        <v>585</v>
      </c>
      <c r="AD15" s="18" t="s">
        <v>586</v>
      </c>
      <c r="AE15" s="18" t="s">
        <v>403</v>
      </c>
      <c r="AF15" s="18" t="s">
        <v>404</v>
      </c>
      <c r="AG15" s="18" t="s">
        <v>405</v>
      </c>
      <c r="AH15" s="18" t="s">
        <v>406</v>
      </c>
      <c r="AI15" s="18" t="s">
        <v>407</v>
      </c>
      <c r="AJ15" s="18" t="s">
        <v>408</v>
      </c>
      <c r="AK15" s="18" t="s">
        <v>409</v>
      </c>
      <c r="AL15" s="18" t="s">
        <v>410</v>
      </c>
      <c r="AM15" s="18" t="s">
        <v>411</v>
      </c>
    </row>
    <row r="16" spans="1:39" ht="48">
      <c r="A16" s="17" t="s">
        <v>81</v>
      </c>
      <c r="B16" s="17" t="s">
        <v>383</v>
      </c>
      <c r="C16" s="17" t="s">
        <v>384</v>
      </c>
      <c r="D16" s="17" t="s">
        <v>385</v>
      </c>
      <c r="E16" s="17" t="s">
        <v>386</v>
      </c>
      <c r="F16" s="17" t="s">
        <v>387</v>
      </c>
      <c r="G16" s="17">
        <v>95</v>
      </c>
      <c r="H16" s="17" t="s">
        <v>587</v>
      </c>
      <c r="I16" s="17" t="s">
        <v>588</v>
      </c>
      <c r="J16" s="17" t="s">
        <v>23</v>
      </c>
      <c r="K16" s="17" t="s">
        <v>589</v>
      </c>
      <c r="L16" s="17" t="s">
        <v>391</v>
      </c>
      <c r="M16" s="17" t="s">
        <v>392</v>
      </c>
      <c r="N16" s="17" t="s">
        <v>571</v>
      </c>
      <c r="O16" s="17" t="s">
        <v>572</v>
      </c>
      <c r="P16" s="17" t="s">
        <v>573</v>
      </c>
      <c r="Q16" s="17" t="s">
        <v>396</v>
      </c>
      <c r="R16" s="17"/>
      <c r="S16" s="48" t="str">
        <f>IFERROR(T(INDEX('Prospectos Resumen'!$K$9:$K$297,MATCH(A16,'Prospectos Resumen'!$A$9:$A$297,0))),"")</f>
        <v/>
      </c>
      <c r="T16" s="17"/>
      <c r="U16" s="17"/>
      <c r="V16" s="17"/>
      <c r="W16" s="17"/>
      <c r="X16" s="17" t="s">
        <v>590</v>
      </c>
      <c r="Y16" s="17" t="s">
        <v>590</v>
      </c>
      <c r="Z16" s="17" t="s">
        <v>398</v>
      </c>
      <c r="AA16" s="17" t="s">
        <v>591</v>
      </c>
      <c r="AB16" s="17" t="s">
        <v>592</v>
      </c>
      <c r="AC16" s="17" t="s">
        <v>593</v>
      </c>
      <c r="AD16" s="17" t="s">
        <v>594</v>
      </c>
      <c r="AE16" s="17" t="s">
        <v>403</v>
      </c>
      <c r="AF16" s="17" t="s">
        <v>404</v>
      </c>
      <c r="AG16" s="17" t="s">
        <v>405</v>
      </c>
      <c r="AH16" s="17" t="s">
        <v>406</v>
      </c>
      <c r="AI16" s="17" t="s">
        <v>407</v>
      </c>
      <c r="AJ16" s="17" t="s">
        <v>408</v>
      </c>
      <c r="AK16" s="17" t="s">
        <v>409</v>
      </c>
      <c r="AL16" s="17" t="s">
        <v>410</v>
      </c>
      <c r="AM16" s="17" t="s">
        <v>411</v>
      </c>
    </row>
    <row r="17" spans="1:39" ht="60">
      <c r="A17" s="18" t="s">
        <v>82</v>
      </c>
      <c r="B17" s="18" t="s">
        <v>383</v>
      </c>
      <c r="C17" s="18" t="s">
        <v>384</v>
      </c>
      <c r="D17" s="18" t="s">
        <v>385</v>
      </c>
      <c r="E17" s="18" t="s">
        <v>386</v>
      </c>
      <c r="F17" s="18" t="s">
        <v>387</v>
      </c>
      <c r="G17" s="18">
        <v>90</v>
      </c>
      <c r="H17" s="18" t="s">
        <v>595</v>
      </c>
      <c r="I17" s="18" t="s">
        <v>596</v>
      </c>
      <c r="J17" s="18" t="s">
        <v>23</v>
      </c>
      <c r="K17" s="18" t="s">
        <v>597</v>
      </c>
      <c r="L17" s="18" t="s">
        <v>391</v>
      </c>
      <c r="M17" s="18" t="s">
        <v>392</v>
      </c>
      <c r="N17" s="18" t="s">
        <v>571</v>
      </c>
      <c r="O17" s="18" t="s">
        <v>572</v>
      </c>
      <c r="P17" s="18" t="s">
        <v>573</v>
      </c>
      <c r="Q17" s="18" t="s">
        <v>396</v>
      </c>
      <c r="R17" s="18"/>
      <c r="S17" s="48" t="str">
        <f>IFERROR(T(INDEX('Prospectos Resumen'!$K$9:$K$297,MATCH(A17,'Prospectos Resumen'!$A$9:$A$297,0))),"")</f>
        <v>VISTOR SEIA (HERNANDO)
WALTER PAYOLA (RIO 3)</v>
      </c>
      <c r="T17" s="18"/>
      <c r="U17" s="18"/>
      <c r="V17" s="18"/>
      <c r="W17" s="18"/>
      <c r="X17" s="18" t="s">
        <v>598</v>
      </c>
      <c r="Y17" s="18" t="s">
        <v>598</v>
      </c>
      <c r="Z17" s="18" t="s">
        <v>398</v>
      </c>
      <c r="AA17" s="18" t="s">
        <v>599</v>
      </c>
      <c r="AB17" s="18" t="s">
        <v>600</v>
      </c>
      <c r="AC17" s="18" t="s">
        <v>601</v>
      </c>
      <c r="AD17" s="18" t="s">
        <v>602</v>
      </c>
      <c r="AE17" s="18" t="s">
        <v>403</v>
      </c>
      <c r="AF17" s="18" t="s">
        <v>404</v>
      </c>
      <c r="AG17" s="18" t="s">
        <v>405</v>
      </c>
      <c r="AH17" s="18" t="s">
        <v>406</v>
      </c>
      <c r="AI17" s="18" t="s">
        <v>407</v>
      </c>
      <c r="AJ17" s="18" t="s">
        <v>408</v>
      </c>
      <c r="AK17" s="18" t="s">
        <v>409</v>
      </c>
      <c r="AL17" s="18" t="s">
        <v>410</v>
      </c>
      <c r="AM17" s="18" t="s">
        <v>411</v>
      </c>
    </row>
    <row r="18" spans="1:39" ht="48">
      <c r="A18" s="17" t="s">
        <v>83</v>
      </c>
      <c r="B18" s="17" t="s">
        <v>383</v>
      </c>
      <c r="C18" s="17" t="s">
        <v>384</v>
      </c>
      <c r="D18" s="17" t="s">
        <v>495</v>
      </c>
      <c r="E18" s="17" t="s">
        <v>386</v>
      </c>
      <c r="F18" s="17" t="s">
        <v>387</v>
      </c>
      <c r="G18" s="17">
        <v>88</v>
      </c>
      <c r="H18" s="17" t="s">
        <v>603</v>
      </c>
      <c r="I18" s="17" t="s">
        <v>604</v>
      </c>
      <c r="J18" s="17" t="s">
        <v>23</v>
      </c>
      <c r="K18" s="17" t="s">
        <v>605</v>
      </c>
      <c r="L18" s="17" t="s">
        <v>391</v>
      </c>
      <c r="M18" s="17" t="s">
        <v>499</v>
      </c>
      <c r="N18" s="17" t="s">
        <v>500</v>
      </c>
      <c r="O18" s="17" t="s">
        <v>501</v>
      </c>
      <c r="P18" s="17" t="s">
        <v>502</v>
      </c>
      <c r="Q18" s="17" t="s">
        <v>503</v>
      </c>
      <c r="R18" s="17"/>
      <c r="S18" s="48" t="str">
        <f>IFERROR(T(INDEX('Prospectos Resumen'!$K$9:$K$297,MATCH(A18,'Prospectos Resumen'!$A$9:$A$297,0))),"")</f>
        <v/>
      </c>
      <c r="T18" s="17"/>
      <c r="U18" s="17"/>
      <c r="V18" s="17"/>
      <c r="W18" s="17"/>
      <c r="X18" s="17" t="s">
        <v>606</v>
      </c>
      <c r="Y18" s="17" t="s">
        <v>606</v>
      </c>
      <c r="Z18" s="17" t="s">
        <v>505</v>
      </c>
      <c r="AA18" s="17" t="s">
        <v>607</v>
      </c>
      <c r="AB18" s="17" t="s">
        <v>608</v>
      </c>
      <c r="AC18" s="17" t="s">
        <v>609</v>
      </c>
      <c r="AD18" s="17" t="s">
        <v>610</v>
      </c>
      <c r="AE18" s="17" t="s">
        <v>403</v>
      </c>
      <c r="AF18" s="17" t="s">
        <v>510</v>
      </c>
      <c r="AG18" s="17" t="s">
        <v>511</v>
      </c>
      <c r="AH18" s="17" t="s">
        <v>512</v>
      </c>
      <c r="AI18" s="17" t="s">
        <v>407</v>
      </c>
      <c r="AJ18" s="17" t="s">
        <v>403</v>
      </c>
      <c r="AK18" s="17" t="s">
        <v>513</v>
      </c>
      <c r="AL18" s="17" t="s">
        <v>510</v>
      </c>
      <c r="AM18" s="17" t="s">
        <v>514</v>
      </c>
    </row>
    <row r="19" spans="1:39" ht="48">
      <c r="A19" s="18" t="s">
        <v>84</v>
      </c>
      <c r="B19" s="18" t="s">
        <v>383</v>
      </c>
      <c r="C19" s="18" t="s">
        <v>384</v>
      </c>
      <c r="D19" s="18" t="s">
        <v>385</v>
      </c>
      <c r="E19" s="18" t="s">
        <v>386</v>
      </c>
      <c r="F19" s="18" t="s">
        <v>387</v>
      </c>
      <c r="G19" s="18">
        <v>85</v>
      </c>
      <c r="H19" s="18" t="s">
        <v>611</v>
      </c>
      <c r="I19" s="18" t="s">
        <v>612</v>
      </c>
      <c r="J19" s="18" t="s">
        <v>484</v>
      </c>
      <c r="K19" s="18" t="s">
        <v>613</v>
      </c>
      <c r="L19" s="18" t="s">
        <v>613</v>
      </c>
      <c r="M19" s="18" t="s">
        <v>614</v>
      </c>
      <c r="N19" s="18" t="s">
        <v>615</v>
      </c>
      <c r="O19" s="18" t="s">
        <v>616</v>
      </c>
      <c r="P19" s="18" t="s">
        <v>617</v>
      </c>
      <c r="Q19" s="18" t="s">
        <v>440</v>
      </c>
      <c r="R19" s="18"/>
      <c r="S19" s="48" t="str">
        <f>IFERROR(T(INDEX('Prospectos Resumen'!$K$9:$K$297,MATCH(A19,'Prospectos Resumen'!$A$9:$A$297,0))),"")</f>
        <v/>
      </c>
      <c r="T19" s="18"/>
      <c r="U19" s="18"/>
      <c r="V19" s="18"/>
      <c r="W19" s="18"/>
      <c r="X19" s="18"/>
      <c r="Y19" s="18"/>
      <c r="Z19" s="18" t="s">
        <v>443</v>
      </c>
      <c r="AA19" s="18" t="s">
        <v>618</v>
      </c>
      <c r="AB19" s="18" t="s">
        <v>531</v>
      </c>
      <c r="AC19" s="18" t="s">
        <v>619</v>
      </c>
      <c r="AD19" s="18" t="s">
        <v>617</v>
      </c>
      <c r="AE19" s="18" t="s">
        <v>566</v>
      </c>
      <c r="AF19" s="18" t="s">
        <v>447</v>
      </c>
      <c r="AG19" s="18" t="s">
        <v>428</v>
      </c>
      <c r="AH19" s="18" t="s">
        <v>429</v>
      </c>
      <c r="AI19" s="18" t="s">
        <v>407</v>
      </c>
      <c r="AJ19" s="18" t="s">
        <v>403</v>
      </c>
      <c r="AK19" s="18"/>
      <c r="AL19" s="18" t="s">
        <v>450</v>
      </c>
      <c r="AM19" s="18" t="s">
        <v>620</v>
      </c>
    </row>
    <row r="20" spans="1:39" ht="60">
      <c r="A20" s="17" t="s">
        <v>85</v>
      </c>
      <c r="B20" s="17" t="s">
        <v>383</v>
      </c>
      <c r="C20" s="17" t="s">
        <v>384</v>
      </c>
      <c r="D20" s="17" t="s">
        <v>385</v>
      </c>
      <c r="E20" s="17" t="s">
        <v>386</v>
      </c>
      <c r="F20" s="17" t="s">
        <v>387</v>
      </c>
      <c r="G20" s="17">
        <v>85</v>
      </c>
      <c r="H20" s="17" t="s">
        <v>621</v>
      </c>
      <c r="I20" s="17" t="s">
        <v>622</v>
      </c>
      <c r="J20" s="17" t="s">
        <v>23</v>
      </c>
      <c r="K20" s="17" t="s">
        <v>623</v>
      </c>
      <c r="L20" s="17" t="s">
        <v>391</v>
      </c>
      <c r="M20" s="17" t="s">
        <v>624</v>
      </c>
      <c r="N20" s="17" t="s">
        <v>625</v>
      </c>
      <c r="O20" s="17" t="s">
        <v>626</v>
      </c>
      <c r="P20" s="17" t="s">
        <v>627</v>
      </c>
      <c r="Q20" s="17" t="s">
        <v>440</v>
      </c>
      <c r="R20" s="17"/>
      <c r="S20" s="48" t="str">
        <f>IFERROR(T(INDEX('Prospectos Resumen'!$K$9:$K$297,MATCH(A20,'Prospectos Resumen'!$A$9:$A$297,0))),"")</f>
        <v/>
      </c>
      <c r="T20" s="17"/>
      <c r="U20" s="17"/>
      <c r="V20" s="17"/>
      <c r="W20" s="17"/>
      <c r="X20" s="17" t="s">
        <v>628</v>
      </c>
      <c r="Y20" s="17" t="s">
        <v>628</v>
      </c>
      <c r="Z20" s="17" t="s">
        <v>443</v>
      </c>
      <c r="AA20" s="17" t="s">
        <v>629</v>
      </c>
      <c r="AB20" s="17" t="s">
        <v>531</v>
      </c>
      <c r="AC20" s="17" t="s">
        <v>630</v>
      </c>
      <c r="AD20" s="17" t="s">
        <v>627</v>
      </c>
      <c r="AE20" s="17" t="s">
        <v>403</v>
      </c>
      <c r="AF20" s="17" t="s">
        <v>447</v>
      </c>
      <c r="AG20" s="17" t="s">
        <v>463</v>
      </c>
      <c r="AH20" s="17" t="s">
        <v>449</v>
      </c>
      <c r="AI20" s="17" t="s">
        <v>407</v>
      </c>
      <c r="AJ20" s="17" t="s">
        <v>408</v>
      </c>
      <c r="AK20" s="17"/>
      <c r="AL20" s="17" t="s">
        <v>450</v>
      </c>
      <c r="AM20" s="17" t="s">
        <v>631</v>
      </c>
    </row>
    <row r="21" spans="1:39" ht="48">
      <c r="A21" s="18" t="s">
        <v>86</v>
      </c>
      <c r="B21" s="18" t="s">
        <v>383</v>
      </c>
      <c r="C21" s="18" t="s">
        <v>384</v>
      </c>
      <c r="D21" s="18" t="s">
        <v>385</v>
      </c>
      <c r="E21" s="18" t="s">
        <v>386</v>
      </c>
      <c r="F21" s="18" t="s">
        <v>387</v>
      </c>
      <c r="G21" s="18">
        <v>85</v>
      </c>
      <c r="H21" s="18" t="s">
        <v>632</v>
      </c>
      <c r="I21" s="18" t="s">
        <v>633</v>
      </c>
      <c r="J21" s="18" t="s">
        <v>23</v>
      </c>
      <c r="K21" s="18" t="s">
        <v>634</v>
      </c>
      <c r="L21" s="18" t="s">
        <v>391</v>
      </c>
      <c r="M21" s="18" t="s">
        <v>624</v>
      </c>
      <c r="N21" s="18" t="s">
        <v>625</v>
      </c>
      <c r="O21" s="18" t="s">
        <v>626</v>
      </c>
      <c r="P21" s="18" t="s">
        <v>635</v>
      </c>
      <c r="Q21" s="18" t="s">
        <v>440</v>
      </c>
      <c r="R21" s="18"/>
      <c r="S21" s="48" t="str">
        <f>IFERROR(T(INDEX('Prospectos Resumen'!$K$9:$K$297,MATCH(A21,'Prospectos Resumen'!$A$9:$A$297,0))),"")</f>
        <v>RAUL ARUTA</v>
      </c>
      <c r="T21" s="18"/>
      <c r="U21" s="18"/>
      <c r="V21" s="18"/>
      <c r="W21" s="18"/>
      <c r="X21" s="18" t="s">
        <v>636</v>
      </c>
      <c r="Y21" s="18" t="s">
        <v>636</v>
      </c>
      <c r="Z21" s="18" t="s">
        <v>443</v>
      </c>
      <c r="AA21" s="18" t="s">
        <v>637</v>
      </c>
      <c r="AB21" s="18" t="s">
        <v>531</v>
      </c>
      <c r="AC21" s="18" t="s">
        <v>637</v>
      </c>
      <c r="AD21" s="18" t="s">
        <v>635</v>
      </c>
      <c r="AE21" s="18" t="s">
        <v>403</v>
      </c>
      <c r="AF21" s="18" t="s">
        <v>447</v>
      </c>
      <c r="AG21" s="18" t="s">
        <v>463</v>
      </c>
      <c r="AH21" s="18" t="s">
        <v>449</v>
      </c>
      <c r="AI21" s="18" t="s">
        <v>407</v>
      </c>
      <c r="AJ21" s="18" t="s">
        <v>408</v>
      </c>
      <c r="AK21" s="18"/>
      <c r="AL21" s="18" t="s">
        <v>450</v>
      </c>
      <c r="AM21" s="18" t="s">
        <v>638</v>
      </c>
    </row>
    <row r="22" spans="1:39" ht="48">
      <c r="A22" s="17" t="s">
        <v>87</v>
      </c>
      <c r="B22" s="17" t="s">
        <v>383</v>
      </c>
      <c r="C22" s="17" t="s">
        <v>384</v>
      </c>
      <c r="D22" s="17" t="s">
        <v>385</v>
      </c>
      <c r="E22" s="17" t="s">
        <v>386</v>
      </c>
      <c r="F22" s="17" t="s">
        <v>387</v>
      </c>
      <c r="G22" s="17">
        <v>85</v>
      </c>
      <c r="H22" s="17" t="s">
        <v>639</v>
      </c>
      <c r="I22" s="17" t="s">
        <v>640</v>
      </c>
      <c r="J22" s="17" t="s">
        <v>453</v>
      </c>
      <c r="K22" s="17" t="s">
        <v>613</v>
      </c>
      <c r="L22" s="17" t="s">
        <v>613</v>
      </c>
      <c r="M22" s="17" t="s">
        <v>455</v>
      </c>
      <c r="N22" s="17" t="s">
        <v>518</v>
      </c>
      <c r="O22" s="17" t="s">
        <v>519</v>
      </c>
      <c r="P22" s="17" t="s">
        <v>641</v>
      </c>
      <c r="Q22" s="17" t="s">
        <v>440</v>
      </c>
      <c r="R22" s="17"/>
      <c r="S22" s="48" t="str">
        <f>IFERROR(T(INDEX('Prospectos Resumen'!$K$9:$K$297,MATCH(A22,'Prospectos Resumen'!$A$9:$A$297,0))),"")</f>
        <v>PABLO PONCETI</v>
      </c>
      <c r="T22" s="17"/>
      <c r="U22" s="17"/>
      <c r="V22" s="17"/>
      <c r="W22" s="17"/>
      <c r="X22" s="17"/>
      <c r="Y22" s="17"/>
      <c r="Z22" s="17" t="s">
        <v>443</v>
      </c>
      <c r="AA22" s="17" t="s">
        <v>642</v>
      </c>
      <c r="AB22" s="17" t="s">
        <v>531</v>
      </c>
      <c r="AC22" s="17" t="s">
        <v>642</v>
      </c>
      <c r="AD22" s="17" t="s">
        <v>641</v>
      </c>
      <c r="AE22" s="17" t="s">
        <v>566</v>
      </c>
      <c r="AF22" s="17" t="s">
        <v>447</v>
      </c>
      <c r="AG22" s="17" t="s">
        <v>448</v>
      </c>
      <c r="AH22" s="17" t="s">
        <v>464</v>
      </c>
      <c r="AI22" s="17" t="s">
        <v>407</v>
      </c>
      <c r="AJ22" s="17" t="s">
        <v>403</v>
      </c>
      <c r="AK22" s="17"/>
      <c r="AL22" s="17" t="s">
        <v>450</v>
      </c>
      <c r="AM22" s="17" t="s">
        <v>643</v>
      </c>
    </row>
    <row r="23" spans="1:39" ht="48">
      <c r="A23" s="18" t="s">
        <v>88</v>
      </c>
      <c r="B23" s="18" t="s">
        <v>383</v>
      </c>
      <c r="C23" s="18" t="s">
        <v>384</v>
      </c>
      <c r="D23" s="18" t="s">
        <v>385</v>
      </c>
      <c r="E23" s="18" t="s">
        <v>386</v>
      </c>
      <c r="F23" s="18" t="s">
        <v>387</v>
      </c>
      <c r="G23" s="18">
        <v>85</v>
      </c>
      <c r="H23" s="18" t="s">
        <v>644</v>
      </c>
      <c r="I23" s="18" t="s">
        <v>645</v>
      </c>
      <c r="J23" s="18" t="s">
        <v>23</v>
      </c>
      <c r="K23" s="18" t="s">
        <v>646</v>
      </c>
      <c r="L23" s="18" t="s">
        <v>391</v>
      </c>
      <c r="M23" s="18" t="s">
        <v>436</v>
      </c>
      <c r="N23" s="18" t="s">
        <v>437</v>
      </c>
      <c r="O23" s="18" t="s">
        <v>438</v>
      </c>
      <c r="P23" s="18" t="s">
        <v>647</v>
      </c>
      <c r="Q23" s="18" t="s">
        <v>440</v>
      </c>
      <c r="R23" s="18"/>
      <c r="S23" s="48" t="str">
        <f>IFERROR(T(INDEX('Prospectos Resumen'!$K$9:$K$297,MATCH(A23,'Prospectos Resumen'!$A$9:$A$297,0))),"")</f>
        <v/>
      </c>
      <c r="T23" s="18"/>
      <c r="U23" s="18"/>
      <c r="V23" s="18"/>
      <c r="W23" s="18"/>
      <c r="X23" s="18" t="s">
        <v>648</v>
      </c>
      <c r="Y23" s="18" t="s">
        <v>648</v>
      </c>
      <c r="Z23" s="18" t="s">
        <v>443</v>
      </c>
      <c r="AA23" s="18" t="s">
        <v>649</v>
      </c>
      <c r="AB23" s="18" t="s">
        <v>650</v>
      </c>
      <c r="AC23" s="18" t="s">
        <v>651</v>
      </c>
      <c r="AD23" s="18" t="s">
        <v>647</v>
      </c>
      <c r="AE23" s="18" t="s">
        <v>403</v>
      </c>
      <c r="AF23" s="18" t="s">
        <v>447</v>
      </c>
      <c r="AG23" s="18" t="s">
        <v>448</v>
      </c>
      <c r="AH23" s="18" t="s">
        <v>464</v>
      </c>
      <c r="AI23" s="18" t="s">
        <v>407</v>
      </c>
      <c r="AJ23" s="18" t="s">
        <v>408</v>
      </c>
      <c r="AK23" s="18" t="s">
        <v>480</v>
      </c>
      <c r="AL23" s="18" t="s">
        <v>450</v>
      </c>
      <c r="AM23" s="18" t="s">
        <v>652</v>
      </c>
    </row>
    <row r="24" spans="1:39" ht="24">
      <c r="A24" s="17" t="s">
        <v>89</v>
      </c>
      <c r="B24" s="17" t="s">
        <v>383</v>
      </c>
      <c r="C24" s="17" t="s">
        <v>384</v>
      </c>
      <c r="D24" s="17" t="s">
        <v>386</v>
      </c>
      <c r="E24" s="17" t="s">
        <v>386</v>
      </c>
      <c r="F24" s="17" t="s">
        <v>387</v>
      </c>
      <c r="G24" s="17">
        <v>85</v>
      </c>
      <c r="H24" s="17" t="s">
        <v>653</v>
      </c>
      <c r="I24" s="17" t="s">
        <v>654</v>
      </c>
      <c r="J24" s="17" t="s">
        <v>655</v>
      </c>
      <c r="K24" s="17" t="s">
        <v>656</v>
      </c>
      <c r="L24" s="17" t="s">
        <v>557</v>
      </c>
      <c r="M24" s="17" t="s">
        <v>548</v>
      </c>
      <c r="N24" s="17" t="s">
        <v>657</v>
      </c>
      <c r="O24" s="17" t="s">
        <v>549</v>
      </c>
      <c r="P24" s="17" t="s">
        <v>658</v>
      </c>
      <c r="Q24" s="17" t="s">
        <v>420</v>
      </c>
      <c r="R24" s="17"/>
      <c r="S24" s="48" t="str">
        <f>IFERROR(T(INDEX('Prospectos Resumen'!$K$9:$K$297,MATCH(A24,'Prospectos Resumen'!$A$9:$A$297,0))),"")</f>
        <v/>
      </c>
      <c r="T24" s="17"/>
      <c r="U24" s="17"/>
      <c r="V24" s="17"/>
      <c r="W24" s="17"/>
      <c r="X24" s="17" t="s">
        <v>562</v>
      </c>
      <c r="Y24" s="17" t="s">
        <v>562</v>
      </c>
      <c r="Z24" s="17" t="s">
        <v>423</v>
      </c>
      <c r="AA24" s="17" t="s">
        <v>659</v>
      </c>
      <c r="AB24" s="17" t="s">
        <v>553</v>
      </c>
      <c r="AC24" s="17"/>
      <c r="AD24" s="17" t="s">
        <v>426</v>
      </c>
      <c r="AE24" s="17" t="s">
        <v>566</v>
      </c>
      <c r="AF24" s="17" t="s">
        <v>427</v>
      </c>
      <c r="AG24" s="17" t="s">
        <v>428</v>
      </c>
      <c r="AH24" s="17" t="s">
        <v>464</v>
      </c>
      <c r="AI24" s="17" t="s">
        <v>407</v>
      </c>
      <c r="AJ24" s="17" t="s">
        <v>408</v>
      </c>
      <c r="AK24" s="17"/>
      <c r="AL24" s="17" t="s">
        <v>431</v>
      </c>
      <c r="AM24" s="17" t="s">
        <v>660</v>
      </c>
    </row>
    <row r="25" spans="1:39" ht="48">
      <c r="A25" s="18" t="s">
        <v>90</v>
      </c>
      <c r="B25" s="18" t="s">
        <v>383</v>
      </c>
      <c r="C25" s="18" t="s">
        <v>384</v>
      </c>
      <c r="D25" s="18" t="s">
        <v>385</v>
      </c>
      <c r="E25" s="18" t="s">
        <v>386</v>
      </c>
      <c r="F25" s="18" t="s">
        <v>387</v>
      </c>
      <c r="G25" s="18">
        <v>85</v>
      </c>
      <c r="H25" s="18" t="s">
        <v>661</v>
      </c>
      <c r="I25" s="18" t="s">
        <v>662</v>
      </c>
      <c r="J25" s="18" t="s">
        <v>484</v>
      </c>
      <c r="K25" s="18" t="s">
        <v>663</v>
      </c>
      <c r="L25" s="18" t="s">
        <v>391</v>
      </c>
      <c r="M25" s="18" t="s">
        <v>614</v>
      </c>
      <c r="N25" s="18" t="s">
        <v>615</v>
      </c>
      <c r="O25" s="18" t="s">
        <v>616</v>
      </c>
      <c r="P25" s="18" t="s">
        <v>664</v>
      </c>
      <c r="Q25" s="18" t="s">
        <v>440</v>
      </c>
      <c r="R25" s="18"/>
      <c r="S25" s="48" t="str">
        <f>IFERROR(T(INDEX('Prospectos Resumen'!$K$9:$K$297,MATCH(A25,'Prospectos Resumen'!$A$9:$A$297,0))),"")</f>
        <v>BETO</v>
      </c>
      <c r="T25" s="18"/>
      <c r="U25" s="18"/>
      <c r="V25" s="18"/>
      <c r="W25" s="18"/>
      <c r="X25" s="18" t="s">
        <v>665</v>
      </c>
      <c r="Y25" s="18" t="s">
        <v>665</v>
      </c>
      <c r="Z25" s="18" t="s">
        <v>443</v>
      </c>
      <c r="AA25" s="18" t="s">
        <v>666</v>
      </c>
      <c r="AB25" s="18" t="s">
        <v>531</v>
      </c>
      <c r="AC25" s="18" t="s">
        <v>666</v>
      </c>
      <c r="AD25" s="18" t="s">
        <v>664</v>
      </c>
      <c r="AE25" s="18" t="s">
        <v>403</v>
      </c>
      <c r="AF25" s="18" t="s">
        <v>447</v>
      </c>
      <c r="AG25" s="18" t="s">
        <v>428</v>
      </c>
      <c r="AH25" s="18" t="s">
        <v>429</v>
      </c>
      <c r="AI25" s="18" t="s">
        <v>407</v>
      </c>
      <c r="AJ25" s="18" t="s">
        <v>408</v>
      </c>
      <c r="AK25" s="18"/>
      <c r="AL25" s="18" t="s">
        <v>450</v>
      </c>
      <c r="AM25" s="18"/>
    </row>
    <row r="26" spans="1:39" ht="48">
      <c r="A26" s="17" t="s">
        <v>91</v>
      </c>
      <c r="B26" s="17" t="s">
        <v>383</v>
      </c>
      <c r="C26" s="17" t="s">
        <v>384</v>
      </c>
      <c r="D26" s="17" t="s">
        <v>385</v>
      </c>
      <c r="E26" s="17" t="s">
        <v>386</v>
      </c>
      <c r="F26" s="17" t="s">
        <v>387</v>
      </c>
      <c r="G26" s="17">
        <v>85</v>
      </c>
      <c r="H26" s="17" t="s">
        <v>667</v>
      </c>
      <c r="I26" s="17" t="s">
        <v>668</v>
      </c>
      <c r="J26" s="17" t="s">
        <v>484</v>
      </c>
      <c r="K26" s="17" t="s">
        <v>669</v>
      </c>
      <c r="L26" s="17" t="s">
        <v>557</v>
      </c>
      <c r="M26" s="17" t="s">
        <v>614</v>
      </c>
      <c r="N26" s="17" t="s">
        <v>615</v>
      </c>
      <c r="O26" s="17" t="s">
        <v>616</v>
      </c>
      <c r="P26" s="17" t="s">
        <v>670</v>
      </c>
      <c r="Q26" s="17" t="s">
        <v>440</v>
      </c>
      <c r="R26" s="17"/>
      <c r="S26" s="48" t="str">
        <f>IFERROR(T(INDEX('Prospectos Resumen'!$K$9:$K$297,MATCH(A26,'Prospectos Resumen'!$A$9:$A$297,0))),"")</f>
        <v>JORGE LUCENTI</v>
      </c>
      <c r="T26" s="17"/>
      <c r="U26" s="17"/>
      <c r="V26" s="17"/>
      <c r="W26" s="17"/>
      <c r="X26" s="17" t="s">
        <v>671</v>
      </c>
      <c r="Y26" s="17" t="s">
        <v>671</v>
      </c>
      <c r="Z26" s="17" t="s">
        <v>443</v>
      </c>
      <c r="AA26" s="17" t="s">
        <v>672</v>
      </c>
      <c r="AB26" s="17" t="s">
        <v>673</v>
      </c>
      <c r="AC26" s="17" t="s">
        <v>674</v>
      </c>
      <c r="AD26" s="17" t="s">
        <v>670</v>
      </c>
      <c r="AE26" s="17" t="s">
        <v>566</v>
      </c>
      <c r="AF26" s="17" t="s">
        <v>447</v>
      </c>
      <c r="AG26" s="17" t="s">
        <v>448</v>
      </c>
      <c r="AH26" s="17" t="s">
        <v>429</v>
      </c>
      <c r="AI26" s="17" t="s">
        <v>407</v>
      </c>
      <c r="AJ26" s="17" t="s">
        <v>408</v>
      </c>
      <c r="AK26" s="17"/>
      <c r="AL26" s="17" t="s">
        <v>450</v>
      </c>
      <c r="AM26" s="17"/>
    </row>
    <row r="27" spans="1:39" ht="48">
      <c r="A27" s="18" t="s">
        <v>92</v>
      </c>
      <c r="B27" s="18" t="s">
        <v>383</v>
      </c>
      <c r="C27" s="18" t="s">
        <v>384</v>
      </c>
      <c r="D27" s="18" t="s">
        <v>385</v>
      </c>
      <c r="E27" s="18" t="s">
        <v>386</v>
      </c>
      <c r="F27" s="18" t="s">
        <v>387</v>
      </c>
      <c r="G27" s="18">
        <v>85</v>
      </c>
      <c r="H27" s="18" t="s">
        <v>675</v>
      </c>
      <c r="I27" s="18" t="s">
        <v>676</v>
      </c>
      <c r="J27" s="18" t="s">
        <v>23</v>
      </c>
      <c r="K27" s="18" t="s">
        <v>677</v>
      </c>
      <c r="L27" s="18" t="s">
        <v>391</v>
      </c>
      <c r="M27" s="18" t="s">
        <v>455</v>
      </c>
      <c r="N27" s="18" t="s">
        <v>518</v>
      </c>
      <c r="O27" s="18" t="s">
        <v>519</v>
      </c>
      <c r="P27" s="18" t="s">
        <v>678</v>
      </c>
      <c r="Q27" s="18" t="s">
        <v>440</v>
      </c>
      <c r="R27" s="18"/>
      <c r="S27" s="48" t="str">
        <f>IFERROR(T(INDEX('Prospectos Resumen'!$K$9:$K$297,MATCH(A27,'Prospectos Resumen'!$A$9:$A$297,0))),"")</f>
        <v/>
      </c>
      <c r="T27" s="18"/>
      <c r="U27" s="18"/>
      <c r="V27" s="18"/>
      <c r="W27" s="18"/>
      <c r="X27" s="18" t="s">
        <v>679</v>
      </c>
      <c r="Y27" s="18" t="s">
        <v>679</v>
      </c>
      <c r="Z27" s="18" t="s">
        <v>443</v>
      </c>
      <c r="AA27" s="18" t="s">
        <v>680</v>
      </c>
      <c r="AB27" s="18" t="s">
        <v>681</v>
      </c>
      <c r="AC27" s="18" t="s">
        <v>682</v>
      </c>
      <c r="AD27" s="18" t="s">
        <v>678</v>
      </c>
      <c r="AE27" s="18" t="s">
        <v>403</v>
      </c>
      <c r="AF27" s="18" t="s">
        <v>447</v>
      </c>
      <c r="AG27" s="18" t="s">
        <v>448</v>
      </c>
      <c r="AH27" s="18" t="s">
        <v>449</v>
      </c>
      <c r="AI27" s="18" t="s">
        <v>407</v>
      </c>
      <c r="AJ27" s="18" t="s">
        <v>408</v>
      </c>
      <c r="AK27" s="18"/>
      <c r="AL27" s="18" t="s">
        <v>450</v>
      </c>
      <c r="AM27" s="18"/>
    </row>
    <row r="28" spans="1:39" ht="48">
      <c r="A28" s="17" t="s">
        <v>93</v>
      </c>
      <c r="B28" s="17" t="s">
        <v>383</v>
      </c>
      <c r="C28" s="17" t="s">
        <v>384</v>
      </c>
      <c r="D28" s="17" t="s">
        <v>385</v>
      </c>
      <c r="E28" s="17" t="s">
        <v>386</v>
      </c>
      <c r="F28" s="17" t="s">
        <v>387</v>
      </c>
      <c r="G28" s="17">
        <v>85</v>
      </c>
      <c r="H28" s="17" t="s">
        <v>683</v>
      </c>
      <c r="I28" s="17" t="s">
        <v>684</v>
      </c>
      <c r="J28" s="17" t="s">
        <v>23</v>
      </c>
      <c r="K28" s="17" t="s">
        <v>685</v>
      </c>
      <c r="L28" s="17" t="s">
        <v>391</v>
      </c>
      <c r="M28" s="17" t="s">
        <v>392</v>
      </c>
      <c r="N28" s="17" t="s">
        <v>571</v>
      </c>
      <c r="O28" s="17" t="s">
        <v>572</v>
      </c>
      <c r="P28" s="17" t="s">
        <v>573</v>
      </c>
      <c r="Q28" s="17" t="s">
        <v>396</v>
      </c>
      <c r="R28" s="17"/>
      <c r="S28" s="48" t="str">
        <f>IFERROR(T(INDEX('Prospectos Resumen'!$K$9:$K$297,MATCH(A28,'Prospectos Resumen'!$A$9:$A$297,0))),"")</f>
        <v>WALTER PAULUCCI</v>
      </c>
      <c r="T28" s="17"/>
      <c r="U28" s="17"/>
      <c r="V28" s="17"/>
      <c r="W28" s="17"/>
      <c r="X28" s="17" t="s">
        <v>686</v>
      </c>
      <c r="Y28" s="17" t="s">
        <v>686</v>
      </c>
      <c r="Z28" s="17" t="s">
        <v>398</v>
      </c>
      <c r="AA28" s="17" t="s">
        <v>687</v>
      </c>
      <c r="AB28" s="17" t="s">
        <v>688</v>
      </c>
      <c r="AC28" s="17" t="s">
        <v>689</v>
      </c>
      <c r="AD28" s="17" t="s">
        <v>690</v>
      </c>
      <c r="AE28" s="17" t="s">
        <v>403</v>
      </c>
      <c r="AF28" s="17" t="s">
        <v>404</v>
      </c>
      <c r="AG28" s="17" t="s">
        <v>405</v>
      </c>
      <c r="AH28" s="17" t="s">
        <v>406</v>
      </c>
      <c r="AI28" s="17" t="s">
        <v>407</v>
      </c>
      <c r="AJ28" s="17" t="s">
        <v>403</v>
      </c>
      <c r="AK28" s="17" t="s">
        <v>409</v>
      </c>
      <c r="AL28" s="17" t="s">
        <v>410</v>
      </c>
      <c r="AM28" s="17" t="s">
        <v>411</v>
      </c>
    </row>
    <row r="29" spans="1:39" ht="48">
      <c r="A29" s="18" t="s">
        <v>94</v>
      </c>
      <c r="B29" s="18" t="s">
        <v>383</v>
      </c>
      <c r="C29" s="18" t="s">
        <v>384</v>
      </c>
      <c r="D29" s="18" t="s">
        <v>385</v>
      </c>
      <c r="E29" s="18" t="s">
        <v>386</v>
      </c>
      <c r="F29" s="18" t="s">
        <v>387</v>
      </c>
      <c r="G29" s="18">
        <v>85</v>
      </c>
      <c r="H29" s="18" t="s">
        <v>691</v>
      </c>
      <c r="I29" s="18" t="s">
        <v>692</v>
      </c>
      <c r="J29" s="18" t="s">
        <v>23</v>
      </c>
      <c r="K29" s="18" t="s">
        <v>693</v>
      </c>
      <c r="L29" s="18" t="s">
        <v>557</v>
      </c>
      <c r="M29" s="18" t="s">
        <v>392</v>
      </c>
      <c r="N29" s="18" t="s">
        <v>571</v>
      </c>
      <c r="O29" s="18" t="s">
        <v>572</v>
      </c>
      <c r="P29" s="18" t="s">
        <v>573</v>
      </c>
      <c r="Q29" s="18" t="s">
        <v>396</v>
      </c>
      <c r="R29" s="18"/>
      <c r="S29" s="48" t="str">
        <f>IFERROR(T(INDEX('Prospectos Resumen'!$K$9:$K$297,MATCH(A29,'Prospectos Resumen'!$A$9:$A$297,0))),"")</f>
        <v/>
      </c>
      <c r="T29" s="18"/>
      <c r="U29" s="18"/>
      <c r="V29" s="18"/>
      <c r="W29" s="18"/>
      <c r="X29" s="18" t="s">
        <v>694</v>
      </c>
      <c r="Y29" s="18" t="s">
        <v>694</v>
      </c>
      <c r="Z29" s="18" t="s">
        <v>695</v>
      </c>
      <c r="AA29" s="18" t="s">
        <v>696</v>
      </c>
      <c r="AB29" s="18" t="s">
        <v>697</v>
      </c>
      <c r="AC29" s="18" t="s">
        <v>698</v>
      </c>
      <c r="AD29" s="18" t="s">
        <v>699</v>
      </c>
      <c r="AE29" s="18" t="s">
        <v>403</v>
      </c>
      <c r="AF29" s="18" t="s">
        <v>404</v>
      </c>
      <c r="AG29" s="18" t="s">
        <v>405</v>
      </c>
      <c r="AH29" s="18" t="s">
        <v>406</v>
      </c>
      <c r="AI29" s="18" t="s">
        <v>407</v>
      </c>
      <c r="AJ29" s="18" t="s">
        <v>403</v>
      </c>
      <c r="AK29" s="18" t="s">
        <v>409</v>
      </c>
      <c r="AL29" s="18" t="s">
        <v>410</v>
      </c>
      <c r="AM29" s="18" t="s">
        <v>411</v>
      </c>
    </row>
    <row r="30" spans="1:39" ht="48">
      <c r="A30" s="17" t="s">
        <v>95</v>
      </c>
      <c r="B30" s="17" t="s">
        <v>383</v>
      </c>
      <c r="C30" s="17" t="s">
        <v>384</v>
      </c>
      <c r="D30" s="17" t="s">
        <v>385</v>
      </c>
      <c r="E30" s="17" t="s">
        <v>386</v>
      </c>
      <c r="F30" s="17" t="s">
        <v>387</v>
      </c>
      <c r="G30" s="17">
        <v>85</v>
      </c>
      <c r="H30" s="17" t="s">
        <v>700</v>
      </c>
      <c r="I30" s="17" t="s">
        <v>701</v>
      </c>
      <c r="J30" s="17" t="s">
        <v>453</v>
      </c>
      <c r="K30" s="17" t="s">
        <v>702</v>
      </c>
      <c r="L30" s="17" t="s">
        <v>391</v>
      </c>
      <c r="M30" s="17" t="s">
        <v>455</v>
      </c>
      <c r="N30" s="17" t="s">
        <v>518</v>
      </c>
      <c r="O30" s="17" t="s">
        <v>519</v>
      </c>
      <c r="P30" s="17" t="s">
        <v>703</v>
      </c>
      <c r="Q30" s="17" t="s">
        <v>440</v>
      </c>
      <c r="R30" s="17"/>
      <c r="S30" s="48" t="str">
        <f>IFERROR(T(INDEX('Prospectos Resumen'!$K$9:$K$297,MATCH(A30,'Prospectos Resumen'!$A$9:$A$297,0))),"")</f>
        <v>GUILLERMO SCLAUSERO</v>
      </c>
      <c r="T30" s="17"/>
      <c r="U30" s="17"/>
      <c r="V30" s="17"/>
      <c r="W30" s="17"/>
      <c r="X30" s="17" t="s">
        <v>704</v>
      </c>
      <c r="Y30" s="17" t="s">
        <v>704</v>
      </c>
      <c r="Z30" s="17" t="s">
        <v>443</v>
      </c>
      <c r="AA30" s="17" t="s">
        <v>705</v>
      </c>
      <c r="AB30" s="17" t="s">
        <v>531</v>
      </c>
      <c r="AC30" s="17" t="s">
        <v>705</v>
      </c>
      <c r="AD30" s="17" t="s">
        <v>703</v>
      </c>
      <c r="AE30" s="17" t="s">
        <v>403</v>
      </c>
      <c r="AF30" s="17" t="s">
        <v>447</v>
      </c>
      <c r="AG30" s="17" t="s">
        <v>448</v>
      </c>
      <c r="AH30" s="17" t="s">
        <v>464</v>
      </c>
      <c r="AI30" s="17" t="s">
        <v>407</v>
      </c>
      <c r="AJ30" s="17" t="s">
        <v>408</v>
      </c>
      <c r="AK30" s="17"/>
      <c r="AL30" s="17" t="s">
        <v>450</v>
      </c>
      <c r="AM30" s="17"/>
    </row>
    <row r="31" spans="1:39" ht="48">
      <c r="A31" s="18" t="s">
        <v>96</v>
      </c>
      <c r="B31" s="18" t="s">
        <v>383</v>
      </c>
      <c r="C31" s="18" t="s">
        <v>384</v>
      </c>
      <c r="D31" s="18" t="s">
        <v>385</v>
      </c>
      <c r="E31" s="18" t="s">
        <v>386</v>
      </c>
      <c r="F31" s="18" t="s">
        <v>387</v>
      </c>
      <c r="G31" s="18">
        <v>82</v>
      </c>
      <c r="H31" s="18" t="s">
        <v>706</v>
      </c>
      <c r="I31" s="18" t="s">
        <v>707</v>
      </c>
      <c r="J31" s="18" t="s">
        <v>23</v>
      </c>
      <c r="K31" s="18" t="s">
        <v>708</v>
      </c>
      <c r="L31" s="18" t="s">
        <v>391</v>
      </c>
      <c r="M31" s="18" t="s">
        <v>392</v>
      </c>
      <c r="N31" s="18" t="s">
        <v>709</v>
      </c>
      <c r="O31" s="18" t="s">
        <v>710</v>
      </c>
      <c r="P31" s="18" t="s">
        <v>711</v>
      </c>
      <c r="Q31" s="18" t="s">
        <v>396</v>
      </c>
      <c r="R31" s="18"/>
      <c r="S31" s="48" t="str">
        <f>IFERROR(T(INDEX('Prospectos Resumen'!$K$9:$K$297,MATCH(A31,'Prospectos Resumen'!$A$9:$A$297,0))),"")</f>
        <v/>
      </c>
      <c r="T31" s="18"/>
      <c r="U31" s="18"/>
      <c r="V31" s="18"/>
      <c r="W31" s="18"/>
      <c r="X31" s="18" t="s">
        <v>712</v>
      </c>
      <c r="Y31" s="18" t="s">
        <v>712</v>
      </c>
      <c r="Z31" s="18" t="s">
        <v>398</v>
      </c>
      <c r="AA31" s="18" t="s">
        <v>713</v>
      </c>
      <c r="AB31" s="18" t="s">
        <v>714</v>
      </c>
      <c r="AC31" s="18" t="s">
        <v>715</v>
      </c>
      <c r="AD31" s="18" t="s">
        <v>716</v>
      </c>
      <c r="AE31" s="18" t="s">
        <v>403</v>
      </c>
      <c r="AF31" s="18" t="s">
        <v>404</v>
      </c>
      <c r="AG31" s="18" t="s">
        <v>405</v>
      </c>
      <c r="AH31" s="18" t="s">
        <v>406</v>
      </c>
      <c r="AI31" s="18" t="s">
        <v>407</v>
      </c>
      <c r="AJ31" s="18" t="s">
        <v>403</v>
      </c>
      <c r="AK31" s="18" t="s">
        <v>409</v>
      </c>
      <c r="AL31" s="18" t="s">
        <v>410</v>
      </c>
      <c r="AM31" s="18" t="s">
        <v>411</v>
      </c>
    </row>
    <row r="32" spans="1:39" ht="36">
      <c r="A32" s="17" t="s">
        <v>97</v>
      </c>
      <c r="B32" s="17" t="s">
        <v>383</v>
      </c>
      <c r="C32" s="17" t="s">
        <v>384</v>
      </c>
      <c r="D32" s="17" t="s">
        <v>386</v>
      </c>
      <c r="E32" s="17" t="s">
        <v>386</v>
      </c>
      <c r="F32" s="17" t="s">
        <v>387</v>
      </c>
      <c r="G32" s="17">
        <v>75</v>
      </c>
      <c r="H32" s="17" t="s">
        <v>717</v>
      </c>
      <c r="I32" s="17" t="s">
        <v>718</v>
      </c>
      <c r="J32" s="17" t="s">
        <v>453</v>
      </c>
      <c r="K32" s="17" t="s">
        <v>719</v>
      </c>
      <c r="L32" s="17" t="s">
        <v>613</v>
      </c>
      <c r="M32" s="17" t="s">
        <v>455</v>
      </c>
      <c r="N32" s="17" t="s">
        <v>456</v>
      </c>
      <c r="O32" s="17" t="s">
        <v>457</v>
      </c>
      <c r="P32" s="17" t="s">
        <v>720</v>
      </c>
      <c r="Q32" s="17" t="s">
        <v>420</v>
      </c>
      <c r="R32" s="17"/>
      <c r="S32" s="48" t="str">
        <f>IFERROR(T(INDEX('Prospectos Resumen'!$K$9:$K$297,MATCH(A32,'Prospectos Resumen'!$A$9:$A$297,0))),"")</f>
        <v>DANIEL BALATORE</v>
      </c>
      <c r="T32" s="17"/>
      <c r="U32" s="17"/>
      <c r="V32" s="17"/>
      <c r="W32" s="17"/>
      <c r="X32" s="17"/>
      <c r="Y32" s="17"/>
      <c r="Z32" s="17" t="s">
        <v>423</v>
      </c>
      <c r="AA32" s="17" t="s">
        <v>721</v>
      </c>
      <c r="AB32" s="17" t="s">
        <v>722</v>
      </c>
      <c r="AC32" s="17"/>
      <c r="AD32" s="17" t="s">
        <v>426</v>
      </c>
      <c r="AE32" s="17" t="s">
        <v>566</v>
      </c>
      <c r="AF32" s="17" t="s">
        <v>427</v>
      </c>
      <c r="AG32" s="17" t="s">
        <v>463</v>
      </c>
      <c r="AH32" s="17" t="s">
        <v>464</v>
      </c>
      <c r="AI32" s="17" t="s">
        <v>407</v>
      </c>
      <c r="AJ32" s="17" t="s">
        <v>403</v>
      </c>
      <c r="AK32" s="17"/>
      <c r="AL32" s="17" t="s">
        <v>431</v>
      </c>
      <c r="AM32" s="17" t="s">
        <v>432</v>
      </c>
    </row>
    <row r="33" spans="1:39" ht="48">
      <c r="A33" s="18" t="s">
        <v>98</v>
      </c>
      <c r="B33" s="18" t="s">
        <v>383</v>
      </c>
      <c r="C33" s="18" t="s">
        <v>384</v>
      </c>
      <c r="D33" s="18" t="s">
        <v>723</v>
      </c>
      <c r="E33" s="18" t="s">
        <v>386</v>
      </c>
      <c r="F33" s="18" t="s">
        <v>724</v>
      </c>
      <c r="G33" s="18">
        <v>85</v>
      </c>
      <c r="H33" s="18" t="s">
        <v>725</v>
      </c>
      <c r="I33" s="18" t="s">
        <v>726</v>
      </c>
      <c r="J33" s="18" t="s">
        <v>727</v>
      </c>
      <c r="K33" s="18" t="s">
        <v>728</v>
      </c>
      <c r="L33" s="18" t="s">
        <v>391</v>
      </c>
      <c r="M33" s="18" t="s">
        <v>729</v>
      </c>
      <c r="N33" s="18" t="s">
        <v>730</v>
      </c>
      <c r="O33" s="18" t="s">
        <v>731</v>
      </c>
      <c r="P33" s="18" t="s">
        <v>732</v>
      </c>
      <c r="Q33" s="18" t="s">
        <v>733</v>
      </c>
      <c r="R33" s="18"/>
      <c r="S33" s="48" t="str">
        <f>IFERROR(T(INDEX('Prospectos Resumen'!$K$9:$K$297,MATCH(A33,'Prospectos Resumen'!$A$9:$A$297,0))),"")</f>
        <v/>
      </c>
      <c r="T33" s="18"/>
      <c r="U33" s="18"/>
      <c r="V33" s="18"/>
      <c r="W33" s="18"/>
      <c r="X33" s="18" t="s">
        <v>734</v>
      </c>
      <c r="Y33" s="18" t="s">
        <v>735</v>
      </c>
      <c r="Z33" s="18" t="s">
        <v>736</v>
      </c>
      <c r="AA33" s="18" t="s">
        <v>737</v>
      </c>
      <c r="AB33" s="18" t="s">
        <v>738</v>
      </c>
      <c r="AC33" s="18" t="s">
        <v>739</v>
      </c>
      <c r="AD33" s="18" t="s">
        <v>740</v>
      </c>
      <c r="AE33" s="18" t="s">
        <v>403</v>
      </c>
      <c r="AF33" s="18" t="s">
        <v>741</v>
      </c>
      <c r="AG33" s="18" t="s">
        <v>742</v>
      </c>
      <c r="AH33" s="18" t="s">
        <v>743</v>
      </c>
      <c r="AI33" s="18" t="s">
        <v>407</v>
      </c>
      <c r="AJ33" s="18" t="s">
        <v>403</v>
      </c>
      <c r="AK33" s="18"/>
      <c r="AL33" s="18" t="s">
        <v>744</v>
      </c>
      <c r="AM33" s="18" t="s">
        <v>745</v>
      </c>
    </row>
    <row r="34" spans="1:39" ht="48">
      <c r="A34" s="17" t="s">
        <v>99</v>
      </c>
      <c r="B34" s="17" t="s">
        <v>383</v>
      </c>
      <c r="C34" s="17" t="s">
        <v>384</v>
      </c>
      <c r="D34" s="17" t="s">
        <v>746</v>
      </c>
      <c r="E34" s="17" t="s">
        <v>386</v>
      </c>
      <c r="F34" s="17" t="s">
        <v>724</v>
      </c>
      <c r="G34" s="17">
        <v>85</v>
      </c>
      <c r="H34" s="17" t="s">
        <v>747</v>
      </c>
      <c r="I34" s="17" t="s">
        <v>748</v>
      </c>
      <c r="J34" s="17" t="s">
        <v>727</v>
      </c>
      <c r="K34" s="17" t="s">
        <v>749</v>
      </c>
      <c r="L34" s="17" t="s">
        <v>391</v>
      </c>
      <c r="M34" s="17" t="s">
        <v>750</v>
      </c>
      <c r="N34" s="17" t="s">
        <v>730</v>
      </c>
      <c r="O34" s="17" t="s">
        <v>731</v>
      </c>
      <c r="P34" s="17" t="s">
        <v>751</v>
      </c>
      <c r="Q34" s="17" t="s">
        <v>752</v>
      </c>
      <c r="R34" s="17"/>
      <c r="S34" s="48" t="str">
        <f>IFERROR(T(INDEX('Prospectos Resumen'!$K$9:$K$297,MATCH(A34,'Prospectos Resumen'!$A$9:$A$297,0))),"")</f>
        <v/>
      </c>
      <c r="T34" s="17"/>
      <c r="U34" s="17"/>
      <c r="V34" s="17"/>
      <c r="W34" s="17"/>
      <c r="X34" s="17" t="s">
        <v>753</v>
      </c>
      <c r="Y34" s="17" t="s">
        <v>753</v>
      </c>
      <c r="Z34" s="17" t="s">
        <v>754</v>
      </c>
      <c r="AA34" s="17" t="s">
        <v>755</v>
      </c>
      <c r="AB34" s="17" t="s">
        <v>756</v>
      </c>
      <c r="AC34" s="17" t="s">
        <v>757</v>
      </c>
      <c r="AD34" s="17" t="s">
        <v>758</v>
      </c>
      <c r="AE34" s="17" t="s">
        <v>403</v>
      </c>
      <c r="AF34" s="17" t="s">
        <v>741</v>
      </c>
      <c r="AG34" s="17" t="s">
        <v>742</v>
      </c>
      <c r="AH34" s="17" t="s">
        <v>743</v>
      </c>
      <c r="AI34" s="17" t="s">
        <v>407</v>
      </c>
      <c r="AJ34" s="17" t="s">
        <v>403</v>
      </c>
      <c r="AK34" s="17"/>
      <c r="AL34" s="17" t="s">
        <v>744</v>
      </c>
      <c r="AM34" s="17" t="s">
        <v>759</v>
      </c>
    </row>
    <row r="35" spans="1:39" ht="48">
      <c r="A35" s="18" t="s">
        <v>100</v>
      </c>
      <c r="B35" s="18" t="s">
        <v>383</v>
      </c>
      <c r="C35" s="18" t="s">
        <v>384</v>
      </c>
      <c r="D35" s="18" t="s">
        <v>746</v>
      </c>
      <c r="E35" s="18" t="s">
        <v>386</v>
      </c>
      <c r="F35" s="18" t="s">
        <v>724</v>
      </c>
      <c r="G35" s="18">
        <v>81</v>
      </c>
      <c r="H35" s="18" t="s">
        <v>760</v>
      </c>
      <c r="I35" s="18" t="s">
        <v>761</v>
      </c>
      <c r="J35" s="18" t="s">
        <v>727</v>
      </c>
      <c r="K35" s="18" t="s">
        <v>762</v>
      </c>
      <c r="L35" s="18" t="s">
        <v>557</v>
      </c>
      <c r="M35" s="18" t="s">
        <v>763</v>
      </c>
      <c r="N35" s="18" t="s">
        <v>730</v>
      </c>
      <c r="O35" s="18" t="s">
        <v>731</v>
      </c>
      <c r="P35" s="18" t="s">
        <v>764</v>
      </c>
      <c r="Q35" s="18" t="s">
        <v>765</v>
      </c>
      <c r="R35" s="18"/>
      <c r="S35" s="48" t="str">
        <f>IFERROR(T(INDEX('Prospectos Resumen'!$K$9:$K$297,MATCH(A35,'Prospectos Resumen'!$A$9:$A$297,0))),"")</f>
        <v/>
      </c>
      <c r="T35" s="18"/>
      <c r="U35" s="18"/>
      <c r="V35" s="18"/>
      <c r="W35" s="18"/>
      <c r="X35" s="18" t="s">
        <v>766</v>
      </c>
      <c r="Y35" s="18" t="s">
        <v>766</v>
      </c>
      <c r="Z35" s="18" t="s">
        <v>767</v>
      </c>
      <c r="AA35" s="18" t="s">
        <v>768</v>
      </c>
      <c r="AB35" s="18" t="s">
        <v>769</v>
      </c>
      <c r="AC35" s="18" t="s">
        <v>770</v>
      </c>
      <c r="AD35" s="18" t="s">
        <v>771</v>
      </c>
      <c r="AE35" s="18" t="s">
        <v>566</v>
      </c>
      <c r="AF35" s="18" t="s">
        <v>741</v>
      </c>
      <c r="AG35" s="18" t="s">
        <v>742</v>
      </c>
      <c r="AH35" s="18" t="s">
        <v>743</v>
      </c>
      <c r="AI35" s="18" t="s">
        <v>407</v>
      </c>
      <c r="AJ35" s="18" t="s">
        <v>403</v>
      </c>
      <c r="AK35" s="18"/>
      <c r="AL35" s="18" t="s">
        <v>744</v>
      </c>
      <c r="AM35" s="18" t="s">
        <v>772</v>
      </c>
    </row>
    <row r="36" spans="1:39" ht="48">
      <c r="A36" s="17" t="s">
        <v>101</v>
      </c>
      <c r="B36" s="17" t="s">
        <v>383</v>
      </c>
      <c r="C36" s="17" t="s">
        <v>384</v>
      </c>
      <c r="D36" s="17" t="s">
        <v>385</v>
      </c>
      <c r="E36" s="17" t="s">
        <v>386</v>
      </c>
      <c r="F36" s="17" t="s">
        <v>724</v>
      </c>
      <c r="G36" s="17">
        <v>75</v>
      </c>
      <c r="H36" s="17" t="s">
        <v>773</v>
      </c>
      <c r="I36" s="17" t="s">
        <v>774</v>
      </c>
      <c r="J36" s="17" t="s">
        <v>23</v>
      </c>
      <c r="K36" s="17" t="s">
        <v>775</v>
      </c>
      <c r="L36" s="17" t="s">
        <v>391</v>
      </c>
      <c r="M36" s="17" t="s">
        <v>624</v>
      </c>
      <c r="N36" s="17" t="s">
        <v>625</v>
      </c>
      <c r="O36" s="17" t="s">
        <v>626</v>
      </c>
      <c r="P36" s="17" t="s">
        <v>776</v>
      </c>
      <c r="Q36" s="17" t="s">
        <v>777</v>
      </c>
      <c r="R36" s="17"/>
      <c r="S36" s="48" t="str">
        <f>IFERROR(T(INDEX('Prospectos Resumen'!$K$9:$K$297,MATCH(A36,'Prospectos Resumen'!$A$9:$A$297,0))),"")</f>
        <v/>
      </c>
      <c r="T36" s="17"/>
      <c r="U36" s="17"/>
      <c r="V36" s="17"/>
      <c r="W36" s="17"/>
      <c r="X36" s="17" t="s">
        <v>778</v>
      </c>
      <c r="Y36" s="17" t="s">
        <v>778</v>
      </c>
      <c r="Z36" s="17" t="s">
        <v>443</v>
      </c>
      <c r="AA36" s="17" t="s">
        <v>779</v>
      </c>
      <c r="AB36" s="17" t="s">
        <v>780</v>
      </c>
      <c r="AC36" s="17" t="s">
        <v>781</v>
      </c>
      <c r="AD36" s="17" t="s">
        <v>776</v>
      </c>
      <c r="AE36" s="17" t="s">
        <v>403</v>
      </c>
      <c r="AF36" s="17" t="s">
        <v>447</v>
      </c>
      <c r="AG36" s="17" t="s">
        <v>463</v>
      </c>
      <c r="AH36" s="17" t="s">
        <v>449</v>
      </c>
      <c r="AI36" s="17" t="s">
        <v>407</v>
      </c>
      <c r="AJ36" s="17" t="s">
        <v>403</v>
      </c>
      <c r="AK36" s="17"/>
      <c r="AL36" s="17" t="s">
        <v>450</v>
      </c>
      <c r="AM36" s="17" t="s">
        <v>782</v>
      </c>
    </row>
    <row r="37" spans="1:39" ht="48">
      <c r="A37" s="18" t="s">
        <v>102</v>
      </c>
      <c r="B37" s="18" t="s">
        <v>383</v>
      </c>
      <c r="C37" s="18" t="s">
        <v>384</v>
      </c>
      <c r="D37" s="18" t="s">
        <v>385</v>
      </c>
      <c r="E37" s="18" t="s">
        <v>386</v>
      </c>
      <c r="F37" s="18" t="s">
        <v>724</v>
      </c>
      <c r="G37" s="18">
        <v>75</v>
      </c>
      <c r="H37" s="18" t="s">
        <v>783</v>
      </c>
      <c r="I37" s="18" t="s">
        <v>784</v>
      </c>
      <c r="J37" s="18" t="s">
        <v>785</v>
      </c>
      <c r="K37" s="18" t="s">
        <v>786</v>
      </c>
      <c r="L37" s="18" t="s">
        <v>391</v>
      </c>
      <c r="M37" s="18" t="s">
        <v>436</v>
      </c>
      <c r="N37" s="18" t="s">
        <v>437</v>
      </c>
      <c r="O37" s="18" t="s">
        <v>438</v>
      </c>
      <c r="P37" s="18" t="s">
        <v>787</v>
      </c>
      <c r="Q37" s="18" t="s">
        <v>777</v>
      </c>
      <c r="R37" s="18"/>
      <c r="S37" s="48" t="str">
        <f>IFERROR(T(INDEX('Prospectos Resumen'!$K$9:$K$297,MATCH(A37,'Prospectos Resumen'!$A$9:$A$297,0))),"")</f>
        <v>JUANJO NADALIN</v>
      </c>
      <c r="T37" s="18"/>
      <c r="U37" s="18"/>
      <c r="V37" s="18"/>
      <c r="W37" s="18"/>
      <c r="X37" s="18" t="s">
        <v>788</v>
      </c>
      <c r="Y37" s="18" t="s">
        <v>788</v>
      </c>
      <c r="Z37" s="18" t="s">
        <v>443</v>
      </c>
      <c r="AA37" s="18" t="s">
        <v>789</v>
      </c>
      <c r="AB37" s="18" t="s">
        <v>673</v>
      </c>
      <c r="AC37" s="18" t="s">
        <v>790</v>
      </c>
      <c r="AD37" s="18" t="s">
        <v>787</v>
      </c>
      <c r="AE37" s="18" t="s">
        <v>403</v>
      </c>
      <c r="AF37" s="18" t="s">
        <v>447</v>
      </c>
      <c r="AG37" s="18" t="s">
        <v>448</v>
      </c>
      <c r="AH37" s="18" t="s">
        <v>464</v>
      </c>
      <c r="AI37" s="18" t="s">
        <v>407</v>
      </c>
      <c r="AJ37" s="18" t="s">
        <v>403</v>
      </c>
      <c r="AK37" s="18" t="s">
        <v>480</v>
      </c>
      <c r="AL37" s="18" t="s">
        <v>450</v>
      </c>
      <c r="AM37" s="18" t="s">
        <v>791</v>
      </c>
    </row>
    <row r="38" spans="1:39" ht="48">
      <c r="A38" s="17" t="s">
        <v>103</v>
      </c>
      <c r="B38" s="17" t="s">
        <v>383</v>
      </c>
      <c r="C38" s="17" t="s">
        <v>384</v>
      </c>
      <c r="D38" s="17" t="s">
        <v>385</v>
      </c>
      <c r="E38" s="17" t="s">
        <v>386</v>
      </c>
      <c r="F38" s="17" t="s">
        <v>724</v>
      </c>
      <c r="G38" s="17">
        <v>75</v>
      </c>
      <c r="H38" s="17" t="s">
        <v>792</v>
      </c>
      <c r="I38" s="17" t="s">
        <v>793</v>
      </c>
      <c r="J38" s="17" t="s">
        <v>785</v>
      </c>
      <c r="K38" s="17" t="s">
        <v>794</v>
      </c>
      <c r="L38" s="17" t="s">
        <v>391</v>
      </c>
      <c r="M38" s="17" t="s">
        <v>436</v>
      </c>
      <c r="N38" s="17" t="s">
        <v>437</v>
      </c>
      <c r="O38" s="17" t="s">
        <v>438</v>
      </c>
      <c r="P38" s="17" t="s">
        <v>795</v>
      </c>
      <c r="Q38" s="17" t="s">
        <v>777</v>
      </c>
      <c r="R38" s="17"/>
      <c r="S38" s="48" t="str">
        <f>IFERROR(T(INDEX('Prospectos Resumen'!$K$9:$K$297,MATCH(A38,'Prospectos Resumen'!$A$9:$A$297,0))),"")</f>
        <v/>
      </c>
      <c r="T38" s="17"/>
      <c r="U38" s="17"/>
      <c r="V38" s="17"/>
      <c r="W38" s="17"/>
      <c r="X38" s="17" t="s">
        <v>796</v>
      </c>
      <c r="Y38" s="17" t="s">
        <v>796</v>
      </c>
      <c r="Z38" s="17" t="s">
        <v>443</v>
      </c>
      <c r="AA38" s="17" t="s">
        <v>797</v>
      </c>
      <c r="AB38" s="17" t="s">
        <v>798</v>
      </c>
      <c r="AC38" s="17" t="s">
        <v>651</v>
      </c>
      <c r="AD38" s="17" t="s">
        <v>795</v>
      </c>
      <c r="AE38" s="17" t="s">
        <v>403</v>
      </c>
      <c r="AF38" s="17" t="s">
        <v>447</v>
      </c>
      <c r="AG38" s="17" t="s">
        <v>448</v>
      </c>
      <c r="AH38" s="17" t="s">
        <v>464</v>
      </c>
      <c r="AI38" s="17" t="s">
        <v>407</v>
      </c>
      <c r="AJ38" s="17" t="s">
        <v>403</v>
      </c>
      <c r="AK38" s="17" t="s">
        <v>480</v>
      </c>
      <c r="AL38" s="17" t="s">
        <v>450</v>
      </c>
      <c r="AM38" s="17" t="s">
        <v>799</v>
      </c>
    </row>
    <row r="39" spans="1:39" ht="36">
      <c r="A39" s="18" t="s">
        <v>104</v>
      </c>
      <c r="B39" s="18" t="s">
        <v>383</v>
      </c>
      <c r="C39" s="18" t="s">
        <v>384</v>
      </c>
      <c r="D39" s="18" t="s">
        <v>386</v>
      </c>
      <c r="E39" s="18" t="s">
        <v>386</v>
      </c>
      <c r="F39" s="18" t="s">
        <v>724</v>
      </c>
      <c r="G39" s="18">
        <v>75</v>
      </c>
      <c r="H39" s="18" t="s">
        <v>800</v>
      </c>
      <c r="I39" s="18" t="s">
        <v>801</v>
      </c>
      <c r="J39" s="18" t="s">
        <v>802</v>
      </c>
      <c r="K39" s="18" t="s">
        <v>803</v>
      </c>
      <c r="L39" s="18" t="s">
        <v>391</v>
      </c>
      <c r="M39" s="18" t="s">
        <v>804</v>
      </c>
      <c r="N39" s="18" t="s">
        <v>805</v>
      </c>
      <c r="O39" s="18" t="s">
        <v>806</v>
      </c>
      <c r="P39" s="18" t="s">
        <v>807</v>
      </c>
      <c r="Q39" s="18" t="s">
        <v>420</v>
      </c>
      <c r="R39" s="18"/>
      <c r="S39" s="48" t="str">
        <f>IFERROR(T(INDEX('Prospectos Resumen'!$K$9:$K$297,MATCH(A39,'Prospectos Resumen'!$A$9:$A$297,0))),"")</f>
        <v>DAVID BELAZQUE</v>
      </c>
      <c r="T39" s="18"/>
      <c r="U39" s="18"/>
      <c r="V39" s="18"/>
      <c r="W39" s="18"/>
      <c r="X39" s="18" t="s">
        <v>808</v>
      </c>
      <c r="Y39" s="18" t="s">
        <v>808</v>
      </c>
      <c r="Z39" s="18" t="s">
        <v>423</v>
      </c>
      <c r="AA39" s="18" t="s">
        <v>809</v>
      </c>
      <c r="AB39" s="18" t="s">
        <v>810</v>
      </c>
      <c r="AC39" s="18"/>
      <c r="AD39" s="18" t="s">
        <v>426</v>
      </c>
      <c r="AE39" s="18" t="s">
        <v>403</v>
      </c>
      <c r="AF39" s="18" t="s">
        <v>427</v>
      </c>
      <c r="AG39" s="18" t="s">
        <v>463</v>
      </c>
      <c r="AH39" s="18" t="s">
        <v>464</v>
      </c>
      <c r="AI39" s="18" t="s">
        <v>407</v>
      </c>
      <c r="AJ39" s="18" t="s">
        <v>403</v>
      </c>
      <c r="AK39" s="18"/>
      <c r="AL39" s="18" t="s">
        <v>431</v>
      </c>
      <c r="AM39" s="18" t="s">
        <v>811</v>
      </c>
    </row>
    <row r="40" spans="1:39" ht="36">
      <c r="A40" s="17" t="s">
        <v>105</v>
      </c>
      <c r="B40" s="17" t="s">
        <v>383</v>
      </c>
      <c r="C40" s="17" t="s">
        <v>384</v>
      </c>
      <c r="D40" s="17" t="s">
        <v>386</v>
      </c>
      <c r="E40" s="17" t="s">
        <v>386</v>
      </c>
      <c r="F40" s="17" t="s">
        <v>724</v>
      </c>
      <c r="G40" s="17">
        <v>75</v>
      </c>
      <c r="H40" s="17" t="s">
        <v>812</v>
      </c>
      <c r="I40" s="17" t="s">
        <v>813</v>
      </c>
      <c r="J40" s="17" t="s">
        <v>802</v>
      </c>
      <c r="K40" s="17" t="s">
        <v>814</v>
      </c>
      <c r="L40" s="17" t="s">
        <v>391</v>
      </c>
      <c r="M40" s="17" t="s">
        <v>455</v>
      </c>
      <c r="N40" s="17" t="s">
        <v>805</v>
      </c>
      <c r="O40" s="17" t="s">
        <v>457</v>
      </c>
      <c r="P40" s="17" t="s">
        <v>815</v>
      </c>
      <c r="Q40" s="17" t="s">
        <v>420</v>
      </c>
      <c r="R40" s="17"/>
      <c r="S40" s="48" t="str">
        <f>IFERROR(T(INDEX('Prospectos Resumen'!$K$9:$K$297,MATCH(A40,'Prospectos Resumen'!$A$9:$A$297,0))),"")</f>
        <v>FEDE SERRA</v>
      </c>
      <c r="T40" s="17"/>
      <c r="U40" s="17"/>
      <c r="V40" s="17"/>
      <c r="W40" s="17"/>
      <c r="X40" s="17" t="s">
        <v>816</v>
      </c>
      <c r="Y40" s="17" t="s">
        <v>817</v>
      </c>
      <c r="Z40" s="17" t="s">
        <v>423</v>
      </c>
      <c r="AA40" s="17" t="s">
        <v>818</v>
      </c>
      <c r="AB40" s="17" t="s">
        <v>819</v>
      </c>
      <c r="AC40" s="17"/>
      <c r="AD40" s="17" t="s">
        <v>426</v>
      </c>
      <c r="AE40" s="17" t="s">
        <v>403</v>
      </c>
      <c r="AF40" s="17" t="s">
        <v>427</v>
      </c>
      <c r="AG40" s="17" t="s">
        <v>463</v>
      </c>
      <c r="AH40" s="17" t="s">
        <v>449</v>
      </c>
      <c r="AI40" s="17" t="s">
        <v>407</v>
      </c>
      <c r="AJ40" s="17" t="s">
        <v>403</v>
      </c>
      <c r="AK40" s="17"/>
      <c r="AL40" s="17" t="s">
        <v>431</v>
      </c>
      <c r="AM40" s="17" t="s">
        <v>820</v>
      </c>
    </row>
    <row r="41" spans="1:39" ht="48">
      <c r="A41" s="18" t="s">
        <v>106</v>
      </c>
      <c r="B41" s="18" t="s">
        <v>383</v>
      </c>
      <c r="C41" s="18" t="s">
        <v>384</v>
      </c>
      <c r="D41" s="18" t="s">
        <v>386</v>
      </c>
      <c r="E41" s="18" t="s">
        <v>386</v>
      </c>
      <c r="F41" s="18" t="s">
        <v>724</v>
      </c>
      <c r="G41" s="18">
        <v>75</v>
      </c>
      <c r="H41" s="18" t="s">
        <v>821</v>
      </c>
      <c r="I41" s="18" t="s">
        <v>822</v>
      </c>
      <c r="J41" s="18" t="s">
        <v>785</v>
      </c>
      <c r="K41" s="18" t="s">
        <v>823</v>
      </c>
      <c r="L41" s="18" t="s">
        <v>391</v>
      </c>
      <c r="M41" s="18" t="s">
        <v>537</v>
      </c>
      <c r="N41" s="18" t="s">
        <v>805</v>
      </c>
      <c r="O41" s="18" t="s">
        <v>538</v>
      </c>
      <c r="P41" s="18" t="s">
        <v>824</v>
      </c>
      <c r="Q41" s="18" t="s">
        <v>420</v>
      </c>
      <c r="R41" s="18"/>
      <c r="S41" s="48" t="str">
        <f>IFERROR(T(INDEX('Prospectos Resumen'!$K$9:$K$297,MATCH(A41,'Prospectos Resumen'!$A$9:$A$297,0))),"")</f>
        <v/>
      </c>
      <c r="T41" s="18"/>
      <c r="U41" s="18"/>
      <c r="V41" s="18"/>
      <c r="W41" s="18"/>
      <c r="X41" s="18" t="s">
        <v>825</v>
      </c>
      <c r="Y41" s="18" t="s">
        <v>826</v>
      </c>
      <c r="Z41" s="18" t="s">
        <v>423</v>
      </c>
      <c r="AA41" s="18" t="s">
        <v>827</v>
      </c>
      <c r="AB41" s="18" t="s">
        <v>553</v>
      </c>
      <c r="AC41" s="18"/>
      <c r="AD41" s="18" t="s">
        <v>426</v>
      </c>
      <c r="AE41" s="18" t="s">
        <v>403</v>
      </c>
      <c r="AF41" s="18" t="s">
        <v>427</v>
      </c>
      <c r="AG41" s="18" t="s">
        <v>544</v>
      </c>
      <c r="AH41" s="18" t="s">
        <v>464</v>
      </c>
      <c r="AI41" s="18" t="s">
        <v>407</v>
      </c>
      <c r="AJ41" s="18" t="s">
        <v>403</v>
      </c>
      <c r="AK41" s="18"/>
      <c r="AL41" s="18" t="s">
        <v>431</v>
      </c>
      <c r="AM41" s="18" t="s">
        <v>828</v>
      </c>
    </row>
    <row r="42" spans="1:39" ht="48">
      <c r="A42" s="17" t="s">
        <v>107</v>
      </c>
      <c r="B42" s="17" t="s">
        <v>383</v>
      </c>
      <c r="C42" s="17" t="s">
        <v>384</v>
      </c>
      <c r="D42" s="17" t="s">
        <v>385</v>
      </c>
      <c r="E42" s="17" t="s">
        <v>386</v>
      </c>
      <c r="F42" s="17" t="s">
        <v>724</v>
      </c>
      <c r="G42" s="17">
        <v>75</v>
      </c>
      <c r="H42" s="17" t="s">
        <v>829</v>
      </c>
      <c r="I42" s="17" t="s">
        <v>830</v>
      </c>
      <c r="J42" s="17" t="s">
        <v>414</v>
      </c>
      <c r="K42" s="17" t="s">
        <v>831</v>
      </c>
      <c r="L42" s="17" t="s">
        <v>391</v>
      </c>
      <c r="M42" s="17" t="s">
        <v>558</v>
      </c>
      <c r="N42" s="17" t="s">
        <v>559</v>
      </c>
      <c r="O42" s="17" t="s">
        <v>560</v>
      </c>
      <c r="P42" s="17" t="s">
        <v>832</v>
      </c>
      <c r="Q42" s="17" t="s">
        <v>777</v>
      </c>
      <c r="R42" s="17"/>
      <c r="S42" s="48" t="str">
        <f>IFERROR(T(INDEX('Prospectos Resumen'!$K$9:$K$297,MATCH(A42,'Prospectos Resumen'!$A$9:$A$297,0))),"")</f>
        <v/>
      </c>
      <c r="T42" s="17"/>
      <c r="U42" s="17"/>
      <c r="V42" s="17"/>
      <c r="W42" s="17"/>
      <c r="X42" s="17" t="s">
        <v>833</v>
      </c>
      <c r="Y42" s="17" t="s">
        <v>833</v>
      </c>
      <c r="Z42" s="17" t="s">
        <v>443</v>
      </c>
      <c r="AA42" s="17" t="s">
        <v>834</v>
      </c>
      <c r="AB42" s="17" t="s">
        <v>531</v>
      </c>
      <c r="AC42" s="17" t="s">
        <v>834</v>
      </c>
      <c r="AD42" s="17" t="s">
        <v>832</v>
      </c>
      <c r="AE42" s="17" t="s">
        <v>403</v>
      </c>
      <c r="AF42" s="17" t="s">
        <v>447</v>
      </c>
      <c r="AG42" s="17" t="s">
        <v>428</v>
      </c>
      <c r="AH42" s="17" t="s">
        <v>429</v>
      </c>
      <c r="AI42" s="17" t="s">
        <v>407</v>
      </c>
      <c r="AJ42" s="17" t="s">
        <v>403</v>
      </c>
      <c r="AK42" s="17" t="s">
        <v>430</v>
      </c>
      <c r="AL42" s="17" t="s">
        <v>450</v>
      </c>
      <c r="AM42" s="17" t="s">
        <v>835</v>
      </c>
    </row>
    <row r="43" spans="1:39" ht="48">
      <c r="A43" s="18" t="s">
        <v>108</v>
      </c>
      <c r="B43" s="18" t="s">
        <v>383</v>
      </c>
      <c r="C43" s="18" t="s">
        <v>384</v>
      </c>
      <c r="D43" s="18" t="s">
        <v>465</v>
      </c>
      <c r="E43" s="18" t="s">
        <v>386</v>
      </c>
      <c r="F43" s="18" t="s">
        <v>724</v>
      </c>
      <c r="G43" s="18">
        <v>75</v>
      </c>
      <c r="H43" s="18" t="s">
        <v>836</v>
      </c>
      <c r="I43" s="18" t="s">
        <v>640</v>
      </c>
      <c r="J43" s="18" t="s">
        <v>453</v>
      </c>
      <c r="K43" s="18" t="s">
        <v>837</v>
      </c>
      <c r="L43" s="18" t="s">
        <v>391</v>
      </c>
      <c r="M43" s="18" t="s">
        <v>455</v>
      </c>
      <c r="N43" s="18" t="s">
        <v>456</v>
      </c>
      <c r="O43" s="18" t="s">
        <v>838</v>
      </c>
      <c r="P43" s="18" t="s">
        <v>839</v>
      </c>
      <c r="Q43" s="18" t="s">
        <v>472</v>
      </c>
      <c r="R43" s="18"/>
      <c r="S43" s="48" t="str">
        <f>IFERROR(T(INDEX('Prospectos Resumen'!$K$9:$K$297,MATCH(A43,'Prospectos Resumen'!$A$9:$A$297,0))),"")</f>
        <v/>
      </c>
      <c r="T43" s="18"/>
      <c r="U43" s="18"/>
      <c r="V43" s="18"/>
      <c r="W43" s="18"/>
      <c r="X43" s="18" t="s">
        <v>840</v>
      </c>
      <c r="Y43" s="18" t="s">
        <v>840</v>
      </c>
      <c r="Z43" s="18" t="s">
        <v>474</v>
      </c>
      <c r="AA43" s="18" t="s">
        <v>841</v>
      </c>
      <c r="AB43" s="18" t="s">
        <v>842</v>
      </c>
      <c r="AC43" s="18" t="s">
        <v>651</v>
      </c>
      <c r="AD43" s="18" t="s">
        <v>843</v>
      </c>
      <c r="AE43" s="18" t="s">
        <v>403</v>
      </c>
      <c r="AF43" s="18" t="s">
        <v>479</v>
      </c>
      <c r="AG43" s="18" t="s">
        <v>463</v>
      </c>
      <c r="AH43" s="18" t="s">
        <v>464</v>
      </c>
      <c r="AI43" s="18" t="s">
        <v>407</v>
      </c>
      <c r="AJ43" s="18" t="s">
        <v>403</v>
      </c>
      <c r="AK43" s="18"/>
      <c r="AL43" s="18" t="s">
        <v>431</v>
      </c>
      <c r="AM43" s="18" t="s">
        <v>844</v>
      </c>
    </row>
    <row r="44" spans="1:39" ht="48">
      <c r="A44" s="17" t="s">
        <v>109</v>
      </c>
      <c r="B44" s="17" t="s">
        <v>383</v>
      </c>
      <c r="C44" s="17" t="s">
        <v>384</v>
      </c>
      <c r="D44" s="17" t="s">
        <v>385</v>
      </c>
      <c r="E44" s="17" t="s">
        <v>386</v>
      </c>
      <c r="F44" s="17" t="s">
        <v>724</v>
      </c>
      <c r="G44" s="17">
        <v>75</v>
      </c>
      <c r="H44" s="17" t="s">
        <v>845</v>
      </c>
      <c r="I44" s="17" t="s">
        <v>846</v>
      </c>
      <c r="J44" s="17" t="s">
        <v>453</v>
      </c>
      <c r="K44" s="17" t="s">
        <v>847</v>
      </c>
      <c r="L44" s="17" t="s">
        <v>391</v>
      </c>
      <c r="M44" s="17" t="s">
        <v>848</v>
      </c>
      <c r="N44" s="17" t="s">
        <v>849</v>
      </c>
      <c r="O44" s="17" t="s">
        <v>850</v>
      </c>
      <c r="P44" s="17" t="s">
        <v>851</v>
      </c>
      <c r="Q44" s="17" t="s">
        <v>777</v>
      </c>
      <c r="R44" s="17"/>
      <c r="S44" s="48" t="str">
        <f>IFERROR(T(INDEX('Prospectos Resumen'!$K$9:$K$297,MATCH(A44,'Prospectos Resumen'!$A$9:$A$297,0))),"")</f>
        <v/>
      </c>
      <c r="T44" s="17"/>
      <c r="U44" s="17"/>
      <c r="V44" s="17"/>
      <c r="W44" s="17"/>
      <c r="X44" s="17" t="s">
        <v>852</v>
      </c>
      <c r="Y44" s="17" t="s">
        <v>852</v>
      </c>
      <c r="Z44" s="17" t="s">
        <v>443</v>
      </c>
      <c r="AA44" s="17" t="s">
        <v>853</v>
      </c>
      <c r="AB44" s="17" t="s">
        <v>531</v>
      </c>
      <c r="AC44" s="17" t="s">
        <v>853</v>
      </c>
      <c r="AD44" s="17" t="s">
        <v>851</v>
      </c>
      <c r="AE44" s="17" t="s">
        <v>403</v>
      </c>
      <c r="AF44" s="17" t="s">
        <v>447</v>
      </c>
      <c r="AG44" s="17" t="s">
        <v>463</v>
      </c>
      <c r="AH44" s="17" t="s">
        <v>464</v>
      </c>
      <c r="AI44" s="17" t="s">
        <v>407</v>
      </c>
      <c r="AJ44" s="17" t="s">
        <v>403</v>
      </c>
      <c r="AK44" s="17"/>
      <c r="AL44" s="17" t="s">
        <v>450</v>
      </c>
      <c r="AM44" s="17" t="s">
        <v>854</v>
      </c>
    </row>
    <row r="45" spans="1:39" ht="48">
      <c r="A45" s="18" t="s">
        <v>110</v>
      </c>
      <c r="B45" s="18" t="s">
        <v>383</v>
      </c>
      <c r="C45" s="18" t="s">
        <v>384</v>
      </c>
      <c r="D45" s="18" t="s">
        <v>385</v>
      </c>
      <c r="E45" s="18" t="s">
        <v>386</v>
      </c>
      <c r="F45" s="18" t="s">
        <v>724</v>
      </c>
      <c r="G45" s="18">
        <v>75</v>
      </c>
      <c r="H45" s="18" t="s">
        <v>855</v>
      </c>
      <c r="I45" s="18" t="s">
        <v>856</v>
      </c>
      <c r="J45" s="18" t="s">
        <v>453</v>
      </c>
      <c r="K45" s="18" t="s">
        <v>857</v>
      </c>
      <c r="L45" s="18" t="s">
        <v>391</v>
      </c>
      <c r="M45" s="18" t="s">
        <v>455</v>
      </c>
      <c r="N45" s="18" t="s">
        <v>518</v>
      </c>
      <c r="O45" s="18" t="s">
        <v>519</v>
      </c>
      <c r="P45" s="18" t="s">
        <v>858</v>
      </c>
      <c r="Q45" s="18" t="s">
        <v>777</v>
      </c>
      <c r="R45" s="18"/>
      <c r="S45" s="48" t="str">
        <f>IFERROR(T(INDEX('Prospectos Resumen'!$K$9:$K$297,MATCH(A45,'Prospectos Resumen'!$A$9:$A$297,0))),"")</f>
        <v/>
      </c>
      <c r="T45" s="18"/>
      <c r="U45" s="18"/>
      <c r="V45" s="18"/>
      <c r="W45" s="18"/>
      <c r="X45" s="18" t="s">
        <v>859</v>
      </c>
      <c r="Y45" s="18" t="s">
        <v>860</v>
      </c>
      <c r="Z45" s="18" t="s">
        <v>443</v>
      </c>
      <c r="AA45" s="18" t="s">
        <v>861</v>
      </c>
      <c r="AB45" s="18" t="s">
        <v>553</v>
      </c>
      <c r="AC45" s="18" t="s">
        <v>862</v>
      </c>
      <c r="AD45" s="18" t="s">
        <v>858</v>
      </c>
      <c r="AE45" s="18" t="s">
        <v>403</v>
      </c>
      <c r="AF45" s="18" t="s">
        <v>447</v>
      </c>
      <c r="AG45" s="18" t="s">
        <v>448</v>
      </c>
      <c r="AH45" s="18" t="s">
        <v>464</v>
      </c>
      <c r="AI45" s="18" t="s">
        <v>407</v>
      </c>
      <c r="AJ45" s="18" t="s">
        <v>403</v>
      </c>
      <c r="AK45" s="18"/>
      <c r="AL45" s="18" t="s">
        <v>450</v>
      </c>
      <c r="AM45" s="18" t="s">
        <v>863</v>
      </c>
    </row>
    <row r="46" spans="1:39" ht="60">
      <c r="A46" s="17" t="s">
        <v>111</v>
      </c>
      <c r="B46" s="17" t="s">
        <v>383</v>
      </c>
      <c r="C46" s="17" t="s">
        <v>384</v>
      </c>
      <c r="D46" s="17" t="s">
        <v>385</v>
      </c>
      <c r="E46" s="17" t="s">
        <v>386</v>
      </c>
      <c r="F46" s="17" t="s">
        <v>724</v>
      </c>
      <c r="G46" s="17">
        <v>75</v>
      </c>
      <c r="H46" s="17" t="s">
        <v>864</v>
      </c>
      <c r="I46" s="17" t="s">
        <v>830</v>
      </c>
      <c r="J46" s="17" t="s">
        <v>414</v>
      </c>
      <c r="K46" s="17" t="s">
        <v>865</v>
      </c>
      <c r="L46" s="17" t="s">
        <v>391</v>
      </c>
      <c r="M46" s="17" t="s">
        <v>558</v>
      </c>
      <c r="N46" s="17" t="s">
        <v>559</v>
      </c>
      <c r="O46" s="17" t="s">
        <v>560</v>
      </c>
      <c r="P46" s="17" t="s">
        <v>866</v>
      </c>
      <c r="Q46" s="17" t="s">
        <v>777</v>
      </c>
      <c r="R46" s="17"/>
      <c r="S46" s="48" t="str">
        <f>IFERROR(T(INDEX('Prospectos Resumen'!$K$9:$K$297,MATCH(A46,'Prospectos Resumen'!$A$9:$A$297,0))),"")</f>
        <v/>
      </c>
      <c r="T46" s="17"/>
      <c r="U46" s="17"/>
      <c r="V46" s="17"/>
      <c r="W46" s="17"/>
      <c r="X46" s="17" t="s">
        <v>867</v>
      </c>
      <c r="Y46" s="17" t="s">
        <v>867</v>
      </c>
      <c r="Z46" s="17" t="s">
        <v>443</v>
      </c>
      <c r="AA46" s="17" t="s">
        <v>868</v>
      </c>
      <c r="AB46" s="17" t="s">
        <v>531</v>
      </c>
      <c r="AC46" s="17" t="s">
        <v>868</v>
      </c>
      <c r="AD46" s="17" t="s">
        <v>866</v>
      </c>
      <c r="AE46" s="17" t="s">
        <v>403</v>
      </c>
      <c r="AF46" s="17" t="s">
        <v>447</v>
      </c>
      <c r="AG46" s="17" t="s">
        <v>428</v>
      </c>
      <c r="AH46" s="17" t="s">
        <v>429</v>
      </c>
      <c r="AI46" s="17" t="s">
        <v>407</v>
      </c>
      <c r="AJ46" s="17" t="s">
        <v>403</v>
      </c>
      <c r="AK46" s="17" t="s">
        <v>430</v>
      </c>
      <c r="AL46" s="17" t="s">
        <v>450</v>
      </c>
      <c r="AM46" s="17" t="s">
        <v>869</v>
      </c>
    </row>
    <row r="47" spans="1:39" ht="48">
      <c r="A47" s="18" t="s">
        <v>112</v>
      </c>
      <c r="B47" s="18" t="s">
        <v>383</v>
      </c>
      <c r="C47" s="18" t="s">
        <v>384</v>
      </c>
      <c r="D47" s="18" t="s">
        <v>385</v>
      </c>
      <c r="E47" s="18" t="s">
        <v>386</v>
      </c>
      <c r="F47" s="18" t="s">
        <v>724</v>
      </c>
      <c r="G47" s="18">
        <v>72</v>
      </c>
      <c r="H47" s="18" t="s">
        <v>870</v>
      </c>
      <c r="I47" s="18" t="s">
        <v>871</v>
      </c>
      <c r="J47" s="18" t="s">
        <v>23</v>
      </c>
      <c r="K47" s="18" t="s">
        <v>872</v>
      </c>
      <c r="L47" s="18" t="s">
        <v>557</v>
      </c>
      <c r="M47" s="18" t="s">
        <v>392</v>
      </c>
      <c r="N47" s="18" t="s">
        <v>709</v>
      </c>
      <c r="O47" s="18" t="s">
        <v>710</v>
      </c>
      <c r="P47" s="18" t="s">
        <v>711</v>
      </c>
      <c r="Q47" s="18" t="s">
        <v>873</v>
      </c>
      <c r="R47" s="18"/>
      <c r="S47" s="48" t="str">
        <f>IFERROR(T(INDEX('Prospectos Resumen'!$K$9:$K$297,MATCH(A47,'Prospectos Resumen'!$A$9:$A$297,0))),"")</f>
        <v/>
      </c>
      <c r="T47" s="18"/>
      <c r="U47" s="18"/>
      <c r="V47" s="18"/>
      <c r="W47" s="18"/>
      <c r="X47" s="18" t="s">
        <v>874</v>
      </c>
      <c r="Y47" s="18" t="s">
        <v>874</v>
      </c>
      <c r="Z47" s="18" t="s">
        <v>695</v>
      </c>
      <c r="AA47" s="18" t="s">
        <v>875</v>
      </c>
      <c r="AB47" s="18" t="s">
        <v>876</v>
      </c>
      <c r="AC47" s="18" t="s">
        <v>877</v>
      </c>
      <c r="AD47" s="18" t="s">
        <v>878</v>
      </c>
      <c r="AE47" s="18" t="s">
        <v>566</v>
      </c>
      <c r="AF47" s="18" t="s">
        <v>404</v>
      </c>
      <c r="AG47" s="18" t="s">
        <v>405</v>
      </c>
      <c r="AH47" s="18" t="s">
        <v>406</v>
      </c>
      <c r="AI47" s="18" t="s">
        <v>407</v>
      </c>
      <c r="AJ47" s="18" t="s">
        <v>566</v>
      </c>
      <c r="AK47" s="18" t="s">
        <v>409</v>
      </c>
      <c r="AL47" s="18" t="s">
        <v>410</v>
      </c>
      <c r="AM47" s="18" t="s">
        <v>411</v>
      </c>
    </row>
    <row r="48" spans="1:39" ht="48">
      <c r="A48" s="17" t="s">
        <v>113</v>
      </c>
      <c r="B48" s="17" t="s">
        <v>383</v>
      </c>
      <c r="C48" s="17" t="s">
        <v>384</v>
      </c>
      <c r="D48" s="17" t="s">
        <v>385</v>
      </c>
      <c r="E48" s="17" t="s">
        <v>386</v>
      </c>
      <c r="F48" s="17" t="s">
        <v>724</v>
      </c>
      <c r="G48" s="17">
        <v>68</v>
      </c>
      <c r="H48" s="17" t="s">
        <v>879</v>
      </c>
      <c r="I48" s="17" t="s">
        <v>880</v>
      </c>
      <c r="J48" s="17" t="s">
        <v>23</v>
      </c>
      <c r="K48" s="17" t="s">
        <v>881</v>
      </c>
      <c r="L48" s="17" t="s">
        <v>557</v>
      </c>
      <c r="M48" s="17" t="s">
        <v>392</v>
      </c>
      <c r="N48" s="17" t="s">
        <v>709</v>
      </c>
      <c r="O48" s="17" t="s">
        <v>710</v>
      </c>
      <c r="P48" s="17" t="s">
        <v>711</v>
      </c>
      <c r="Q48" s="17" t="s">
        <v>873</v>
      </c>
      <c r="R48" s="17"/>
      <c r="S48" s="48" t="str">
        <f>IFERROR(T(INDEX('Prospectos Resumen'!$K$9:$K$297,MATCH(A48,'Prospectos Resumen'!$A$9:$A$297,0))),"")</f>
        <v/>
      </c>
      <c r="T48" s="17"/>
      <c r="U48" s="17"/>
      <c r="V48" s="17"/>
      <c r="W48" s="17"/>
      <c r="X48" s="17" t="s">
        <v>882</v>
      </c>
      <c r="Y48" s="17" t="s">
        <v>882</v>
      </c>
      <c r="Z48" s="17" t="s">
        <v>695</v>
      </c>
      <c r="AA48" s="17" t="s">
        <v>883</v>
      </c>
      <c r="AB48" s="17" t="s">
        <v>884</v>
      </c>
      <c r="AC48" s="17" t="s">
        <v>883</v>
      </c>
      <c r="AD48" s="17" t="s">
        <v>885</v>
      </c>
      <c r="AE48" s="17" t="s">
        <v>566</v>
      </c>
      <c r="AF48" s="17" t="s">
        <v>404</v>
      </c>
      <c r="AG48" s="17" t="s">
        <v>405</v>
      </c>
      <c r="AH48" s="17" t="s">
        <v>406</v>
      </c>
      <c r="AI48" s="17" t="s">
        <v>407</v>
      </c>
      <c r="AJ48" s="17" t="s">
        <v>566</v>
      </c>
      <c r="AK48" s="17" t="s">
        <v>409</v>
      </c>
      <c r="AL48" s="17" t="s">
        <v>410</v>
      </c>
      <c r="AM48" s="17" t="s">
        <v>411</v>
      </c>
    </row>
    <row r="49" spans="1:39" ht="48">
      <c r="A49" s="18" t="s">
        <v>114</v>
      </c>
      <c r="B49" s="18" t="s">
        <v>383</v>
      </c>
      <c r="C49" s="18" t="s">
        <v>384</v>
      </c>
      <c r="D49" s="18" t="s">
        <v>386</v>
      </c>
      <c r="E49" s="18" t="s">
        <v>386</v>
      </c>
      <c r="F49" s="18" t="s">
        <v>724</v>
      </c>
      <c r="G49" s="18">
        <v>60</v>
      </c>
      <c r="H49" s="18" t="s">
        <v>886</v>
      </c>
      <c r="I49" s="18" t="s">
        <v>640</v>
      </c>
      <c r="J49" s="18" t="s">
        <v>453</v>
      </c>
      <c r="K49" s="18" t="s">
        <v>887</v>
      </c>
      <c r="L49" s="18" t="s">
        <v>557</v>
      </c>
      <c r="M49" s="18" t="s">
        <v>455</v>
      </c>
      <c r="N49" s="18" t="s">
        <v>456</v>
      </c>
      <c r="O49" s="18" t="s">
        <v>838</v>
      </c>
      <c r="P49" s="18" t="s">
        <v>888</v>
      </c>
      <c r="Q49" s="18" t="s">
        <v>472</v>
      </c>
      <c r="R49" s="18"/>
      <c r="S49" s="48" t="str">
        <f>IFERROR(T(INDEX('Prospectos Resumen'!$K$9:$K$297,MATCH(A49,'Prospectos Resumen'!$A$9:$A$297,0))),"")</f>
        <v>DIEGO BAUDINO</v>
      </c>
      <c r="T49" s="18"/>
      <c r="U49" s="18"/>
      <c r="V49" s="18"/>
      <c r="W49" s="18"/>
      <c r="X49" s="18" t="s">
        <v>889</v>
      </c>
      <c r="Y49" s="18" t="s">
        <v>890</v>
      </c>
      <c r="Z49" s="18" t="s">
        <v>474</v>
      </c>
      <c r="AA49" s="18" t="s">
        <v>891</v>
      </c>
      <c r="AB49" s="18" t="s">
        <v>892</v>
      </c>
      <c r="AC49" s="18" t="s">
        <v>893</v>
      </c>
      <c r="AD49" s="18" t="s">
        <v>894</v>
      </c>
      <c r="AE49" s="18" t="s">
        <v>566</v>
      </c>
      <c r="AF49" s="18" t="s">
        <v>479</v>
      </c>
      <c r="AG49" s="18" t="s">
        <v>463</v>
      </c>
      <c r="AH49" s="18" t="s">
        <v>464</v>
      </c>
      <c r="AI49" s="18" t="s">
        <v>407</v>
      </c>
      <c r="AJ49" s="18" t="s">
        <v>566</v>
      </c>
      <c r="AK49" s="18"/>
      <c r="AL49" s="18" t="s">
        <v>431</v>
      </c>
      <c r="AM49" s="18" t="s">
        <v>895</v>
      </c>
    </row>
    <row r="50" spans="1:39" ht="48">
      <c r="A50" s="17" t="s">
        <v>115</v>
      </c>
      <c r="B50" s="17" t="s">
        <v>383</v>
      </c>
      <c r="C50" s="17" t="s">
        <v>384</v>
      </c>
      <c r="D50" s="17" t="s">
        <v>386</v>
      </c>
      <c r="E50" s="17" t="s">
        <v>386</v>
      </c>
      <c r="F50" s="17" t="s">
        <v>724</v>
      </c>
      <c r="G50" s="17">
        <v>60</v>
      </c>
      <c r="H50" s="17" t="s">
        <v>896</v>
      </c>
      <c r="I50" s="17" t="s">
        <v>897</v>
      </c>
      <c r="J50" s="17" t="s">
        <v>23</v>
      </c>
      <c r="K50" s="17" t="s">
        <v>898</v>
      </c>
      <c r="L50" s="17" t="s">
        <v>391</v>
      </c>
      <c r="M50" s="17" t="s">
        <v>537</v>
      </c>
      <c r="N50" s="17" t="s">
        <v>805</v>
      </c>
      <c r="O50" s="17" t="s">
        <v>538</v>
      </c>
      <c r="P50" s="17" t="s">
        <v>899</v>
      </c>
      <c r="Q50" s="17" t="s">
        <v>420</v>
      </c>
      <c r="R50" s="17"/>
      <c r="S50" s="48" t="str">
        <f>IFERROR(T(INDEX('Prospectos Resumen'!$K$9:$K$297,MATCH(A50,'Prospectos Resumen'!$A$9:$A$297,0))),"")</f>
        <v/>
      </c>
      <c r="T50" s="17"/>
      <c r="U50" s="17"/>
      <c r="V50" s="17"/>
      <c r="W50" s="17"/>
      <c r="X50" s="17" t="s">
        <v>900</v>
      </c>
      <c r="Y50" s="17" t="s">
        <v>901</v>
      </c>
      <c r="Z50" s="17" t="s">
        <v>423</v>
      </c>
      <c r="AA50" s="17" t="s">
        <v>902</v>
      </c>
      <c r="AB50" s="17" t="s">
        <v>903</v>
      </c>
      <c r="AC50" s="17" t="s">
        <v>904</v>
      </c>
      <c r="AD50" s="17" t="s">
        <v>905</v>
      </c>
      <c r="AE50" s="17" t="s">
        <v>566</v>
      </c>
      <c r="AF50" s="17" t="s">
        <v>427</v>
      </c>
      <c r="AG50" s="17" t="s">
        <v>544</v>
      </c>
      <c r="AH50" s="17" t="s">
        <v>449</v>
      </c>
      <c r="AI50" s="17" t="s">
        <v>407</v>
      </c>
      <c r="AJ50" s="17" t="s">
        <v>566</v>
      </c>
      <c r="AK50" s="17"/>
      <c r="AL50" s="17" t="s">
        <v>431</v>
      </c>
      <c r="AM50" s="17" t="s">
        <v>906</v>
      </c>
    </row>
    <row r="51" spans="1:39" ht="36">
      <c r="A51" s="18" t="s">
        <v>116</v>
      </c>
      <c r="B51" s="18" t="s">
        <v>383</v>
      </c>
      <c r="C51" s="18" t="s">
        <v>384</v>
      </c>
      <c r="D51" s="18" t="s">
        <v>386</v>
      </c>
      <c r="E51" s="18" t="s">
        <v>386</v>
      </c>
      <c r="F51" s="18" t="s">
        <v>724</v>
      </c>
      <c r="G51" s="18">
        <v>60</v>
      </c>
      <c r="H51" s="18" t="s">
        <v>907</v>
      </c>
      <c r="I51" s="18" t="s">
        <v>908</v>
      </c>
      <c r="J51" s="18" t="s">
        <v>453</v>
      </c>
      <c r="K51" s="18" t="s">
        <v>909</v>
      </c>
      <c r="L51" s="18" t="s">
        <v>557</v>
      </c>
      <c r="M51" s="18" t="s">
        <v>804</v>
      </c>
      <c r="N51" s="18" t="s">
        <v>805</v>
      </c>
      <c r="O51" s="18" t="s">
        <v>806</v>
      </c>
      <c r="P51" s="18" t="s">
        <v>910</v>
      </c>
      <c r="Q51" s="18" t="s">
        <v>420</v>
      </c>
      <c r="R51" s="18"/>
      <c r="S51" s="48" t="str">
        <f>IFERROR(T(INDEX('Prospectos Resumen'!$K$9:$K$297,MATCH(A51,'Prospectos Resumen'!$A$9:$A$297,0))),"")</f>
        <v/>
      </c>
      <c r="T51" s="18"/>
      <c r="U51" s="18"/>
      <c r="V51" s="18"/>
      <c r="W51" s="18"/>
      <c r="X51" s="18" t="s">
        <v>562</v>
      </c>
      <c r="Y51" s="18" t="s">
        <v>562</v>
      </c>
      <c r="Z51" s="18" t="s">
        <v>423</v>
      </c>
      <c r="AA51" s="18" t="s">
        <v>911</v>
      </c>
      <c r="AB51" s="18" t="s">
        <v>553</v>
      </c>
      <c r="AC51" s="18"/>
      <c r="AD51" s="18" t="s">
        <v>426</v>
      </c>
      <c r="AE51" s="18" t="s">
        <v>566</v>
      </c>
      <c r="AF51" s="18" t="s">
        <v>427</v>
      </c>
      <c r="AG51" s="18" t="s">
        <v>463</v>
      </c>
      <c r="AH51" s="18" t="s">
        <v>464</v>
      </c>
      <c r="AI51" s="18" t="s">
        <v>407</v>
      </c>
      <c r="AJ51" s="18" t="s">
        <v>566</v>
      </c>
      <c r="AK51" s="18"/>
      <c r="AL51" s="18" t="s">
        <v>431</v>
      </c>
      <c r="AM51" s="18" t="s">
        <v>912</v>
      </c>
    </row>
    <row r="52" spans="1:39" ht="36">
      <c r="A52" s="17" t="s">
        <v>117</v>
      </c>
      <c r="B52" s="17" t="s">
        <v>383</v>
      </c>
      <c r="C52" s="17" t="s">
        <v>384</v>
      </c>
      <c r="D52" s="17" t="s">
        <v>386</v>
      </c>
      <c r="E52" s="17" t="s">
        <v>386</v>
      </c>
      <c r="F52" s="17" t="s">
        <v>724</v>
      </c>
      <c r="G52" s="17">
        <v>60</v>
      </c>
      <c r="H52" s="17" t="s">
        <v>913</v>
      </c>
      <c r="I52" s="17" t="s">
        <v>413</v>
      </c>
      <c r="J52" s="17" t="s">
        <v>414</v>
      </c>
      <c r="K52" s="17" t="s">
        <v>914</v>
      </c>
      <c r="L52" s="17" t="s">
        <v>557</v>
      </c>
      <c r="M52" s="17" t="s">
        <v>915</v>
      </c>
      <c r="N52" s="17" t="s">
        <v>417</v>
      </c>
      <c r="O52" s="17" t="s">
        <v>916</v>
      </c>
      <c r="P52" s="17" t="s">
        <v>917</v>
      </c>
      <c r="Q52" s="17" t="s">
        <v>420</v>
      </c>
      <c r="R52" s="17"/>
      <c r="S52" s="48" t="str">
        <f>IFERROR(T(INDEX('Prospectos Resumen'!$K$9:$K$297,MATCH(A52,'Prospectos Resumen'!$A$9:$A$297,0))),"")</f>
        <v/>
      </c>
      <c r="T52" s="17"/>
      <c r="U52" s="17"/>
      <c r="V52" s="17"/>
      <c r="W52" s="17"/>
      <c r="X52" s="17" t="s">
        <v>918</v>
      </c>
      <c r="Y52" s="17" t="s">
        <v>918</v>
      </c>
      <c r="Z52" s="17" t="s">
        <v>423</v>
      </c>
      <c r="AA52" s="17" t="s">
        <v>919</v>
      </c>
      <c r="AB52" s="17" t="s">
        <v>920</v>
      </c>
      <c r="AC52" s="17"/>
      <c r="AD52" s="17" t="s">
        <v>426</v>
      </c>
      <c r="AE52" s="17" t="s">
        <v>566</v>
      </c>
      <c r="AF52" s="17" t="s">
        <v>427</v>
      </c>
      <c r="AG52" s="17" t="s">
        <v>428</v>
      </c>
      <c r="AH52" s="17" t="s">
        <v>429</v>
      </c>
      <c r="AI52" s="17" t="s">
        <v>407</v>
      </c>
      <c r="AJ52" s="17" t="s">
        <v>566</v>
      </c>
      <c r="AK52" s="17" t="s">
        <v>430</v>
      </c>
      <c r="AL52" s="17" t="s">
        <v>431</v>
      </c>
      <c r="AM52" s="17" t="s">
        <v>921</v>
      </c>
    </row>
    <row r="53" spans="1:39" ht="48">
      <c r="A53" s="18" t="s">
        <v>118</v>
      </c>
      <c r="B53" s="18" t="s">
        <v>383</v>
      </c>
      <c r="C53" s="18" t="s">
        <v>384</v>
      </c>
      <c r="D53" s="18" t="s">
        <v>385</v>
      </c>
      <c r="E53" s="18" t="s">
        <v>386</v>
      </c>
      <c r="F53" s="18" t="s">
        <v>724</v>
      </c>
      <c r="G53" s="18">
        <v>60</v>
      </c>
      <c r="H53" s="18" t="s">
        <v>922</v>
      </c>
      <c r="I53" s="18" t="s">
        <v>923</v>
      </c>
      <c r="J53" s="18" t="s">
        <v>453</v>
      </c>
      <c r="K53" s="18" t="s">
        <v>924</v>
      </c>
      <c r="L53" s="18" t="s">
        <v>613</v>
      </c>
      <c r="M53" s="18" t="s">
        <v>455</v>
      </c>
      <c r="N53" s="18" t="s">
        <v>518</v>
      </c>
      <c r="O53" s="18" t="s">
        <v>519</v>
      </c>
      <c r="P53" s="18" t="s">
        <v>925</v>
      </c>
      <c r="Q53" s="18" t="s">
        <v>777</v>
      </c>
      <c r="R53" s="18"/>
      <c r="S53" s="48" t="str">
        <f>IFERROR(T(INDEX('Prospectos Resumen'!$K$9:$K$297,MATCH(A53,'Prospectos Resumen'!$A$9:$A$297,0))),"")</f>
        <v/>
      </c>
      <c r="T53" s="18"/>
      <c r="U53" s="18"/>
      <c r="V53" s="18"/>
      <c r="W53" s="18"/>
      <c r="X53" s="18"/>
      <c r="Y53" s="18"/>
      <c r="Z53" s="18" t="s">
        <v>443</v>
      </c>
      <c r="AA53" s="18" t="s">
        <v>926</v>
      </c>
      <c r="AB53" s="18" t="s">
        <v>553</v>
      </c>
      <c r="AC53" s="18" t="s">
        <v>651</v>
      </c>
      <c r="AD53" s="18" t="s">
        <v>925</v>
      </c>
      <c r="AE53" s="18" t="s">
        <v>566</v>
      </c>
      <c r="AF53" s="18" t="s">
        <v>447</v>
      </c>
      <c r="AG53" s="18" t="s">
        <v>448</v>
      </c>
      <c r="AH53" s="18" t="s">
        <v>464</v>
      </c>
      <c r="AI53" s="18" t="s">
        <v>407</v>
      </c>
      <c r="AJ53" s="18" t="s">
        <v>566</v>
      </c>
      <c r="AK53" s="18"/>
      <c r="AL53" s="18" t="s">
        <v>450</v>
      </c>
      <c r="AM53" s="18" t="s">
        <v>927</v>
      </c>
    </row>
    <row r="54" spans="1:39" ht="48">
      <c r="A54" s="17" t="s">
        <v>119</v>
      </c>
      <c r="B54" s="17" t="s">
        <v>383</v>
      </c>
      <c r="C54" s="17" t="s">
        <v>384</v>
      </c>
      <c r="D54" s="17" t="s">
        <v>385</v>
      </c>
      <c r="E54" s="17" t="s">
        <v>386</v>
      </c>
      <c r="F54" s="17" t="s">
        <v>724</v>
      </c>
      <c r="G54" s="17">
        <v>60</v>
      </c>
      <c r="H54" s="17" t="s">
        <v>928</v>
      </c>
      <c r="I54" s="17" t="s">
        <v>929</v>
      </c>
      <c r="J54" s="17" t="s">
        <v>802</v>
      </c>
      <c r="K54" s="17" t="s">
        <v>930</v>
      </c>
      <c r="L54" s="17" t="s">
        <v>391</v>
      </c>
      <c r="M54" s="17" t="s">
        <v>848</v>
      </c>
      <c r="N54" s="17" t="s">
        <v>849</v>
      </c>
      <c r="O54" s="17" t="s">
        <v>850</v>
      </c>
      <c r="P54" s="17" t="s">
        <v>931</v>
      </c>
      <c r="Q54" s="17" t="s">
        <v>777</v>
      </c>
      <c r="R54" s="17"/>
      <c r="S54" s="48" t="str">
        <f>IFERROR(T(INDEX('Prospectos Resumen'!$K$9:$K$297,MATCH(A54,'Prospectos Resumen'!$A$9:$A$297,0))),"")</f>
        <v/>
      </c>
      <c r="T54" s="17"/>
      <c r="U54" s="17"/>
      <c r="V54" s="17"/>
      <c r="W54" s="17"/>
      <c r="X54" s="17" t="s">
        <v>932</v>
      </c>
      <c r="Y54" s="17" t="s">
        <v>932</v>
      </c>
      <c r="Z54" s="17" t="s">
        <v>443</v>
      </c>
      <c r="AA54" s="17" t="s">
        <v>933</v>
      </c>
      <c r="AB54" s="17" t="s">
        <v>798</v>
      </c>
      <c r="AC54" s="17" t="s">
        <v>651</v>
      </c>
      <c r="AD54" s="17" t="s">
        <v>931</v>
      </c>
      <c r="AE54" s="17" t="s">
        <v>403</v>
      </c>
      <c r="AF54" s="17" t="s">
        <v>447</v>
      </c>
      <c r="AG54" s="17" t="s">
        <v>463</v>
      </c>
      <c r="AH54" s="17" t="s">
        <v>464</v>
      </c>
      <c r="AI54" s="17" t="s">
        <v>407</v>
      </c>
      <c r="AJ54" s="17" t="s">
        <v>403</v>
      </c>
      <c r="AK54" s="17"/>
      <c r="AL54" s="17" t="s">
        <v>450</v>
      </c>
      <c r="AM54" s="17" t="s">
        <v>934</v>
      </c>
    </row>
    <row r="55" spans="1:39" ht="57">
      <c r="A55" s="6" t="s">
        <v>120</v>
      </c>
      <c r="B55" s="6" t="s">
        <v>383</v>
      </c>
      <c r="C55" s="6" t="s">
        <v>384</v>
      </c>
      <c r="D55" s="6" t="s">
        <v>386</v>
      </c>
      <c r="E55" s="6" t="s">
        <v>386</v>
      </c>
      <c r="F55" s="6" t="s">
        <v>724</v>
      </c>
      <c r="G55" s="6">
        <v>50</v>
      </c>
      <c r="H55" s="6" t="s">
        <v>935</v>
      </c>
      <c r="I55" s="6" t="s">
        <v>936</v>
      </c>
      <c r="J55" s="6" t="s">
        <v>535</v>
      </c>
      <c r="K55" s="6" t="s">
        <v>613</v>
      </c>
      <c r="L55" s="6" t="s">
        <v>613</v>
      </c>
      <c r="M55" s="6" t="s">
        <v>537</v>
      </c>
      <c r="N55" s="6" t="s">
        <v>469</v>
      </c>
      <c r="O55" s="6" t="s">
        <v>538</v>
      </c>
      <c r="P55" s="6" t="s">
        <v>937</v>
      </c>
      <c r="Q55" s="6" t="s">
        <v>420</v>
      </c>
      <c r="R55" s="6"/>
      <c r="S55" s="50" t="str">
        <f>IFERROR(T(INDEX('Prospectos Resumen'!$K$9:$K$297,MATCH(A55,'Prospectos Resumen'!$A$9:$A$297,0))),"")</f>
        <v>MARCOS PALOMBARINI (GERENTE DE MANTENIMIENTO)
JOSE ROSSO (JEFE DE PLANTA CLORO SODA)</v>
      </c>
      <c r="T55" s="6"/>
      <c r="U55" s="6"/>
      <c r="V55" s="6"/>
      <c r="W55" s="6"/>
      <c r="X55" s="6"/>
      <c r="Y55" s="6"/>
      <c r="Z55" s="6" t="s">
        <v>423</v>
      </c>
      <c r="AA55" s="6" t="s">
        <v>938</v>
      </c>
      <c r="AB55" s="6" t="s">
        <v>939</v>
      </c>
      <c r="AC55" s="6"/>
      <c r="AD55" s="6" t="s">
        <v>426</v>
      </c>
      <c r="AE55" s="6" t="s">
        <v>566</v>
      </c>
      <c r="AF55" s="6" t="s">
        <v>427</v>
      </c>
      <c r="AG55" s="6" t="s">
        <v>544</v>
      </c>
      <c r="AH55" s="6" t="s">
        <v>464</v>
      </c>
      <c r="AI55" s="6" t="s">
        <v>407</v>
      </c>
      <c r="AJ55" s="6" t="s">
        <v>566</v>
      </c>
      <c r="AK55" s="6" t="s">
        <v>480</v>
      </c>
      <c r="AL55" s="6" t="s">
        <v>431</v>
      </c>
      <c r="AM55" s="6" t="s">
        <v>940</v>
      </c>
    </row>
    <row r="56" spans="1:39" ht="48">
      <c r="A56" s="17" t="s">
        <v>121</v>
      </c>
      <c r="B56" s="17" t="s">
        <v>383</v>
      </c>
      <c r="C56" s="17" t="s">
        <v>384</v>
      </c>
      <c r="D56" s="17" t="s">
        <v>465</v>
      </c>
      <c r="E56" s="17" t="s">
        <v>386</v>
      </c>
      <c r="F56" s="17" t="s">
        <v>724</v>
      </c>
      <c r="G56" s="17">
        <v>50</v>
      </c>
      <c r="H56" s="17" t="s">
        <v>941</v>
      </c>
      <c r="I56" s="17" t="s">
        <v>942</v>
      </c>
      <c r="J56" s="17" t="s">
        <v>414</v>
      </c>
      <c r="K56" s="17" t="s">
        <v>924</v>
      </c>
      <c r="L56" s="17" t="s">
        <v>613</v>
      </c>
      <c r="M56" s="17" t="s">
        <v>558</v>
      </c>
      <c r="N56" s="17" t="s">
        <v>417</v>
      </c>
      <c r="O56" s="17" t="s">
        <v>943</v>
      </c>
      <c r="P56" s="17" t="s">
        <v>944</v>
      </c>
      <c r="Q56" s="17" t="s">
        <v>472</v>
      </c>
      <c r="R56" s="17"/>
      <c r="S56" s="48" t="str">
        <f>IFERROR(T(INDEX('Prospectos Resumen'!$K$9:$K$297,MATCH(A56,'Prospectos Resumen'!$A$9:$A$297,0))),"")</f>
        <v/>
      </c>
      <c r="T56" s="17"/>
      <c r="U56" s="17"/>
      <c r="V56" s="17"/>
      <c r="W56" s="17"/>
      <c r="X56" s="17"/>
      <c r="Y56" s="17"/>
      <c r="Z56" s="17" t="s">
        <v>474</v>
      </c>
      <c r="AA56" s="17" t="s">
        <v>945</v>
      </c>
      <c r="AB56" s="17" t="s">
        <v>553</v>
      </c>
      <c r="AC56" s="17" t="s">
        <v>651</v>
      </c>
      <c r="AD56" s="17" t="s">
        <v>946</v>
      </c>
      <c r="AE56" s="17" t="s">
        <v>566</v>
      </c>
      <c r="AF56" s="17" t="s">
        <v>479</v>
      </c>
      <c r="AG56" s="17" t="s">
        <v>428</v>
      </c>
      <c r="AH56" s="17" t="s">
        <v>429</v>
      </c>
      <c r="AI56" s="17" t="s">
        <v>407</v>
      </c>
      <c r="AJ56" s="17" t="s">
        <v>566</v>
      </c>
      <c r="AK56" s="17"/>
      <c r="AL56" s="17" t="s">
        <v>431</v>
      </c>
      <c r="AM56" s="17" t="s">
        <v>947</v>
      </c>
    </row>
    <row r="57" spans="1:39" ht="48">
      <c r="A57" s="7" t="s">
        <v>122</v>
      </c>
      <c r="B57" s="7" t="s">
        <v>383</v>
      </c>
      <c r="C57" s="7" t="s">
        <v>384</v>
      </c>
      <c r="D57" s="7" t="s">
        <v>465</v>
      </c>
      <c r="E57" s="7" t="s">
        <v>386</v>
      </c>
      <c r="F57" s="7" t="s">
        <v>724</v>
      </c>
      <c r="G57" s="7">
        <v>50</v>
      </c>
      <c r="H57" s="7" t="s">
        <v>948</v>
      </c>
      <c r="I57" s="7" t="s">
        <v>949</v>
      </c>
      <c r="J57" s="7" t="s">
        <v>453</v>
      </c>
      <c r="K57" s="7" t="s">
        <v>924</v>
      </c>
      <c r="L57" s="7" t="s">
        <v>613</v>
      </c>
      <c r="M57" s="7" t="s">
        <v>950</v>
      </c>
      <c r="N57" s="7" t="s">
        <v>456</v>
      </c>
      <c r="O57" s="7" t="s">
        <v>838</v>
      </c>
      <c r="P57" s="7" t="s">
        <v>951</v>
      </c>
      <c r="Q57" s="7" t="s">
        <v>472</v>
      </c>
      <c r="R57" s="7"/>
      <c r="S57" s="49" t="str">
        <f>IFERROR(T(INDEX('Prospectos Resumen'!$K$9:$K$297,MATCH(A57,'Prospectos Resumen'!$A$9:$A$297,0))),"")</f>
        <v>ROLANDO RAMELLO</v>
      </c>
      <c r="T57" s="7"/>
      <c r="U57" s="7"/>
      <c r="V57" s="7"/>
      <c r="W57" s="7"/>
      <c r="X57" s="7"/>
      <c r="Y57" s="7"/>
      <c r="Z57" s="7" t="s">
        <v>474</v>
      </c>
      <c r="AA57" s="7" t="s">
        <v>952</v>
      </c>
      <c r="AB57" s="7" t="s">
        <v>553</v>
      </c>
      <c r="AC57" s="7" t="s">
        <v>651</v>
      </c>
      <c r="AD57" s="7" t="s">
        <v>953</v>
      </c>
      <c r="AE57" s="7" t="s">
        <v>566</v>
      </c>
      <c r="AF57" s="7" t="s">
        <v>479</v>
      </c>
      <c r="AG57" s="7" t="s">
        <v>428</v>
      </c>
      <c r="AH57" s="7" t="s">
        <v>429</v>
      </c>
      <c r="AI57" s="7" t="s">
        <v>407</v>
      </c>
      <c r="AJ57" s="7" t="s">
        <v>566</v>
      </c>
      <c r="AK57" s="7"/>
      <c r="AL57" s="7" t="s">
        <v>431</v>
      </c>
      <c r="AM57" s="7" t="s">
        <v>954</v>
      </c>
    </row>
    <row r="58" spans="1:39" ht="60">
      <c r="A58" s="17" t="s">
        <v>123</v>
      </c>
      <c r="B58" s="17" t="s">
        <v>383</v>
      </c>
      <c r="C58" s="17" t="s">
        <v>384</v>
      </c>
      <c r="D58" s="17" t="s">
        <v>465</v>
      </c>
      <c r="E58" s="17" t="s">
        <v>386</v>
      </c>
      <c r="F58" s="17" t="s">
        <v>724</v>
      </c>
      <c r="G58" s="17">
        <v>50</v>
      </c>
      <c r="H58" s="17" t="s">
        <v>955</v>
      </c>
      <c r="I58" s="17" t="s">
        <v>956</v>
      </c>
      <c r="J58" s="17" t="s">
        <v>453</v>
      </c>
      <c r="K58" s="17" t="s">
        <v>957</v>
      </c>
      <c r="L58" s="17" t="s">
        <v>391</v>
      </c>
      <c r="M58" s="17" t="s">
        <v>455</v>
      </c>
      <c r="N58" s="17" t="s">
        <v>805</v>
      </c>
      <c r="O58" s="17" t="s">
        <v>958</v>
      </c>
      <c r="P58" s="17" t="s">
        <v>959</v>
      </c>
      <c r="Q58" s="17" t="s">
        <v>472</v>
      </c>
      <c r="R58" s="17"/>
      <c r="S58" s="48" t="str">
        <f>IFERROR(T(INDEX('Prospectos Resumen'!$K$9:$K$297,MATCH(A58,'Prospectos Resumen'!$A$9:$A$297,0))),"")</f>
        <v/>
      </c>
      <c r="T58" s="17"/>
      <c r="U58" s="17"/>
      <c r="V58" s="17"/>
      <c r="W58" s="17"/>
      <c r="X58" s="17" t="s">
        <v>960</v>
      </c>
      <c r="Y58" s="17" t="s">
        <v>961</v>
      </c>
      <c r="Z58" s="17" t="s">
        <v>474</v>
      </c>
      <c r="AA58" s="17" t="s">
        <v>962</v>
      </c>
      <c r="AB58" s="17" t="s">
        <v>553</v>
      </c>
      <c r="AC58" s="17" t="s">
        <v>963</v>
      </c>
      <c r="AD58" s="17" t="s">
        <v>964</v>
      </c>
      <c r="AE58" s="17" t="s">
        <v>566</v>
      </c>
      <c r="AF58" s="17" t="s">
        <v>479</v>
      </c>
      <c r="AG58" s="17" t="s">
        <v>463</v>
      </c>
      <c r="AH58" s="17" t="s">
        <v>449</v>
      </c>
      <c r="AI58" s="17" t="s">
        <v>407</v>
      </c>
      <c r="AJ58" s="17" t="s">
        <v>566</v>
      </c>
      <c r="AK58" s="17"/>
      <c r="AL58" s="17" t="s">
        <v>431</v>
      </c>
      <c r="AM58" s="17" t="s">
        <v>965</v>
      </c>
    </row>
    <row r="59" spans="1:39" ht="36">
      <c r="A59" s="18" t="s">
        <v>124</v>
      </c>
      <c r="B59" s="18" t="s">
        <v>383</v>
      </c>
      <c r="C59" s="18" t="s">
        <v>384</v>
      </c>
      <c r="D59" s="18" t="s">
        <v>386</v>
      </c>
      <c r="E59" s="18" t="s">
        <v>386</v>
      </c>
      <c r="F59" s="18" t="s">
        <v>724</v>
      </c>
      <c r="G59" s="18">
        <v>50</v>
      </c>
      <c r="H59" s="18" t="s">
        <v>966</v>
      </c>
      <c r="I59" s="18" t="s">
        <v>967</v>
      </c>
      <c r="J59" s="18" t="s">
        <v>453</v>
      </c>
      <c r="K59" s="18" t="s">
        <v>613</v>
      </c>
      <c r="L59" s="18" t="s">
        <v>613</v>
      </c>
      <c r="M59" s="18" t="s">
        <v>455</v>
      </c>
      <c r="N59" s="18" t="s">
        <v>456</v>
      </c>
      <c r="O59" s="18" t="s">
        <v>457</v>
      </c>
      <c r="P59" s="18" t="s">
        <v>968</v>
      </c>
      <c r="Q59" s="18" t="s">
        <v>420</v>
      </c>
      <c r="R59" s="18"/>
      <c r="S59" s="48" t="str">
        <f>IFERROR(T(INDEX('Prospectos Resumen'!$K$9:$K$297,MATCH(A59,'Prospectos Resumen'!$A$9:$A$297,0))),"")</f>
        <v/>
      </c>
      <c r="T59" s="18"/>
      <c r="U59" s="18"/>
      <c r="V59" s="18"/>
      <c r="W59" s="18"/>
      <c r="X59" s="18"/>
      <c r="Y59" s="18"/>
      <c r="Z59" s="18" t="s">
        <v>423</v>
      </c>
      <c r="AA59" s="18" t="s">
        <v>969</v>
      </c>
      <c r="AB59" s="18" t="s">
        <v>970</v>
      </c>
      <c r="AC59" s="18"/>
      <c r="AD59" s="18" t="s">
        <v>426</v>
      </c>
      <c r="AE59" s="18" t="s">
        <v>566</v>
      </c>
      <c r="AF59" s="18" t="s">
        <v>427</v>
      </c>
      <c r="AG59" s="18" t="s">
        <v>463</v>
      </c>
      <c r="AH59" s="18" t="s">
        <v>464</v>
      </c>
      <c r="AI59" s="18" t="s">
        <v>407</v>
      </c>
      <c r="AJ59" s="18" t="s">
        <v>566</v>
      </c>
      <c r="AK59" s="18"/>
      <c r="AL59" s="18" t="s">
        <v>431</v>
      </c>
      <c r="AM59" s="18" t="s">
        <v>971</v>
      </c>
    </row>
    <row r="60" spans="1:39" ht="48">
      <c r="A60" s="17" t="s">
        <v>125</v>
      </c>
      <c r="B60" s="17" t="s">
        <v>383</v>
      </c>
      <c r="C60" s="17" t="s">
        <v>384</v>
      </c>
      <c r="D60" s="17" t="s">
        <v>465</v>
      </c>
      <c r="E60" s="17" t="s">
        <v>386</v>
      </c>
      <c r="F60" s="17" t="s">
        <v>724</v>
      </c>
      <c r="G60" s="17">
        <v>50</v>
      </c>
      <c r="H60" s="17" t="s">
        <v>972</v>
      </c>
      <c r="I60" s="17" t="s">
        <v>973</v>
      </c>
      <c r="J60" s="17" t="s">
        <v>802</v>
      </c>
      <c r="K60" s="17" t="s">
        <v>924</v>
      </c>
      <c r="L60" s="17" t="s">
        <v>613</v>
      </c>
      <c r="M60" s="17" t="s">
        <v>455</v>
      </c>
      <c r="N60" s="17" t="s">
        <v>805</v>
      </c>
      <c r="O60" s="17" t="s">
        <v>958</v>
      </c>
      <c r="P60" s="17" t="s">
        <v>974</v>
      </c>
      <c r="Q60" s="17" t="s">
        <v>472</v>
      </c>
      <c r="R60" s="17"/>
      <c r="S60" s="48" t="str">
        <f>IFERROR(T(INDEX('Prospectos Resumen'!$K$9:$K$297,MATCH(A60,'Prospectos Resumen'!$A$9:$A$297,0))),"")</f>
        <v/>
      </c>
      <c r="T60" s="17"/>
      <c r="U60" s="17"/>
      <c r="V60" s="17"/>
      <c r="W60" s="17"/>
      <c r="X60" s="17"/>
      <c r="Y60" s="17"/>
      <c r="Z60" s="17" t="s">
        <v>474</v>
      </c>
      <c r="AA60" s="17" t="s">
        <v>975</v>
      </c>
      <c r="AB60" s="17" t="s">
        <v>976</v>
      </c>
      <c r="AC60" s="17" t="s">
        <v>651</v>
      </c>
      <c r="AD60" s="17" t="s">
        <v>977</v>
      </c>
      <c r="AE60" s="17" t="s">
        <v>566</v>
      </c>
      <c r="AF60" s="17" t="s">
        <v>479</v>
      </c>
      <c r="AG60" s="17" t="s">
        <v>463</v>
      </c>
      <c r="AH60" s="17" t="s">
        <v>464</v>
      </c>
      <c r="AI60" s="17" t="s">
        <v>407</v>
      </c>
      <c r="AJ60" s="17" t="s">
        <v>566</v>
      </c>
      <c r="AK60" s="17"/>
      <c r="AL60" s="17" t="s">
        <v>431</v>
      </c>
      <c r="AM60" s="17" t="s">
        <v>978</v>
      </c>
    </row>
    <row r="61" spans="1:39" ht="48">
      <c r="A61" s="18" t="s">
        <v>126</v>
      </c>
      <c r="B61" s="18" t="s">
        <v>383</v>
      </c>
      <c r="C61" s="18" t="s">
        <v>384</v>
      </c>
      <c r="D61" s="18" t="s">
        <v>465</v>
      </c>
      <c r="E61" s="18" t="s">
        <v>386</v>
      </c>
      <c r="F61" s="18" t="s">
        <v>724</v>
      </c>
      <c r="G61" s="18">
        <v>50</v>
      </c>
      <c r="H61" s="18" t="s">
        <v>979</v>
      </c>
      <c r="I61" s="18" t="s">
        <v>980</v>
      </c>
      <c r="J61" s="18" t="s">
        <v>453</v>
      </c>
      <c r="K61" s="18" t="s">
        <v>924</v>
      </c>
      <c r="L61" s="18" t="s">
        <v>613</v>
      </c>
      <c r="M61" s="18" t="s">
        <v>455</v>
      </c>
      <c r="N61" s="18" t="s">
        <v>805</v>
      </c>
      <c r="O61" s="18" t="s">
        <v>958</v>
      </c>
      <c r="P61" s="18" t="s">
        <v>981</v>
      </c>
      <c r="Q61" s="18" t="s">
        <v>472</v>
      </c>
      <c r="R61" s="18"/>
      <c r="S61" s="48" t="str">
        <f>IFERROR(T(INDEX('Prospectos Resumen'!$K$9:$K$297,MATCH(A61,'Prospectos Resumen'!$A$9:$A$297,0))),"")</f>
        <v/>
      </c>
      <c r="T61" s="18"/>
      <c r="U61" s="18"/>
      <c r="V61" s="18"/>
      <c r="W61" s="18"/>
      <c r="X61" s="18"/>
      <c r="Y61" s="18"/>
      <c r="Z61" s="18" t="s">
        <v>474</v>
      </c>
      <c r="AA61" s="18" t="s">
        <v>982</v>
      </c>
      <c r="AB61" s="18" t="s">
        <v>553</v>
      </c>
      <c r="AC61" s="18" t="s">
        <v>651</v>
      </c>
      <c r="AD61" s="18" t="s">
        <v>983</v>
      </c>
      <c r="AE61" s="18" t="s">
        <v>566</v>
      </c>
      <c r="AF61" s="18" t="s">
        <v>479</v>
      </c>
      <c r="AG61" s="18" t="s">
        <v>463</v>
      </c>
      <c r="AH61" s="18" t="s">
        <v>464</v>
      </c>
      <c r="AI61" s="18" t="s">
        <v>407</v>
      </c>
      <c r="AJ61" s="18" t="s">
        <v>566</v>
      </c>
      <c r="AK61" s="18"/>
      <c r="AL61" s="18" t="s">
        <v>431</v>
      </c>
      <c r="AM61" s="18" t="s">
        <v>984</v>
      </c>
    </row>
    <row r="62" spans="1:39" ht="48">
      <c r="A62" s="17" t="s">
        <v>127</v>
      </c>
      <c r="B62" s="17" t="s">
        <v>383</v>
      </c>
      <c r="C62" s="17" t="s">
        <v>384</v>
      </c>
      <c r="D62" s="17" t="s">
        <v>465</v>
      </c>
      <c r="E62" s="17" t="s">
        <v>386</v>
      </c>
      <c r="F62" s="17" t="s">
        <v>724</v>
      </c>
      <c r="G62" s="17">
        <v>50</v>
      </c>
      <c r="H62" s="17" t="s">
        <v>985</v>
      </c>
      <c r="I62" s="17" t="s">
        <v>986</v>
      </c>
      <c r="J62" s="17" t="s">
        <v>802</v>
      </c>
      <c r="K62" s="17" t="s">
        <v>924</v>
      </c>
      <c r="L62" s="17" t="s">
        <v>613</v>
      </c>
      <c r="M62" s="17" t="s">
        <v>987</v>
      </c>
      <c r="N62" s="17" t="s">
        <v>805</v>
      </c>
      <c r="O62" s="17" t="s">
        <v>958</v>
      </c>
      <c r="P62" s="17" t="s">
        <v>988</v>
      </c>
      <c r="Q62" s="17" t="s">
        <v>472</v>
      </c>
      <c r="R62" s="17"/>
      <c r="S62" s="48" t="str">
        <f>IFERROR(T(INDEX('Prospectos Resumen'!$K$9:$K$297,MATCH(A62,'Prospectos Resumen'!$A$9:$A$297,0))),"")</f>
        <v/>
      </c>
      <c r="T62" s="17"/>
      <c r="U62" s="17"/>
      <c r="V62" s="17"/>
      <c r="W62" s="17"/>
      <c r="X62" s="17"/>
      <c r="Y62" s="17"/>
      <c r="Z62" s="17" t="s">
        <v>474</v>
      </c>
      <c r="AA62" s="17" t="s">
        <v>989</v>
      </c>
      <c r="AB62" s="17" t="s">
        <v>553</v>
      </c>
      <c r="AC62" s="17" t="s">
        <v>651</v>
      </c>
      <c r="AD62" s="17" t="s">
        <v>990</v>
      </c>
      <c r="AE62" s="17" t="s">
        <v>566</v>
      </c>
      <c r="AF62" s="17" t="s">
        <v>479</v>
      </c>
      <c r="AG62" s="17" t="s">
        <v>463</v>
      </c>
      <c r="AH62" s="17" t="s">
        <v>464</v>
      </c>
      <c r="AI62" s="17" t="s">
        <v>407</v>
      </c>
      <c r="AJ62" s="17" t="s">
        <v>566</v>
      </c>
      <c r="AK62" s="17"/>
      <c r="AL62" s="17" t="s">
        <v>431</v>
      </c>
      <c r="AM62" s="17" t="s">
        <v>991</v>
      </c>
    </row>
    <row r="63" spans="1:39" ht="48">
      <c r="A63" s="18" t="s">
        <v>128</v>
      </c>
      <c r="B63" s="18" t="s">
        <v>383</v>
      </c>
      <c r="C63" s="18" t="s">
        <v>384</v>
      </c>
      <c r="D63" s="18" t="s">
        <v>386</v>
      </c>
      <c r="E63" s="18" t="s">
        <v>386</v>
      </c>
      <c r="F63" s="18" t="s">
        <v>992</v>
      </c>
      <c r="G63" s="18">
        <v>40</v>
      </c>
      <c r="H63" s="18" t="s">
        <v>993</v>
      </c>
      <c r="I63" s="18" t="s">
        <v>994</v>
      </c>
      <c r="J63" s="18" t="s">
        <v>785</v>
      </c>
      <c r="K63" s="18" t="s">
        <v>909</v>
      </c>
      <c r="L63" s="18" t="s">
        <v>557</v>
      </c>
      <c r="M63" s="18" t="s">
        <v>537</v>
      </c>
      <c r="N63" s="18" t="s">
        <v>805</v>
      </c>
      <c r="O63" s="18" t="s">
        <v>538</v>
      </c>
      <c r="P63" s="18" t="s">
        <v>995</v>
      </c>
      <c r="Q63" s="18" t="s">
        <v>420</v>
      </c>
      <c r="R63" s="18"/>
      <c r="S63" s="48" t="str">
        <f>IFERROR(T(INDEX('Prospectos Resumen'!$K$9:$K$297,MATCH(A63,'Prospectos Resumen'!$A$9:$A$297,0))),"")</f>
        <v/>
      </c>
      <c r="T63" s="18"/>
      <c r="U63" s="18"/>
      <c r="V63" s="18"/>
      <c r="W63" s="18"/>
      <c r="X63" s="18" t="s">
        <v>562</v>
      </c>
      <c r="Y63" s="18" t="s">
        <v>562</v>
      </c>
      <c r="Z63" s="18" t="s">
        <v>423</v>
      </c>
      <c r="AA63" s="18" t="s">
        <v>996</v>
      </c>
      <c r="AB63" s="18" t="s">
        <v>553</v>
      </c>
      <c r="AC63" s="18"/>
      <c r="AD63" s="18" t="s">
        <v>426</v>
      </c>
      <c r="AE63" s="18" t="s">
        <v>566</v>
      </c>
      <c r="AF63" s="18" t="s">
        <v>427</v>
      </c>
      <c r="AG63" s="18" t="s">
        <v>544</v>
      </c>
      <c r="AH63" s="18" t="s">
        <v>464</v>
      </c>
      <c r="AI63" s="18" t="s">
        <v>407</v>
      </c>
      <c r="AJ63" s="18" t="s">
        <v>997</v>
      </c>
      <c r="AK63" s="18"/>
      <c r="AL63" s="18" t="s">
        <v>431</v>
      </c>
      <c r="AM63" s="18" t="s">
        <v>998</v>
      </c>
    </row>
    <row r="64" spans="1:39" ht="48">
      <c r="A64" s="17" t="s">
        <v>129</v>
      </c>
      <c r="B64" s="17" t="s">
        <v>383</v>
      </c>
      <c r="C64" s="17" t="s">
        <v>384</v>
      </c>
      <c r="D64" s="17" t="s">
        <v>465</v>
      </c>
      <c r="E64" s="17" t="s">
        <v>386</v>
      </c>
      <c r="F64" s="17" t="s">
        <v>992</v>
      </c>
      <c r="G64" s="17">
        <v>30</v>
      </c>
      <c r="H64" s="17" t="s">
        <v>999</v>
      </c>
      <c r="I64" s="17" t="s">
        <v>1000</v>
      </c>
      <c r="J64" s="17" t="s">
        <v>453</v>
      </c>
      <c r="K64" s="17" t="s">
        <v>924</v>
      </c>
      <c r="L64" s="17" t="s">
        <v>613</v>
      </c>
      <c r="M64" s="17" t="s">
        <v>1001</v>
      </c>
      <c r="N64" s="17" t="s">
        <v>805</v>
      </c>
      <c r="O64" s="17" t="s">
        <v>958</v>
      </c>
      <c r="P64" s="17" t="s">
        <v>1002</v>
      </c>
      <c r="Q64" s="17" t="s">
        <v>472</v>
      </c>
      <c r="R64" s="17"/>
      <c r="S64" s="48" t="str">
        <f>IFERROR(T(INDEX('Prospectos Resumen'!$K$9:$K$297,MATCH(A64,'Prospectos Resumen'!$A$9:$A$297,0))),"")</f>
        <v/>
      </c>
      <c r="T64" s="17"/>
      <c r="U64" s="17"/>
      <c r="V64" s="17"/>
      <c r="W64" s="17"/>
      <c r="X64" s="17"/>
      <c r="Y64" s="17"/>
      <c r="Z64" s="17" t="s">
        <v>474</v>
      </c>
      <c r="AA64" s="17" t="s">
        <v>1003</v>
      </c>
      <c r="AB64" s="17" t="s">
        <v>553</v>
      </c>
      <c r="AC64" s="17" t="s">
        <v>651</v>
      </c>
      <c r="AD64" s="17" t="s">
        <v>1004</v>
      </c>
      <c r="AE64" s="17" t="s">
        <v>566</v>
      </c>
      <c r="AF64" s="17" t="s">
        <v>479</v>
      </c>
      <c r="AG64" s="17" t="s">
        <v>463</v>
      </c>
      <c r="AH64" s="17" t="s">
        <v>464</v>
      </c>
      <c r="AI64" s="17" t="s">
        <v>407</v>
      </c>
      <c r="AJ64" s="17" t="s">
        <v>997</v>
      </c>
      <c r="AK64" s="17"/>
      <c r="AL64" s="17" t="s">
        <v>431</v>
      </c>
      <c r="AM64" s="17" t="s">
        <v>1005</v>
      </c>
    </row>
    <row r="65" spans="1:39" ht="48">
      <c r="A65" s="6" t="s">
        <v>130</v>
      </c>
      <c r="B65" s="6" t="s">
        <v>383</v>
      </c>
      <c r="C65" s="6" t="s">
        <v>384</v>
      </c>
      <c r="D65" s="6" t="s">
        <v>465</v>
      </c>
      <c r="E65" s="6" t="s">
        <v>386</v>
      </c>
      <c r="F65" s="6" t="s">
        <v>992</v>
      </c>
      <c r="G65" s="6">
        <v>30</v>
      </c>
      <c r="H65" s="6" t="s">
        <v>1006</v>
      </c>
      <c r="I65" s="6" t="s">
        <v>1007</v>
      </c>
      <c r="J65" s="6" t="s">
        <v>802</v>
      </c>
      <c r="K65" s="6" t="s">
        <v>924</v>
      </c>
      <c r="L65" s="6" t="s">
        <v>613</v>
      </c>
      <c r="M65" s="6" t="s">
        <v>1008</v>
      </c>
      <c r="N65" s="6" t="s">
        <v>805</v>
      </c>
      <c r="O65" s="6" t="s">
        <v>958</v>
      </c>
      <c r="P65" s="6" t="s">
        <v>1009</v>
      </c>
      <c r="Q65" s="6" t="s">
        <v>472</v>
      </c>
      <c r="R65" s="6"/>
      <c r="S65" s="50" t="str">
        <f>IFERROR(T(INDEX('Prospectos Resumen'!$K$9:$K$297,MATCH(A65,'Prospectos Resumen'!$A$9:$A$297,0))),"")</f>
        <v/>
      </c>
      <c r="T65" s="6"/>
      <c r="U65" s="6"/>
      <c r="V65" s="6"/>
      <c r="W65" s="6"/>
      <c r="X65" s="6"/>
      <c r="Y65" s="6"/>
      <c r="Z65" s="6" t="s">
        <v>474</v>
      </c>
      <c r="AA65" s="6" t="s">
        <v>1010</v>
      </c>
      <c r="AB65" s="6" t="s">
        <v>553</v>
      </c>
      <c r="AC65" s="6" t="s">
        <v>651</v>
      </c>
      <c r="AD65" s="6" t="s">
        <v>1011</v>
      </c>
      <c r="AE65" s="6" t="s">
        <v>566</v>
      </c>
      <c r="AF65" s="6" t="s">
        <v>479</v>
      </c>
      <c r="AG65" s="6" t="s">
        <v>463</v>
      </c>
      <c r="AH65" s="6" t="s">
        <v>464</v>
      </c>
      <c r="AI65" s="6" t="s">
        <v>407</v>
      </c>
      <c r="AJ65" s="6" t="s">
        <v>997</v>
      </c>
      <c r="AK65" s="6"/>
      <c r="AL65" s="6" t="s">
        <v>431</v>
      </c>
      <c r="AM65" s="6" t="s">
        <v>1012</v>
      </c>
    </row>
    <row r="66" spans="1:39" ht="36">
      <c r="A66" s="17" t="s">
        <v>131</v>
      </c>
      <c r="B66" s="17" t="s">
        <v>383</v>
      </c>
      <c r="C66" s="17" t="s">
        <v>384</v>
      </c>
      <c r="D66" s="17" t="s">
        <v>386</v>
      </c>
      <c r="E66" s="17" t="s">
        <v>386</v>
      </c>
      <c r="F66" s="17" t="s">
        <v>992</v>
      </c>
      <c r="G66" s="17">
        <v>30</v>
      </c>
      <c r="H66" s="17" t="s">
        <v>1013</v>
      </c>
      <c r="I66" s="17" t="s">
        <v>1014</v>
      </c>
      <c r="J66" s="17" t="s">
        <v>414</v>
      </c>
      <c r="K66" s="17" t="s">
        <v>613</v>
      </c>
      <c r="L66" s="17" t="s">
        <v>613</v>
      </c>
      <c r="M66" s="17" t="s">
        <v>416</v>
      </c>
      <c r="N66" s="17" t="s">
        <v>417</v>
      </c>
      <c r="O66" s="17" t="s">
        <v>418</v>
      </c>
      <c r="P66" s="17" t="s">
        <v>1015</v>
      </c>
      <c r="Q66" s="17" t="s">
        <v>420</v>
      </c>
      <c r="R66" s="17"/>
      <c r="S66" s="48" t="str">
        <f>IFERROR(T(INDEX('Prospectos Resumen'!$K$9:$K$297,MATCH(A66,'Prospectos Resumen'!$A$9:$A$297,0))),"")</f>
        <v/>
      </c>
      <c r="T66" s="17"/>
      <c r="U66" s="17"/>
      <c r="V66" s="17"/>
      <c r="W66" s="17"/>
      <c r="X66" s="17"/>
      <c r="Y66" s="17"/>
      <c r="Z66" s="17" t="s">
        <v>423</v>
      </c>
      <c r="AA66" s="17" t="s">
        <v>1016</v>
      </c>
      <c r="AB66" s="17" t="s">
        <v>1017</v>
      </c>
      <c r="AC66" s="17"/>
      <c r="AD66" s="17" t="s">
        <v>426</v>
      </c>
      <c r="AE66" s="17" t="s">
        <v>566</v>
      </c>
      <c r="AF66" s="17" t="s">
        <v>427</v>
      </c>
      <c r="AG66" s="17" t="s">
        <v>428</v>
      </c>
      <c r="AH66" s="17" t="s">
        <v>429</v>
      </c>
      <c r="AI66" s="17" t="s">
        <v>407</v>
      </c>
      <c r="AJ66" s="17" t="s">
        <v>997</v>
      </c>
      <c r="AK66" s="17" t="s">
        <v>430</v>
      </c>
      <c r="AL66" s="17" t="s">
        <v>431</v>
      </c>
      <c r="AM66" s="17" t="s">
        <v>1018</v>
      </c>
    </row>
    <row r="67" spans="1:39" ht="48">
      <c r="A67" s="7" t="s">
        <v>132</v>
      </c>
      <c r="B67" s="7" t="s">
        <v>383</v>
      </c>
      <c r="C67" s="7" t="s">
        <v>1019</v>
      </c>
      <c r="D67" s="7" t="s">
        <v>1020</v>
      </c>
      <c r="E67" s="7" t="s">
        <v>1021</v>
      </c>
      <c r="F67" s="7" t="s">
        <v>387</v>
      </c>
      <c r="G67" s="7">
        <v>100</v>
      </c>
      <c r="H67" s="7" t="s">
        <v>1022</v>
      </c>
      <c r="I67" s="7" t="s">
        <v>1023</v>
      </c>
      <c r="J67" s="7" t="s">
        <v>785</v>
      </c>
      <c r="K67" s="7" t="s">
        <v>1024</v>
      </c>
      <c r="L67" s="7" t="s">
        <v>391</v>
      </c>
      <c r="M67" s="7" t="s">
        <v>537</v>
      </c>
      <c r="N67" s="7" t="s">
        <v>469</v>
      </c>
      <c r="O67" s="7" t="s">
        <v>538</v>
      </c>
      <c r="P67" s="7" t="s">
        <v>1025</v>
      </c>
      <c r="Q67" s="7" t="s">
        <v>420</v>
      </c>
      <c r="R67" s="7"/>
      <c r="S67" s="49" t="str">
        <f>IFERROR(T(INDEX('Prospectos Resumen'!$K$9:$K$297,MATCH(A67,'Prospectos Resumen'!$A$9:$A$297,0))),"")</f>
        <v/>
      </c>
      <c r="T67" s="7"/>
      <c r="U67" s="7"/>
      <c r="V67" s="7"/>
      <c r="W67" s="7"/>
      <c r="X67" s="7" t="s">
        <v>1026</v>
      </c>
      <c r="Y67" s="7" t="s">
        <v>1026</v>
      </c>
      <c r="Z67" s="7" t="s">
        <v>423</v>
      </c>
      <c r="AA67" s="7" t="s">
        <v>1027</v>
      </c>
      <c r="AB67" s="7" t="s">
        <v>1028</v>
      </c>
      <c r="AC67" s="7"/>
      <c r="AD67" s="7" t="s">
        <v>426</v>
      </c>
      <c r="AE67" s="7" t="s">
        <v>403</v>
      </c>
      <c r="AF67" s="7" t="s">
        <v>427</v>
      </c>
      <c r="AG67" s="7" t="s">
        <v>544</v>
      </c>
      <c r="AH67" s="7" t="s">
        <v>1029</v>
      </c>
      <c r="AI67" s="7"/>
      <c r="AJ67" s="7" t="s">
        <v>408</v>
      </c>
      <c r="AK67" s="7" t="s">
        <v>1030</v>
      </c>
      <c r="AL67" s="7" t="s">
        <v>431</v>
      </c>
      <c r="AM67" s="7" t="s">
        <v>432</v>
      </c>
    </row>
    <row r="68" spans="1:39" ht="48">
      <c r="A68" s="17" t="s">
        <v>133</v>
      </c>
      <c r="B68" s="17" t="s">
        <v>383</v>
      </c>
      <c r="C68" s="17" t="s">
        <v>1019</v>
      </c>
      <c r="D68" s="17" t="s">
        <v>1020</v>
      </c>
      <c r="E68" s="17" t="s">
        <v>1021</v>
      </c>
      <c r="F68" s="17" t="s">
        <v>724</v>
      </c>
      <c r="G68" s="17">
        <v>75</v>
      </c>
      <c r="H68" s="17" t="s">
        <v>1031</v>
      </c>
      <c r="I68" s="17" t="s">
        <v>1032</v>
      </c>
      <c r="J68" s="17" t="s">
        <v>785</v>
      </c>
      <c r="K68" s="17" t="s">
        <v>1033</v>
      </c>
      <c r="L68" s="17" t="s">
        <v>391</v>
      </c>
      <c r="M68" s="17" t="s">
        <v>987</v>
      </c>
      <c r="N68" s="17" t="s">
        <v>469</v>
      </c>
      <c r="O68" s="17" t="s">
        <v>1034</v>
      </c>
      <c r="P68" s="17" t="s">
        <v>1035</v>
      </c>
      <c r="Q68" s="17" t="s">
        <v>420</v>
      </c>
      <c r="R68" s="17"/>
      <c r="S68" s="48" t="str">
        <f>IFERROR(T(INDEX('Prospectos Resumen'!$K$9:$K$297,MATCH(A68,'Prospectos Resumen'!$A$9:$A$297,0))),"")</f>
        <v/>
      </c>
      <c r="T68" s="17"/>
      <c r="U68" s="17"/>
      <c r="V68" s="17"/>
      <c r="W68" s="17"/>
      <c r="X68" s="17" t="s">
        <v>1036</v>
      </c>
      <c r="Y68" s="17" t="s">
        <v>1036</v>
      </c>
      <c r="Z68" s="17" t="s">
        <v>423</v>
      </c>
      <c r="AA68" s="17" t="s">
        <v>1037</v>
      </c>
      <c r="AB68" s="17" t="s">
        <v>1038</v>
      </c>
      <c r="AC68" s="17"/>
      <c r="AD68" s="17" t="s">
        <v>426</v>
      </c>
      <c r="AE68" s="17" t="s">
        <v>403</v>
      </c>
      <c r="AF68" s="17" t="s">
        <v>427</v>
      </c>
      <c r="AG68" s="17" t="s">
        <v>544</v>
      </c>
      <c r="AH68" s="17" t="s">
        <v>1039</v>
      </c>
      <c r="AI68" s="17"/>
      <c r="AJ68" s="17" t="s">
        <v>403</v>
      </c>
      <c r="AK68" s="17" t="s">
        <v>480</v>
      </c>
      <c r="AL68" s="17" t="s">
        <v>431</v>
      </c>
      <c r="AM68" s="17" t="s">
        <v>432</v>
      </c>
    </row>
    <row r="69" spans="1:39" ht="60">
      <c r="A69" s="6" t="s">
        <v>134</v>
      </c>
      <c r="B69" s="6" t="s">
        <v>383</v>
      </c>
      <c r="C69" s="6" t="s">
        <v>1019</v>
      </c>
      <c r="D69" s="6" t="s">
        <v>1040</v>
      </c>
      <c r="E69" s="6" t="s">
        <v>1041</v>
      </c>
      <c r="F69" s="6" t="s">
        <v>387</v>
      </c>
      <c r="G69" s="6">
        <v>100</v>
      </c>
      <c r="H69" s="6" t="s">
        <v>1042</v>
      </c>
      <c r="I69" s="6" t="s">
        <v>1043</v>
      </c>
      <c r="J69" s="6" t="s">
        <v>23</v>
      </c>
      <c r="K69" s="6" t="s">
        <v>1044</v>
      </c>
      <c r="L69" s="6" t="s">
        <v>391</v>
      </c>
      <c r="M69" s="6" t="s">
        <v>436</v>
      </c>
      <c r="N69" s="6" t="s">
        <v>437</v>
      </c>
      <c r="O69" s="6" t="s">
        <v>438</v>
      </c>
      <c r="P69" s="6" t="s">
        <v>1045</v>
      </c>
      <c r="Q69" s="6" t="s">
        <v>440</v>
      </c>
      <c r="R69" s="6"/>
      <c r="S69" s="50" t="str">
        <f>IFERROR(T(INDEX('Prospectos Resumen'!$K$9:$K$297,MATCH(A69,'Prospectos Resumen'!$A$9:$A$297,0))),"")</f>
        <v/>
      </c>
      <c r="T69" s="6"/>
      <c r="U69" s="6"/>
      <c r="V69" s="6"/>
      <c r="W69" s="6"/>
      <c r="X69" s="6" t="s">
        <v>1046</v>
      </c>
      <c r="Y69" s="6" t="s">
        <v>1047</v>
      </c>
      <c r="Z69" s="6" t="s">
        <v>443</v>
      </c>
      <c r="AA69" s="6" t="s">
        <v>1048</v>
      </c>
      <c r="AB69" s="6" t="s">
        <v>1049</v>
      </c>
      <c r="AC69" s="6" t="s">
        <v>1050</v>
      </c>
      <c r="AD69" s="6" t="s">
        <v>1051</v>
      </c>
      <c r="AE69" s="6" t="s">
        <v>403</v>
      </c>
      <c r="AF69" s="6" t="s">
        <v>447</v>
      </c>
      <c r="AG69" s="6" t="s">
        <v>448</v>
      </c>
      <c r="AH69" s="6" t="s">
        <v>449</v>
      </c>
      <c r="AI69" s="6" t="s">
        <v>407</v>
      </c>
      <c r="AJ69" s="6" t="s">
        <v>408</v>
      </c>
      <c r="AK69" s="6" t="s">
        <v>480</v>
      </c>
      <c r="AL69" s="6" t="s">
        <v>431</v>
      </c>
      <c r="AM69" s="6" t="s">
        <v>1052</v>
      </c>
    </row>
    <row r="70" spans="1:39" ht="48">
      <c r="A70" s="17" t="s">
        <v>135</v>
      </c>
      <c r="B70" s="17" t="s">
        <v>383</v>
      </c>
      <c r="C70" s="17" t="s">
        <v>1019</v>
      </c>
      <c r="D70" s="17" t="s">
        <v>1040</v>
      </c>
      <c r="E70" s="17" t="s">
        <v>1041</v>
      </c>
      <c r="F70" s="17" t="s">
        <v>387</v>
      </c>
      <c r="G70" s="17">
        <v>85</v>
      </c>
      <c r="H70" s="17" t="s">
        <v>1053</v>
      </c>
      <c r="I70" s="17" t="s">
        <v>1054</v>
      </c>
      <c r="J70" s="17" t="s">
        <v>484</v>
      </c>
      <c r="K70" s="17" t="s">
        <v>1055</v>
      </c>
      <c r="L70" s="17" t="s">
        <v>391</v>
      </c>
      <c r="M70" s="17" t="s">
        <v>614</v>
      </c>
      <c r="N70" s="17" t="s">
        <v>615</v>
      </c>
      <c r="O70" s="17" t="s">
        <v>616</v>
      </c>
      <c r="P70" s="17" t="s">
        <v>1056</v>
      </c>
      <c r="Q70" s="17" t="s">
        <v>440</v>
      </c>
      <c r="R70" s="17"/>
      <c r="S70" s="48" t="str">
        <f>IFERROR(T(INDEX('Prospectos Resumen'!$K$9:$K$297,MATCH(A70,'Prospectos Resumen'!$A$9:$A$297,0))),"")</f>
        <v/>
      </c>
      <c r="T70" s="17"/>
      <c r="U70" s="17"/>
      <c r="V70" s="17"/>
      <c r="W70" s="17"/>
      <c r="X70" s="17" t="s">
        <v>1057</v>
      </c>
      <c r="Y70" s="17" t="s">
        <v>1058</v>
      </c>
      <c r="Z70" s="17" t="s">
        <v>443</v>
      </c>
      <c r="AA70" s="17" t="s">
        <v>1059</v>
      </c>
      <c r="AB70" s="17" t="s">
        <v>1060</v>
      </c>
      <c r="AC70" s="17" t="s">
        <v>1061</v>
      </c>
      <c r="AD70" s="17" t="s">
        <v>1056</v>
      </c>
      <c r="AE70" s="17" t="s">
        <v>403</v>
      </c>
      <c r="AF70" s="17" t="s">
        <v>447</v>
      </c>
      <c r="AG70" s="17" t="s">
        <v>1062</v>
      </c>
      <c r="AH70" s="17" t="s">
        <v>1063</v>
      </c>
      <c r="AI70" s="17" t="s">
        <v>407</v>
      </c>
      <c r="AJ70" s="17" t="s">
        <v>408</v>
      </c>
      <c r="AK70" s="17" t="s">
        <v>1064</v>
      </c>
      <c r="AL70" s="17" t="s">
        <v>450</v>
      </c>
      <c r="AM70" s="17" t="s">
        <v>1065</v>
      </c>
    </row>
    <row r="71" spans="1:39" ht="60">
      <c r="A71" s="18" t="s">
        <v>136</v>
      </c>
      <c r="B71" s="18" t="s">
        <v>383</v>
      </c>
      <c r="C71" s="18" t="s">
        <v>1019</v>
      </c>
      <c r="D71" s="18" t="s">
        <v>1040</v>
      </c>
      <c r="E71" s="18" t="s">
        <v>1041</v>
      </c>
      <c r="F71" s="18" t="s">
        <v>387</v>
      </c>
      <c r="G71" s="18">
        <v>85</v>
      </c>
      <c r="H71" s="18" t="s">
        <v>1066</v>
      </c>
      <c r="I71" s="18" t="s">
        <v>1067</v>
      </c>
      <c r="J71" s="18" t="s">
        <v>535</v>
      </c>
      <c r="K71" s="18" t="s">
        <v>1068</v>
      </c>
      <c r="L71" s="18" t="s">
        <v>391</v>
      </c>
      <c r="M71" s="18" t="s">
        <v>537</v>
      </c>
      <c r="N71" s="18" t="s">
        <v>469</v>
      </c>
      <c r="O71" s="18" t="s">
        <v>1069</v>
      </c>
      <c r="P71" s="18" t="s">
        <v>1070</v>
      </c>
      <c r="Q71" s="18" t="s">
        <v>440</v>
      </c>
      <c r="R71" s="18"/>
      <c r="S71" s="48" t="str">
        <f>IFERROR(T(INDEX('Prospectos Resumen'!$K$9:$K$297,MATCH(A71,'Prospectos Resumen'!$A$9:$A$297,0))),"")</f>
        <v/>
      </c>
      <c r="T71" s="18"/>
      <c r="U71" s="18"/>
      <c r="V71" s="18"/>
      <c r="W71" s="18"/>
      <c r="X71" s="18" t="s">
        <v>1071</v>
      </c>
      <c r="Y71" s="18" t="s">
        <v>1071</v>
      </c>
      <c r="Z71" s="18" t="s">
        <v>443</v>
      </c>
      <c r="AA71" s="18" t="s">
        <v>1072</v>
      </c>
      <c r="AB71" s="18" t="s">
        <v>1073</v>
      </c>
      <c r="AC71" s="18" t="s">
        <v>1074</v>
      </c>
      <c r="AD71" s="18" t="s">
        <v>1070</v>
      </c>
      <c r="AE71" s="18" t="s">
        <v>403</v>
      </c>
      <c r="AF71" s="18" t="s">
        <v>447</v>
      </c>
      <c r="AG71" s="18" t="s">
        <v>544</v>
      </c>
      <c r="AH71" s="18" t="s">
        <v>1075</v>
      </c>
      <c r="AI71" s="18" t="s">
        <v>407</v>
      </c>
      <c r="AJ71" s="18" t="s">
        <v>408</v>
      </c>
      <c r="AK71" s="18" t="s">
        <v>1030</v>
      </c>
      <c r="AL71" s="18" t="s">
        <v>450</v>
      </c>
      <c r="AM71" s="18" t="s">
        <v>1076</v>
      </c>
    </row>
    <row r="72" spans="1:39" ht="48">
      <c r="A72" s="17" t="s">
        <v>137</v>
      </c>
      <c r="B72" s="17" t="s">
        <v>383</v>
      </c>
      <c r="C72" s="17" t="s">
        <v>1019</v>
      </c>
      <c r="D72" s="17" t="s">
        <v>1040</v>
      </c>
      <c r="E72" s="17" t="s">
        <v>1041</v>
      </c>
      <c r="F72" s="17" t="s">
        <v>387</v>
      </c>
      <c r="G72" s="17">
        <v>85</v>
      </c>
      <c r="H72" s="17" t="s">
        <v>1077</v>
      </c>
      <c r="I72" s="17" t="s">
        <v>1078</v>
      </c>
      <c r="J72" s="17" t="s">
        <v>453</v>
      </c>
      <c r="K72" s="17" t="s">
        <v>1079</v>
      </c>
      <c r="L72" s="17" t="s">
        <v>391</v>
      </c>
      <c r="M72" s="17" t="s">
        <v>455</v>
      </c>
      <c r="N72" s="17" t="s">
        <v>518</v>
      </c>
      <c r="O72" s="17" t="s">
        <v>519</v>
      </c>
      <c r="P72" s="17" t="s">
        <v>1080</v>
      </c>
      <c r="Q72" s="17" t="s">
        <v>440</v>
      </c>
      <c r="R72" s="17"/>
      <c r="S72" s="48" t="str">
        <f>IFERROR(T(INDEX('Prospectos Resumen'!$K$9:$K$297,MATCH(A72,'Prospectos Resumen'!$A$9:$A$297,0))),"")</f>
        <v/>
      </c>
      <c r="T72" s="17"/>
      <c r="U72" s="17"/>
      <c r="V72" s="17"/>
      <c r="W72" s="17"/>
      <c r="X72" s="17" t="s">
        <v>1081</v>
      </c>
      <c r="Y72" s="17" t="s">
        <v>1081</v>
      </c>
      <c r="Z72" s="17" t="s">
        <v>443</v>
      </c>
      <c r="AA72" s="17" t="s">
        <v>1082</v>
      </c>
      <c r="AB72" s="17" t="s">
        <v>1083</v>
      </c>
      <c r="AC72" s="17" t="s">
        <v>1084</v>
      </c>
      <c r="AD72" s="17" t="s">
        <v>1080</v>
      </c>
      <c r="AE72" s="17" t="s">
        <v>403</v>
      </c>
      <c r="AF72" s="17" t="s">
        <v>447</v>
      </c>
      <c r="AG72" s="17" t="s">
        <v>448</v>
      </c>
      <c r="AH72" s="17" t="s">
        <v>464</v>
      </c>
      <c r="AI72" s="17" t="s">
        <v>407</v>
      </c>
      <c r="AJ72" s="17" t="s">
        <v>408</v>
      </c>
      <c r="AK72" s="17"/>
      <c r="AL72" s="17" t="s">
        <v>450</v>
      </c>
      <c r="AM72" s="17" t="s">
        <v>1085</v>
      </c>
    </row>
    <row r="73" spans="1:39" ht="60">
      <c r="A73" s="18" t="s">
        <v>138</v>
      </c>
      <c r="B73" s="18" t="s">
        <v>383</v>
      </c>
      <c r="C73" s="18" t="s">
        <v>1019</v>
      </c>
      <c r="D73" s="18" t="s">
        <v>1040</v>
      </c>
      <c r="E73" s="18" t="s">
        <v>1041</v>
      </c>
      <c r="F73" s="18" t="s">
        <v>724</v>
      </c>
      <c r="G73" s="18">
        <v>81</v>
      </c>
      <c r="H73" s="18" t="s">
        <v>1086</v>
      </c>
      <c r="I73" s="18" t="s">
        <v>1087</v>
      </c>
      <c r="J73" s="18" t="s">
        <v>453</v>
      </c>
      <c r="K73" s="18" t="s">
        <v>1088</v>
      </c>
      <c r="L73" s="18" t="s">
        <v>391</v>
      </c>
      <c r="M73" s="18" t="s">
        <v>455</v>
      </c>
      <c r="N73" s="18" t="s">
        <v>518</v>
      </c>
      <c r="O73" s="18" t="s">
        <v>519</v>
      </c>
      <c r="P73" s="18" t="s">
        <v>1089</v>
      </c>
      <c r="Q73" s="18" t="s">
        <v>777</v>
      </c>
      <c r="R73" s="18"/>
      <c r="S73" s="48" t="str">
        <f>IFERROR(T(INDEX('Prospectos Resumen'!$K$9:$K$297,MATCH(A73,'Prospectos Resumen'!$A$9:$A$297,0))),"")</f>
        <v/>
      </c>
      <c r="T73" s="18"/>
      <c r="U73" s="18"/>
      <c r="V73" s="18"/>
      <c r="W73" s="18"/>
      <c r="X73" s="18" t="s">
        <v>1090</v>
      </c>
      <c r="Y73" s="18" t="s">
        <v>1090</v>
      </c>
      <c r="Z73" s="18" t="s">
        <v>443</v>
      </c>
      <c r="AA73" s="18" t="s">
        <v>1091</v>
      </c>
      <c r="AB73" s="18" t="s">
        <v>1092</v>
      </c>
      <c r="AC73" s="18" t="s">
        <v>1093</v>
      </c>
      <c r="AD73" s="18" t="s">
        <v>1094</v>
      </c>
      <c r="AE73" s="18" t="s">
        <v>403</v>
      </c>
      <c r="AF73" s="18" t="s">
        <v>447</v>
      </c>
      <c r="AG73" s="18" t="s">
        <v>448</v>
      </c>
      <c r="AH73" s="18" t="s">
        <v>464</v>
      </c>
      <c r="AI73" s="18" t="s">
        <v>407</v>
      </c>
      <c r="AJ73" s="18" t="s">
        <v>403</v>
      </c>
      <c r="AK73" s="18"/>
      <c r="AL73" s="18" t="s">
        <v>431</v>
      </c>
      <c r="AM73" s="18" t="s">
        <v>1095</v>
      </c>
    </row>
    <row r="74" spans="1:39" ht="48">
      <c r="A74" s="17" t="s">
        <v>139</v>
      </c>
      <c r="B74" s="17" t="s">
        <v>383</v>
      </c>
      <c r="C74" s="17" t="s">
        <v>1019</v>
      </c>
      <c r="D74" s="17" t="s">
        <v>1040</v>
      </c>
      <c r="E74" s="17" t="s">
        <v>1041</v>
      </c>
      <c r="F74" s="17" t="s">
        <v>724</v>
      </c>
      <c r="G74" s="17">
        <v>75</v>
      </c>
      <c r="H74" s="17" t="s">
        <v>1096</v>
      </c>
      <c r="I74" s="17" t="s">
        <v>1097</v>
      </c>
      <c r="J74" s="17" t="s">
        <v>785</v>
      </c>
      <c r="K74" s="17" t="s">
        <v>1098</v>
      </c>
      <c r="L74" s="17" t="s">
        <v>391</v>
      </c>
      <c r="M74" s="17" t="s">
        <v>1099</v>
      </c>
      <c r="N74" s="17" t="s">
        <v>469</v>
      </c>
      <c r="O74" s="17" t="s">
        <v>470</v>
      </c>
      <c r="P74" s="17" t="s">
        <v>1100</v>
      </c>
      <c r="Q74" s="17" t="s">
        <v>472</v>
      </c>
      <c r="R74" s="17"/>
      <c r="S74" s="48" t="str">
        <f>IFERROR(T(INDEX('Prospectos Resumen'!$K$9:$K$297,MATCH(A74,'Prospectos Resumen'!$A$9:$A$297,0))),"")</f>
        <v/>
      </c>
      <c r="T74" s="17"/>
      <c r="U74" s="17"/>
      <c r="V74" s="17"/>
      <c r="W74" s="17"/>
      <c r="X74" s="17" t="s">
        <v>1101</v>
      </c>
      <c r="Y74" s="17" t="s">
        <v>1101</v>
      </c>
      <c r="Z74" s="17" t="s">
        <v>474</v>
      </c>
      <c r="AA74" s="17" t="s">
        <v>1102</v>
      </c>
      <c r="AB74" s="17" t="s">
        <v>1103</v>
      </c>
      <c r="AC74" s="17" t="s">
        <v>1104</v>
      </c>
      <c r="AD74" s="17" t="s">
        <v>1105</v>
      </c>
      <c r="AE74" s="17" t="s">
        <v>403</v>
      </c>
      <c r="AF74" s="17" t="s">
        <v>479</v>
      </c>
      <c r="AG74" s="17" t="s">
        <v>544</v>
      </c>
      <c r="AH74" s="17" t="s">
        <v>1039</v>
      </c>
      <c r="AI74" s="17" t="s">
        <v>407</v>
      </c>
      <c r="AJ74" s="17" t="s">
        <v>403</v>
      </c>
      <c r="AK74" s="17" t="s">
        <v>1030</v>
      </c>
      <c r="AL74" s="17" t="s">
        <v>431</v>
      </c>
      <c r="AM74" s="17" t="s">
        <v>432</v>
      </c>
    </row>
    <row r="75" spans="1:39" ht="48">
      <c r="A75" s="18" t="s">
        <v>140</v>
      </c>
      <c r="B75" s="18" t="s">
        <v>383</v>
      </c>
      <c r="C75" s="18" t="s">
        <v>1019</v>
      </c>
      <c r="D75" s="18" t="s">
        <v>1040</v>
      </c>
      <c r="E75" s="18" t="s">
        <v>1041</v>
      </c>
      <c r="F75" s="18" t="s">
        <v>724</v>
      </c>
      <c r="G75" s="18">
        <v>60</v>
      </c>
      <c r="H75" s="18" t="s">
        <v>1106</v>
      </c>
      <c r="I75" s="18" t="s">
        <v>1107</v>
      </c>
      <c r="J75" s="18" t="s">
        <v>535</v>
      </c>
      <c r="K75" s="18" t="s">
        <v>1108</v>
      </c>
      <c r="L75" s="18" t="s">
        <v>391</v>
      </c>
      <c r="M75" s="18" t="s">
        <v>537</v>
      </c>
      <c r="N75" s="18" t="s">
        <v>469</v>
      </c>
      <c r="O75" s="18" t="s">
        <v>1069</v>
      </c>
      <c r="P75" s="18" t="s">
        <v>1109</v>
      </c>
      <c r="Q75" s="18" t="s">
        <v>777</v>
      </c>
      <c r="R75" s="18"/>
      <c r="S75" s="48" t="str">
        <f>IFERROR(T(INDEX('Prospectos Resumen'!$K$9:$K$297,MATCH(A75,'Prospectos Resumen'!$A$9:$A$297,0))),"")</f>
        <v/>
      </c>
      <c r="T75" s="18"/>
      <c r="U75" s="18"/>
      <c r="V75" s="18"/>
      <c r="W75" s="18"/>
      <c r="X75" s="18" t="s">
        <v>1110</v>
      </c>
      <c r="Y75" s="18" t="s">
        <v>1110</v>
      </c>
      <c r="Z75" s="18" t="s">
        <v>443</v>
      </c>
      <c r="AA75" s="18" t="s">
        <v>1111</v>
      </c>
      <c r="AB75" s="18" t="s">
        <v>531</v>
      </c>
      <c r="AC75" s="18" t="s">
        <v>1111</v>
      </c>
      <c r="AD75" s="18" t="s">
        <v>1109</v>
      </c>
      <c r="AE75" s="18" t="s">
        <v>403</v>
      </c>
      <c r="AF75" s="18" t="s">
        <v>447</v>
      </c>
      <c r="AG75" s="18" t="s">
        <v>544</v>
      </c>
      <c r="AH75" s="18" t="s">
        <v>464</v>
      </c>
      <c r="AI75" s="18" t="s">
        <v>407</v>
      </c>
      <c r="AJ75" s="18" t="s">
        <v>403</v>
      </c>
      <c r="AK75" s="18" t="s">
        <v>480</v>
      </c>
      <c r="AL75" s="18" t="s">
        <v>450</v>
      </c>
      <c r="AM75" s="18" t="s">
        <v>1112</v>
      </c>
    </row>
    <row r="76" spans="1:39" ht="48">
      <c r="A76" s="8" t="s">
        <v>141</v>
      </c>
      <c r="B76" s="8" t="s">
        <v>383</v>
      </c>
      <c r="C76" s="8" t="s">
        <v>1019</v>
      </c>
      <c r="D76" s="8" t="s">
        <v>1040</v>
      </c>
      <c r="E76" s="8" t="s">
        <v>1041</v>
      </c>
      <c r="F76" s="8" t="s">
        <v>724</v>
      </c>
      <c r="G76" s="8">
        <v>60</v>
      </c>
      <c r="H76" s="8" t="s">
        <v>1113</v>
      </c>
      <c r="I76" s="8" t="s">
        <v>1114</v>
      </c>
      <c r="J76" s="8" t="s">
        <v>785</v>
      </c>
      <c r="K76" s="8" t="s">
        <v>1115</v>
      </c>
      <c r="L76" s="8" t="s">
        <v>557</v>
      </c>
      <c r="M76" s="8" t="s">
        <v>1116</v>
      </c>
      <c r="N76" s="8" t="s">
        <v>469</v>
      </c>
      <c r="O76" s="8" t="s">
        <v>470</v>
      </c>
      <c r="P76" s="8" t="s">
        <v>1117</v>
      </c>
      <c r="Q76" s="8" t="s">
        <v>472</v>
      </c>
      <c r="R76" s="8"/>
      <c r="S76" s="49" t="str">
        <f>IFERROR(T(INDEX('Prospectos Resumen'!$K$9:$K$297,MATCH(A76,'Prospectos Resumen'!$A$9:$A$297,0))),"")</f>
        <v/>
      </c>
      <c r="T76" s="8"/>
      <c r="U76" s="8"/>
      <c r="V76" s="8"/>
      <c r="W76" s="8"/>
      <c r="X76" s="8" t="s">
        <v>1118</v>
      </c>
      <c r="Y76" s="8" t="s">
        <v>1118</v>
      </c>
      <c r="Z76" s="8" t="s">
        <v>474</v>
      </c>
      <c r="AA76" s="8" t="s">
        <v>1119</v>
      </c>
      <c r="AB76" s="8" t="s">
        <v>769</v>
      </c>
      <c r="AC76" s="8" t="s">
        <v>1120</v>
      </c>
      <c r="AD76" s="8" t="s">
        <v>1121</v>
      </c>
      <c r="AE76" s="8" t="s">
        <v>566</v>
      </c>
      <c r="AF76" s="8" t="s">
        <v>479</v>
      </c>
      <c r="AG76" s="8" t="s">
        <v>544</v>
      </c>
      <c r="AH76" s="8" t="s">
        <v>464</v>
      </c>
      <c r="AI76" s="8" t="s">
        <v>407</v>
      </c>
      <c r="AJ76" s="8" t="s">
        <v>566</v>
      </c>
      <c r="AK76" s="8" t="s">
        <v>480</v>
      </c>
      <c r="AL76" s="8" t="s">
        <v>431</v>
      </c>
      <c r="AM76" s="8" t="s">
        <v>1122</v>
      </c>
    </row>
    <row r="77" spans="1:39" ht="48">
      <c r="A77" s="7" t="s">
        <v>142</v>
      </c>
      <c r="B77" s="7" t="s">
        <v>383</v>
      </c>
      <c r="C77" s="7" t="s">
        <v>1019</v>
      </c>
      <c r="D77" s="7" t="s">
        <v>1040</v>
      </c>
      <c r="E77" s="7" t="s">
        <v>1041</v>
      </c>
      <c r="F77" s="7" t="s">
        <v>724</v>
      </c>
      <c r="G77" s="7">
        <v>50</v>
      </c>
      <c r="H77" s="7" t="s">
        <v>1123</v>
      </c>
      <c r="I77" s="7" t="s">
        <v>1124</v>
      </c>
      <c r="J77" s="7" t="s">
        <v>785</v>
      </c>
      <c r="K77" s="7" t="s">
        <v>613</v>
      </c>
      <c r="L77" s="7" t="s">
        <v>613</v>
      </c>
      <c r="M77" s="7" t="s">
        <v>1125</v>
      </c>
      <c r="N77" s="7" t="s">
        <v>469</v>
      </c>
      <c r="O77" s="7" t="s">
        <v>470</v>
      </c>
      <c r="P77" s="7" t="s">
        <v>1126</v>
      </c>
      <c r="Q77" s="7" t="s">
        <v>472</v>
      </c>
      <c r="R77" s="7"/>
      <c r="S77" s="49" t="str">
        <f>IFERROR(T(INDEX('Prospectos Resumen'!$K$9:$K$297,MATCH(A77,'Prospectos Resumen'!$A$9:$A$297,0))),"")</f>
        <v/>
      </c>
      <c r="T77" s="7"/>
      <c r="U77" s="7"/>
      <c r="V77" s="7"/>
      <c r="W77" s="7"/>
      <c r="X77" s="7"/>
      <c r="Y77" s="7"/>
      <c r="Z77" s="7" t="s">
        <v>474</v>
      </c>
      <c r="AA77" s="7" t="s">
        <v>1127</v>
      </c>
      <c r="AB77" s="7" t="s">
        <v>1128</v>
      </c>
      <c r="AC77" s="7" t="s">
        <v>1129</v>
      </c>
      <c r="AD77" s="7" t="s">
        <v>1130</v>
      </c>
      <c r="AE77" s="7" t="s">
        <v>566</v>
      </c>
      <c r="AF77" s="7" t="s">
        <v>479</v>
      </c>
      <c r="AG77" s="7" t="s">
        <v>544</v>
      </c>
      <c r="AH77" s="7" t="s">
        <v>1039</v>
      </c>
      <c r="AI77" s="7" t="s">
        <v>407</v>
      </c>
      <c r="AJ77" s="7" t="s">
        <v>566</v>
      </c>
      <c r="AK77" s="7" t="s">
        <v>480</v>
      </c>
      <c r="AL77" s="7" t="s">
        <v>431</v>
      </c>
      <c r="AM77" s="7" t="s">
        <v>1131</v>
      </c>
    </row>
    <row r="78" spans="1:39" ht="60">
      <c r="A78" s="17" t="s">
        <v>143</v>
      </c>
      <c r="B78" s="17" t="s">
        <v>383</v>
      </c>
      <c r="C78" s="17" t="s">
        <v>1019</v>
      </c>
      <c r="D78" s="17" t="s">
        <v>1040</v>
      </c>
      <c r="E78" s="17" t="s">
        <v>1041</v>
      </c>
      <c r="F78" s="17" t="s">
        <v>724</v>
      </c>
      <c r="G78" s="17">
        <v>50</v>
      </c>
      <c r="H78" s="17" t="s">
        <v>1132</v>
      </c>
      <c r="I78" s="17" t="s">
        <v>1133</v>
      </c>
      <c r="J78" s="17" t="s">
        <v>535</v>
      </c>
      <c r="K78" s="17" t="s">
        <v>1134</v>
      </c>
      <c r="L78" s="17" t="s">
        <v>391</v>
      </c>
      <c r="M78" s="17" t="s">
        <v>1135</v>
      </c>
      <c r="N78" s="17" t="s">
        <v>469</v>
      </c>
      <c r="O78" s="17" t="s">
        <v>470</v>
      </c>
      <c r="P78" s="17" t="s">
        <v>1136</v>
      </c>
      <c r="Q78" s="17" t="s">
        <v>472</v>
      </c>
      <c r="R78" s="17"/>
      <c r="S78" s="48" t="str">
        <f>IFERROR(T(INDEX('Prospectos Resumen'!$K$9:$K$297,MATCH(A78,'Prospectos Resumen'!$A$9:$A$297,0))),"")</f>
        <v/>
      </c>
      <c r="T78" s="17"/>
      <c r="U78" s="17"/>
      <c r="V78" s="17"/>
      <c r="W78" s="17"/>
      <c r="X78" s="17" t="s">
        <v>1137</v>
      </c>
      <c r="Y78" s="17" t="s">
        <v>1138</v>
      </c>
      <c r="Z78" s="17" t="s">
        <v>474</v>
      </c>
      <c r="AA78" s="17" t="s">
        <v>1139</v>
      </c>
      <c r="AB78" s="17" t="s">
        <v>1140</v>
      </c>
      <c r="AC78" s="17" t="s">
        <v>1141</v>
      </c>
      <c r="AD78" s="17" t="s">
        <v>1142</v>
      </c>
      <c r="AE78" s="17" t="s">
        <v>566</v>
      </c>
      <c r="AF78" s="17" t="s">
        <v>479</v>
      </c>
      <c r="AG78" s="17" t="s">
        <v>544</v>
      </c>
      <c r="AH78" s="17" t="s">
        <v>1029</v>
      </c>
      <c r="AI78" s="17" t="s">
        <v>407</v>
      </c>
      <c r="AJ78" s="17" t="s">
        <v>566</v>
      </c>
      <c r="AK78" s="17" t="s">
        <v>1030</v>
      </c>
      <c r="AL78" s="17" t="s">
        <v>431</v>
      </c>
      <c r="AM78" s="17" t="s">
        <v>1143</v>
      </c>
    </row>
    <row r="79" spans="1:39" ht="36">
      <c r="A79" s="6" t="s">
        <v>144</v>
      </c>
      <c r="B79" s="6" t="s">
        <v>383</v>
      </c>
      <c r="C79" s="6" t="s">
        <v>1019</v>
      </c>
      <c r="D79" s="6" t="s">
        <v>1040</v>
      </c>
      <c r="E79" s="6" t="s">
        <v>1041</v>
      </c>
      <c r="F79" s="6" t="s">
        <v>992</v>
      </c>
      <c r="G79" s="6">
        <v>40</v>
      </c>
      <c r="H79" s="6" t="s">
        <v>1144</v>
      </c>
      <c r="I79" s="6" t="s">
        <v>1145</v>
      </c>
      <c r="J79" s="6" t="s">
        <v>484</v>
      </c>
      <c r="K79" s="6" t="s">
        <v>1146</v>
      </c>
      <c r="L79" s="6" t="s">
        <v>391</v>
      </c>
      <c r="M79" s="6" t="s">
        <v>614</v>
      </c>
      <c r="N79" s="6" t="s">
        <v>615</v>
      </c>
      <c r="O79" s="6" t="s">
        <v>616</v>
      </c>
      <c r="P79" s="6" t="s">
        <v>1147</v>
      </c>
      <c r="Q79" s="6" t="s">
        <v>777</v>
      </c>
      <c r="R79" s="6"/>
      <c r="S79" s="50" t="str">
        <f>IFERROR(T(INDEX('Prospectos Resumen'!$K$9:$K$297,MATCH(A79,'Prospectos Resumen'!$A$9:$A$297,0))),"")</f>
        <v/>
      </c>
      <c r="T79" s="6"/>
      <c r="U79" s="6"/>
      <c r="V79" s="6"/>
      <c r="W79" s="6"/>
      <c r="X79" s="6" t="s">
        <v>1148</v>
      </c>
      <c r="Y79" s="6" t="s">
        <v>1148</v>
      </c>
      <c r="Z79" s="6" t="s">
        <v>443</v>
      </c>
      <c r="AA79" s="6" t="s">
        <v>1149</v>
      </c>
      <c r="AB79" s="6" t="s">
        <v>531</v>
      </c>
      <c r="AC79" s="6" t="s">
        <v>1149</v>
      </c>
      <c r="AD79" s="6" t="s">
        <v>1147</v>
      </c>
      <c r="AE79" s="6" t="s">
        <v>403</v>
      </c>
      <c r="AF79" s="6" t="s">
        <v>447</v>
      </c>
      <c r="AG79" s="6" t="s">
        <v>428</v>
      </c>
      <c r="AH79" s="6" t="s">
        <v>429</v>
      </c>
      <c r="AI79" s="6" t="s">
        <v>407</v>
      </c>
      <c r="AJ79" s="6" t="s">
        <v>997</v>
      </c>
      <c r="AK79" s="6" t="s">
        <v>430</v>
      </c>
      <c r="AL79" s="6" t="s">
        <v>450</v>
      </c>
      <c r="AM79" s="6" t="s">
        <v>1150</v>
      </c>
    </row>
    <row r="80" spans="1:39" ht="48">
      <c r="A80" s="17" t="s">
        <v>145</v>
      </c>
      <c r="B80" s="17" t="s">
        <v>383</v>
      </c>
      <c r="C80" s="17" t="s">
        <v>1019</v>
      </c>
      <c r="D80" s="17" t="s">
        <v>1040</v>
      </c>
      <c r="E80" s="17" t="s">
        <v>1041</v>
      </c>
      <c r="F80" s="17" t="s">
        <v>992</v>
      </c>
      <c r="G80" s="17">
        <v>40</v>
      </c>
      <c r="H80" s="17" t="s">
        <v>1151</v>
      </c>
      <c r="I80" s="17" t="s">
        <v>1152</v>
      </c>
      <c r="J80" s="17" t="s">
        <v>23</v>
      </c>
      <c r="K80" s="17" t="s">
        <v>1153</v>
      </c>
      <c r="L80" s="17" t="s">
        <v>391</v>
      </c>
      <c r="M80" s="17" t="s">
        <v>624</v>
      </c>
      <c r="N80" s="17" t="s">
        <v>625</v>
      </c>
      <c r="O80" s="17" t="s">
        <v>626</v>
      </c>
      <c r="P80" s="17" t="s">
        <v>1154</v>
      </c>
      <c r="Q80" s="17" t="s">
        <v>777</v>
      </c>
      <c r="R80" s="17"/>
      <c r="S80" s="48" t="str">
        <f>IFERROR(T(INDEX('Prospectos Resumen'!$K$9:$K$297,MATCH(A80,'Prospectos Resumen'!$A$9:$A$297,0))),"")</f>
        <v/>
      </c>
      <c r="T80" s="17"/>
      <c r="U80" s="17"/>
      <c r="V80" s="17"/>
      <c r="W80" s="17"/>
      <c r="X80" s="17" t="s">
        <v>1155</v>
      </c>
      <c r="Y80" s="17" t="s">
        <v>1155</v>
      </c>
      <c r="Z80" s="17" t="s">
        <v>443</v>
      </c>
      <c r="AA80" s="17" t="s">
        <v>1156</v>
      </c>
      <c r="AB80" s="17" t="s">
        <v>531</v>
      </c>
      <c r="AC80" s="17" t="s">
        <v>1157</v>
      </c>
      <c r="AD80" s="17" t="s">
        <v>1154</v>
      </c>
      <c r="AE80" s="17" t="s">
        <v>403</v>
      </c>
      <c r="AF80" s="17" t="s">
        <v>447</v>
      </c>
      <c r="AG80" s="17" t="s">
        <v>463</v>
      </c>
      <c r="AH80" s="17" t="s">
        <v>449</v>
      </c>
      <c r="AI80" s="17" t="s">
        <v>407</v>
      </c>
      <c r="AJ80" s="17" t="s">
        <v>997</v>
      </c>
      <c r="AK80" s="17" t="s">
        <v>480</v>
      </c>
      <c r="AL80" s="17" t="s">
        <v>450</v>
      </c>
      <c r="AM80" s="17" t="s">
        <v>1158</v>
      </c>
    </row>
    <row r="81" spans="1:39" ht="24">
      <c r="A81" s="7" t="s">
        <v>146</v>
      </c>
      <c r="B81" s="7" t="s">
        <v>383</v>
      </c>
      <c r="C81" s="7" t="s">
        <v>1159</v>
      </c>
      <c r="D81" s="7" t="s">
        <v>1160</v>
      </c>
      <c r="E81" s="7" t="s">
        <v>1160</v>
      </c>
      <c r="F81" s="7" t="s">
        <v>387</v>
      </c>
      <c r="G81" s="7">
        <v>100</v>
      </c>
      <c r="H81" s="7" t="s">
        <v>1161</v>
      </c>
      <c r="I81" s="7" t="s">
        <v>1162</v>
      </c>
      <c r="J81" s="7" t="s">
        <v>655</v>
      </c>
      <c r="K81" s="7" t="s">
        <v>1163</v>
      </c>
      <c r="L81" s="7" t="s">
        <v>391</v>
      </c>
      <c r="M81" s="7" t="s">
        <v>548</v>
      </c>
      <c r="N81" s="7" t="s">
        <v>657</v>
      </c>
      <c r="O81" s="7" t="s">
        <v>549</v>
      </c>
      <c r="P81" s="7" t="s">
        <v>1164</v>
      </c>
      <c r="Q81" s="7" t="s">
        <v>420</v>
      </c>
      <c r="R81" s="7"/>
      <c r="S81" s="49" t="str">
        <f>IFERROR(T(INDEX('Prospectos Resumen'!$K$9:$K$297,MATCH(A81,'Prospectos Resumen'!$A$9:$A$297,0))),"")</f>
        <v/>
      </c>
      <c r="T81" s="7"/>
      <c r="U81" s="7"/>
      <c r="V81" s="7"/>
      <c r="W81" s="7"/>
      <c r="X81" s="7" t="s">
        <v>1165</v>
      </c>
      <c r="Y81" s="7" t="s">
        <v>1166</v>
      </c>
      <c r="Z81" s="7" t="s">
        <v>423</v>
      </c>
      <c r="AA81" s="7" t="s">
        <v>1167</v>
      </c>
      <c r="AB81" s="7" t="s">
        <v>1168</v>
      </c>
      <c r="AC81" s="7"/>
      <c r="AD81" s="7" t="s">
        <v>426</v>
      </c>
      <c r="AE81" s="7" t="s">
        <v>403</v>
      </c>
      <c r="AF81" s="7" t="s">
        <v>427</v>
      </c>
      <c r="AG81" s="7" t="s">
        <v>428</v>
      </c>
      <c r="AH81" s="7" t="s">
        <v>464</v>
      </c>
      <c r="AI81" s="7"/>
      <c r="AJ81" s="7" t="s">
        <v>408</v>
      </c>
      <c r="AK81" s="7"/>
      <c r="AL81" s="7" t="s">
        <v>431</v>
      </c>
      <c r="AM81" s="7" t="s">
        <v>432</v>
      </c>
    </row>
    <row r="82" spans="1:39" ht="48">
      <c r="A82" s="17" t="s">
        <v>147</v>
      </c>
      <c r="B82" s="17" t="s">
        <v>383</v>
      </c>
      <c r="C82" s="17" t="s">
        <v>1159</v>
      </c>
      <c r="D82" s="17" t="s">
        <v>1169</v>
      </c>
      <c r="E82" s="17" t="s">
        <v>1160</v>
      </c>
      <c r="F82" s="17" t="s">
        <v>387</v>
      </c>
      <c r="G82" s="17">
        <v>100</v>
      </c>
      <c r="H82" s="17" t="s">
        <v>1170</v>
      </c>
      <c r="I82" s="17" t="s">
        <v>830</v>
      </c>
      <c r="J82" s="17" t="s">
        <v>414</v>
      </c>
      <c r="K82" s="17" t="s">
        <v>1171</v>
      </c>
      <c r="L82" s="17" t="s">
        <v>391</v>
      </c>
      <c r="M82" s="17" t="s">
        <v>455</v>
      </c>
      <c r="N82" s="17" t="s">
        <v>417</v>
      </c>
      <c r="O82" s="17" t="s">
        <v>943</v>
      </c>
      <c r="P82" s="17" t="s">
        <v>1172</v>
      </c>
      <c r="Q82" s="17" t="s">
        <v>472</v>
      </c>
      <c r="R82" s="17"/>
      <c r="S82" s="48" t="str">
        <f>IFERROR(T(INDEX('Prospectos Resumen'!$K$9:$K$297,MATCH(A82,'Prospectos Resumen'!$A$9:$A$297,0))),"")</f>
        <v/>
      </c>
      <c r="T82" s="17"/>
      <c r="U82" s="17"/>
      <c r="V82" s="17"/>
      <c r="W82" s="17"/>
      <c r="X82" s="17" t="s">
        <v>1173</v>
      </c>
      <c r="Y82" s="17" t="s">
        <v>1174</v>
      </c>
      <c r="Z82" s="17" t="s">
        <v>474</v>
      </c>
      <c r="AA82" s="17" t="s">
        <v>1175</v>
      </c>
      <c r="AB82" s="17" t="s">
        <v>1176</v>
      </c>
      <c r="AC82" s="17" t="s">
        <v>1177</v>
      </c>
      <c r="AD82" s="17" t="s">
        <v>1178</v>
      </c>
      <c r="AE82" s="17" t="s">
        <v>403</v>
      </c>
      <c r="AF82" s="17" t="s">
        <v>479</v>
      </c>
      <c r="AG82" s="17" t="s">
        <v>428</v>
      </c>
      <c r="AH82" s="17" t="s">
        <v>429</v>
      </c>
      <c r="AI82" s="17"/>
      <c r="AJ82" s="17" t="s">
        <v>408</v>
      </c>
      <c r="AK82" s="17" t="s">
        <v>430</v>
      </c>
      <c r="AL82" s="17" t="s">
        <v>431</v>
      </c>
      <c r="AM82" s="17" t="s">
        <v>432</v>
      </c>
    </row>
    <row r="83" spans="1:39" ht="24">
      <c r="A83" s="18" t="s">
        <v>148</v>
      </c>
      <c r="B83" s="18" t="s">
        <v>383</v>
      </c>
      <c r="C83" s="18" t="s">
        <v>1159</v>
      </c>
      <c r="D83" s="18" t="s">
        <v>1160</v>
      </c>
      <c r="E83" s="18" t="s">
        <v>1160</v>
      </c>
      <c r="F83" s="18" t="s">
        <v>387</v>
      </c>
      <c r="G83" s="18">
        <v>100</v>
      </c>
      <c r="H83" s="18" t="s">
        <v>1179</v>
      </c>
      <c r="I83" s="18" t="s">
        <v>1180</v>
      </c>
      <c r="J83" s="18" t="s">
        <v>414</v>
      </c>
      <c r="K83" s="18" t="s">
        <v>1181</v>
      </c>
      <c r="L83" s="18" t="s">
        <v>391</v>
      </c>
      <c r="M83" s="18" t="s">
        <v>455</v>
      </c>
      <c r="N83" s="18" t="s">
        <v>417</v>
      </c>
      <c r="O83" s="18" t="s">
        <v>457</v>
      </c>
      <c r="P83" s="18" t="s">
        <v>1182</v>
      </c>
      <c r="Q83" s="18" t="s">
        <v>420</v>
      </c>
      <c r="R83" s="18"/>
      <c r="S83" s="48" t="str">
        <f>IFERROR(T(INDEX('Prospectos Resumen'!$K$9:$K$297,MATCH(A83,'Prospectos Resumen'!$A$9:$A$297,0))),"")</f>
        <v/>
      </c>
      <c r="T83" s="18"/>
      <c r="U83" s="18"/>
      <c r="V83" s="18"/>
      <c r="W83" s="18"/>
      <c r="X83" s="18" t="s">
        <v>1183</v>
      </c>
      <c r="Y83" s="18" t="s">
        <v>1183</v>
      </c>
      <c r="Z83" s="18" t="s">
        <v>423</v>
      </c>
      <c r="AA83" s="18" t="s">
        <v>1184</v>
      </c>
      <c r="AB83" s="18" t="s">
        <v>1185</v>
      </c>
      <c r="AC83" s="18"/>
      <c r="AD83" s="18" t="s">
        <v>426</v>
      </c>
      <c r="AE83" s="18" t="s">
        <v>403</v>
      </c>
      <c r="AF83" s="18" t="s">
        <v>427</v>
      </c>
      <c r="AG83" s="18" t="s">
        <v>428</v>
      </c>
      <c r="AH83" s="18" t="s">
        <v>429</v>
      </c>
      <c r="AI83" s="18"/>
      <c r="AJ83" s="18" t="s">
        <v>408</v>
      </c>
      <c r="AK83" s="18"/>
      <c r="AL83" s="18" t="s">
        <v>431</v>
      </c>
      <c r="AM83" s="18" t="s">
        <v>432</v>
      </c>
    </row>
    <row r="84" spans="1:39" ht="60">
      <c r="A84" s="17" t="s">
        <v>149</v>
      </c>
      <c r="B84" s="17" t="s">
        <v>383</v>
      </c>
      <c r="C84" s="17" t="s">
        <v>1159</v>
      </c>
      <c r="D84" s="17" t="s">
        <v>1186</v>
      </c>
      <c r="E84" s="17" t="s">
        <v>1160</v>
      </c>
      <c r="F84" s="17" t="s">
        <v>387</v>
      </c>
      <c r="G84" s="17">
        <v>96</v>
      </c>
      <c r="H84" s="17" t="s">
        <v>1187</v>
      </c>
      <c r="I84" s="17" t="s">
        <v>1188</v>
      </c>
      <c r="J84" s="17" t="s">
        <v>727</v>
      </c>
      <c r="K84" s="17" t="s">
        <v>1189</v>
      </c>
      <c r="L84" s="17" t="s">
        <v>391</v>
      </c>
      <c r="M84" s="17" t="s">
        <v>1190</v>
      </c>
      <c r="N84" s="17" t="s">
        <v>1191</v>
      </c>
      <c r="O84" s="17" t="s">
        <v>1192</v>
      </c>
      <c r="P84" s="17" t="s">
        <v>1193</v>
      </c>
      <c r="Q84" s="17" t="s">
        <v>1194</v>
      </c>
      <c r="R84" s="17"/>
      <c r="S84" s="48" t="str">
        <f>IFERROR(T(INDEX('Prospectos Resumen'!$K$9:$K$297,MATCH(A84,'Prospectos Resumen'!$A$9:$A$297,0))),"")</f>
        <v/>
      </c>
      <c r="T84" s="17"/>
      <c r="U84" s="17"/>
      <c r="V84" s="17"/>
      <c r="W84" s="17"/>
      <c r="X84" s="17" t="s">
        <v>1195</v>
      </c>
      <c r="Y84" s="17" t="s">
        <v>1195</v>
      </c>
      <c r="Z84" s="17" t="s">
        <v>1196</v>
      </c>
      <c r="AA84" s="17" t="s">
        <v>1197</v>
      </c>
      <c r="AB84" s="17" t="s">
        <v>1198</v>
      </c>
      <c r="AC84" s="17" t="s">
        <v>1199</v>
      </c>
      <c r="AD84" s="17" t="s">
        <v>1200</v>
      </c>
      <c r="AE84" s="17" t="s">
        <v>403</v>
      </c>
      <c r="AF84" s="17" t="s">
        <v>1201</v>
      </c>
      <c r="AG84" s="17" t="s">
        <v>1202</v>
      </c>
      <c r="AH84" s="17" t="s">
        <v>743</v>
      </c>
      <c r="AI84" s="17" t="s">
        <v>407</v>
      </c>
      <c r="AJ84" s="17" t="s">
        <v>408</v>
      </c>
      <c r="AK84" s="17" t="s">
        <v>1203</v>
      </c>
      <c r="AL84" s="17" t="s">
        <v>1204</v>
      </c>
      <c r="AM84" s="17" t="s">
        <v>1205</v>
      </c>
    </row>
    <row r="85" spans="1:39" ht="60">
      <c r="A85" s="18" t="s">
        <v>150</v>
      </c>
      <c r="B85" s="18" t="s">
        <v>383</v>
      </c>
      <c r="C85" s="18" t="s">
        <v>1159</v>
      </c>
      <c r="D85" s="18" t="s">
        <v>1186</v>
      </c>
      <c r="E85" s="18" t="s">
        <v>1160</v>
      </c>
      <c r="F85" s="18" t="s">
        <v>387</v>
      </c>
      <c r="G85" s="18">
        <v>95</v>
      </c>
      <c r="H85" s="18" t="s">
        <v>1206</v>
      </c>
      <c r="I85" s="18" t="s">
        <v>1207</v>
      </c>
      <c r="J85" s="18" t="s">
        <v>727</v>
      </c>
      <c r="K85" s="18" t="s">
        <v>1208</v>
      </c>
      <c r="L85" s="18" t="s">
        <v>391</v>
      </c>
      <c r="M85" s="18" t="s">
        <v>1190</v>
      </c>
      <c r="N85" s="18" t="s">
        <v>1191</v>
      </c>
      <c r="O85" s="18" t="s">
        <v>1192</v>
      </c>
      <c r="P85" s="18" t="s">
        <v>1193</v>
      </c>
      <c r="Q85" s="18" t="s">
        <v>1194</v>
      </c>
      <c r="R85" s="18"/>
      <c r="S85" s="48" t="str">
        <f>IFERROR(T(INDEX('Prospectos Resumen'!$K$9:$K$297,MATCH(A85,'Prospectos Resumen'!$A$9:$A$297,0))),"")</f>
        <v/>
      </c>
      <c r="T85" s="18"/>
      <c r="U85" s="18"/>
      <c r="V85" s="18"/>
      <c r="W85" s="18"/>
      <c r="X85" s="18" t="s">
        <v>1209</v>
      </c>
      <c r="Y85" s="18" t="s">
        <v>1209</v>
      </c>
      <c r="Z85" s="18" t="s">
        <v>1196</v>
      </c>
      <c r="AA85" s="18" t="s">
        <v>1210</v>
      </c>
      <c r="AB85" s="18" t="s">
        <v>1211</v>
      </c>
      <c r="AC85" s="18" t="s">
        <v>1212</v>
      </c>
      <c r="AD85" s="18" t="s">
        <v>1213</v>
      </c>
      <c r="AE85" s="18" t="s">
        <v>403</v>
      </c>
      <c r="AF85" s="18" t="s">
        <v>1201</v>
      </c>
      <c r="AG85" s="18" t="s">
        <v>1202</v>
      </c>
      <c r="AH85" s="18" t="s">
        <v>743</v>
      </c>
      <c r="AI85" s="18" t="s">
        <v>407</v>
      </c>
      <c r="AJ85" s="18" t="s">
        <v>408</v>
      </c>
      <c r="AK85" s="18" t="s">
        <v>1203</v>
      </c>
      <c r="AL85" s="18" t="s">
        <v>1204</v>
      </c>
      <c r="AM85" s="18" t="s">
        <v>1205</v>
      </c>
    </row>
    <row r="86" spans="1:39" ht="48">
      <c r="A86" s="17" t="s">
        <v>151</v>
      </c>
      <c r="B86" s="17" t="s">
        <v>383</v>
      </c>
      <c r="C86" s="17" t="s">
        <v>1159</v>
      </c>
      <c r="D86" s="17" t="s">
        <v>1186</v>
      </c>
      <c r="E86" s="17" t="s">
        <v>1160</v>
      </c>
      <c r="F86" s="17" t="s">
        <v>387</v>
      </c>
      <c r="G86" s="17">
        <v>90</v>
      </c>
      <c r="H86" s="17" t="s">
        <v>1214</v>
      </c>
      <c r="I86" s="17" t="s">
        <v>1215</v>
      </c>
      <c r="J86" s="17" t="s">
        <v>23</v>
      </c>
      <c r="K86" s="17" t="s">
        <v>1216</v>
      </c>
      <c r="L86" s="17" t="s">
        <v>391</v>
      </c>
      <c r="M86" s="17" t="s">
        <v>392</v>
      </c>
      <c r="N86" s="17" t="s">
        <v>571</v>
      </c>
      <c r="O86" s="17" t="s">
        <v>572</v>
      </c>
      <c r="P86" s="17" t="s">
        <v>573</v>
      </c>
      <c r="Q86" s="17" t="s">
        <v>396</v>
      </c>
      <c r="R86" s="17"/>
      <c r="S86" s="48" t="str">
        <f>IFERROR(T(INDEX('Prospectos Resumen'!$K$9:$K$297,MATCH(A86,'Prospectos Resumen'!$A$9:$A$297,0))),"")</f>
        <v/>
      </c>
      <c r="T86" s="17"/>
      <c r="U86" s="17"/>
      <c r="V86" s="17"/>
      <c r="W86" s="17"/>
      <c r="X86" s="17" t="s">
        <v>1217</v>
      </c>
      <c r="Y86" s="17" t="s">
        <v>1217</v>
      </c>
      <c r="Z86" s="17" t="s">
        <v>398</v>
      </c>
      <c r="AA86" s="17" t="s">
        <v>1218</v>
      </c>
      <c r="AB86" s="17" t="s">
        <v>1219</v>
      </c>
      <c r="AC86" s="17" t="s">
        <v>1220</v>
      </c>
      <c r="AD86" s="17" t="s">
        <v>1221</v>
      </c>
      <c r="AE86" s="17" t="s">
        <v>403</v>
      </c>
      <c r="AF86" s="17" t="s">
        <v>404</v>
      </c>
      <c r="AG86" s="17" t="s">
        <v>405</v>
      </c>
      <c r="AH86" s="17" t="s">
        <v>406</v>
      </c>
      <c r="AI86" s="17" t="s">
        <v>407</v>
      </c>
      <c r="AJ86" s="17" t="s">
        <v>408</v>
      </c>
      <c r="AK86" s="17" t="s">
        <v>409</v>
      </c>
      <c r="AL86" s="17" t="s">
        <v>410</v>
      </c>
      <c r="AM86" s="17" t="s">
        <v>411</v>
      </c>
    </row>
    <row r="87" spans="1:39" ht="36">
      <c r="A87" s="7" t="s">
        <v>152</v>
      </c>
      <c r="B87" s="7" t="s">
        <v>383</v>
      </c>
      <c r="C87" s="7" t="s">
        <v>1159</v>
      </c>
      <c r="D87" s="7" t="s">
        <v>1160</v>
      </c>
      <c r="E87" s="7" t="s">
        <v>1160</v>
      </c>
      <c r="F87" s="7" t="s">
        <v>724</v>
      </c>
      <c r="G87" s="7">
        <v>75</v>
      </c>
      <c r="H87" s="7" t="s">
        <v>1222</v>
      </c>
      <c r="I87" s="7" t="s">
        <v>1223</v>
      </c>
      <c r="J87" s="7" t="s">
        <v>802</v>
      </c>
      <c r="K87" s="7" t="s">
        <v>1224</v>
      </c>
      <c r="L87" s="7" t="s">
        <v>391</v>
      </c>
      <c r="M87" s="7" t="s">
        <v>987</v>
      </c>
      <c r="N87" s="7" t="s">
        <v>805</v>
      </c>
      <c r="O87" s="7" t="s">
        <v>1034</v>
      </c>
      <c r="P87" s="7" t="s">
        <v>1225</v>
      </c>
      <c r="Q87" s="7" t="s">
        <v>420</v>
      </c>
      <c r="R87" s="7"/>
      <c r="S87" s="49" t="str">
        <f>IFERROR(T(INDEX('Prospectos Resumen'!$K$9:$K$297,MATCH(A87,'Prospectos Resumen'!$A$9:$A$297,0))),"")</f>
        <v/>
      </c>
      <c r="T87" s="7"/>
      <c r="U87" s="7"/>
      <c r="V87" s="7"/>
      <c r="W87" s="7"/>
      <c r="X87" s="7" t="s">
        <v>1226</v>
      </c>
      <c r="Y87" s="7" t="s">
        <v>1227</v>
      </c>
      <c r="Z87" s="7" t="s">
        <v>423</v>
      </c>
      <c r="AA87" s="7" t="s">
        <v>1228</v>
      </c>
      <c r="AB87" s="7" t="s">
        <v>1229</v>
      </c>
      <c r="AC87" s="7"/>
      <c r="AD87" s="7" t="s">
        <v>426</v>
      </c>
      <c r="AE87" s="7" t="s">
        <v>403</v>
      </c>
      <c r="AF87" s="7" t="s">
        <v>427</v>
      </c>
      <c r="AG87" s="7" t="s">
        <v>463</v>
      </c>
      <c r="AH87" s="7" t="s">
        <v>464</v>
      </c>
      <c r="AI87" s="7"/>
      <c r="AJ87" s="7" t="s">
        <v>403</v>
      </c>
      <c r="AK87" s="7"/>
      <c r="AL87" s="7" t="s">
        <v>431</v>
      </c>
      <c r="AM87" s="7" t="s">
        <v>432</v>
      </c>
    </row>
    <row r="88" spans="1:39" ht="48">
      <c r="A88" s="8" t="s">
        <v>153</v>
      </c>
      <c r="B88" s="8" t="s">
        <v>383</v>
      </c>
      <c r="C88" s="8" t="s">
        <v>1159</v>
      </c>
      <c r="D88" s="8" t="s">
        <v>1160</v>
      </c>
      <c r="E88" s="8" t="s">
        <v>1160</v>
      </c>
      <c r="F88" s="8" t="s">
        <v>724</v>
      </c>
      <c r="G88" s="8">
        <v>75</v>
      </c>
      <c r="H88" s="8" t="s">
        <v>1230</v>
      </c>
      <c r="I88" s="8" t="s">
        <v>1231</v>
      </c>
      <c r="J88" s="8" t="s">
        <v>802</v>
      </c>
      <c r="K88" s="8" t="s">
        <v>1232</v>
      </c>
      <c r="L88" s="8" t="s">
        <v>391</v>
      </c>
      <c r="M88" s="8" t="s">
        <v>548</v>
      </c>
      <c r="N88" s="8" t="s">
        <v>805</v>
      </c>
      <c r="O88" s="8" t="s">
        <v>549</v>
      </c>
      <c r="P88" s="8" t="s">
        <v>1233</v>
      </c>
      <c r="Q88" s="8" t="s">
        <v>420</v>
      </c>
      <c r="R88" s="8"/>
      <c r="S88" s="49" t="str">
        <f>IFERROR(T(INDEX('Prospectos Resumen'!$K$9:$K$297,MATCH(A88,'Prospectos Resumen'!$A$9:$A$297,0))),"")</f>
        <v/>
      </c>
      <c r="T88" s="8"/>
      <c r="U88" s="8"/>
      <c r="V88" s="8"/>
      <c r="W88" s="8"/>
      <c r="X88" s="8" t="s">
        <v>1234</v>
      </c>
      <c r="Y88" s="8" t="s">
        <v>1234</v>
      </c>
      <c r="Z88" s="8" t="s">
        <v>423</v>
      </c>
      <c r="AA88" s="8" t="s">
        <v>1235</v>
      </c>
      <c r="AB88" s="8" t="s">
        <v>1236</v>
      </c>
      <c r="AC88" s="8"/>
      <c r="AD88" s="8" t="s">
        <v>426</v>
      </c>
      <c r="AE88" s="8" t="s">
        <v>403</v>
      </c>
      <c r="AF88" s="8" t="s">
        <v>427</v>
      </c>
      <c r="AG88" s="8" t="s">
        <v>448</v>
      </c>
      <c r="AH88" s="8" t="s">
        <v>464</v>
      </c>
      <c r="AI88" s="8"/>
      <c r="AJ88" s="8" t="s">
        <v>403</v>
      </c>
      <c r="AK88" s="8"/>
      <c r="AL88" s="8" t="s">
        <v>431</v>
      </c>
      <c r="AM88" s="8" t="s">
        <v>432</v>
      </c>
    </row>
    <row r="89" spans="1:39" ht="24">
      <c r="A89" s="18" t="s">
        <v>154</v>
      </c>
      <c r="B89" s="18" t="s">
        <v>383</v>
      </c>
      <c r="C89" s="18" t="s">
        <v>1159</v>
      </c>
      <c r="D89" s="18" t="s">
        <v>1160</v>
      </c>
      <c r="E89" s="18" t="s">
        <v>1160</v>
      </c>
      <c r="F89" s="18" t="s">
        <v>724</v>
      </c>
      <c r="G89" s="18">
        <v>50</v>
      </c>
      <c r="H89" s="18" t="s">
        <v>1237</v>
      </c>
      <c r="I89" s="18" t="s">
        <v>1238</v>
      </c>
      <c r="J89" s="18" t="s">
        <v>655</v>
      </c>
      <c r="K89" s="18" t="s">
        <v>613</v>
      </c>
      <c r="L89" s="18" t="s">
        <v>613</v>
      </c>
      <c r="M89" s="18" t="s">
        <v>548</v>
      </c>
      <c r="N89" s="18" t="s">
        <v>657</v>
      </c>
      <c r="O89" s="18" t="s">
        <v>549</v>
      </c>
      <c r="P89" s="18" t="s">
        <v>1239</v>
      </c>
      <c r="Q89" s="18" t="s">
        <v>420</v>
      </c>
      <c r="R89" s="18"/>
      <c r="S89" s="48" t="str">
        <f>IFERROR(T(INDEX('Prospectos Resumen'!$K$9:$K$297,MATCH(A89,'Prospectos Resumen'!$A$9:$A$297,0))),"")</f>
        <v/>
      </c>
      <c r="T89" s="18"/>
      <c r="U89" s="18"/>
      <c r="V89" s="18"/>
      <c r="W89" s="18"/>
      <c r="X89" s="18"/>
      <c r="Y89" s="18"/>
      <c r="Z89" s="18" t="s">
        <v>423</v>
      </c>
      <c r="AA89" s="18" t="s">
        <v>1240</v>
      </c>
      <c r="AB89" s="18" t="s">
        <v>1241</v>
      </c>
      <c r="AC89" s="18"/>
      <c r="AD89" s="18" t="s">
        <v>426</v>
      </c>
      <c r="AE89" s="18" t="s">
        <v>566</v>
      </c>
      <c r="AF89" s="18" t="s">
        <v>427</v>
      </c>
      <c r="AG89" s="18" t="s">
        <v>428</v>
      </c>
      <c r="AH89" s="18" t="s">
        <v>464</v>
      </c>
      <c r="AI89" s="18"/>
      <c r="AJ89" s="18" t="s">
        <v>566</v>
      </c>
      <c r="AK89" s="18"/>
      <c r="AL89" s="18" t="s">
        <v>431</v>
      </c>
      <c r="AM89" s="18" t="s">
        <v>432</v>
      </c>
    </row>
    <row r="90" spans="1:39" ht="36">
      <c r="A90" s="8" t="s">
        <v>155</v>
      </c>
      <c r="B90" s="8" t="s">
        <v>383</v>
      </c>
      <c r="C90" s="8" t="s">
        <v>1159</v>
      </c>
      <c r="D90" s="8" t="s">
        <v>1160</v>
      </c>
      <c r="E90" s="8" t="s">
        <v>1160</v>
      </c>
      <c r="F90" s="8" t="s">
        <v>724</v>
      </c>
      <c r="G90" s="8">
        <v>50</v>
      </c>
      <c r="H90" s="8" t="s">
        <v>1242</v>
      </c>
      <c r="I90" s="8" t="s">
        <v>1243</v>
      </c>
      <c r="J90" s="8" t="s">
        <v>414</v>
      </c>
      <c r="K90" s="8" t="s">
        <v>613</v>
      </c>
      <c r="L90" s="8" t="s">
        <v>613</v>
      </c>
      <c r="M90" s="8" t="s">
        <v>1244</v>
      </c>
      <c r="N90" s="8" t="s">
        <v>417</v>
      </c>
      <c r="O90" s="8" t="s">
        <v>943</v>
      </c>
      <c r="P90" s="8" t="s">
        <v>1245</v>
      </c>
      <c r="Q90" s="8" t="s">
        <v>472</v>
      </c>
      <c r="R90" s="8"/>
      <c r="S90" s="49" t="str">
        <f>IFERROR(T(INDEX('Prospectos Resumen'!$K$9:$K$297,MATCH(A90,'Prospectos Resumen'!$A$9:$A$297,0))),"")</f>
        <v/>
      </c>
      <c r="T90" s="8"/>
      <c r="U90" s="8"/>
      <c r="V90" s="8"/>
      <c r="W90" s="8"/>
      <c r="X90" s="8"/>
      <c r="Y90" s="8"/>
      <c r="Z90" s="8" t="s">
        <v>474</v>
      </c>
      <c r="AA90" s="8" t="s">
        <v>1246</v>
      </c>
      <c r="AB90" s="8" t="s">
        <v>1128</v>
      </c>
      <c r="AC90" s="8" t="s">
        <v>1247</v>
      </c>
      <c r="AD90" s="8" t="s">
        <v>1248</v>
      </c>
      <c r="AE90" s="8" t="s">
        <v>566</v>
      </c>
      <c r="AF90" s="8" t="s">
        <v>479</v>
      </c>
      <c r="AG90" s="8" t="s">
        <v>428</v>
      </c>
      <c r="AH90" s="8" t="s">
        <v>429</v>
      </c>
      <c r="AI90" s="8"/>
      <c r="AJ90" s="8" t="s">
        <v>566</v>
      </c>
      <c r="AK90" s="8"/>
      <c r="AL90" s="8" t="s">
        <v>431</v>
      </c>
      <c r="AM90" s="8" t="s">
        <v>432</v>
      </c>
    </row>
    <row r="91" spans="1:39" ht="60">
      <c r="A91" s="18" t="s">
        <v>156</v>
      </c>
      <c r="B91" s="18" t="s">
        <v>383</v>
      </c>
      <c r="C91" s="18" t="s">
        <v>1159</v>
      </c>
      <c r="D91" s="18" t="s">
        <v>1249</v>
      </c>
      <c r="E91" s="18" t="s">
        <v>1250</v>
      </c>
      <c r="F91" s="18" t="s">
        <v>387</v>
      </c>
      <c r="G91" s="18">
        <v>98</v>
      </c>
      <c r="H91" s="18" t="s">
        <v>1251</v>
      </c>
      <c r="I91" s="18" t="s">
        <v>1252</v>
      </c>
      <c r="J91" s="18" t="s">
        <v>727</v>
      </c>
      <c r="K91" s="18" t="s">
        <v>1253</v>
      </c>
      <c r="L91" s="18" t="s">
        <v>391</v>
      </c>
      <c r="M91" s="18" t="s">
        <v>1190</v>
      </c>
      <c r="N91" s="18" t="s">
        <v>1191</v>
      </c>
      <c r="O91" s="18" t="s">
        <v>1192</v>
      </c>
      <c r="P91" s="18" t="s">
        <v>1193</v>
      </c>
      <c r="Q91" s="18" t="s">
        <v>1194</v>
      </c>
      <c r="R91" s="18"/>
      <c r="S91" s="48" t="str">
        <f>IFERROR(T(INDEX('Prospectos Resumen'!$K$9:$K$297,MATCH(A91,'Prospectos Resumen'!$A$9:$A$297,0))),"")</f>
        <v/>
      </c>
      <c r="T91" s="18"/>
      <c r="U91" s="18"/>
      <c r="V91" s="18"/>
      <c r="W91" s="18"/>
      <c r="X91" s="18" t="s">
        <v>1254</v>
      </c>
      <c r="Y91" s="18" t="s">
        <v>1254</v>
      </c>
      <c r="Z91" s="18" t="s">
        <v>1196</v>
      </c>
      <c r="AA91" s="18" t="s">
        <v>1255</v>
      </c>
      <c r="AB91" s="18" t="s">
        <v>1256</v>
      </c>
      <c r="AC91" s="18" t="s">
        <v>1257</v>
      </c>
      <c r="AD91" s="18" t="s">
        <v>1258</v>
      </c>
      <c r="AE91" s="18" t="s">
        <v>403</v>
      </c>
      <c r="AF91" s="18" t="s">
        <v>1201</v>
      </c>
      <c r="AG91" s="18" t="s">
        <v>1202</v>
      </c>
      <c r="AH91" s="18" t="s">
        <v>743</v>
      </c>
      <c r="AI91" s="18" t="s">
        <v>407</v>
      </c>
      <c r="AJ91" s="18" t="s">
        <v>408</v>
      </c>
      <c r="AK91" s="18" t="s">
        <v>1203</v>
      </c>
      <c r="AL91" s="18" t="s">
        <v>1204</v>
      </c>
      <c r="AM91" s="18" t="s">
        <v>1205</v>
      </c>
    </row>
    <row r="92" spans="1:39" ht="60">
      <c r="A92" s="17" t="s">
        <v>157</v>
      </c>
      <c r="B92" s="17" t="s">
        <v>383</v>
      </c>
      <c r="C92" s="17" t="s">
        <v>1159</v>
      </c>
      <c r="D92" s="17" t="s">
        <v>1249</v>
      </c>
      <c r="E92" s="17" t="s">
        <v>1250</v>
      </c>
      <c r="F92" s="17" t="s">
        <v>387</v>
      </c>
      <c r="G92" s="17">
        <v>92</v>
      </c>
      <c r="H92" s="17" t="s">
        <v>1259</v>
      </c>
      <c r="I92" s="17" t="s">
        <v>1260</v>
      </c>
      <c r="J92" s="17" t="s">
        <v>727</v>
      </c>
      <c r="K92" s="17" t="s">
        <v>1261</v>
      </c>
      <c r="L92" s="17" t="s">
        <v>391</v>
      </c>
      <c r="M92" s="17" t="s">
        <v>1190</v>
      </c>
      <c r="N92" s="17" t="s">
        <v>1262</v>
      </c>
      <c r="O92" s="17" t="s">
        <v>1263</v>
      </c>
      <c r="P92" s="17" t="s">
        <v>1264</v>
      </c>
      <c r="Q92" s="17" t="s">
        <v>1194</v>
      </c>
      <c r="R92" s="17"/>
      <c r="S92" s="48" t="str">
        <f>IFERROR(T(INDEX('Prospectos Resumen'!$K$9:$K$297,MATCH(A92,'Prospectos Resumen'!$A$9:$A$297,0))),"")</f>
        <v/>
      </c>
      <c r="T92" s="17"/>
      <c r="U92" s="17"/>
      <c r="V92" s="17"/>
      <c r="W92" s="17"/>
      <c r="X92" s="17" t="s">
        <v>1265</v>
      </c>
      <c r="Y92" s="17" t="s">
        <v>1265</v>
      </c>
      <c r="Z92" s="17" t="s">
        <v>1196</v>
      </c>
      <c r="AA92" s="17" t="s">
        <v>1266</v>
      </c>
      <c r="AB92" s="17" t="s">
        <v>1267</v>
      </c>
      <c r="AC92" s="17" t="s">
        <v>1268</v>
      </c>
      <c r="AD92" s="17" t="s">
        <v>1269</v>
      </c>
      <c r="AE92" s="17" t="s">
        <v>403</v>
      </c>
      <c r="AF92" s="17" t="s">
        <v>1201</v>
      </c>
      <c r="AG92" s="17" t="s">
        <v>1202</v>
      </c>
      <c r="AH92" s="17" t="s">
        <v>743</v>
      </c>
      <c r="AI92" s="17" t="s">
        <v>407</v>
      </c>
      <c r="AJ92" s="17" t="s">
        <v>408</v>
      </c>
      <c r="AK92" s="17" t="s">
        <v>1203</v>
      </c>
      <c r="AL92" s="17" t="s">
        <v>1204</v>
      </c>
      <c r="AM92" s="17" t="s">
        <v>1205</v>
      </c>
    </row>
    <row r="93" spans="1:39" ht="60">
      <c r="A93" s="7" t="s">
        <v>158</v>
      </c>
      <c r="B93" s="7" t="s">
        <v>383</v>
      </c>
      <c r="C93" s="7" t="s">
        <v>1159</v>
      </c>
      <c r="D93" s="7" t="s">
        <v>1270</v>
      </c>
      <c r="E93" s="7" t="s">
        <v>1271</v>
      </c>
      <c r="F93" s="7" t="s">
        <v>724</v>
      </c>
      <c r="G93" s="7">
        <v>50</v>
      </c>
      <c r="H93" s="7" t="s">
        <v>1272</v>
      </c>
      <c r="I93" s="7" t="s">
        <v>1273</v>
      </c>
      <c r="J93" s="7" t="s">
        <v>414</v>
      </c>
      <c r="K93" s="7" t="s">
        <v>613</v>
      </c>
      <c r="L93" s="7" t="s">
        <v>613</v>
      </c>
      <c r="M93" s="7" t="s">
        <v>416</v>
      </c>
      <c r="N93" s="7" t="s">
        <v>417</v>
      </c>
      <c r="O93" s="7" t="s">
        <v>943</v>
      </c>
      <c r="P93" s="7" t="s">
        <v>1274</v>
      </c>
      <c r="Q93" s="7" t="s">
        <v>472</v>
      </c>
      <c r="R93" s="7"/>
      <c r="S93" s="49" t="str">
        <f>IFERROR(T(INDEX('Prospectos Resumen'!$K$9:$K$297,MATCH(A93,'Prospectos Resumen'!$A$9:$A$297,0))),"")</f>
        <v/>
      </c>
      <c r="T93" s="7"/>
      <c r="U93" s="7"/>
      <c r="V93" s="7"/>
      <c r="W93" s="7"/>
      <c r="X93" s="7"/>
      <c r="Y93" s="7"/>
      <c r="Z93" s="7" t="s">
        <v>474</v>
      </c>
      <c r="AA93" s="7" t="s">
        <v>1275</v>
      </c>
      <c r="AB93" s="7" t="s">
        <v>1276</v>
      </c>
      <c r="AC93" s="7" t="s">
        <v>1277</v>
      </c>
      <c r="AD93" s="7" t="s">
        <v>1278</v>
      </c>
      <c r="AE93" s="7" t="s">
        <v>566</v>
      </c>
      <c r="AF93" s="7" t="s">
        <v>479</v>
      </c>
      <c r="AG93" s="7" t="s">
        <v>428</v>
      </c>
      <c r="AH93" s="7" t="s">
        <v>429</v>
      </c>
      <c r="AI93" s="7"/>
      <c r="AJ93" s="7" t="s">
        <v>566</v>
      </c>
      <c r="AK93" s="7" t="s">
        <v>430</v>
      </c>
      <c r="AL93" s="7" t="s">
        <v>431</v>
      </c>
      <c r="AM93" s="7" t="s">
        <v>1279</v>
      </c>
    </row>
    <row r="94" spans="1:39" ht="60">
      <c r="A94" s="17" t="s">
        <v>159</v>
      </c>
      <c r="B94" s="17" t="s">
        <v>383</v>
      </c>
      <c r="C94" s="17" t="s">
        <v>1159</v>
      </c>
      <c r="D94" s="17" t="s">
        <v>1280</v>
      </c>
      <c r="E94" s="17" t="s">
        <v>1281</v>
      </c>
      <c r="F94" s="17" t="s">
        <v>387</v>
      </c>
      <c r="G94" s="17">
        <v>100</v>
      </c>
      <c r="H94" s="17" t="s">
        <v>1282</v>
      </c>
      <c r="I94" s="17" t="s">
        <v>1283</v>
      </c>
      <c r="J94" s="17" t="s">
        <v>727</v>
      </c>
      <c r="K94" s="17" t="s">
        <v>1284</v>
      </c>
      <c r="L94" s="17" t="s">
        <v>391</v>
      </c>
      <c r="M94" s="17" t="s">
        <v>1190</v>
      </c>
      <c r="N94" s="17" t="s">
        <v>1285</v>
      </c>
      <c r="O94" s="17" t="s">
        <v>1286</v>
      </c>
      <c r="P94" s="17" t="s">
        <v>1287</v>
      </c>
      <c r="Q94" s="17" t="s">
        <v>1194</v>
      </c>
      <c r="R94" s="17"/>
      <c r="S94" s="48" t="str">
        <f>IFERROR(T(INDEX('Prospectos Resumen'!$K$9:$K$297,MATCH(A94,'Prospectos Resumen'!$A$9:$A$297,0))),"")</f>
        <v/>
      </c>
      <c r="T94" s="17"/>
      <c r="U94" s="17"/>
      <c r="V94" s="17"/>
      <c r="W94" s="17"/>
      <c r="X94" s="17" t="s">
        <v>1288</v>
      </c>
      <c r="Y94" s="17" t="s">
        <v>1288</v>
      </c>
      <c r="Z94" s="17" t="s">
        <v>1196</v>
      </c>
      <c r="AA94" s="17" t="s">
        <v>1289</v>
      </c>
      <c r="AB94" s="17" t="s">
        <v>1290</v>
      </c>
      <c r="AC94" s="17" t="s">
        <v>1291</v>
      </c>
      <c r="AD94" s="17" t="s">
        <v>1292</v>
      </c>
      <c r="AE94" s="17" t="s">
        <v>403</v>
      </c>
      <c r="AF94" s="17" t="s">
        <v>1201</v>
      </c>
      <c r="AG94" s="17" t="s">
        <v>1202</v>
      </c>
      <c r="AH94" s="17" t="s">
        <v>743</v>
      </c>
      <c r="AI94" s="17" t="s">
        <v>407</v>
      </c>
      <c r="AJ94" s="17" t="s">
        <v>408</v>
      </c>
      <c r="AK94" s="17" t="s">
        <v>1203</v>
      </c>
      <c r="AL94" s="17" t="s">
        <v>1204</v>
      </c>
      <c r="AM94" s="17" t="s">
        <v>1205</v>
      </c>
    </row>
    <row r="95" spans="1:39" ht="48">
      <c r="A95" s="7" t="s">
        <v>160</v>
      </c>
      <c r="B95" s="7" t="s">
        <v>383</v>
      </c>
      <c r="C95" s="7" t="s">
        <v>1159</v>
      </c>
      <c r="D95" s="7" t="s">
        <v>1293</v>
      </c>
      <c r="E95" s="7" t="s">
        <v>1281</v>
      </c>
      <c r="F95" s="7" t="s">
        <v>387</v>
      </c>
      <c r="G95" s="7">
        <v>100</v>
      </c>
      <c r="H95" s="7" t="s">
        <v>1294</v>
      </c>
      <c r="I95" s="7" t="s">
        <v>1295</v>
      </c>
      <c r="J95" s="7" t="s">
        <v>23</v>
      </c>
      <c r="K95" s="7" t="s">
        <v>1296</v>
      </c>
      <c r="L95" s="7" t="s">
        <v>391</v>
      </c>
      <c r="M95" s="7" t="s">
        <v>499</v>
      </c>
      <c r="N95" s="7" t="s">
        <v>500</v>
      </c>
      <c r="O95" s="7" t="s">
        <v>501</v>
      </c>
      <c r="P95" s="7" t="s">
        <v>502</v>
      </c>
      <c r="Q95" s="7" t="s">
        <v>503</v>
      </c>
      <c r="R95" s="7"/>
      <c r="S95" s="49" t="str">
        <f>IFERROR(T(INDEX('Prospectos Resumen'!$K$9:$K$297,MATCH(A95,'Prospectos Resumen'!$A$9:$A$297,0))),"")</f>
        <v/>
      </c>
      <c r="T95" s="7"/>
      <c r="U95" s="7"/>
      <c r="V95" s="7"/>
      <c r="W95" s="7"/>
      <c r="X95" s="7" t="s">
        <v>1297</v>
      </c>
      <c r="Y95" s="7" t="s">
        <v>1297</v>
      </c>
      <c r="Z95" s="7" t="s">
        <v>505</v>
      </c>
      <c r="AA95" s="7" t="s">
        <v>1298</v>
      </c>
      <c r="AB95" s="7" t="s">
        <v>1299</v>
      </c>
      <c r="AC95" s="7" t="s">
        <v>1300</v>
      </c>
      <c r="AD95" s="7" t="s">
        <v>1301</v>
      </c>
      <c r="AE95" s="7" t="s">
        <v>403</v>
      </c>
      <c r="AF95" s="7" t="s">
        <v>510</v>
      </c>
      <c r="AG95" s="7" t="s">
        <v>511</v>
      </c>
      <c r="AH95" s="7" t="s">
        <v>512</v>
      </c>
      <c r="AI95" s="7" t="s">
        <v>407</v>
      </c>
      <c r="AJ95" s="7" t="s">
        <v>408</v>
      </c>
      <c r="AK95" s="7" t="s">
        <v>513</v>
      </c>
      <c r="AL95" s="7" t="s">
        <v>510</v>
      </c>
      <c r="AM95" s="7" t="s">
        <v>514</v>
      </c>
    </row>
    <row r="96" spans="1:39" ht="60">
      <c r="A96" s="17" t="s">
        <v>161</v>
      </c>
      <c r="B96" s="17" t="s">
        <v>383</v>
      </c>
      <c r="C96" s="17" t="s">
        <v>1159</v>
      </c>
      <c r="D96" s="17" t="s">
        <v>1280</v>
      </c>
      <c r="E96" s="17" t="s">
        <v>1281</v>
      </c>
      <c r="F96" s="17" t="s">
        <v>387</v>
      </c>
      <c r="G96" s="17">
        <v>100</v>
      </c>
      <c r="H96" s="17" t="s">
        <v>1302</v>
      </c>
      <c r="I96" s="17" t="s">
        <v>1303</v>
      </c>
      <c r="J96" s="17" t="s">
        <v>727</v>
      </c>
      <c r="K96" s="17" t="s">
        <v>1304</v>
      </c>
      <c r="L96" s="17" t="s">
        <v>391</v>
      </c>
      <c r="M96" s="17" t="s">
        <v>1190</v>
      </c>
      <c r="N96" s="17" t="s">
        <v>1285</v>
      </c>
      <c r="O96" s="17" t="s">
        <v>1286</v>
      </c>
      <c r="P96" s="17" t="s">
        <v>1305</v>
      </c>
      <c r="Q96" s="17" t="s">
        <v>1194</v>
      </c>
      <c r="R96" s="17"/>
      <c r="S96" s="48" t="str">
        <f>IFERROR(T(INDEX('Prospectos Resumen'!$K$9:$K$297,MATCH(A96,'Prospectos Resumen'!$A$9:$A$297,0))),"")</f>
        <v/>
      </c>
      <c r="T96" s="17"/>
      <c r="U96" s="17"/>
      <c r="V96" s="17"/>
      <c r="W96" s="17"/>
      <c r="X96" s="17" t="s">
        <v>1306</v>
      </c>
      <c r="Y96" s="17" t="s">
        <v>1306</v>
      </c>
      <c r="Z96" s="17" t="s">
        <v>1196</v>
      </c>
      <c r="AA96" s="17" t="s">
        <v>1307</v>
      </c>
      <c r="AB96" s="17" t="s">
        <v>1308</v>
      </c>
      <c r="AC96" s="17" t="s">
        <v>1309</v>
      </c>
      <c r="AD96" s="17" t="s">
        <v>1310</v>
      </c>
      <c r="AE96" s="17" t="s">
        <v>403</v>
      </c>
      <c r="AF96" s="17" t="s">
        <v>1201</v>
      </c>
      <c r="AG96" s="17" t="s">
        <v>1202</v>
      </c>
      <c r="AH96" s="17" t="s">
        <v>743</v>
      </c>
      <c r="AI96" s="17" t="s">
        <v>407</v>
      </c>
      <c r="AJ96" s="17" t="s">
        <v>408</v>
      </c>
      <c r="AK96" s="17" t="s">
        <v>1203</v>
      </c>
      <c r="AL96" s="17" t="s">
        <v>1204</v>
      </c>
      <c r="AM96" s="17" t="s">
        <v>1205</v>
      </c>
    </row>
    <row r="97" spans="1:39" ht="60">
      <c r="A97" s="18" t="s">
        <v>162</v>
      </c>
      <c r="B97" s="18" t="s">
        <v>383</v>
      </c>
      <c r="C97" s="18" t="s">
        <v>1159</v>
      </c>
      <c r="D97" s="18" t="s">
        <v>1293</v>
      </c>
      <c r="E97" s="18" t="s">
        <v>1281</v>
      </c>
      <c r="F97" s="18" t="s">
        <v>387</v>
      </c>
      <c r="G97" s="18">
        <v>100</v>
      </c>
      <c r="H97" s="18" t="s">
        <v>1311</v>
      </c>
      <c r="I97" s="18" t="s">
        <v>1312</v>
      </c>
      <c r="J97" s="18" t="s">
        <v>23</v>
      </c>
      <c r="K97" s="18" t="s">
        <v>1313</v>
      </c>
      <c r="L97" s="18" t="s">
        <v>391</v>
      </c>
      <c r="M97" s="18" t="s">
        <v>499</v>
      </c>
      <c r="N97" s="18" t="s">
        <v>500</v>
      </c>
      <c r="O97" s="18" t="s">
        <v>501</v>
      </c>
      <c r="P97" s="18" t="s">
        <v>502</v>
      </c>
      <c r="Q97" s="18" t="s">
        <v>503</v>
      </c>
      <c r="R97" s="18"/>
      <c r="S97" s="48" t="str">
        <f>IFERROR(T(INDEX('Prospectos Resumen'!$K$9:$K$297,MATCH(A97,'Prospectos Resumen'!$A$9:$A$297,0))),"")</f>
        <v/>
      </c>
      <c r="T97" s="18"/>
      <c r="U97" s="18"/>
      <c r="V97" s="18"/>
      <c r="W97" s="18"/>
      <c r="X97" s="18" t="s">
        <v>1314</v>
      </c>
      <c r="Y97" s="18" t="s">
        <v>1314</v>
      </c>
      <c r="Z97" s="18" t="s">
        <v>505</v>
      </c>
      <c r="AA97" s="18" t="s">
        <v>1315</v>
      </c>
      <c r="AB97" s="18" t="s">
        <v>1316</v>
      </c>
      <c r="AC97" s="18" t="s">
        <v>1317</v>
      </c>
      <c r="AD97" s="18" t="s">
        <v>1318</v>
      </c>
      <c r="AE97" s="18" t="s">
        <v>403</v>
      </c>
      <c r="AF97" s="18" t="s">
        <v>510</v>
      </c>
      <c r="AG97" s="18" t="s">
        <v>511</v>
      </c>
      <c r="AH97" s="18" t="s">
        <v>512</v>
      </c>
      <c r="AI97" s="18" t="s">
        <v>407</v>
      </c>
      <c r="AJ97" s="18" t="s">
        <v>408</v>
      </c>
      <c r="AK97" s="18" t="s">
        <v>513</v>
      </c>
      <c r="AL97" s="18" t="s">
        <v>510</v>
      </c>
      <c r="AM97" s="18" t="s">
        <v>514</v>
      </c>
    </row>
    <row r="98" spans="1:39" ht="60">
      <c r="A98" s="9" t="s">
        <v>163</v>
      </c>
      <c r="B98" s="9" t="s">
        <v>383</v>
      </c>
      <c r="C98" s="9" t="s">
        <v>1159</v>
      </c>
      <c r="D98" s="9" t="s">
        <v>1280</v>
      </c>
      <c r="E98" s="9" t="s">
        <v>1281</v>
      </c>
      <c r="F98" s="9" t="s">
        <v>387</v>
      </c>
      <c r="G98" s="9">
        <v>100</v>
      </c>
      <c r="H98" s="9" t="s">
        <v>1319</v>
      </c>
      <c r="I98" s="9" t="s">
        <v>1320</v>
      </c>
      <c r="J98" s="9" t="s">
        <v>727</v>
      </c>
      <c r="K98" s="9" t="s">
        <v>1321</v>
      </c>
      <c r="L98" s="9" t="s">
        <v>391</v>
      </c>
      <c r="M98" s="9" t="s">
        <v>1190</v>
      </c>
      <c r="N98" s="9" t="s">
        <v>1285</v>
      </c>
      <c r="O98" s="9" t="s">
        <v>1286</v>
      </c>
      <c r="P98" s="9" t="s">
        <v>1305</v>
      </c>
      <c r="Q98" s="9" t="s">
        <v>1194</v>
      </c>
      <c r="R98" s="9"/>
      <c r="S98" s="50" t="str">
        <f>IFERROR(T(INDEX('Prospectos Resumen'!$K$9:$K$297,MATCH(A98,'Prospectos Resumen'!$A$9:$A$297,0))),"")</f>
        <v/>
      </c>
      <c r="T98" s="9"/>
      <c r="U98" s="9"/>
      <c r="V98" s="9"/>
      <c r="W98" s="9"/>
      <c r="X98" s="9" t="s">
        <v>1322</v>
      </c>
      <c r="Y98" s="9" t="s">
        <v>1322</v>
      </c>
      <c r="Z98" s="9" t="s">
        <v>1196</v>
      </c>
      <c r="AA98" s="9" t="s">
        <v>1323</v>
      </c>
      <c r="AB98" s="9" t="s">
        <v>1324</v>
      </c>
      <c r="AC98" s="9" t="s">
        <v>1325</v>
      </c>
      <c r="AD98" s="9" t="s">
        <v>1326</v>
      </c>
      <c r="AE98" s="9" t="s">
        <v>403</v>
      </c>
      <c r="AF98" s="9" t="s">
        <v>1201</v>
      </c>
      <c r="AG98" s="9" t="s">
        <v>1202</v>
      </c>
      <c r="AH98" s="9" t="s">
        <v>743</v>
      </c>
      <c r="AI98" s="9" t="s">
        <v>407</v>
      </c>
      <c r="AJ98" s="9" t="s">
        <v>408</v>
      </c>
      <c r="AK98" s="9" t="s">
        <v>1203</v>
      </c>
      <c r="AL98" s="9" t="s">
        <v>1204</v>
      </c>
      <c r="AM98" s="9" t="s">
        <v>1205</v>
      </c>
    </row>
    <row r="99" spans="1:39" ht="48">
      <c r="A99" s="18" t="s">
        <v>164</v>
      </c>
      <c r="B99" s="18" t="s">
        <v>383</v>
      </c>
      <c r="C99" s="18" t="s">
        <v>1159</v>
      </c>
      <c r="D99" s="18" t="s">
        <v>1281</v>
      </c>
      <c r="E99" s="18" t="s">
        <v>1281</v>
      </c>
      <c r="F99" s="18" t="s">
        <v>387</v>
      </c>
      <c r="G99" s="18">
        <v>100</v>
      </c>
      <c r="H99" s="18" t="s">
        <v>1327</v>
      </c>
      <c r="I99" s="18" t="s">
        <v>1328</v>
      </c>
      <c r="J99" s="18" t="s">
        <v>414</v>
      </c>
      <c r="K99" s="18" t="s">
        <v>1329</v>
      </c>
      <c r="L99" s="18" t="s">
        <v>391</v>
      </c>
      <c r="M99" s="18" t="s">
        <v>1330</v>
      </c>
      <c r="N99" s="18" t="s">
        <v>417</v>
      </c>
      <c r="O99" s="18" t="s">
        <v>943</v>
      </c>
      <c r="P99" s="18" t="s">
        <v>1331</v>
      </c>
      <c r="Q99" s="18" t="s">
        <v>472</v>
      </c>
      <c r="R99" s="18"/>
      <c r="S99" s="48" t="str">
        <f>IFERROR(T(INDEX('Prospectos Resumen'!$K$9:$K$297,MATCH(A99,'Prospectos Resumen'!$A$9:$A$297,0))),"")</f>
        <v/>
      </c>
      <c r="T99" s="18"/>
      <c r="U99" s="18"/>
      <c r="V99" s="18"/>
      <c r="W99" s="18"/>
      <c r="X99" s="18" t="s">
        <v>1332</v>
      </c>
      <c r="Y99" s="18" t="s">
        <v>1333</v>
      </c>
      <c r="Z99" s="18" t="s">
        <v>474</v>
      </c>
      <c r="AA99" s="18" t="s">
        <v>1334</v>
      </c>
      <c r="AB99" s="18" t="s">
        <v>1335</v>
      </c>
      <c r="AC99" s="18" t="s">
        <v>1336</v>
      </c>
      <c r="AD99" s="18" t="s">
        <v>1337</v>
      </c>
      <c r="AE99" s="18" t="s">
        <v>403</v>
      </c>
      <c r="AF99" s="18" t="s">
        <v>479</v>
      </c>
      <c r="AG99" s="18" t="s">
        <v>428</v>
      </c>
      <c r="AH99" s="18" t="s">
        <v>429</v>
      </c>
      <c r="AI99" s="18"/>
      <c r="AJ99" s="18" t="s">
        <v>408</v>
      </c>
      <c r="AK99" s="18" t="s">
        <v>430</v>
      </c>
      <c r="AL99" s="18" t="s">
        <v>431</v>
      </c>
      <c r="AM99" s="18" t="s">
        <v>432</v>
      </c>
    </row>
    <row r="100" spans="1:39" ht="60">
      <c r="A100" s="17" t="s">
        <v>165</v>
      </c>
      <c r="B100" s="17" t="s">
        <v>383</v>
      </c>
      <c r="C100" s="17" t="s">
        <v>1159</v>
      </c>
      <c r="D100" s="17" t="s">
        <v>1280</v>
      </c>
      <c r="E100" s="17" t="s">
        <v>1281</v>
      </c>
      <c r="F100" s="17" t="s">
        <v>387</v>
      </c>
      <c r="G100" s="17">
        <v>98</v>
      </c>
      <c r="H100" s="17" t="s">
        <v>1338</v>
      </c>
      <c r="I100" s="17" t="s">
        <v>1339</v>
      </c>
      <c r="J100" s="17" t="s">
        <v>727</v>
      </c>
      <c r="K100" s="17" t="s">
        <v>1340</v>
      </c>
      <c r="L100" s="17" t="s">
        <v>391</v>
      </c>
      <c r="M100" s="17" t="s">
        <v>1190</v>
      </c>
      <c r="N100" s="17" t="s">
        <v>1285</v>
      </c>
      <c r="O100" s="17" t="s">
        <v>1286</v>
      </c>
      <c r="P100" s="17" t="s">
        <v>1305</v>
      </c>
      <c r="Q100" s="17" t="s">
        <v>1194</v>
      </c>
      <c r="R100" s="17"/>
      <c r="S100" s="48" t="str">
        <f>IFERROR(T(INDEX('Prospectos Resumen'!$K$9:$K$297,MATCH(A100,'Prospectos Resumen'!$A$9:$A$297,0))),"")</f>
        <v/>
      </c>
      <c r="T100" s="17"/>
      <c r="U100" s="17"/>
      <c r="V100" s="17"/>
      <c r="W100" s="17"/>
      <c r="X100" s="17" t="s">
        <v>1341</v>
      </c>
      <c r="Y100" s="17" t="s">
        <v>1341</v>
      </c>
      <c r="Z100" s="17" t="s">
        <v>1196</v>
      </c>
      <c r="AA100" s="17" t="s">
        <v>1342</v>
      </c>
      <c r="AB100" s="17" t="s">
        <v>1343</v>
      </c>
      <c r="AC100" s="17" t="s">
        <v>1344</v>
      </c>
      <c r="AD100" s="17" t="s">
        <v>1345</v>
      </c>
      <c r="AE100" s="17" t="s">
        <v>403</v>
      </c>
      <c r="AF100" s="17" t="s">
        <v>1201</v>
      </c>
      <c r="AG100" s="17" t="s">
        <v>1202</v>
      </c>
      <c r="AH100" s="17" t="s">
        <v>743</v>
      </c>
      <c r="AI100" s="17" t="s">
        <v>407</v>
      </c>
      <c r="AJ100" s="17" t="s">
        <v>408</v>
      </c>
      <c r="AK100" s="17" t="s">
        <v>1203</v>
      </c>
      <c r="AL100" s="17" t="s">
        <v>1204</v>
      </c>
      <c r="AM100" s="17" t="s">
        <v>1205</v>
      </c>
    </row>
    <row r="101" spans="1:39" ht="60">
      <c r="A101" s="18" t="s">
        <v>166</v>
      </c>
      <c r="B101" s="18" t="s">
        <v>383</v>
      </c>
      <c r="C101" s="18" t="s">
        <v>1159</v>
      </c>
      <c r="D101" s="18" t="s">
        <v>1280</v>
      </c>
      <c r="E101" s="18" t="s">
        <v>1281</v>
      </c>
      <c r="F101" s="18" t="s">
        <v>387</v>
      </c>
      <c r="G101" s="18">
        <v>98</v>
      </c>
      <c r="H101" s="18" t="s">
        <v>1346</v>
      </c>
      <c r="I101" s="18" t="s">
        <v>1347</v>
      </c>
      <c r="J101" s="18" t="s">
        <v>727</v>
      </c>
      <c r="K101" s="18" t="s">
        <v>1348</v>
      </c>
      <c r="L101" s="18" t="s">
        <v>391</v>
      </c>
      <c r="M101" s="18" t="s">
        <v>1190</v>
      </c>
      <c r="N101" s="18" t="s">
        <v>1191</v>
      </c>
      <c r="O101" s="18" t="s">
        <v>1192</v>
      </c>
      <c r="P101" s="18" t="s">
        <v>1193</v>
      </c>
      <c r="Q101" s="18" t="s">
        <v>1194</v>
      </c>
      <c r="R101" s="18"/>
      <c r="S101" s="48" t="str">
        <f>IFERROR(T(INDEX('Prospectos Resumen'!$K$9:$K$297,MATCH(A101,'Prospectos Resumen'!$A$9:$A$297,0))),"")</f>
        <v/>
      </c>
      <c r="T101" s="18"/>
      <c r="U101" s="18"/>
      <c r="V101" s="18"/>
      <c r="W101" s="18"/>
      <c r="X101" s="18" t="s">
        <v>1349</v>
      </c>
      <c r="Y101" s="18" t="s">
        <v>1349</v>
      </c>
      <c r="Z101" s="18" t="s">
        <v>1196</v>
      </c>
      <c r="AA101" s="18" t="s">
        <v>1350</v>
      </c>
      <c r="AB101" s="18" t="s">
        <v>1351</v>
      </c>
      <c r="AC101" s="18" t="s">
        <v>1352</v>
      </c>
      <c r="AD101" s="18" t="s">
        <v>1353</v>
      </c>
      <c r="AE101" s="18" t="s">
        <v>403</v>
      </c>
      <c r="AF101" s="18" t="s">
        <v>1201</v>
      </c>
      <c r="AG101" s="18" t="s">
        <v>1202</v>
      </c>
      <c r="AH101" s="18" t="s">
        <v>743</v>
      </c>
      <c r="AI101" s="18" t="s">
        <v>407</v>
      </c>
      <c r="AJ101" s="18" t="s">
        <v>408</v>
      </c>
      <c r="AK101" s="18" t="s">
        <v>1203</v>
      </c>
      <c r="AL101" s="18" t="s">
        <v>1204</v>
      </c>
      <c r="AM101" s="18" t="s">
        <v>1205</v>
      </c>
    </row>
    <row r="102" spans="1:39" ht="60">
      <c r="A102" s="8" t="s">
        <v>167</v>
      </c>
      <c r="B102" s="8" t="s">
        <v>383</v>
      </c>
      <c r="C102" s="8" t="s">
        <v>1159</v>
      </c>
      <c r="D102" s="8" t="s">
        <v>1280</v>
      </c>
      <c r="E102" s="8" t="s">
        <v>1281</v>
      </c>
      <c r="F102" s="8" t="s">
        <v>387</v>
      </c>
      <c r="G102" s="8">
        <v>96</v>
      </c>
      <c r="H102" s="8" t="s">
        <v>1354</v>
      </c>
      <c r="I102" s="8" t="s">
        <v>1355</v>
      </c>
      <c r="J102" s="8" t="s">
        <v>727</v>
      </c>
      <c r="K102" s="8" t="s">
        <v>1356</v>
      </c>
      <c r="L102" s="8" t="s">
        <v>391</v>
      </c>
      <c r="M102" s="8" t="s">
        <v>1190</v>
      </c>
      <c r="N102" s="8" t="s">
        <v>1191</v>
      </c>
      <c r="O102" s="8" t="s">
        <v>1192</v>
      </c>
      <c r="P102" s="8" t="s">
        <v>1193</v>
      </c>
      <c r="Q102" s="8" t="s">
        <v>1194</v>
      </c>
      <c r="R102" s="8"/>
      <c r="S102" s="49" t="str">
        <f>IFERROR(T(INDEX('Prospectos Resumen'!$K$9:$K$297,MATCH(A102,'Prospectos Resumen'!$A$9:$A$297,0))),"")</f>
        <v/>
      </c>
      <c r="T102" s="8"/>
      <c r="U102" s="8"/>
      <c r="V102" s="8"/>
      <c r="W102" s="8"/>
      <c r="X102" s="8" t="s">
        <v>1357</v>
      </c>
      <c r="Y102" s="8" t="s">
        <v>1357</v>
      </c>
      <c r="Z102" s="8" t="s">
        <v>1196</v>
      </c>
      <c r="AA102" s="8" t="s">
        <v>1358</v>
      </c>
      <c r="AB102" s="8" t="s">
        <v>1359</v>
      </c>
      <c r="AC102" s="8" t="s">
        <v>1360</v>
      </c>
      <c r="AD102" s="8" t="s">
        <v>1361</v>
      </c>
      <c r="AE102" s="8" t="s">
        <v>403</v>
      </c>
      <c r="AF102" s="8" t="s">
        <v>1201</v>
      </c>
      <c r="AG102" s="8" t="s">
        <v>1202</v>
      </c>
      <c r="AH102" s="8" t="s">
        <v>743</v>
      </c>
      <c r="AI102" s="8" t="s">
        <v>407</v>
      </c>
      <c r="AJ102" s="8" t="s">
        <v>408</v>
      </c>
      <c r="AK102" s="8" t="s">
        <v>1203</v>
      </c>
      <c r="AL102" s="8" t="s">
        <v>1204</v>
      </c>
      <c r="AM102" s="8" t="s">
        <v>1205</v>
      </c>
    </row>
    <row r="103" spans="1:39" ht="48">
      <c r="A103" s="18" t="s">
        <v>168</v>
      </c>
      <c r="B103" s="18" t="s">
        <v>383</v>
      </c>
      <c r="C103" s="18" t="s">
        <v>1159</v>
      </c>
      <c r="D103" s="18" t="s">
        <v>1293</v>
      </c>
      <c r="E103" s="18" t="s">
        <v>1281</v>
      </c>
      <c r="F103" s="18" t="s">
        <v>387</v>
      </c>
      <c r="G103" s="18">
        <v>95</v>
      </c>
      <c r="H103" s="18" t="s">
        <v>1362</v>
      </c>
      <c r="I103" s="18" t="s">
        <v>1363</v>
      </c>
      <c r="J103" s="18" t="s">
        <v>23</v>
      </c>
      <c r="K103" s="18" t="s">
        <v>1364</v>
      </c>
      <c r="L103" s="18" t="s">
        <v>391</v>
      </c>
      <c r="M103" s="18" t="s">
        <v>499</v>
      </c>
      <c r="N103" s="18" t="s">
        <v>500</v>
      </c>
      <c r="O103" s="18" t="s">
        <v>501</v>
      </c>
      <c r="P103" s="18" t="s">
        <v>502</v>
      </c>
      <c r="Q103" s="18" t="s">
        <v>503</v>
      </c>
      <c r="R103" s="18"/>
      <c r="S103" s="48" t="str">
        <f>IFERROR(T(INDEX('Prospectos Resumen'!$K$9:$K$297,MATCH(A103,'Prospectos Resumen'!$A$9:$A$297,0))),"")</f>
        <v/>
      </c>
      <c r="T103" s="18"/>
      <c r="U103" s="18"/>
      <c r="V103" s="18"/>
      <c r="W103" s="18"/>
      <c r="X103" s="18" t="s">
        <v>1365</v>
      </c>
      <c r="Y103" s="18" t="s">
        <v>1365</v>
      </c>
      <c r="Z103" s="18" t="s">
        <v>505</v>
      </c>
      <c r="AA103" s="18" t="s">
        <v>1366</v>
      </c>
      <c r="AB103" s="18" t="s">
        <v>1367</v>
      </c>
      <c r="AC103" s="18" t="s">
        <v>508</v>
      </c>
      <c r="AD103" s="18" t="s">
        <v>1368</v>
      </c>
      <c r="AE103" s="18" t="s">
        <v>403</v>
      </c>
      <c r="AF103" s="18" t="s">
        <v>510</v>
      </c>
      <c r="AG103" s="18" t="s">
        <v>511</v>
      </c>
      <c r="AH103" s="18" t="s">
        <v>512</v>
      </c>
      <c r="AI103" s="18" t="s">
        <v>407</v>
      </c>
      <c r="AJ103" s="18" t="s">
        <v>408</v>
      </c>
      <c r="AK103" s="18" t="s">
        <v>513</v>
      </c>
      <c r="AL103" s="18" t="s">
        <v>510</v>
      </c>
      <c r="AM103" s="18" t="s">
        <v>514</v>
      </c>
    </row>
    <row r="104" spans="1:39" ht="60">
      <c r="A104" s="17" t="s">
        <v>169</v>
      </c>
      <c r="B104" s="17" t="s">
        <v>383</v>
      </c>
      <c r="C104" s="17" t="s">
        <v>1159</v>
      </c>
      <c r="D104" s="17" t="s">
        <v>1280</v>
      </c>
      <c r="E104" s="17" t="s">
        <v>1281</v>
      </c>
      <c r="F104" s="17" t="s">
        <v>387</v>
      </c>
      <c r="G104" s="17">
        <v>94</v>
      </c>
      <c r="H104" s="17" t="s">
        <v>1369</v>
      </c>
      <c r="I104" s="17" t="s">
        <v>1370</v>
      </c>
      <c r="J104" s="17" t="s">
        <v>727</v>
      </c>
      <c r="K104" s="17" t="s">
        <v>1371</v>
      </c>
      <c r="L104" s="17" t="s">
        <v>391</v>
      </c>
      <c r="M104" s="17" t="s">
        <v>1190</v>
      </c>
      <c r="N104" s="17" t="s">
        <v>1191</v>
      </c>
      <c r="O104" s="17" t="s">
        <v>1192</v>
      </c>
      <c r="P104" s="17" t="s">
        <v>1193</v>
      </c>
      <c r="Q104" s="17" t="s">
        <v>1194</v>
      </c>
      <c r="R104" s="17"/>
      <c r="S104" s="48" t="str">
        <f>IFERROR(T(INDEX('Prospectos Resumen'!$K$9:$K$297,MATCH(A104,'Prospectos Resumen'!$A$9:$A$297,0))),"")</f>
        <v/>
      </c>
      <c r="T104" s="17"/>
      <c r="U104" s="17"/>
      <c r="V104" s="17"/>
      <c r="W104" s="17"/>
      <c r="X104" s="17" t="s">
        <v>1372</v>
      </c>
      <c r="Y104" s="17" t="s">
        <v>1372</v>
      </c>
      <c r="Z104" s="17" t="s">
        <v>1196</v>
      </c>
      <c r="AA104" s="17" t="s">
        <v>1373</v>
      </c>
      <c r="AB104" s="17" t="s">
        <v>1374</v>
      </c>
      <c r="AC104" s="17" t="s">
        <v>1375</v>
      </c>
      <c r="AD104" s="17" t="s">
        <v>1376</v>
      </c>
      <c r="AE104" s="17" t="s">
        <v>403</v>
      </c>
      <c r="AF104" s="17" t="s">
        <v>1201</v>
      </c>
      <c r="AG104" s="17" t="s">
        <v>1202</v>
      </c>
      <c r="AH104" s="17" t="s">
        <v>743</v>
      </c>
      <c r="AI104" s="17" t="s">
        <v>407</v>
      </c>
      <c r="AJ104" s="17" t="s">
        <v>408</v>
      </c>
      <c r="AK104" s="17" t="s">
        <v>1203</v>
      </c>
      <c r="AL104" s="17" t="s">
        <v>1204</v>
      </c>
      <c r="AM104" s="17" t="s">
        <v>1205</v>
      </c>
    </row>
    <row r="105" spans="1:39" ht="48">
      <c r="A105" s="18" t="s">
        <v>170</v>
      </c>
      <c r="B105" s="18" t="s">
        <v>383</v>
      </c>
      <c r="C105" s="18" t="s">
        <v>1159</v>
      </c>
      <c r="D105" s="18" t="s">
        <v>1281</v>
      </c>
      <c r="E105" s="18" t="s">
        <v>1281</v>
      </c>
      <c r="F105" s="18" t="s">
        <v>387</v>
      </c>
      <c r="G105" s="18">
        <v>92</v>
      </c>
      <c r="H105" s="18" t="s">
        <v>1377</v>
      </c>
      <c r="I105" s="18" t="s">
        <v>1378</v>
      </c>
      <c r="J105" s="18" t="s">
        <v>23</v>
      </c>
      <c r="K105" s="18" t="s">
        <v>1379</v>
      </c>
      <c r="L105" s="18" t="s">
        <v>391</v>
      </c>
      <c r="M105" s="18" t="s">
        <v>392</v>
      </c>
      <c r="N105" s="18" t="s">
        <v>571</v>
      </c>
      <c r="O105" s="18" t="s">
        <v>572</v>
      </c>
      <c r="P105" s="18" t="s">
        <v>573</v>
      </c>
      <c r="Q105" s="18" t="s">
        <v>396</v>
      </c>
      <c r="R105" s="18"/>
      <c r="S105" s="48" t="str">
        <f>IFERROR(T(INDEX('Prospectos Resumen'!$K$9:$K$297,MATCH(A105,'Prospectos Resumen'!$A$9:$A$297,0))),"")</f>
        <v/>
      </c>
      <c r="T105" s="18"/>
      <c r="U105" s="18"/>
      <c r="V105" s="18"/>
      <c r="W105" s="18"/>
      <c r="X105" s="18" t="s">
        <v>1380</v>
      </c>
      <c r="Y105" s="18" t="s">
        <v>1380</v>
      </c>
      <c r="Z105" s="18" t="s">
        <v>398</v>
      </c>
      <c r="AA105" s="18" t="s">
        <v>1381</v>
      </c>
      <c r="AB105" s="18" t="s">
        <v>1382</v>
      </c>
      <c r="AC105" s="18" t="s">
        <v>1383</v>
      </c>
      <c r="AD105" s="18" t="s">
        <v>1384</v>
      </c>
      <c r="AE105" s="18" t="s">
        <v>403</v>
      </c>
      <c r="AF105" s="18" t="s">
        <v>404</v>
      </c>
      <c r="AG105" s="18" t="s">
        <v>405</v>
      </c>
      <c r="AH105" s="18" t="s">
        <v>406</v>
      </c>
      <c r="AI105" s="18" t="s">
        <v>407</v>
      </c>
      <c r="AJ105" s="18" t="s">
        <v>408</v>
      </c>
      <c r="AK105" s="18" t="s">
        <v>409</v>
      </c>
      <c r="AL105" s="18" t="s">
        <v>410</v>
      </c>
      <c r="AM105" s="18" t="s">
        <v>411</v>
      </c>
    </row>
    <row r="106" spans="1:39" ht="60">
      <c r="A106" s="8" t="s">
        <v>171</v>
      </c>
      <c r="B106" s="8" t="s">
        <v>383</v>
      </c>
      <c r="C106" s="8" t="s">
        <v>1159</v>
      </c>
      <c r="D106" s="8" t="s">
        <v>1280</v>
      </c>
      <c r="E106" s="8" t="s">
        <v>1281</v>
      </c>
      <c r="F106" s="8" t="s">
        <v>387</v>
      </c>
      <c r="G106" s="8">
        <v>90</v>
      </c>
      <c r="H106" s="8" t="s">
        <v>1385</v>
      </c>
      <c r="I106" s="8" t="s">
        <v>1386</v>
      </c>
      <c r="J106" s="8" t="s">
        <v>727</v>
      </c>
      <c r="K106" s="8" t="s">
        <v>1387</v>
      </c>
      <c r="L106" s="8" t="s">
        <v>557</v>
      </c>
      <c r="M106" s="8" t="s">
        <v>1190</v>
      </c>
      <c r="N106" s="8" t="s">
        <v>1191</v>
      </c>
      <c r="O106" s="8" t="s">
        <v>1192</v>
      </c>
      <c r="P106" s="8" t="s">
        <v>1193</v>
      </c>
      <c r="Q106" s="8" t="s">
        <v>1194</v>
      </c>
      <c r="R106" s="8"/>
      <c r="S106" s="49" t="str">
        <f>IFERROR(T(INDEX('Prospectos Resumen'!$K$9:$K$297,MATCH(A106,'Prospectos Resumen'!$A$9:$A$297,0))),"")</f>
        <v/>
      </c>
      <c r="T106" s="8"/>
      <c r="U106" s="8"/>
      <c r="V106" s="8"/>
      <c r="W106" s="8"/>
      <c r="X106" s="8" t="s">
        <v>1388</v>
      </c>
      <c r="Y106" s="8" t="s">
        <v>1388</v>
      </c>
      <c r="Z106" s="8" t="s">
        <v>1389</v>
      </c>
      <c r="AA106" s="8" t="s">
        <v>1390</v>
      </c>
      <c r="AB106" s="8" t="s">
        <v>1391</v>
      </c>
      <c r="AC106" s="8" t="s">
        <v>1392</v>
      </c>
      <c r="AD106" s="8" t="s">
        <v>1393</v>
      </c>
      <c r="AE106" s="8" t="s">
        <v>566</v>
      </c>
      <c r="AF106" s="8" t="s">
        <v>1201</v>
      </c>
      <c r="AG106" s="8" t="s">
        <v>1202</v>
      </c>
      <c r="AH106" s="8" t="s">
        <v>743</v>
      </c>
      <c r="AI106" s="8" t="s">
        <v>407</v>
      </c>
      <c r="AJ106" s="8" t="s">
        <v>403</v>
      </c>
      <c r="AK106" s="8" t="s">
        <v>1203</v>
      </c>
      <c r="AL106" s="8" t="s">
        <v>1204</v>
      </c>
      <c r="AM106" s="8" t="s">
        <v>1205</v>
      </c>
    </row>
    <row r="107" spans="1:39" ht="36">
      <c r="A107" s="18" t="s">
        <v>172</v>
      </c>
      <c r="B107" s="18" t="s">
        <v>383</v>
      </c>
      <c r="C107" s="18" t="s">
        <v>1159</v>
      </c>
      <c r="D107" s="18" t="s">
        <v>1281</v>
      </c>
      <c r="E107" s="18" t="s">
        <v>1281</v>
      </c>
      <c r="F107" s="18" t="s">
        <v>724</v>
      </c>
      <c r="G107" s="18">
        <v>75</v>
      </c>
      <c r="H107" s="18" t="s">
        <v>1394</v>
      </c>
      <c r="I107" s="18" t="s">
        <v>1395</v>
      </c>
      <c r="J107" s="18" t="s">
        <v>484</v>
      </c>
      <c r="K107" s="18" t="s">
        <v>1396</v>
      </c>
      <c r="L107" s="18" t="s">
        <v>391</v>
      </c>
      <c r="M107" s="18" t="s">
        <v>1397</v>
      </c>
      <c r="N107" s="18" t="s">
        <v>487</v>
      </c>
      <c r="O107" s="18" t="s">
        <v>1398</v>
      </c>
      <c r="P107" s="18" t="s">
        <v>1399</v>
      </c>
      <c r="Q107" s="18" t="s">
        <v>420</v>
      </c>
      <c r="R107" s="18"/>
      <c r="S107" s="48" t="str">
        <f>IFERROR(T(INDEX('Prospectos Resumen'!$K$9:$K$297,MATCH(A107,'Prospectos Resumen'!$A$9:$A$297,0))),"")</f>
        <v/>
      </c>
      <c r="T107" s="18"/>
      <c r="U107" s="18"/>
      <c r="V107" s="18"/>
      <c r="W107" s="18"/>
      <c r="X107" s="18" t="s">
        <v>1400</v>
      </c>
      <c r="Y107" s="18" t="s">
        <v>1400</v>
      </c>
      <c r="Z107" s="18" t="s">
        <v>423</v>
      </c>
      <c r="AA107" s="18" t="s">
        <v>1401</v>
      </c>
      <c r="AB107" s="18" t="s">
        <v>1402</v>
      </c>
      <c r="AC107" s="18"/>
      <c r="AD107" s="18" t="s">
        <v>426</v>
      </c>
      <c r="AE107" s="18" t="s">
        <v>403</v>
      </c>
      <c r="AF107" s="18" t="s">
        <v>427</v>
      </c>
      <c r="AG107" s="18" t="s">
        <v>428</v>
      </c>
      <c r="AH107" s="18" t="s">
        <v>464</v>
      </c>
      <c r="AI107" s="18"/>
      <c r="AJ107" s="18" t="s">
        <v>403</v>
      </c>
      <c r="AK107" s="18"/>
      <c r="AL107" s="18" t="s">
        <v>431</v>
      </c>
      <c r="AM107" s="18" t="s">
        <v>432</v>
      </c>
    </row>
    <row r="108" spans="1:39" ht="36">
      <c r="A108" s="8" t="s">
        <v>173</v>
      </c>
      <c r="B108" s="8" t="s">
        <v>383</v>
      </c>
      <c r="C108" s="8" t="s">
        <v>1159</v>
      </c>
      <c r="D108" s="8" t="s">
        <v>1281</v>
      </c>
      <c r="E108" s="8" t="s">
        <v>1281</v>
      </c>
      <c r="F108" s="8" t="s">
        <v>724</v>
      </c>
      <c r="G108" s="8">
        <v>75</v>
      </c>
      <c r="H108" s="8" t="s">
        <v>1403</v>
      </c>
      <c r="I108" s="8" t="s">
        <v>1395</v>
      </c>
      <c r="J108" s="8" t="s">
        <v>484</v>
      </c>
      <c r="K108" s="8" t="s">
        <v>1404</v>
      </c>
      <c r="L108" s="8" t="s">
        <v>391</v>
      </c>
      <c r="M108" s="8" t="s">
        <v>1397</v>
      </c>
      <c r="N108" s="8" t="s">
        <v>487</v>
      </c>
      <c r="O108" s="8" t="s">
        <v>1398</v>
      </c>
      <c r="P108" s="8" t="s">
        <v>1405</v>
      </c>
      <c r="Q108" s="8" t="s">
        <v>420</v>
      </c>
      <c r="R108" s="8"/>
      <c r="S108" s="49" t="str">
        <f>IFERROR(T(INDEX('Prospectos Resumen'!$K$9:$K$297,MATCH(A108,'Prospectos Resumen'!$A$9:$A$297,0))),"")</f>
        <v/>
      </c>
      <c r="T108" s="8"/>
      <c r="U108" s="8"/>
      <c r="V108" s="8"/>
      <c r="W108" s="8"/>
      <c r="X108" s="8" t="s">
        <v>1406</v>
      </c>
      <c r="Y108" s="8" t="s">
        <v>1407</v>
      </c>
      <c r="Z108" s="8" t="s">
        <v>423</v>
      </c>
      <c r="AA108" s="8" t="s">
        <v>1408</v>
      </c>
      <c r="AB108" s="8" t="s">
        <v>1409</v>
      </c>
      <c r="AC108" s="8"/>
      <c r="AD108" s="8" t="s">
        <v>426</v>
      </c>
      <c r="AE108" s="8" t="s">
        <v>403</v>
      </c>
      <c r="AF108" s="8" t="s">
        <v>427</v>
      </c>
      <c r="AG108" s="8" t="s">
        <v>428</v>
      </c>
      <c r="AH108" s="8" t="s">
        <v>464</v>
      </c>
      <c r="AI108" s="8"/>
      <c r="AJ108" s="8" t="s">
        <v>403</v>
      </c>
      <c r="AK108" s="8"/>
      <c r="AL108" s="8" t="s">
        <v>431</v>
      </c>
      <c r="AM108" s="8" t="s">
        <v>432</v>
      </c>
    </row>
    <row r="109" spans="1:39" ht="36">
      <c r="A109" s="18" t="s">
        <v>174</v>
      </c>
      <c r="B109" s="18" t="s">
        <v>383</v>
      </c>
      <c r="C109" s="18" t="s">
        <v>1159</v>
      </c>
      <c r="D109" s="18" t="s">
        <v>1281</v>
      </c>
      <c r="E109" s="18" t="s">
        <v>1281</v>
      </c>
      <c r="F109" s="18" t="s">
        <v>724</v>
      </c>
      <c r="G109" s="18">
        <v>60</v>
      </c>
      <c r="H109" s="18" t="s">
        <v>1410</v>
      </c>
      <c r="I109" s="18" t="s">
        <v>1395</v>
      </c>
      <c r="J109" s="18" t="s">
        <v>484</v>
      </c>
      <c r="K109" s="18" t="s">
        <v>1411</v>
      </c>
      <c r="L109" s="18" t="s">
        <v>557</v>
      </c>
      <c r="M109" s="18" t="s">
        <v>1397</v>
      </c>
      <c r="N109" s="18" t="s">
        <v>487</v>
      </c>
      <c r="O109" s="18" t="s">
        <v>1398</v>
      </c>
      <c r="P109" s="18" t="s">
        <v>1412</v>
      </c>
      <c r="Q109" s="18" t="s">
        <v>420</v>
      </c>
      <c r="R109" s="18"/>
      <c r="S109" s="48" t="str">
        <f>IFERROR(T(INDEX('Prospectos Resumen'!$K$9:$K$297,MATCH(A109,'Prospectos Resumen'!$A$9:$A$297,0))),"")</f>
        <v/>
      </c>
      <c r="T109" s="18"/>
      <c r="U109" s="18"/>
      <c r="V109" s="18"/>
      <c r="W109" s="18"/>
      <c r="X109" s="18" t="s">
        <v>1413</v>
      </c>
      <c r="Y109" s="18" t="s">
        <v>1414</v>
      </c>
      <c r="Z109" s="18" t="s">
        <v>423</v>
      </c>
      <c r="AA109" s="18" t="s">
        <v>1415</v>
      </c>
      <c r="AB109" s="18" t="s">
        <v>1416</v>
      </c>
      <c r="AC109" s="18"/>
      <c r="AD109" s="18" t="s">
        <v>426</v>
      </c>
      <c r="AE109" s="18" t="s">
        <v>566</v>
      </c>
      <c r="AF109" s="18" t="s">
        <v>427</v>
      </c>
      <c r="AG109" s="18" t="s">
        <v>428</v>
      </c>
      <c r="AH109" s="18" t="s">
        <v>464</v>
      </c>
      <c r="AI109" s="18"/>
      <c r="AJ109" s="18" t="s">
        <v>566</v>
      </c>
      <c r="AK109" s="18"/>
      <c r="AL109" s="18" t="s">
        <v>431</v>
      </c>
      <c r="AM109" s="18" t="s">
        <v>432</v>
      </c>
    </row>
    <row r="110" spans="1:39" ht="36">
      <c r="A110" s="17" t="s">
        <v>175</v>
      </c>
      <c r="B110" s="17" t="s">
        <v>383</v>
      </c>
      <c r="C110" s="17" t="s">
        <v>1159</v>
      </c>
      <c r="D110" s="17" t="s">
        <v>1417</v>
      </c>
      <c r="E110" s="17" t="s">
        <v>1418</v>
      </c>
      <c r="F110" s="17" t="s">
        <v>387</v>
      </c>
      <c r="G110" s="17">
        <v>100</v>
      </c>
      <c r="H110" s="17" t="s">
        <v>1419</v>
      </c>
      <c r="I110" s="17" t="s">
        <v>1420</v>
      </c>
      <c r="J110" s="17" t="s">
        <v>655</v>
      </c>
      <c r="K110" s="17" t="s">
        <v>1421</v>
      </c>
      <c r="L110" s="17" t="s">
        <v>391</v>
      </c>
      <c r="M110" s="17" t="s">
        <v>548</v>
      </c>
      <c r="N110" s="17" t="s">
        <v>657</v>
      </c>
      <c r="O110" s="17" t="s">
        <v>549</v>
      </c>
      <c r="P110" s="17" t="s">
        <v>1422</v>
      </c>
      <c r="Q110" s="17" t="s">
        <v>420</v>
      </c>
      <c r="R110" s="17"/>
      <c r="S110" s="48" t="str">
        <f>IFERROR(T(INDEX('Prospectos Resumen'!$K$9:$K$297,MATCH(A110,'Prospectos Resumen'!$A$9:$A$297,0))),"")</f>
        <v/>
      </c>
      <c r="T110" s="17"/>
      <c r="U110" s="17"/>
      <c r="V110" s="17"/>
      <c r="W110" s="17"/>
      <c r="X110" s="17" t="s">
        <v>1423</v>
      </c>
      <c r="Y110" s="17" t="s">
        <v>1423</v>
      </c>
      <c r="Z110" s="17" t="s">
        <v>423</v>
      </c>
      <c r="AA110" s="17" t="s">
        <v>1424</v>
      </c>
      <c r="AB110" s="17" t="s">
        <v>1425</v>
      </c>
      <c r="AC110" s="17"/>
      <c r="AD110" s="17" t="s">
        <v>426</v>
      </c>
      <c r="AE110" s="17" t="s">
        <v>403</v>
      </c>
      <c r="AF110" s="17" t="s">
        <v>427</v>
      </c>
      <c r="AG110" s="17" t="s">
        <v>428</v>
      </c>
      <c r="AH110" s="17" t="s">
        <v>429</v>
      </c>
      <c r="AI110" s="17"/>
      <c r="AJ110" s="17" t="s">
        <v>408</v>
      </c>
      <c r="AK110" s="17"/>
      <c r="AL110" s="17" t="s">
        <v>431</v>
      </c>
      <c r="AM110" s="17" t="s">
        <v>1426</v>
      </c>
    </row>
    <row r="111" spans="1:39" ht="36">
      <c r="A111" s="6" t="s">
        <v>176</v>
      </c>
      <c r="B111" s="6" t="s">
        <v>383</v>
      </c>
      <c r="C111" s="6" t="s">
        <v>1159</v>
      </c>
      <c r="D111" s="6" t="s">
        <v>1427</v>
      </c>
      <c r="E111" s="6" t="s">
        <v>1418</v>
      </c>
      <c r="F111" s="6" t="s">
        <v>387</v>
      </c>
      <c r="G111" s="6">
        <v>100</v>
      </c>
      <c r="H111" s="6" t="s">
        <v>1428</v>
      </c>
      <c r="I111" s="6" t="s">
        <v>1014</v>
      </c>
      <c r="J111" s="6" t="s">
        <v>414</v>
      </c>
      <c r="K111" s="6" t="s">
        <v>1429</v>
      </c>
      <c r="L111" s="6" t="s">
        <v>391</v>
      </c>
      <c r="M111" s="6" t="s">
        <v>416</v>
      </c>
      <c r="N111" s="6" t="s">
        <v>417</v>
      </c>
      <c r="O111" s="6" t="s">
        <v>418</v>
      </c>
      <c r="P111" s="6" t="s">
        <v>1430</v>
      </c>
      <c r="Q111" s="6" t="s">
        <v>420</v>
      </c>
      <c r="R111" s="6"/>
      <c r="S111" s="50" t="str">
        <f>IFERROR(T(INDEX('Prospectos Resumen'!$K$9:$K$297,MATCH(A111,'Prospectos Resumen'!$A$9:$A$297,0))),"")</f>
        <v/>
      </c>
      <c r="T111" s="6"/>
      <c r="U111" s="6"/>
      <c r="V111" s="6"/>
      <c r="W111" s="6"/>
      <c r="X111" s="6" t="s">
        <v>1431</v>
      </c>
      <c r="Y111" s="6" t="s">
        <v>1432</v>
      </c>
      <c r="Z111" s="6" t="s">
        <v>423</v>
      </c>
      <c r="AA111" s="6" t="s">
        <v>1433</v>
      </c>
      <c r="AB111" s="6" t="s">
        <v>1434</v>
      </c>
      <c r="AC111" s="6"/>
      <c r="AD111" s="6" t="s">
        <v>426</v>
      </c>
      <c r="AE111" s="6" t="s">
        <v>403</v>
      </c>
      <c r="AF111" s="6" t="s">
        <v>427</v>
      </c>
      <c r="AG111" s="6" t="s">
        <v>428</v>
      </c>
      <c r="AH111" s="6" t="s">
        <v>429</v>
      </c>
      <c r="AI111" s="6"/>
      <c r="AJ111" s="6" t="s">
        <v>408</v>
      </c>
      <c r="AK111" s="6" t="s">
        <v>430</v>
      </c>
      <c r="AL111" s="6" t="s">
        <v>431</v>
      </c>
      <c r="AM111" s="6" t="s">
        <v>1435</v>
      </c>
    </row>
    <row r="112" spans="1:39" ht="36">
      <c r="A112" s="17" t="s">
        <v>177</v>
      </c>
      <c r="B112" s="17" t="s">
        <v>383</v>
      </c>
      <c r="C112" s="17" t="s">
        <v>1159</v>
      </c>
      <c r="D112" s="17" t="s">
        <v>1436</v>
      </c>
      <c r="E112" s="17" t="s">
        <v>1418</v>
      </c>
      <c r="F112" s="17" t="s">
        <v>387</v>
      </c>
      <c r="G112" s="17">
        <v>100</v>
      </c>
      <c r="H112" s="17" t="s">
        <v>1437</v>
      </c>
      <c r="I112" s="17" t="s">
        <v>1438</v>
      </c>
      <c r="J112" s="17" t="s">
        <v>414</v>
      </c>
      <c r="K112" s="17" t="s">
        <v>1439</v>
      </c>
      <c r="L112" s="17" t="s">
        <v>391</v>
      </c>
      <c r="M112" s="17" t="s">
        <v>804</v>
      </c>
      <c r="N112" s="17" t="s">
        <v>417</v>
      </c>
      <c r="O112" s="17" t="s">
        <v>806</v>
      </c>
      <c r="P112" s="17" t="s">
        <v>1440</v>
      </c>
      <c r="Q112" s="17" t="s">
        <v>420</v>
      </c>
      <c r="R112" s="17"/>
      <c r="S112" s="48" t="str">
        <f>IFERROR(T(INDEX('Prospectos Resumen'!$K$9:$K$297,MATCH(A112,'Prospectos Resumen'!$A$9:$A$297,0))),"")</f>
        <v/>
      </c>
      <c r="T112" s="17"/>
      <c r="U112" s="17"/>
      <c r="V112" s="17"/>
      <c r="W112" s="17"/>
      <c r="X112" s="17" t="s">
        <v>1441</v>
      </c>
      <c r="Y112" s="17" t="s">
        <v>1441</v>
      </c>
      <c r="Z112" s="17" t="s">
        <v>423</v>
      </c>
      <c r="AA112" s="17" t="s">
        <v>1442</v>
      </c>
      <c r="AB112" s="17" t="s">
        <v>1443</v>
      </c>
      <c r="AC112" s="17"/>
      <c r="AD112" s="17" t="s">
        <v>426</v>
      </c>
      <c r="AE112" s="17" t="s">
        <v>403</v>
      </c>
      <c r="AF112" s="17" t="s">
        <v>427</v>
      </c>
      <c r="AG112" s="17" t="s">
        <v>428</v>
      </c>
      <c r="AH112" s="17" t="s">
        <v>429</v>
      </c>
      <c r="AI112" s="17"/>
      <c r="AJ112" s="17" t="s">
        <v>408</v>
      </c>
      <c r="AK112" s="17" t="s">
        <v>430</v>
      </c>
      <c r="AL112" s="17" t="s">
        <v>431</v>
      </c>
      <c r="AM112" s="17" t="s">
        <v>1444</v>
      </c>
    </row>
    <row r="113" spans="1:39" ht="36">
      <c r="A113" s="18" t="s">
        <v>178</v>
      </c>
      <c r="B113" s="18" t="s">
        <v>383</v>
      </c>
      <c r="C113" s="18" t="s">
        <v>1159</v>
      </c>
      <c r="D113" s="18" t="s">
        <v>1445</v>
      </c>
      <c r="E113" s="18" t="s">
        <v>1418</v>
      </c>
      <c r="F113" s="18" t="s">
        <v>387</v>
      </c>
      <c r="G113" s="18">
        <v>100</v>
      </c>
      <c r="H113" s="18" t="s">
        <v>1446</v>
      </c>
      <c r="I113" s="18" t="s">
        <v>413</v>
      </c>
      <c r="J113" s="18" t="s">
        <v>414</v>
      </c>
      <c r="K113" s="18" t="s">
        <v>1447</v>
      </c>
      <c r="L113" s="18" t="s">
        <v>391</v>
      </c>
      <c r="M113" s="18" t="s">
        <v>915</v>
      </c>
      <c r="N113" s="18" t="s">
        <v>417</v>
      </c>
      <c r="O113" s="18" t="s">
        <v>916</v>
      </c>
      <c r="P113" s="18" t="s">
        <v>1448</v>
      </c>
      <c r="Q113" s="18" t="s">
        <v>420</v>
      </c>
      <c r="R113" s="18"/>
      <c r="S113" s="48" t="str">
        <f>IFERROR(T(INDEX('Prospectos Resumen'!$K$9:$K$297,MATCH(A113,'Prospectos Resumen'!$A$9:$A$297,0))),"")</f>
        <v/>
      </c>
      <c r="T113" s="18"/>
      <c r="U113" s="18"/>
      <c r="V113" s="18"/>
      <c r="W113" s="18"/>
      <c r="X113" s="18" t="s">
        <v>1449</v>
      </c>
      <c r="Y113" s="18" t="s">
        <v>1450</v>
      </c>
      <c r="Z113" s="18" t="s">
        <v>423</v>
      </c>
      <c r="AA113" s="18" t="s">
        <v>1451</v>
      </c>
      <c r="AB113" s="18" t="s">
        <v>1452</v>
      </c>
      <c r="AC113" s="18"/>
      <c r="AD113" s="18" t="s">
        <v>426</v>
      </c>
      <c r="AE113" s="18" t="s">
        <v>403</v>
      </c>
      <c r="AF113" s="18" t="s">
        <v>427</v>
      </c>
      <c r="AG113" s="18" t="s">
        <v>428</v>
      </c>
      <c r="AH113" s="18" t="s">
        <v>429</v>
      </c>
      <c r="AI113" s="18"/>
      <c r="AJ113" s="18" t="s">
        <v>408</v>
      </c>
      <c r="AK113" s="18" t="s">
        <v>430</v>
      </c>
      <c r="AL113" s="18" t="s">
        <v>431</v>
      </c>
      <c r="AM113" s="18" t="s">
        <v>1453</v>
      </c>
    </row>
    <row r="114" spans="1:39" ht="36">
      <c r="A114" s="17" t="s">
        <v>179</v>
      </c>
      <c r="B114" s="17" t="s">
        <v>383</v>
      </c>
      <c r="C114" s="17" t="s">
        <v>1159</v>
      </c>
      <c r="D114" s="17" t="s">
        <v>1454</v>
      </c>
      <c r="E114" s="17" t="s">
        <v>1418</v>
      </c>
      <c r="F114" s="17" t="s">
        <v>387</v>
      </c>
      <c r="G114" s="17">
        <v>100</v>
      </c>
      <c r="H114" s="17" t="s">
        <v>1455</v>
      </c>
      <c r="I114" s="17" t="s">
        <v>1238</v>
      </c>
      <c r="J114" s="17" t="s">
        <v>655</v>
      </c>
      <c r="K114" s="17" t="s">
        <v>1456</v>
      </c>
      <c r="L114" s="17" t="s">
        <v>391</v>
      </c>
      <c r="M114" s="17" t="s">
        <v>548</v>
      </c>
      <c r="N114" s="17" t="s">
        <v>657</v>
      </c>
      <c r="O114" s="17" t="s">
        <v>549</v>
      </c>
      <c r="P114" s="17" t="s">
        <v>1457</v>
      </c>
      <c r="Q114" s="17" t="s">
        <v>420</v>
      </c>
      <c r="R114" s="17"/>
      <c r="S114" s="48" t="str">
        <f>IFERROR(T(INDEX('Prospectos Resumen'!$K$9:$K$297,MATCH(A114,'Prospectos Resumen'!$A$9:$A$297,0))),"")</f>
        <v/>
      </c>
      <c r="T114" s="17"/>
      <c r="U114" s="17"/>
      <c r="V114" s="17"/>
      <c r="W114" s="17"/>
      <c r="X114" s="17" t="s">
        <v>1458</v>
      </c>
      <c r="Y114" s="17" t="s">
        <v>1458</v>
      </c>
      <c r="Z114" s="17" t="s">
        <v>423</v>
      </c>
      <c r="AA114" s="17" t="s">
        <v>1459</v>
      </c>
      <c r="AB114" s="17" t="s">
        <v>1460</v>
      </c>
      <c r="AC114" s="17"/>
      <c r="AD114" s="17" t="s">
        <v>426</v>
      </c>
      <c r="AE114" s="17" t="s">
        <v>403</v>
      </c>
      <c r="AF114" s="17" t="s">
        <v>427</v>
      </c>
      <c r="AG114" s="17" t="s">
        <v>428</v>
      </c>
      <c r="AH114" s="17" t="s">
        <v>464</v>
      </c>
      <c r="AI114" s="17"/>
      <c r="AJ114" s="17" t="s">
        <v>408</v>
      </c>
      <c r="AK114" s="17"/>
      <c r="AL114" s="17" t="s">
        <v>431</v>
      </c>
      <c r="AM114" s="17" t="s">
        <v>1461</v>
      </c>
    </row>
    <row r="115" spans="1:39" ht="36">
      <c r="A115" s="6" t="s">
        <v>180</v>
      </c>
      <c r="B115" s="6" t="s">
        <v>383</v>
      </c>
      <c r="C115" s="6" t="s">
        <v>1159</v>
      </c>
      <c r="D115" s="6" t="s">
        <v>1462</v>
      </c>
      <c r="E115" s="6" t="s">
        <v>1418</v>
      </c>
      <c r="F115" s="6" t="s">
        <v>387</v>
      </c>
      <c r="G115" s="6">
        <v>100</v>
      </c>
      <c r="H115" s="6" t="s">
        <v>1463</v>
      </c>
      <c r="I115" s="6" t="s">
        <v>1464</v>
      </c>
      <c r="J115" s="6" t="s">
        <v>655</v>
      </c>
      <c r="K115" s="6" t="s">
        <v>1465</v>
      </c>
      <c r="L115" s="6" t="s">
        <v>391</v>
      </c>
      <c r="M115" s="6" t="s">
        <v>548</v>
      </c>
      <c r="N115" s="6" t="s">
        <v>657</v>
      </c>
      <c r="O115" s="6" t="s">
        <v>549</v>
      </c>
      <c r="P115" s="6" t="s">
        <v>1466</v>
      </c>
      <c r="Q115" s="6" t="s">
        <v>420</v>
      </c>
      <c r="R115" s="6"/>
      <c r="S115" s="50" t="str">
        <f>IFERROR(T(INDEX('Prospectos Resumen'!$K$9:$K$297,MATCH(A115,'Prospectos Resumen'!$A$9:$A$297,0))),"")</f>
        <v/>
      </c>
      <c r="T115" s="6"/>
      <c r="U115" s="6"/>
      <c r="V115" s="6"/>
      <c r="W115" s="6"/>
      <c r="X115" s="6" t="s">
        <v>1467</v>
      </c>
      <c r="Y115" s="6" t="s">
        <v>1467</v>
      </c>
      <c r="Z115" s="6" t="s">
        <v>423</v>
      </c>
      <c r="AA115" s="6" t="s">
        <v>1468</v>
      </c>
      <c r="AB115" s="6" t="s">
        <v>1469</v>
      </c>
      <c r="AC115" s="6"/>
      <c r="AD115" s="6" t="s">
        <v>426</v>
      </c>
      <c r="AE115" s="6" t="s">
        <v>403</v>
      </c>
      <c r="AF115" s="6" t="s">
        <v>427</v>
      </c>
      <c r="AG115" s="6" t="s">
        <v>428</v>
      </c>
      <c r="AH115" s="6" t="s">
        <v>464</v>
      </c>
      <c r="AI115" s="6"/>
      <c r="AJ115" s="6" t="s">
        <v>408</v>
      </c>
      <c r="AK115" s="6"/>
      <c r="AL115" s="6" t="s">
        <v>431</v>
      </c>
      <c r="AM115" s="6" t="s">
        <v>1470</v>
      </c>
    </row>
    <row r="116" spans="1:39" ht="36">
      <c r="A116" s="17" t="s">
        <v>181</v>
      </c>
      <c r="B116" s="17" t="s">
        <v>383</v>
      </c>
      <c r="C116" s="17" t="s">
        <v>1159</v>
      </c>
      <c r="D116" s="17" t="s">
        <v>1471</v>
      </c>
      <c r="E116" s="17" t="s">
        <v>1418</v>
      </c>
      <c r="F116" s="17" t="s">
        <v>724</v>
      </c>
      <c r="G116" s="17">
        <v>75</v>
      </c>
      <c r="H116" s="17" t="s">
        <v>1472</v>
      </c>
      <c r="I116" s="17" t="s">
        <v>1473</v>
      </c>
      <c r="J116" s="17" t="s">
        <v>785</v>
      </c>
      <c r="K116" s="17" t="s">
        <v>1474</v>
      </c>
      <c r="L116" s="17" t="s">
        <v>391</v>
      </c>
      <c r="M116" s="17" t="s">
        <v>987</v>
      </c>
      <c r="N116" s="17" t="s">
        <v>805</v>
      </c>
      <c r="O116" s="17" t="s">
        <v>1034</v>
      </c>
      <c r="P116" s="17" t="s">
        <v>1475</v>
      </c>
      <c r="Q116" s="17" t="s">
        <v>420</v>
      </c>
      <c r="R116" s="17"/>
      <c r="S116" s="48" t="str">
        <f>IFERROR(T(INDEX('Prospectos Resumen'!$K$9:$K$297,MATCH(A116,'Prospectos Resumen'!$A$9:$A$297,0))),"")</f>
        <v/>
      </c>
      <c r="T116" s="17"/>
      <c r="U116" s="17"/>
      <c r="V116" s="17"/>
      <c r="W116" s="17"/>
      <c r="X116" s="17" t="s">
        <v>1476</v>
      </c>
      <c r="Y116" s="17" t="s">
        <v>1476</v>
      </c>
      <c r="Z116" s="17" t="s">
        <v>423</v>
      </c>
      <c r="AA116" s="17" t="s">
        <v>1477</v>
      </c>
      <c r="AB116" s="17" t="s">
        <v>1478</v>
      </c>
      <c r="AC116" s="17"/>
      <c r="AD116" s="17" t="s">
        <v>426</v>
      </c>
      <c r="AE116" s="17" t="s">
        <v>403</v>
      </c>
      <c r="AF116" s="17" t="s">
        <v>427</v>
      </c>
      <c r="AG116" s="17" t="s">
        <v>463</v>
      </c>
      <c r="AH116" s="17" t="s">
        <v>1039</v>
      </c>
      <c r="AI116" s="17"/>
      <c r="AJ116" s="17" t="s">
        <v>403</v>
      </c>
      <c r="AK116" s="17" t="s">
        <v>480</v>
      </c>
      <c r="AL116" s="17" t="s">
        <v>431</v>
      </c>
      <c r="AM116" s="17" t="s">
        <v>1479</v>
      </c>
    </row>
    <row r="117" spans="1:39" ht="36">
      <c r="A117" s="18" t="s">
        <v>182</v>
      </c>
      <c r="B117" s="18" t="s">
        <v>383</v>
      </c>
      <c r="C117" s="18" t="s">
        <v>1159</v>
      </c>
      <c r="D117" s="18" t="s">
        <v>1418</v>
      </c>
      <c r="E117" s="18" t="s">
        <v>1418</v>
      </c>
      <c r="F117" s="18" t="s">
        <v>724</v>
      </c>
      <c r="G117" s="18">
        <v>60</v>
      </c>
      <c r="H117" s="18" t="s">
        <v>1480</v>
      </c>
      <c r="I117" s="18" t="s">
        <v>1438</v>
      </c>
      <c r="J117" s="18" t="s">
        <v>414</v>
      </c>
      <c r="K117" s="18" t="s">
        <v>1481</v>
      </c>
      <c r="L117" s="18" t="s">
        <v>557</v>
      </c>
      <c r="M117" s="18" t="s">
        <v>804</v>
      </c>
      <c r="N117" s="18" t="s">
        <v>417</v>
      </c>
      <c r="O117" s="18" t="s">
        <v>806</v>
      </c>
      <c r="P117" s="18" t="s">
        <v>1482</v>
      </c>
      <c r="Q117" s="18" t="s">
        <v>420</v>
      </c>
      <c r="R117" s="18"/>
      <c r="S117" s="48" t="str">
        <f>IFERROR(T(INDEX('Prospectos Resumen'!$K$9:$K$297,MATCH(A117,'Prospectos Resumen'!$A$9:$A$297,0))),"")</f>
        <v/>
      </c>
      <c r="T117" s="18"/>
      <c r="U117" s="18"/>
      <c r="V117" s="18"/>
      <c r="W117" s="18"/>
      <c r="X117" s="18" t="s">
        <v>1483</v>
      </c>
      <c r="Y117" s="18" t="s">
        <v>1483</v>
      </c>
      <c r="Z117" s="18" t="s">
        <v>423</v>
      </c>
      <c r="AA117" s="18" t="s">
        <v>1484</v>
      </c>
      <c r="AB117" s="18" t="s">
        <v>1485</v>
      </c>
      <c r="AC117" s="18"/>
      <c r="AD117" s="18" t="s">
        <v>426</v>
      </c>
      <c r="AE117" s="18" t="s">
        <v>566</v>
      </c>
      <c r="AF117" s="18" t="s">
        <v>427</v>
      </c>
      <c r="AG117" s="18" t="s">
        <v>428</v>
      </c>
      <c r="AH117" s="18" t="s">
        <v>429</v>
      </c>
      <c r="AI117" s="18"/>
      <c r="AJ117" s="18" t="s">
        <v>566</v>
      </c>
      <c r="AK117" s="18" t="s">
        <v>430</v>
      </c>
      <c r="AL117" s="18" t="s">
        <v>431</v>
      </c>
      <c r="AM117" s="18" t="s">
        <v>1486</v>
      </c>
    </row>
    <row r="118" spans="1:39" ht="36">
      <c r="A118" s="17" t="s">
        <v>183</v>
      </c>
      <c r="B118" s="17" t="s">
        <v>383</v>
      </c>
      <c r="C118" s="17" t="s">
        <v>1159</v>
      </c>
      <c r="D118" s="17" t="s">
        <v>1418</v>
      </c>
      <c r="E118" s="17" t="s">
        <v>1418</v>
      </c>
      <c r="F118" s="17" t="s">
        <v>724</v>
      </c>
      <c r="G118" s="17">
        <v>50</v>
      </c>
      <c r="H118" s="17" t="s">
        <v>1487</v>
      </c>
      <c r="I118" s="17" t="s">
        <v>1014</v>
      </c>
      <c r="J118" s="17" t="s">
        <v>414</v>
      </c>
      <c r="K118" s="17" t="s">
        <v>613</v>
      </c>
      <c r="L118" s="17" t="s">
        <v>613</v>
      </c>
      <c r="M118" s="17" t="s">
        <v>416</v>
      </c>
      <c r="N118" s="17" t="s">
        <v>417</v>
      </c>
      <c r="O118" s="17" t="s">
        <v>418</v>
      </c>
      <c r="P118" s="17" t="s">
        <v>1488</v>
      </c>
      <c r="Q118" s="17" t="s">
        <v>420</v>
      </c>
      <c r="R118" s="17"/>
      <c r="S118" s="48" t="str">
        <f>IFERROR(T(INDEX('Prospectos Resumen'!$K$9:$K$297,MATCH(A118,'Prospectos Resumen'!$A$9:$A$297,0))),"")</f>
        <v/>
      </c>
      <c r="T118" s="17"/>
      <c r="U118" s="17"/>
      <c r="V118" s="17"/>
      <c r="W118" s="17"/>
      <c r="X118" s="17"/>
      <c r="Y118" s="17"/>
      <c r="Z118" s="17" t="s">
        <v>423</v>
      </c>
      <c r="AA118" s="17" t="s">
        <v>1489</v>
      </c>
      <c r="AB118" s="17" t="s">
        <v>1490</v>
      </c>
      <c r="AC118" s="17"/>
      <c r="AD118" s="17" t="s">
        <v>426</v>
      </c>
      <c r="AE118" s="17" t="s">
        <v>566</v>
      </c>
      <c r="AF118" s="17" t="s">
        <v>427</v>
      </c>
      <c r="AG118" s="17" t="s">
        <v>428</v>
      </c>
      <c r="AH118" s="17" t="s">
        <v>429</v>
      </c>
      <c r="AI118" s="17"/>
      <c r="AJ118" s="17" t="s">
        <v>566</v>
      </c>
      <c r="AK118" s="17" t="s">
        <v>430</v>
      </c>
      <c r="AL118" s="17" t="s">
        <v>431</v>
      </c>
      <c r="AM118" s="17" t="s">
        <v>1491</v>
      </c>
    </row>
    <row r="119" spans="1:39" ht="48">
      <c r="A119" s="18" t="s">
        <v>184</v>
      </c>
      <c r="B119" s="18" t="s">
        <v>383</v>
      </c>
      <c r="C119" s="18" t="s">
        <v>1159</v>
      </c>
      <c r="D119" s="18" t="s">
        <v>1492</v>
      </c>
      <c r="E119" s="18" t="s">
        <v>1493</v>
      </c>
      <c r="F119" s="18" t="s">
        <v>387</v>
      </c>
      <c r="G119" s="18">
        <v>85</v>
      </c>
      <c r="H119" s="18" t="s">
        <v>1494</v>
      </c>
      <c r="I119" s="18" t="s">
        <v>1495</v>
      </c>
      <c r="J119" s="18" t="s">
        <v>414</v>
      </c>
      <c r="K119" s="18" t="s">
        <v>1496</v>
      </c>
      <c r="L119" s="18" t="s">
        <v>557</v>
      </c>
      <c r="M119" s="18" t="s">
        <v>1244</v>
      </c>
      <c r="N119" s="18" t="s">
        <v>417</v>
      </c>
      <c r="O119" s="18" t="s">
        <v>943</v>
      </c>
      <c r="P119" s="18" t="s">
        <v>1497</v>
      </c>
      <c r="Q119" s="18" t="s">
        <v>472</v>
      </c>
      <c r="R119" s="18"/>
      <c r="S119" s="48" t="str">
        <f>IFERROR(T(INDEX('Prospectos Resumen'!$K$9:$K$297,MATCH(A119,'Prospectos Resumen'!$A$9:$A$297,0))),"")</f>
        <v/>
      </c>
      <c r="T119" s="18"/>
      <c r="U119" s="18"/>
      <c r="V119" s="18"/>
      <c r="W119" s="18"/>
      <c r="X119" s="18" t="s">
        <v>1498</v>
      </c>
      <c r="Y119" s="18" t="s">
        <v>1498</v>
      </c>
      <c r="Z119" s="18" t="s">
        <v>474</v>
      </c>
      <c r="AA119" s="18" t="s">
        <v>1499</v>
      </c>
      <c r="AB119" s="18" t="s">
        <v>1500</v>
      </c>
      <c r="AC119" s="18" t="s">
        <v>1501</v>
      </c>
      <c r="AD119" s="18" t="s">
        <v>1502</v>
      </c>
      <c r="AE119" s="18" t="s">
        <v>566</v>
      </c>
      <c r="AF119" s="18" t="s">
        <v>479</v>
      </c>
      <c r="AG119" s="18" t="s">
        <v>428</v>
      </c>
      <c r="AH119" s="18" t="s">
        <v>429</v>
      </c>
      <c r="AI119" s="18"/>
      <c r="AJ119" s="18" t="s">
        <v>408</v>
      </c>
      <c r="AK119" s="18" t="s">
        <v>430</v>
      </c>
      <c r="AL119" s="18" t="s">
        <v>431</v>
      </c>
      <c r="AM119" s="18" t="s">
        <v>432</v>
      </c>
    </row>
    <row r="120" spans="1:39" ht="60">
      <c r="A120" s="9" t="s">
        <v>185</v>
      </c>
      <c r="B120" s="9" t="s">
        <v>383</v>
      </c>
      <c r="C120" s="9" t="s">
        <v>1159</v>
      </c>
      <c r="D120" s="9" t="s">
        <v>1492</v>
      </c>
      <c r="E120" s="9" t="s">
        <v>1493</v>
      </c>
      <c r="F120" s="9" t="s">
        <v>387</v>
      </c>
      <c r="G120" s="9">
        <v>85</v>
      </c>
      <c r="H120" s="9" t="s">
        <v>1503</v>
      </c>
      <c r="I120" s="9" t="s">
        <v>1504</v>
      </c>
      <c r="J120" s="9" t="s">
        <v>23</v>
      </c>
      <c r="K120" s="9" t="s">
        <v>1505</v>
      </c>
      <c r="L120" s="9" t="s">
        <v>391</v>
      </c>
      <c r="M120" s="9" t="s">
        <v>392</v>
      </c>
      <c r="N120" s="9" t="s">
        <v>571</v>
      </c>
      <c r="O120" s="9" t="s">
        <v>572</v>
      </c>
      <c r="P120" s="9" t="s">
        <v>573</v>
      </c>
      <c r="Q120" s="9" t="s">
        <v>396</v>
      </c>
      <c r="R120" s="9"/>
      <c r="S120" s="50" t="str">
        <f>IFERROR(T(INDEX('Prospectos Resumen'!$K$9:$K$297,MATCH(A120,'Prospectos Resumen'!$A$9:$A$297,0))),"")</f>
        <v/>
      </c>
      <c r="T120" s="9"/>
      <c r="U120" s="9"/>
      <c r="V120" s="9"/>
      <c r="W120" s="9"/>
      <c r="X120" s="9" t="s">
        <v>1506</v>
      </c>
      <c r="Y120" s="9" t="s">
        <v>1506</v>
      </c>
      <c r="Z120" s="9" t="s">
        <v>398</v>
      </c>
      <c r="AA120" s="9" t="s">
        <v>1507</v>
      </c>
      <c r="AB120" s="9" t="s">
        <v>1508</v>
      </c>
      <c r="AC120" s="9" t="s">
        <v>1509</v>
      </c>
      <c r="AD120" s="9" t="s">
        <v>1510</v>
      </c>
      <c r="AE120" s="9" t="s">
        <v>403</v>
      </c>
      <c r="AF120" s="9" t="s">
        <v>404</v>
      </c>
      <c r="AG120" s="9" t="s">
        <v>405</v>
      </c>
      <c r="AH120" s="9" t="s">
        <v>406</v>
      </c>
      <c r="AI120" s="9" t="s">
        <v>407</v>
      </c>
      <c r="AJ120" s="9" t="s">
        <v>403</v>
      </c>
      <c r="AK120" s="9" t="s">
        <v>409</v>
      </c>
      <c r="AL120" s="9" t="s">
        <v>410</v>
      </c>
      <c r="AM120" s="9" t="s">
        <v>411</v>
      </c>
    </row>
    <row r="121" spans="1:39" ht="48">
      <c r="A121" s="18" t="s">
        <v>186</v>
      </c>
      <c r="B121" s="18" t="s">
        <v>383</v>
      </c>
      <c r="C121" s="18" t="s">
        <v>1159</v>
      </c>
      <c r="D121" s="18" t="s">
        <v>1493</v>
      </c>
      <c r="E121" s="18" t="s">
        <v>1493</v>
      </c>
      <c r="F121" s="18" t="s">
        <v>724</v>
      </c>
      <c r="G121" s="18">
        <v>75</v>
      </c>
      <c r="H121" s="18" t="s">
        <v>1511</v>
      </c>
      <c r="I121" s="18" t="s">
        <v>1512</v>
      </c>
      <c r="J121" s="18" t="s">
        <v>453</v>
      </c>
      <c r="K121" s="18" t="s">
        <v>1513</v>
      </c>
      <c r="L121" s="18" t="s">
        <v>391</v>
      </c>
      <c r="M121" s="18" t="s">
        <v>537</v>
      </c>
      <c r="N121" s="18" t="s">
        <v>469</v>
      </c>
      <c r="O121" s="18" t="s">
        <v>538</v>
      </c>
      <c r="P121" s="18" t="s">
        <v>1514</v>
      </c>
      <c r="Q121" s="18" t="s">
        <v>420</v>
      </c>
      <c r="R121" s="18"/>
      <c r="S121" s="48" t="str">
        <f>IFERROR(T(INDEX('Prospectos Resumen'!$K$9:$K$297,MATCH(A121,'Prospectos Resumen'!$A$9:$A$297,0))),"")</f>
        <v/>
      </c>
      <c r="T121" s="18"/>
      <c r="U121" s="18"/>
      <c r="V121" s="18"/>
      <c r="W121" s="18"/>
      <c r="X121" s="18" t="s">
        <v>1515</v>
      </c>
      <c r="Y121" s="18" t="s">
        <v>1516</v>
      </c>
      <c r="Z121" s="18" t="s">
        <v>423</v>
      </c>
      <c r="AA121" s="18" t="s">
        <v>1517</v>
      </c>
      <c r="AB121" s="18" t="s">
        <v>1518</v>
      </c>
      <c r="AC121" s="18"/>
      <c r="AD121" s="18" t="s">
        <v>426</v>
      </c>
      <c r="AE121" s="18" t="s">
        <v>403</v>
      </c>
      <c r="AF121" s="18" t="s">
        <v>427</v>
      </c>
      <c r="AG121" s="18" t="s">
        <v>544</v>
      </c>
      <c r="AH121" s="18" t="s">
        <v>464</v>
      </c>
      <c r="AI121" s="18"/>
      <c r="AJ121" s="18" t="s">
        <v>403</v>
      </c>
      <c r="AK121" s="18" t="s">
        <v>480</v>
      </c>
      <c r="AL121" s="18" t="s">
        <v>431</v>
      </c>
      <c r="AM121" s="18" t="s">
        <v>432</v>
      </c>
    </row>
    <row r="122" spans="1:39" ht="24">
      <c r="A122" s="17" t="s">
        <v>187</v>
      </c>
      <c r="B122" s="17" t="s">
        <v>383</v>
      </c>
      <c r="C122" s="17" t="s">
        <v>1159</v>
      </c>
      <c r="D122" s="17" t="s">
        <v>1493</v>
      </c>
      <c r="E122" s="17" t="s">
        <v>1493</v>
      </c>
      <c r="F122" s="17" t="s">
        <v>724</v>
      </c>
      <c r="G122" s="17">
        <v>50</v>
      </c>
      <c r="H122" s="17" t="s">
        <v>1519</v>
      </c>
      <c r="I122" s="17" t="s">
        <v>1520</v>
      </c>
      <c r="J122" s="17" t="s">
        <v>1521</v>
      </c>
      <c r="K122" s="17" t="s">
        <v>1522</v>
      </c>
      <c r="L122" s="17" t="s">
        <v>613</v>
      </c>
      <c r="M122" s="17" t="s">
        <v>455</v>
      </c>
      <c r="N122" s="17" t="s">
        <v>1523</v>
      </c>
      <c r="O122" s="17" t="s">
        <v>457</v>
      </c>
      <c r="P122" s="17" t="s">
        <v>1524</v>
      </c>
      <c r="Q122" s="17" t="s">
        <v>420</v>
      </c>
      <c r="R122" s="17"/>
      <c r="S122" s="48" t="str">
        <f>IFERROR(T(INDEX('Prospectos Resumen'!$K$9:$K$297,MATCH(A122,'Prospectos Resumen'!$A$9:$A$297,0))),"")</f>
        <v/>
      </c>
      <c r="T122" s="17"/>
      <c r="U122" s="17"/>
      <c r="V122" s="17"/>
      <c r="W122" s="17"/>
      <c r="X122" s="17"/>
      <c r="Y122" s="17"/>
      <c r="Z122" s="17" t="s">
        <v>423</v>
      </c>
      <c r="AA122" s="17" t="s">
        <v>1525</v>
      </c>
      <c r="AB122" s="17" t="s">
        <v>1526</v>
      </c>
      <c r="AC122" s="17"/>
      <c r="AD122" s="17" t="s">
        <v>426</v>
      </c>
      <c r="AE122" s="17" t="s">
        <v>566</v>
      </c>
      <c r="AF122" s="17" t="s">
        <v>427</v>
      </c>
      <c r="AG122" s="17" t="s">
        <v>428</v>
      </c>
      <c r="AH122" s="17" t="s">
        <v>464</v>
      </c>
      <c r="AI122" s="17"/>
      <c r="AJ122" s="17" t="s">
        <v>566</v>
      </c>
      <c r="AK122" s="17"/>
      <c r="AL122" s="17" t="s">
        <v>431</v>
      </c>
      <c r="AM122" s="17" t="s">
        <v>432</v>
      </c>
    </row>
    <row r="123" spans="1:39" ht="36">
      <c r="A123" s="7" t="s">
        <v>188</v>
      </c>
      <c r="B123" s="7" t="s">
        <v>383</v>
      </c>
      <c r="C123" s="7" t="s">
        <v>1159</v>
      </c>
      <c r="D123" s="7" t="s">
        <v>1527</v>
      </c>
      <c r="E123" s="7" t="s">
        <v>1527</v>
      </c>
      <c r="F123" s="7" t="s">
        <v>724</v>
      </c>
      <c r="G123" s="7">
        <v>75</v>
      </c>
      <c r="H123" s="7" t="s">
        <v>1528</v>
      </c>
      <c r="I123" s="7" t="s">
        <v>1529</v>
      </c>
      <c r="J123" s="7" t="s">
        <v>802</v>
      </c>
      <c r="K123" s="7" t="s">
        <v>1530</v>
      </c>
      <c r="L123" s="7" t="s">
        <v>391</v>
      </c>
      <c r="M123" s="7" t="s">
        <v>455</v>
      </c>
      <c r="N123" s="7" t="s">
        <v>805</v>
      </c>
      <c r="O123" s="7" t="s">
        <v>457</v>
      </c>
      <c r="P123" s="7" t="s">
        <v>1531</v>
      </c>
      <c r="Q123" s="7" t="s">
        <v>420</v>
      </c>
      <c r="R123" s="7"/>
      <c r="S123" s="49" t="str">
        <f>IFERROR(T(INDEX('Prospectos Resumen'!$K$9:$K$297,MATCH(A123,'Prospectos Resumen'!$A$9:$A$297,0))),"")</f>
        <v/>
      </c>
      <c r="T123" s="7"/>
      <c r="U123" s="7"/>
      <c r="V123" s="7"/>
      <c r="W123" s="7"/>
      <c r="X123" s="7" t="s">
        <v>1532</v>
      </c>
      <c r="Y123" s="7" t="s">
        <v>1532</v>
      </c>
      <c r="Z123" s="7" t="s">
        <v>423</v>
      </c>
      <c r="AA123" s="7" t="s">
        <v>1533</v>
      </c>
      <c r="AB123" s="7" t="s">
        <v>1534</v>
      </c>
      <c r="AC123" s="7"/>
      <c r="AD123" s="7" t="s">
        <v>426</v>
      </c>
      <c r="AE123" s="7" t="s">
        <v>403</v>
      </c>
      <c r="AF123" s="7" t="s">
        <v>427</v>
      </c>
      <c r="AG123" s="7" t="s">
        <v>463</v>
      </c>
      <c r="AH123" s="7" t="s">
        <v>464</v>
      </c>
      <c r="AI123" s="7"/>
      <c r="AJ123" s="7" t="s">
        <v>403</v>
      </c>
      <c r="AK123" s="7"/>
      <c r="AL123" s="7" t="s">
        <v>431</v>
      </c>
      <c r="AM123" s="7" t="s">
        <v>1535</v>
      </c>
    </row>
    <row r="124" spans="1:39" ht="36">
      <c r="A124" s="17" t="s">
        <v>189</v>
      </c>
      <c r="B124" s="17" t="s">
        <v>383</v>
      </c>
      <c r="C124" s="17" t="s">
        <v>1159</v>
      </c>
      <c r="D124" s="17" t="s">
        <v>1527</v>
      </c>
      <c r="E124" s="17" t="s">
        <v>1527</v>
      </c>
      <c r="F124" s="17" t="s">
        <v>724</v>
      </c>
      <c r="G124" s="17">
        <v>75</v>
      </c>
      <c r="H124" s="17" t="s">
        <v>1536</v>
      </c>
      <c r="I124" s="17" t="s">
        <v>1537</v>
      </c>
      <c r="J124" s="17" t="s">
        <v>802</v>
      </c>
      <c r="K124" s="17" t="s">
        <v>1538</v>
      </c>
      <c r="L124" s="17" t="s">
        <v>391</v>
      </c>
      <c r="M124" s="17" t="s">
        <v>804</v>
      </c>
      <c r="N124" s="17" t="s">
        <v>805</v>
      </c>
      <c r="O124" s="17" t="s">
        <v>806</v>
      </c>
      <c r="P124" s="17" t="s">
        <v>1539</v>
      </c>
      <c r="Q124" s="17" t="s">
        <v>420</v>
      </c>
      <c r="R124" s="17"/>
      <c r="S124" s="48" t="str">
        <f>IFERROR(T(INDEX('Prospectos Resumen'!$K$9:$K$297,MATCH(A124,'Prospectos Resumen'!$A$9:$A$297,0))),"")</f>
        <v/>
      </c>
      <c r="T124" s="17"/>
      <c r="U124" s="17"/>
      <c r="V124" s="17"/>
      <c r="W124" s="17"/>
      <c r="X124" s="17" t="s">
        <v>1540</v>
      </c>
      <c r="Y124" s="17" t="s">
        <v>1540</v>
      </c>
      <c r="Z124" s="17" t="s">
        <v>423</v>
      </c>
      <c r="AA124" s="17" t="s">
        <v>1541</v>
      </c>
      <c r="AB124" s="17" t="s">
        <v>1542</v>
      </c>
      <c r="AC124" s="17"/>
      <c r="AD124" s="17" t="s">
        <v>426</v>
      </c>
      <c r="AE124" s="17" t="s">
        <v>403</v>
      </c>
      <c r="AF124" s="17" t="s">
        <v>427</v>
      </c>
      <c r="AG124" s="17" t="s">
        <v>463</v>
      </c>
      <c r="AH124" s="17" t="s">
        <v>464</v>
      </c>
      <c r="AI124" s="17"/>
      <c r="AJ124" s="17" t="s">
        <v>403</v>
      </c>
      <c r="AK124" s="17"/>
      <c r="AL124" s="17" t="s">
        <v>431</v>
      </c>
      <c r="AM124" s="17" t="s">
        <v>1543</v>
      </c>
    </row>
    <row r="125" spans="1:39" ht="36">
      <c r="A125" s="7" t="s">
        <v>190</v>
      </c>
      <c r="B125" s="7" t="s">
        <v>383</v>
      </c>
      <c r="C125" s="7" t="s">
        <v>1159</v>
      </c>
      <c r="D125" s="7" t="s">
        <v>1544</v>
      </c>
      <c r="E125" s="7" t="s">
        <v>1544</v>
      </c>
      <c r="F125" s="7" t="s">
        <v>387</v>
      </c>
      <c r="G125" s="7">
        <v>100</v>
      </c>
      <c r="H125" s="7" t="s">
        <v>1545</v>
      </c>
      <c r="I125" s="7" t="s">
        <v>1546</v>
      </c>
      <c r="J125" s="7" t="s">
        <v>414</v>
      </c>
      <c r="K125" s="7" t="s">
        <v>1547</v>
      </c>
      <c r="L125" s="7" t="s">
        <v>391</v>
      </c>
      <c r="M125" s="7" t="s">
        <v>1330</v>
      </c>
      <c r="N125" s="7" t="s">
        <v>417</v>
      </c>
      <c r="O125" s="7" t="s">
        <v>943</v>
      </c>
      <c r="P125" s="7" t="s">
        <v>1548</v>
      </c>
      <c r="Q125" s="7" t="s">
        <v>472</v>
      </c>
      <c r="R125" s="7"/>
      <c r="S125" s="49" t="str">
        <f>IFERROR(T(INDEX('Prospectos Resumen'!$K$9:$K$297,MATCH(A125,'Prospectos Resumen'!$A$9:$A$297,0))),"")</f>
        <v/>
      </c>
      <c r="T125" s="7"/>
      <c r="U125" s="7"/>
      <c r="V125" s="7"/>
      <c r="W125" s="7"/>
      <c r="X125" s="7" t="s">
        <v>1549</v>
      </c>
      <c r="Y125" s="7" t="s">
        <v>1549</v>
      </c>
      <c r="Z125" s="7" t="s">
        <v>474</v>
      </c>
      <c r="AA125" s="7" t="s">
        <v>1550</v>
      </c>
      <c r="AB125" s="7" t="s">
        <v>1551</v>
      </c>
      <c r="AC125" s="7" t="s">
        <v>1552</v>
      </c>
      <c r="AD125" s="7" t="s">
        <v>1553</v>
      </c>
      <c r="AE125" s="7" t="s">
        <v>403</v>
      </c>
      <c r="AF125" s="7" t="s">
        <v>479</v>
      </c>
      <c r="AG125" s="7" t="s">
        <v>428</v>
      </c>
      <c r="AH125" s="7" t="s">
        <v>429</v>
      </c>
      <c r="AI125" s="7"/>
      <c r="AJ125" s="7" t="s">
        <v>408</v>
      </c>
      <c r="AK125" s="7" t="s">
        <v>430</v>
      </c>
      <c r="AL125" s="7" t="s">
        <v>431</v>
      </c>
      <c r="AM125" s="7" t="s">
        <v>432</v>
      </c>
    </row>
    <row r="126" spans="1:39" ht="60">
      <c r="A126" s="8" t="s">
        <v>191</v>
      </c>
      <c r="B126" s="8" t="s">
        <v>383</v>
      </c>
      <c r="C126" s="8" t="s">
        <v>1159</v>
      </c>
      <c r="D126" s="8" t="s">
        <v>1554</v>
      </c>
      <c r="E126" s="8" t="s">
        <v>1544</v>
      </c>
      <c r="F126" s="8" t="s">
        <v>387</v>
      </c>
      <c r="G126" s="8">
        <v>100</v>
      </c>
      <c r="H126" s="8" t="s">
        <v>1555</v>
      </c>
      <c r="I126" s="8" t="s">
        <v>1556</v>
      </c>
      <c r="J126" s="8" t="s">
        <v>727</v>
      </c>
      <c r="K126" s="8" t="s">
        <v>1557</v>
      </c>
      <c r="L126" s="8" t="s">
        <v>391</v>
      </c>
      <c r="M126" s="8" t="s">
        <v>1190</v>
      </c>
      <c r="N126" s="8" t="s">
        <v>1285</v>
      </c>
      <c r="O126" s="8" t="s">
        <v>1286</v>
      </c>
      <c r="P126" s="8" t="s">
        <v>1305</v>
      </c>
      <c r="Q126" s="8" t="s">
        <v>1194</v>
      </c>
      <c r="R126" s="8"/>
      <c r="S126" s="49" t="str">
        <f>IFERROR(T(INDEX('Prospectos Resumen'!$K$9:$K$297,MATCH(A126,'Prospectos Resumen'!$A$9:$A$297,0))),"")</f>
        <v/>
      </c>
      <c r="T126" s="8"/>
      <c r="U126" s="8"/>
      <c r="V126" s="8"/>
      <c r="W126" s="8"/>
      <c r="X126" s="8" t="s">
        <v>1558</v>
      </c>
      <c r="Y126" s="8" t="s">
        <v>1558</v>
      </c>
      <c r="Z126" s="8" t="s">
        <v>1196</v>
      </c>
      <c r="AA126" s="8" t="s">
        <v>1559</v>
      </c>
      <c r="AB126" s="8" t="s">
        <v>1560</v>
      </c>
      <c r="AC126" s="8" t="s">
        <v>1561</v>
      </c>
      <c r="AD126" s="8" t="s">
        <v>1562</v>
      </c>
      <c r="AE126" s="8" t="s">
        <v>403</v>
      </c>
      <c r="AF126" s="8" t="s">
        <v>1201</v>
      </c>
      <c r="AG126" s="8" t="s">
        <v>1202</v>
      </c>
      <c r="AH126" s="8" t="s">
        <v>743</v>
      </c>
      <c r="AI126" s="8" t="s">
        <v>407</v>
      </c>
      <c r="AJ126" s="8" t="s">
        <v>408</v>
      </c>
      <c r="AK126" s="8" t="s">
        <v>1203</v>
      </c>
      <c r="AL126" s="8" t="s">
        <v>1204</v>
      </c>
      <c r="AM126" s="8" t="s">
        <v>1205</v>
      </c>
    </row>
    <row r="127" spans="1:39" ht="36">
      <c r="A127" s="18" t="s">
        <v>192</v>
      </c>
      <c r="B127" s="18" t="s">
        <v>383</v>
      </c>
      <c r="C127" s="18" t="s">
        <v>1159</v>
      </c>
      <c r="D127" s="18" t="s">
        <v>1544</v>
      </c>
      <c r="E127" s="18" t="s">
        <v>1544</v>
      </c>
      <c r="F127" s="18" t="s">
        <v>387</v>
      </c>
      <c r="G127" s="18">
        <v>75</v>
      </c>
      <c r="H127" s="18" t="s">
        <v>1563</v>
      </c>
      <c r="I127" s="18" t="s">
        <v>1564</v>
      </c>
      <c r="J127" s="18" t="s">
        <v>414</v>
      </c>
      <c r="K127" s="18" t="s">
        <v>613</v>
      </c>
      <c r="L127" s="18" t="s">
        <v>613</v>
      </c>
      <c r="M127" s="18" t="s">
        <v>416</v>
      </c>
      <c r="N127" s="18" t="s">
        <v>417</v>
      </c>
      <c r="O127" s="18" t="s">
        <v>418</v>
      </c>
      <c r="P127" s="18" t="s">
        <v>1565</v>
      </c>
      <c r="Q127" s="18" t="s">
        <v>420</v>
      </c>
      <c r="R127" s="18"/>
      <c r="S127" s="48" t="str">
        <f>IFERROR(T(INDEX('Prospectos Resumen'!$K$9:$K$297,MATCH(A127,'Prospectos Resumen'!$A$9:$A$297,0))),"")</f>
        <v/>
      </c>
      <c r="T127" s="18"/>
      <c r="U127" s="18"/>
      <c r="V127" s="18"/>
      <c r="W127" s="18"/>
      <c r="X127" s="18"/>
      <c r="Y127" s="18"/>
      <c r="Z127" s="18" t="s">
        <v>423</v>
      </c>
      <c r="AA127" s="18" t="s">
        <v>1566</v>
      </c>
      <c r="AB127" s="18" t="s">
        <v>1567</v>
      </c>
      <c r="AC127" s="18"/>
      <c r="AD127" s="18" t="s">
        <v>426</v>
      </c>
      <c r="AE127" s="18" t="s">
        <v>566</v>
      </c>
      <c r="AF127" s="18" t="s">
        <v>427</v>
      </c>
      <c r="AG127" s="18" t="s">
        <v>428</v>
      </c>
      <c r="AH127" s="18" t="s">
        <v>429</v>
      </c>
      <c r="AI127" s="18"/>
      <c r="AJ127" s="18" t="s">
        <v>403</v>
      </c>
      <c r="AK127" s="18" t="s">
        <v>430</v>
      </c>
      <c r="AL127" s="18" t="s">
        <v>431</v>
      </c>
      <c r="AM127" s="18" t="s">
        <v>432</v>
      </c>
    </row>
    <row r="128" spans="1:39" ht="36">
      <c r="A128" s="8" t="s">
        <v>193</v>
      </c>
      <c r="B128" s="8" t="s">
        <v>383</v>
      </c>
      <c r="C128" s="8" t="s">
        <v>1159</v>
      </c>
      <c r="D128" s="8" t="s">
        <v>1544</v>
      </c>
      <c r="E128" s="8" t="s">
        <v>1544</v>
      </c>
      <c r="F128" s="8" t="s">
        <v>724</v>
      </c>
      <c r="G128" s="8">
        <v>75</v>
      </c>
      <c r="H128" s="8" t="s">
        <v>1568</v>
      </c>
      <c r="I128" s="8" t="s">
        <v>1569</v>
      </c>
      <c r="J128" s="8" t="s">
        <v>414</v>
      </c>
      <c r="K128" s="8" t="s">
        <v>1570</v>
      </c>
      <c r="L128" s="8" t="s">
        <v>391</v>
      </c>
      <c r="M128" s="8" t="s">
        <v>804</v>
      </c>
      <c r="N128" s="8" t="s">
        <v>417</v>
      </c>
      <c r="O128" s="8" t="s">
        <v>806</v>
      </c>
      <c r="P128" s="8" t="s">
        <v>1571</v>
      </c>
      <c r="Q128" s="8" t="s">
        <v>420</v>
      </c>
      <c r="R128" s="8"/>
      <c r="S128" s="49" t="str">
        <f>IFERROR(T(INDEX('Prospectos Resumen'!$K$9:$K$297,MATCH(A128,'Prospectos Resumen'!$A$9:$A$297,0))),"")</f>
        <v/>
      </c>
      <c r="T128" s="8"/>
      <c r="U128" s="8"/>
      <c r="V128" s="8"/>
      <c r="W128" s="8"/>
      <c r="X128" s="8" t="s">
        <v>1572</v>
      </c>
      <c r="Y128" s="8" t="s">
        <v>1573</v>
      </c>
      <c r="Z128" s="8" t="s">
        <v>423</v>
      </c>
      <c r="AA128" s="8" t="s">
        <v>1574</v>
      </c>
      <c r="AB128" s="8" t="s">
        <v>1575</v>
      </c>
      <c r="AC128" s="8"/>
      <c r="AD128" s="8" t="s">
        <v>426</v>
      </c>
      <c r="AE128" s="8" t="s">
        <v>403</v>
      </c>
      <c r="AF128" s="8" t="s">
        <v>427</v>
      </c>
      <c r="AG128" s="8" t="s">
        <v>428</v>
      </c>
      <c r="AH128" s="8" t="s">
        <v>429</v>
      </c>
      <c r="AI128" s="8"/>
      <c r="AJ128" s="8" t="s">
        <v>403</v>
      </c>
      <c r="AK128" s="8" t="s">
        <v>430</v>
      </c>
      <c r="AL128" s="8" t="s">
        <v>431</v>
      </c>
      <c r="AM128" s="8" t="s">
        <v>432</v>
      </c>
    </row>
    <row r="129" spans="1:39" ht="60">
      <c r="A129" s="7" t="s">
        <v>194</v>
      </c>
      <c r="B129" s="7" t="s">
        <v>383</v>
      </c>
      <c r="C129" s="7" t="s">
        <v>1576</v>
      </c>
      <c r="D129" s="7" t="s">
        <v>1577</v>
      </c>
      <c r="E129" s="7" t="s">
        <v>1578</v>
      </c>
      <c r="F129" s="7" t="s">
        <v>387</v>
      </c>
      <c r="G129" s="7">
        <v>100</v>
      </c>
      <c r="H129" s="7" t="s">
        <v>1579</v>
      </c>
      <c r="I129" s="7" t="s">
        <v>23</v>
      </c>
      <c r="J129" s="7" t="s">
        <v>23</v>
      </c>
      <c r="K129" s="7" t="s">
        <v>1580</v>
      </c>
      <c r="L129" s="7" t="s">
        <v>391</v>
      </c>
      <c r="M129" s="7" t="s">
        <v>624</v>
      </c>
      <c r="N129" s="7" t="s">
        <v>625</v>
      </c>
      <c r="O129" s="7" t="s">
        <v>626</v>
      </c>
      <c r="P129" s="7" t="s">
        <v>1581</v>
      </c>
      <c r="Q129" s="7" t="s">
        <v>440</v>
      </c>
      <c r="R129" s="7"/>
      <c r="S129" s="49" t="str">
        <f>IFERROR(T(INDEX('Prospectos Resumen'!$K$9:$K$297,MATCH(A129,'Prospectos Resumen'!$A$9:$A$297,0))),"")</f>
        <v/>
      </c>
      <c r="T129" s="7"/>
      <c r="U129" s="7"/>
      <c r="V129" s="7"/>
      <c r="W129" s="7"/>
      <c r="X129" s="7" t="s">
        <v>1582</v>
      </c>
      <c r="Y129" s="7" t="s">
        <v>1582</v>
      </c>
      <c r="Z129" s="7" t="s">
        <v>443</v>
      </c>
      <c r="AA129" s="7" t="s">
        <v>1583</v>
      </c>
      <c r="AB129" s="7" t="s">
        <v>531</v>
      </c>
      <c r="AC129" s="7" t="s">
        <v>1584</v>
      </c>
      <c r="AD129" s="7" t="s">
        <v>1581</v>
      </c>
      <c r="AE129" s="7" t="s">
        <v>403</v>
      </c>
      <c r="AF129" s="7" t="s">
        <v>447</v>
      </c>
      <c r="AG129" s="7" t="s">
        <v>463</v>
      </c>
      <c r="AH129" s="7" t="s">
        <v>449</v>
      </c>
      <c r="AI129" s="7" t="s">
        <v>407</v>
      </c>
      <c r="AJ129" s="7" t="s">
        <v>408</v>
      </c>
      <c r="AK129" s="7"/>
      <c r="AL129" s="7" t="s">
        <v>450</v>
      </c>
      <c r="AM129" s="7"/>
    </row>
    <row r="130" spans="1:39" ht="48">
      <c r="A130" s="9" t="s">
        <v>195</v>
      </c>
      <c r="B130" s="9" t="s">
        <v>383</v>
      </c>
      <c r="C130" s="9" t="s">
        <v>1576</v>
      </c>
      <c r="D130" s="9" t="s">
        <v>1577</v>
      </c>
      <c r="E130" s="9" t="s">
        <v>1578</v>
      </c>
      <c r="F130" s="9" t="s">
        <v>387</v>
      </c>
      <c r="G130" s="9">
        <v>100</v>
      </c>
      <c r="H130" s="9" t="s">
        <v>1585</v>
      </c>
      <c r="I130" s="9" t="s">
        <v>1586</v>
      </c>
      <c r="J130" s="9" t="s">
        <v>23</v>
      </c>
      <c r="K130" s="9" t="s">
        <v>613</v>
      </c>
      <c r="L130" s="9" t="s">
        <v>613</v>
      </c>
      <c r="M130" s="9" t="s">
        <v>436</v>
      </c>
      <c r="N130" s="9" t="s">
        <v>437</v>
      </c>
      <c r="O130" s="9" t="s">
        <v>438</v>
      </c>
      <c r="P130" s="9" t="s">
        <v>1587</v>
      </c>
      <c r="Q130" s="9" t="s">
        <v>440</v>
      </c>
      <c r="R130" s="9"/>
      <c r="S130" s="50" t="str">
        <f>IFERROR(T(INDEX('Prospectos Resumen'!$K$9:$K$297,MATCH(A130,'Prospectos Resumen'!$A$9:$A$297,0))),"")</f>
        <v/>
      </c>
      <c r="T130" s="9"/>
      <c r="U130" s="9"/>
      <c r="V130" s="9"/>
      <c r="W130" s="9"/>
      <c r="X130" s="9"/>
      <c r="Y130" s="9"/>
      <c r="Z130" s="9" t="s">
        <v>443</v>
      </c>
      <c r="AA130" s="9" t="s">
        <v>1588</v>
      </c>
      <c r="AB130" s="9" t="s">
        <v>1589</v>
      </c>
      <c r="AC130" s="9" t="s">
        <v>1590</v>
      </c>
      <c r="AD130" s="9" t="s">
        <v>1587</v>
      </c>
      <c r="AE130" s="9" t="s">
        <v>566</v>
      </c>
      <c r="AF130" s="9" t="s">
        <v>447</v>
      </c>
      <c r="AG130" s="9" t="s">
        <v>448</v>
      </c>
      <c r="AH130" s="9" t="s">
        <v>449</v>
      </c>
      <c r="AI130" s="9" t="s">
        <v>407</v>
      </c>
      <c r="AJ130" s="9" t="s">
        <v>403</v>
      </c>
      <c r="AK130" s="9"/>
      <c r="AL130" s="9" t="s">
        <v>450</v>
      </c>
      <c r="AM130" s="9"/>
    </row>
    <row r="131" spans="1:39" ht="60">
      <c r="A131" s="18" t="s">
        <v>196</v>
      </c>
      <c r="B131" s="18" t="s">
        <v>383</v>
      </c>
      <c r="C131" s="18" t="s">
        <v>1576</v>
      </c>
      <c r="D131" s="18" t="s">
        <v>1577</v>
      </c>
      <c r="E131" s="18" t="s">
        <v>1578</v>
      </c>
      <c r="F131" s="18" t="s">
        <v>387</v>
      </c>
      <c r="G131" s="18">
        <v>100</v>
      </c>
      <c r="H131" s="18" t="s">
        <v>1591</v>
      </c>
      <c r="I131" s="18" t="s">
        <v>1592</v>
      </c>
      <c r="J131" s="18" t="s">
        <v>802</v>
      </c>
      <c r="K131" s="18" t="s">
        <v>1593</v>
      </c>
      <c r="L131" s="18" t="s">
        <v>391</v>
      </c>
      <c r="M131" s="18" t="s">
        <v>436</v>
      </c>
      <c r="N131" s="18" t="s">
        <v>437</v>
      </c>
      <c r="O131" s="18" t="s">
        <v>438</v>
      </c>
      <c r="P131" s="18" t="s">
        <v>1594</v>
      </c>
      <c r="Q131" s="18" t="s">
        <v>440</v>
      </c>
      <c r="R131" s="18"/>
      <c r="S131" s="48" t="str">
        <f>IFERROR(T(INDEX('Prospectos Resumen'!$K$9:$K$297,MATCH(A131,'Prospectos Resumen'!$A$9:$A$297,0))),"")</f>
        <v/>
      </c>
      <c r="T131" s="18"/>
      <c r="U131" s="18"/>
      <c r="V131" s="18"/>
      <c r="W131" s="18"/>
      <c r="X131" s="18" t="s">
        <v>1595</v>
      </c>
      <c r="Y131" s="18" t="s">
        <v>1596</v>
      </c>
      <c r="Z131" s="18" t="s">
        <v>443</v>
      </c>
      <c r="AA131" s="18" t="s">
        <v>1597</v>
      </c>
      <c r="AB131" s="18" t="s">
        <v>1598</v>
      </c>
      <c r="AC131" s="18" t="s">
        <v>1599</v>
      </c>
      <c r="AD131" s="18" t="s">
        <v>1600</v>
      </c>
      <c r="AE131" s="18" t="s">
        <v>403</v>
      </c>
      <c r="AF131" s="18" t="s">
        <v>447</v>
      </c>
      <c r="AG131" s="18" t="s">
        <v>448</v>
      </c>
      <c r="AH131" s="18" t="s">
        <v>449</v>
      </c>
      <c r="AI131" s="18" t="s">
        <v>407</v>
      </c>
      <c r="AJ131" s="18" t="s">
        <v>408</v>
      </c>
      <c r="AK131" s="18" t="s">
        <v>480</v>
      </c>
      <c r="AL131" s="18" t="s">
        <v>431</v>
      </c>
      <c r="AM131" s="18" t="s">
        <v>432</v>
      </c>
    </row>
    <row r="132" spans="1:39" ht="48">
      <c r="A132" s="17" t="s">
        <v>197</v>
      </c>
      <c r="B132" s="17" t="s">
        <v>383</v>
      </c>
      <c r="C132" s="17" t="s">
        <v>1576</v>
      </c>
      <c r="D132" s="17" t="s">
        <v>1577</v>
      </c>
      <c r="E132" s="17" t="s">
        <v>1578</v>
      </c>
      <c r="F132" s="17" t="s">
        <v>387</v>
      </c>
      <c r="G132" s="17">
        <v>100</v>
      </c>
      <c r="H132" s="17" t="s">
        <v>1601</v>
      </c>
      <c r="I132" s="17" t="s">
        <v>1602</v>
      </c>
      <c r="J132" s="17" t="s">
        <v>655</v>
      </c>
      <c r="K132" s="17" t="s">
        <v>1603</v>
      </c>
      <c r="L132" s="17" t="s">
        <v>391</v>
      </c>
      <c r="M132" s="17" t="s">
        <v>436</v>
      </c>
      <c r="N132" s="17" t="s">
        <v>437</v>
      </c>
      <c r="O132" s="17" t="s">
        <v>438</v>
      </c>
      <c r="P132" s="17" t="s">
        <v>1604</v>
      </c>
      <c r="Q132" s="17" t="s">
        <v>440</v>
      </c>
      <c r="R132" s="17"/>
      <c r="S132" s="48" t="str">
        <f>IFERROR(T(INDEX('Prospectos Resumen'!$K$9:$K$297,MATCH(A132,'Prospectos Resumen'!$A$9:$A$297,0))),"")</f>
        <v/>
      </c>
      <c r="T132" s="17"/>
      <c r="U132" s="17"/>
      <c r="V132" s="17"/>
      <c r="W132" s="17"/>
      <c r="X132" s="17" t="s">
        <v>1605</v>
      </c>
      <c r="Y132" s="17" t="s">
        <v>1606</v>
      </c>
      <c r="Z132" s="17" t="s">
        <v>443</v>
      </c>
      <c r="AA132" s="17" t="s">
        <v>1607</v>
      </c>
      <c r="AB132" s="17" t="s">
        <v>1608</v>
      </c>
      <c r="AC132" s="17" t="s">
        <v>1609</v>
      </c>
      <c r="AD132" s="17" t="s">
        <v>1604</v>
      </c>
      <c r="AE132" s="17" t="s">
        <v>403</v>
      </c>
      <c r="AF132" s="17" t="s">
        <v>447</v>
      </c>
      <c r="AG132" s="17" t="s">
        <v>448</v>
      </c>
      <c r="AH132" s="17" t="s">
        <v>464</v>
      </c>
      <c r="AI132" s="17" t="s">
        <v>407</v>
      </c>
      <c r="AJ132" s="17" t="s">
        <v>408</v>
      </c>
      <c r="AK132" s="17"/>
      <c r="AL132" s="17" t="s">
        <v>450</v>
      </c>
      <c r="AM132" s="17"/>
    </row>
    <row r="133" spans="1:39" ht="48">
      <c r="A133" s="18" t="s">
        <v>198</v>
      </c>
      <c r="B133" s="18" t="s">
        <v>383</v>
      </c>
      <c r="C133" s="18" t="s">
        <v>1576</v>
      </c>
      <c r="D133" s="18" t="s">
        <v>1610</v>
      </c>
      <c r="E133" s="18" t="s">
        <v>1578</v>
      </c>
      <c r="F133" s="18" t="s">
        <v>387</v>
      </c>
      <c r="G133" s="18">
        <v>100</v>
      </c>
      <c r="H133" s="18" t="s">
        <v>1611</v>
      </c>
      <c r="I133" s="18" t="s">
        <v>1612</v>
      </c>
      <c r="J133" s="18" t="s">
        <v>23</v>
      </c>
      <c r="K133" s="18" t="s">
        <v>1613</v>
      </c>
      <c r="L133" s="18" t="s">
        <v>391</v>
      </c>
      <c r="M133" s="18" t="s">
        <v>499</v>
      </c>
      <c r="N133" s="18" t="s">
        <v>500</v>
      </c>
      <c r="O133" s="18" t="s">
        <v>501</v>
      </c>
      <c r="P133" s="18" t="s">
        <v>502</v>
      </c>
      <c r="Q133" s="18" t="s">
        <v>503</v>
      </c>
      <c r="R133" s="18"/>
      <c r="S133" s="48" t="str">
        <f>IFERROR(T(INDEX('Prospectos Resumen'!$K$9:$K$297,MATCH(A133,'Prospectos Resumen'!$A$9:$A$297,0))),"")</f>
        <v>ANDRES SCARAMUZA</v>
      </c>
      <c r="T133" s="18"/>
      <c r="U133" s="18"/>
      <c r="V133" s="18"/>
      <c r="W133" s="18"/>
      <c r="X133" s="18" t="s">
        <v>1614</v>
      </c>
      <c r="Y133" s="18" t="s">
        <v>1614</v>
      </c>
      <c r="Z133" s="18" t="s">
        <v>505</v>
      </c>
      <c r="AA133" s="18" t="s">
        <v>1615</v>
      </c>
      <c r="AB133" s="18" t="s">
        <v>1616</v>
      </c>
      <c r="AC133" s="18" t="s">
        <v>1617</v>
      </c>
      <c r="AD133" s="18" t="s">
        <v>1618</v>
      </c>
      <c r="AE133" s="18" t="s">
        <v>403</v>
      </c>
      <c r="AF133" s="18" t="s">
        <v>510</v>
      </c>
      <c r="AG133" s="18" t="s">
        <v>511</v>
      </c>
      <c r="AH133" s="18" t="s">
        <v>512</v>
      </c>
      <c r="AI133" s="18" t="s">
        <v>407</v>
      </c>
      <c r="AJ133" s="18" t="s">
        <v>408</v>
      </c>
      <c r="AK133" s="18" t="s">
        <v>513</v>
      </c>
      <c r="AL133" s="18" t="s">
        <v>510</v>
      </c>
      <c r="AM133" s="18" t="s">
        <v>514</v>
      </c>
    </row>
    <row r="134" spans="1:39" ht="48">
      <c r="A134" s="17" t="s">
        <v>199</v>
      </c>
      <c r="B134" s="17" t="s">
        <v>383</v>
      </c>
      <c r="C134" s="17" t="s">
        <v>1576</v>
      </c>
      <c r="D134" s="17" t="s">
        <v>1577</v>
      </c>
      <c r="E134" s="17" t="s">
        <v>1578</v>
      </c>
      <c r="F134" s="17" t="s">
        <v>387</v>
      </c>
      <c r="G134" s="17">
        <v>100</v>
      </c>
      <c r="H134" s="17" t="s">
        <v>1619</v>
      </c>
      <c r="I134" s="17" t="s">
        <v>1620</v>
      </c>
      <c r="J134" s="17" t="s">
        <v>802</v>
      </c>
      <c r="K134" s="17" t="s">
        <v>1621</v>
      </c>
      <c r="L134" s="17" t="s">
        <v>391</v>
      </c>
      <c r="M134" s="17" t="s">
        <v>436</v>
      </c>
      <c r="N134" s="17" t="s">
        <v>437</v>
      </c>
      <c r="O134" s="17" t="s">
        <v>438</v>
      </c>
      <c r="P134" s="17" t="s">
        <v>1622</v>
      </c>
      <c r="Q134" s="17" t="s">
        <v>440</v>
      </c>
      <c r="R134" s="17"/>
      <c r="S134" s="48" t="str">
        <f>IFERROR(T(INDEX('Prospectos Resumen'!$K$9:$K$297,MATCH(A134,'Prospectos Resumen'!$A$9:$A$297,0))),"")</f>
        <v/>
      </c>
      <c r="T134" s="17"/>
      <c r="U134" s="17"/>
      <c r="V134" s="17"/>
      <c r="W134" s="17"/>
      <c r="X134" s="17" t="s">
        <v>1623</v>
      </c>
      <c r="Y134" s="17" t="s">
        <v>1624</v>
      </c>
      <c r="Z134" s="17" t="s">
        <v>443</v>
      </c>
      <c r="AA134" s="17" t="s">
        <v>1625</v>
      </c>
      <c r="AB134" s="17" t="s">
        <v>1626</v>
      </c>
      <c r="AC134" s="17" t="s">
        <v>1627</v>
      </c>
      <c r="AD134" s="17" t="s">
        <v>1622</v>
      </c>
      <c r="AE134" s="17" t="s">
        <v>403</v>
      </c>
      <c r="AF134" s="17" t="s">
        <v>447</v>
      </c>
      <c r="AG134" s="17" t="s">
        <v>448</v>
      </c>
      <c r="AH134" s="17" t="s">
        <v>464</v>
      </c>
      <c r="AI134" s="17" t="s">
        <v>407</v>
      </c>
      <c r="AJ134" s="17" t="s">
        <v>408</v>
      </c>
      <c r="AK134" s="17"/>
      <c r="AL134" s="17" t="s">
        <v>450</v>
      </c>
      <c r="AM134" s="17"/>
    </row>
    <row r="135" spans="1:39" ht="48">
      <c r="A135" s="6" t="s">
        <v>200</v>
      </c>
      <c r="B135" s="6" t="s">
        <v>383</v>
      </c>
      <c r="C135" s="6" t="s">
        <v>1576</v>
      </c>
      <c r="D135" s="6" t="s">
        <v>1610</v>
      </c>
      <c r="E135" s="6" t="s">
        <v>1578</v>
      </c>
      <c r="F135" s="6" t="s">
        <v>387</v>
      </c>
      <c r="G135" s="6">
        <v>100</v>
      </c>
      <c r="H135" s="6" t="s">
        <v>1628</v>
      </c>
      <c r="I135" s="6" t="s">
        <v>1629</v>
      </c>
      <c r="J135" s="6" t="s">
        <v>23</v>
      </c>
      <c r="K135" s="6" t="s">
        <v>1630</v>
      </c>
      <c r="L135" s="6" t="s">
        <v>391</v>
      </c>
      <c r="M135" s="6" t="s">
        <v>499</v>
      </c>
      <c r="N135" s="6" t="s">
        <v>500</v>
      </c>
      <c r="O135" s="6" t="s">
        <v>501</v>
      </c>
      <c r="P135" s="6" t="s">
        <v>502</v>
      </c>
      <c r="Q135" s="6" t="s">
        <v>503</v>
      </c>
      <c r="R135" s="6"/>
      <c r="S135" s="50" t="str">
        <f>IFERROR(T(INDEX('Prospectos Resumen'!$K$9:$K$297,MATCH(A135,'Prospectos Resumen'!$A$9:$A$297,0))),"")</f>
        <v/>
      </c>
      <c r="T135" s="6"/>
      <c r="U135" s="6"/>
      <c r="V135" s="6"/>
      <c r="W135" s="6"/>
      <c r="X135" s="6" t="s">
        <v>1631</v>
      </c>
      <c r="Y135" s="6" t="s">
        <v>1631</v>
      </c>
      <c r="Z135" s="6" t="s">
        <v>505</v>
      </c>
      <c r="AA135" s="6" t="s">
        <v>1632</v>
      </c>
      <c r="AB135" s="6" t="s">
        <v>1633</v>
      </c>
      <c r="AC135" s="6" t="s">
        <v>1634</v>
      </c>
      <c r="AD135" s="6" t="s">
        <v>1635</v>
      </c>
      <c r="AE135" s="6" t="s">
        <v>403</v>
      </c>
      <c r="AF135" s="6" t="s">
        <v>510</v>
      </c>
      <c r="AG135" s="6" t="s">
        <v>511</v>
      </c>
      <c r="AH135" s="6" t="s">
        <v>512</v>
      </c>
      <c r="AI135" s="6" t="s">
        <v>407</v>
      </c>
      <c r="AJ135" s="6" t="s">
        <v>408</v>
      </c>
      <c r="AK135" s="6" t="s">
        <v>513</v>
      </c>
      <c r="AL135" s="6" t="s">
        <v>510</v>
      </c>
      <c r="AM135" s="6" t="s">
        <v>514</v>
      </c>
    </row>
    <row r="136" spans="1:39" ht="48">
      <c r="A136" s="17" t="s">
        <v>201</v>
      </c>
      <c r="B136" s="17" t="s">
        <v>383</v>
      </c>
      <c r="C136" s="17" t="s">
        <v>1576</v>
      </c>
      <c r="D136" s="17" t="s">
        <v>1610</v>
      </c>
      <c r="E136" s="17" t="s">
        <v>1578</v>
      </c>
      <c r="F136" s="17" t="s">
        <v>387</v>
      </c>
      <c r="G136" s="17">
        <v>98</v>
      </c>
      <c r="H136" s="17" t="s">
        <v>1636</v>
      </c>
      <c r="I136" s="17" t="s">
        <v>1637</v>
      </c>
      <c r="J136" s="17" t="s">
        <v>23</v>
      </c>
      <c r="K136" s="17" t="s">
        <v>1638</v>
      </c>
      <c r="L136" s="17" t="s">
        <v>391</v>
      </c>
      <c r="M136" s="17" t="s">
        <v>499</v>
      </c>
      <c r="N136" s="17" t="s">
        <v>500</v>
      </c>
      <c r="O136" s="17" t="s">
        <v>501</v>
      </c>
      <c r="P136" s="17" t="s">
        <v>502</v>
      </c>
      <c r="Q136" s="17" t="s">
        <v>503</v>
      </c>
      <c r="R136" s="17"/>
      <c r="S136" s="48" t="str">
        <f>IFERROR(T(INDEX('Prospectos Resumen'!$K$9:$K$297,MATCH(A136,'Prospectos Resumen'!$A$9:$A$297,0))),"")</f>
        <v/>
      </c>
      <c r="T136" s="17"/>
      <c r="U136" s="17"/>
      <c r="V136" s="17"/>
      <c r="W136" s="17"/>
      <c r="X136" s="17" t="s">
        <v>1639</v>
      </c>
      <c r="Y136" s="17" t="s">
        <v>1639</v>
      </c>
      <c r="Z136" s="17" t="s">
        <v>505</v>
      </c>
      <c r="AA136" s="17" t="s">
        <v>1640</v>
      </c>
      <c r="AB136" s="17" t="s">
        <v>1641</v>
      </c>
      <c r="AC136" s="17" t="s">
        <v>1642</v>
      </c>
      <c r="AD136" s="17" t="s">
        <v>1643</v>
      </c>
      <c r="AE136" s="17" t="s">
        <v>403</v>
      </c>
      <c r="AF136" s="17" t="s">
        <v>510</v>
      </c>
      <c r="AG136" s="17" t="s">
        <v>511</v>
      </c>
      <c r="AH136" s="17" t="s">
        <v>512</v>
      </c>
      <c r="AI136" s="17" t="s">
        <v>407</v>
      </c>
      <c r="AJ136" s="17" t="s">
        <v>408</v>
      </c>
      <c r="AK136" s="17" t="s">
        <v>513</v>
      </c>
      <c r="AL136" s="17" t="s">
        <v>510</v>
      </c>
      <c r="AM136" s="17" t="s">
        <v>514</v>
      </c>
    </row>
    <row r="137" spans="1:39" ht="60">
      <c r="A137" s="18" t="s">
        <v>202</v>
      </c>
      <c r="B137" s="18" t="s">
        <v>383</v>
      </c>
      <c r="C137" s="18" t="s">
        <v>1576</v>
      </c>
      <c r="D137" s="18" t="s">
        <v>1644</v>
      </c>
      <c r="E137" s="18" t="s">
        <v>1578</v>
      </c>
      <c r="F137" s="18" t="s">
        <v>387</v>
      </c>
      <c r="G137" s="18">
        <v>96</v>
      </c>
      <c r="H137" s="18" t="s">
        <v>1645</v>
      </c>
      <c r="I137" s="18" t="s">
        <v>1646</v>
      </c>
      <c r="J137" s="18" t="s">
        <v>727</v>
      </c>
      <c r="K137" s="18" t="s">
        <v>1647</v>
      </c>
      <c r="L137" s="18" t="s">
        <v>391</v>
      </c>
      <c r="M137" s="18" t="s">
        <v>1190</v>
      </c>
      <c r="N137" s="18" t="s">
        <v>1262</v>
      </c>
      <c r="O137" s="18" t="s">
        <v>1263</v>
      </c>
      <c r="P137" s="18" t="s">
        <v>1264</v>
      </c>
      <c r="Q137" s="18" t="s">
        <v>1194</v>
      </c>
      <c r="R137" s="18"/>
      <c r="S137" s="48" t="str">
        <f>IFERROR(T(INDEX('Prospectos Resumen'!$K$9:$K$297,MATCH(A137,'Prospectos Resumen'!$A$9:$A$297,0))),"")</f>
        <v>ANAHI ZUPPA</v>
      </c>
      <c r="T137" s="18"/>
      <c r="U137" s="18"/>
      <c r="V137" s="18"/>
      <c r="W137" s="18"/>
      <c r="X137" s="18" t="s">
        <v>1648</v>
      </c>
      <c r="Y137" s="18" t="s">
        <v>1648</v>
      </c>
      <c r="Z137" s="18" t="s">
        <v>1196</v>
      </c>
      <c r="AA137" s="18" t="s">
        <v>1649</v>
      </c>
      <c r="AB137" s="18" t="s">
        <v>1650</v>
      </c>
      <c r="AC137" s="18" t="s">
        <v>1651</v>
      </c>
      <c r="AD137" s="18" t="s">
        <v>1652</v>
      </c>
      <c r="AE137" s="18" t="s">
        <v>403</v>
      </c>
      <c r="AF137" s="18" t="s">
        <v>1201</v>
      </c>
      <c r="AG137" s="18" t="s">
        <v>1202</v>
      </c>
      <c r="AH137" s="18" t="s">
        <v>743</v>
      </c>
      <c r="AI137" s="18" t="s">
        <v>407</v>
      </c>
      <c r="AJ137" s="18" t="s">
        <v>408</v>
      </c>
      <c r="AK137" s="18" t="s">
        <v>1203</v>
      </c>
      <c r="AL137" s="18" t="s">
        <v>1204</v>
      </c>
      <c r="AM137" s="18" t="s">
        <v>1205</v>
      </c>
    </row>
    <row r="138" spans="1:39" ht="48">
      <c r="A138" s="17" t="s">
        <v>203</v>
      </c>
      <c r="B138" s="17" t="s">
        <v>383</v>
      </c>
      <c r="C138" s="17" t="s">
        <v>1576</v>
      </c>
      <c r="D138" s="17" t="s">
        <v>1577</v>
      </c>
      <c r="E138" s="17" t="s">
        <v>1578</v>
      </c>
      <c r="F138" s="17" t="s">
        <v>387</v>
      </c>
      <c r="G138" s="17">
        <v>95</v>
      </c>
      <c r="H138" s="17" t="s">
        <v>1653</v>
      </c>
      <c r="I138" s="17" t="s">
        <v>1654</v>
      </c>
      <c r="J138" s="17" t="s">
        <v>23</v>
      </c>
      <c r="K138" s="17" t="s">
        <v>1655</v>
      </c>
      <c r="L138" s="17" t="s">
        <v>391</v>
      </c>
      <c r="M138" s="17" t="s">
        <v>392</v>
      </c>
      <c r="N138" s="17" t="s">
        <v>571</v>
      </c>
      <c r="O138" s="17" t="s">
        <v>572</v>
      </c>
      <c r="P138" s="17" t="s">
        <v>573</v>
      </c>
      <c r="Q138" s="17" t="s">
        <v>396</v>
      </c>
      <c r="R138" s="17"/>
      <c r="S138" s="48" t="str">
        <f>IFERROR(T(INDEX('Prospectos Resumen'!$K$9:$K$297,MATCH(A138,'Prospectos Resumen'!$A$9:$A$297,0))),"")</f>
        <v>DUEÑO PUPI SCORZA O HIJOS
GUILLERMO SORIA VENDEDOR</v>
      </c>
      <c r="T138" s="17"/>
      <c r="U138" s="17"/>
      <c r="V138" s="17"/>
      <c r="W138" s="17"/>
      <c r="X138" s="17" t="s">
        <v>1656</v>
      </c>
      <c r="Y138" s="17" t="s">
        <v>1656</v>
      </c>
      <c r="Z138" s="17" t="s">
        <v>398</v>
      </c>
      <c r="AA138" s="17" t="s">
        <v>1657</v>
      </c>
      <c r="AB138" s="17" t="s">
        <v>1658</v>
      </c>
      <c r="AC138" s="17" t="s">
        <v>1659</v>
      </c>
      <c r="AD138" s="17" t="s">
        <v>1660</v>
      </c>
      <c r="AE138" s="17" t="s">
        <v>403</v>
      </c>
      <c r="AF138" s="17" t="s">
        <v>404</v>
      </c>
      <c r="AG138" s="17" t="s">
        <v>405</v>
      </c>
      <c r="AH138" s="17" t="s">
        <v>406</v>
      </c>
      <c r="AI138" s="17" t="s">
        <v>407</v>
      </c>
      <c r="AJ138" s="17" t="s">
        <v>408</v>
      </c>
      <c r="AK138" s="17" t="s">
        <v>409</v>
      </c>
      <c r="AL138" s="17" t="s">
        <v>410</v>
      </c>
      <c r="AM138" s="17" t="s">
        <v>411</v>
      </c>
    </row>
    <row r="139" spans="1:39" ht="48">
      <c r="A139" s="18" t="s">
        <v>204</v>
      </c>
      <c r="B139" s="18" t="s">
        <v>383</v>
      </c>
      <c r="C139" s="18" t="s">
        <v>1576</v>
      </c>
      <c r="D139" s="18" t="s">
        <v>1577</v>
      </c>
      <c r="E139" s="18" t="s">
        <v>1578</v>
      </c>
      <c r="F139" s="18" t="s">
        <v>387</v>
      </c>
      <c r="G139" s="18">
        <v>90</v>
      </c>
      <c r="H139" s="18" t="s">
        <v>1661</v>
      </c>
      <c r="I139" s="18" t="s">
        <v>1662</v>
      </c>
      <c r="J139" s="18" t="s">
        <v>23</v>
      </c>
      <c r="K139" s="18" t="s">
        <v>1663</v>
      </c>
      <c r="L139" s="18" t="s">
        <v>391</v>
      </c>
      <c r="M139" s="18" t="s">
        <v>392</v>
      </c>
      <c r="N139" s="18" t="s">
        <v>571</v>
      </c>
      <c r="O139" s="18" t="s">
        <v>572</v>
      </c>
      <c r="P139" s="18" t="s">
        <v>573</v>
      </c>
      <c r="Q139" s="18" t="s">
        <v>396</v>
      </c>
      <c r="R139" s="18"/>
      <c r="S139" s="48" t="str">
        <f>IFERROR(T(INDEX('Prospectos Resumen'!$K$9:$K$297,MATCH(A139,'Prospectos Resumen'!$A$9:$A$297,0))),"")</f>
        <v/>
      </c>
      <c r="T139" s="18"/>
      <c r="U139" s="18"/>
      <c r="V139" s="18"/>
      <c r="W139" s="18"/>
      <c r="X139" s="18" t="s">
        <v>1664</v>
      </c>
      <c r="Y139" s="18" t="s">
        <v>1664</v>
      </c>
      <c r="Z139" s="18" t="s">
        <v>398</v>
      </c>
      <c r="AA139" s="18" t="s">
        <v>1665</v>
      </c>
      <c r="AB139" s="18" t="s">
        <v>1666</v>
      </c>
      <c r="AC139" s="18" t="s">
        <v>1667</v>
      </c>
      <c r="AD139" s="18" t="s">
        <v>1668</v>
      </c>
      <c r="AE139" s="18" t="s">
        <v>403</v>
      </c>
      <c r="AF139" s="18" t="s">
        <v>404</v>
      </c>
      <c r="AG139" s="18" t="s">
        <v>405</v>
      </c>
      <c r="AH139" s="18" t="s">
        <v>406</v>
      </c>
      <c r="AI139" s="18" t="s">
        <v>407</v>
      </c>
      <c r="AJ139" s="18" t="s">
        <v>408</v>
      </c>
      <c r="AK139" s="18" t="s">
        <v>409</v>
      </c>
      <c r="AL139" s="18" t="s">
        <v>410</v>
      </c>
      <c r="AM139" s="18" t="s">
        <v>411</v>
      </c>
    </row>
    <row r="140" spans="1:39" ht="48">
      <c r="A140" s="17" t="s">
        <v>205</v>
      </c>
      <c r="B140" s="17" t="s">
        <v>383</v>
      </c>
      <c r="C140" s="17" t="s">
        <v>1576</v>
      </c>
      <c r="D140" s="17" t="s">
        <v>1610</v>
      </c>
      <c r="E140" s="17" t="s">
        <v>1578</v>
      </c>
      <c r="F140" s="17" t="s">
        <v>387</v>
      </c>
      <c r="G140" s="17">
        <v>90</v>
      </c>
      <c r="H140" s="17" t="s">
        <v>1669</v>
      </c>
      <c r="I140" s="17" t="s">
        <v>1670</v>
      </c>
      <c r="J140" s="17" t="s">
        <v>23</v>
      </c>
      <c r="K140" s="17" t="s">
        <v>1671</v>
      </c>
      <c r="L140" s="17" t="s">
        <v>391</v>
      </c>
      <c r="M140" s="17" t="s">
        <v>499</v>
      </c>
      <c r="N140" s="17" t="s">
        <v>500</v>
      </c>
      <c r="O140" s="17" t="s">
        <v>501</v>
      </c>
      <c r="P140" s="17" t="s">
        <v>502</v>
      </c>
      <c r="Q140" s="17" t="s">
        <v>503</v>
      </c>
      <c r="R140" s="17"/>
      <c r="S140" s="48" t="str">
        <f>IFERROR(T(INDEX('Prospectos Resumen'!$K$9:$K$297,MATCH(A140,'Prospectos Resumen'!$A$9:$A$297,0))),"")</f>
        <v/>
      </c>
      <c r="T140" s="17"/>
      <c r="U140" s="17"/>
      <c r="V140" s="17"/>
      <c r="W140" s="17"/>
      <c r="X140" s="17" t="s">
        <v>1672</v>
      </c>
      <c r="Y140" s="17" t="s">
        <v>1672</v>
      </c>
      <c r="Z140" s="17" t="s">
        <v>505</v>
      </c>
      <c r="AA140" s="17" t="s">
        <v>1673</v>
      </c>
      <c r="AB140" s="17" t="s">
        <v>1674</v>
      </c>
      <c r="AC140" s="17" t="s">
        <v>1675</v>
      </c>
      <c r="AD140" s="17" t="s">
        <v>1676</v>
      </c>
      <c r="AE140" s="17" t="s">
        <v>403</v>
      </c>
      <c r="AF140" s="17" t="s">
        <v>510</v>
      </c>
      <c r="AG140" s="17" t="s">
        <v>511</v>
      </c>
      <c r="AH140" s="17" t="s">
        <v>512</v>
      </c>
      <c r="AI140" s="17" t="s">
        <v>407</v>
      </c>
      <c r="AJ140" s="17" t="s">
        <v>403</v>
      </c>
      <c r="AK140" s="17" t="s">
        <v>513</v>
      </c>
      <c r="AL140" s="17" t="s">
        <v>510</v>
      </c>
      <c r="AM140" s="17" t="s">
        <v>514</v>
      </c>
    </row>
    <row r="141" spans="1:39" ht="48">
      <c r="A141" s="7" t="s">
        <v>206</v>
      </c>
      <c r="B141" s="7" t="s">
        <v>383</v>
      </c>
      <c r="C141" s="7" t="s">
        <v>1576</v>
      </c>
      <c r="D141" s="7" t="s">
        <v>1577</v>
      </c>
      <c r="E141" s="7" t="s">
        <v>1578</v>
      </c>
      <c r="F141" s="7" t="s">
        <v>387</v>
      </c>
      <c r="G141" s="7">
        <v>85</v>
      </c>
      <c r="H141" s="7" t="s">
        <v>1677</v>
      </c>
      <c r="I141" s="7" t="s">
        <v>1678</v>
      </c>
      <c r="J141" s="7" t="s">
        <v>23</v>
      </c>
      <c r="K141" s="7" t="s">
        <v>1679</v>
      </c>
      <c r="L141" s="7" t="s">
        <v>557</v>
      </c>
      <c r="M141" s="7" t="s">
        <v>436</v>
      </c>
      <c r="N141" s="7" t="s">
        <v>437</v>
      </c>
      <c r="O141" s="7" t="s">
        <v>438</v>
      </c>
      <c r="P141" s="7" t="s">
        <v>1680</v>
      </c>
      <c r="Q141" s="7" t="s">
        <v>440</v>
      </c>
      <c r="R141" s="7"/>
      <c r="S141" s="49" t="str">
        <f>IFERROR(T(INDEX('Prospectos Resumen'!$K$9:$K$297,MATCH(A141,'Prospectos Resumen'!$A$9:$A$297,0))),"")</f>
        <v/>
      </c>
      <c r="T141" s="7"/>
      <c r="U141" s="7"/>
      <c r="V141" s="7"/>
      <c r="W141" s="7"/>
      <c r="X141" s="7" t="s">
        <v>1681</v>
      </c>
      <c r="Y141" s="7" t="s">
        <v>1682</v>
      </c>
      <c r="Z141" s="7" t="s">
        <v>443</v>
      </c>
      <c r="AA141" s="7" t="s">
        <v>1683</v>
      </c>
      <c r="AB141" s="7" t="s">
        <v>1684</v>
      </c>
      <c r="AC141" s="7" t="s">
        <v>1685</v>
      </c>
      <c r="AD141" s="7" t="s">
        <v>1680</v>
      </c>
      <c r="AE141" s="7" t="s">
        <v>566</v>
      </c>
      <c r="AF141" s="7" t="s">
        <v>447</v>
      </c>
      <c r="AG141" s="7" t="s">
        <v>448</v>
      </c>
      <c r="AH141" s="7" t="s">
        <v>449</v>
      </c>
      <c r="AI141" s="7" t="s">
        <v>407</v>
      </c>
      <c r="AJ141" s="7" t="s">
        <v>408</v>
      </c>
      <c r="AK141" s="7" t="s">
        <v>480</v>
      </c>
      <c r="AL141" s="7" t="s">
        <v>450</v>
      </c>
      <c r="AM141" s="7"/>
    </row>
    <row r="142" spans="1:39" ht="36">
      <c r="A142" s="17" t="s">
        <v>207</v>
      </c>
      <c r="B142" s="17" t="s">
        <v>383</v>
      </c>
      <c r="C142" s="17" t="s">
        <v>1576</v>
      </c>
      <c r="D142" s="17" t="s">
        <v>1577</v>
      </c>
      <c r="E142" s="17" t="s">
        <v>1578</v>
      </c>
      <c r="F142" s="17" t="s">
        <v>387</v>
      </c>
      <c r="G142" s="17">
        <v>85</v>
      </c>
      <c r="H142" s="17" t="s">
        <v>1686</v>
      </c>
      <c r="I142" s="17" t="s">
        <v>1687</v>
      </c>
      <c r="J142" s="17" t="s">
        <v>802</v>
      </c>
      <c r="K142" s="17" t="s">
        <v>1688</v>
      </c>
      <c r="L142" s="17" t="s">
        <v>391</v>
      </c>
      <c r="M142" s="17" t="s">
        <v>624</v>
      </c>
      <c r="N142" s="17" t="s">
        <v>625</v>
      </c>
      <c r="O142" s="17" t="s">
        <v>626</v>
      </c>
      <c r="P142" s="17" t="s">
        <v>1689</v>
      </c>
      <c r="Q142" s="17" t="s">
        <v>440</v>
      </c>
      <c r="R142" s="17"/>
      <c r="S142" s="48" t="str">
        <f>IFERROR(T(INDEX('Prospectos Resumen'!$K$9:$K$297,MATCH(A142,'Prospectos Resumen'!$A$9:$A$297,0))),"")</f>
        <v/>
      </c>
      <c r="T142" s="17"/>
      <c r="U142" s="17"/>
      <c r="V142" s="17"/>
      <c r="W142" s="17"/>
      <c r="X142" s="17" t="s">
        <v>1690</v>
      </c>
      <c r="Y142" s="17" t="s">
        <v>1690</v>
      </c>
      <c r="Z142" s="17" t="s">
        <v>443</v>
      </c>
      <c r="AA142" s="17" t="s">
        <v>1691</v>
      </c>
      <c r="AB142" s="17" t="s">
        <v>1692</v>
      </c>
      <c r="AC142" s="17" t="s">
        <v>1693</v>
      </c>
      <c r="AD142" s="17" t="s">
        <v>1689</v>
      </c>
      <c r="AE142" s="17" t="s">
        <v>403</v>
      </c>
      <c r="AF142" s="17" t="s">
        <v>447</v>
      </c>
      <c r="AG142" s="17" t="s">
        <v>463</v>
      </c>
      <c r="AH142" s="17" t="s">
        <v>464</v>
      </c>
      <c r="AI142" s="17" t="s">
        <v>407</v>
      </c>
      <c r="AJ142" s="17" t="s">
        <v>408</v>
      </c>
      <c r="AK142" s="17"/>
      <c r="AL142" s="17" t="s">
        <v>450</v>
      </c>
      <c r="AM142" s="17"/>
    </row>
    <row r="143" spans="1:39" ht="48">
      <c r="A143" s="18" t="s">
        <v>208</v>
      </c>
      <c r="B143" s="18" t="s">
        <v>383</v>
      </c>
      <c r="C143" s="18" t="s">
        <v>1576</v>
      </c>
      <c r="D143" s="18" t="s">
        <v>1577</v>
      </c>
      <c r="E143" s="18" t="s">
        <v>1578</v>
      </c>
      <c r="F143" s="18" t="s">
        <v>387</v>
      </c>
      <c r="G143" s="18">
        <v>85</v>
      </c>
      <c r="H143" s="18" t="s">
        <v>1694</v>
      </c>
      <c r="I143" s="18" t="s">
        <v>23</v>
      </c>
      <c r="J143" s="18" t="s">
        <v>23</v>
      </c>
      <c r="K143" s="18" t="s">
        <v>1695</v>
      </c>
      <c r="L143" s="18" t="s">
        <v>391</v>
      </c>
      <c r="M143" s="18" t="s">
        <v>624</v>
      </c>
      <c r="N143" s="18" t="s">
        <v>625</v>
      </c>
      <c r="O143" s="18" t="s">
        <v>626</v>
      </c>
      <c r="P143" s="18" t="s">
        <v>1696</v>
      </c>
      <c r="Q143" s="18" t="s">
        <v>440</v>
      </c>
      <c r="R143" s="18"/>
      <c r="S143" s="48" t="str">
        <f>IFERROR(T(INDEX('Prospectos Resumen'!$K$9:$K$297,MATCH(A143,'Prospectos Resumen'!$A$9:$A$297,0))),"")</f>
        <v>OMAR SEGURA</v>
      </c>
      <c r="T143" s="18"/>
      <c r="U143" s="18"/>
      <c r="V143" s="18"/>
      <c r="W143" s="18"/>
      <c r="X143" s="18" t="s">
        <v>1697</v>
      </c>
      <c r="Y143" s="18" t="s">
        <v>1697</v>
      </c>
      <c r="Z143" s="18" t="s">
        <v>443</v>
      </c>
      <c r="AA143" s="18" t="s">
        <v>1698</v>
      </c>
      <c r="AB143" s="18" t="s">
        <v>531</v>
      </c>
      <c r="AC143" s="18" t="s">
        <v>1698</v>
      </c>
      <c r="AD143" s="18" t="s">
        <v>1696</v>
      </c>
      <c r="AE143" s="18" t="s">
        <v>403</v>
      </c>
      <c r="AF143" s="18" t="s">
        <v>447</v>
      </c>
      <c r="AG143" s="18" t="s">
        <v>463</v>
      </c>
      <c r="AH143" s="18" t="s">
        <v>449</v>
      </c>
      <c r="AI143" s="18" t="s">
        <v>407</v>
      </c>
      <c r="AJ143" s="18" t="s">
        <v>408</v>
      </c>
      <c r="AK143" s="18"/>
      <c r="AL143" s="18" t="s">
        <v>450</v>
      </c>
      <c r="AM143" s="18" t="s">
        <v>1699</v>
      </c>
    </row>
    <row r="144" spans="1:39" ht="48">
      <c r="A144" s="17" t="s">
        <v>209</v>
      </c>
      <c r="B144" s="17" t="s">
        <v>383</v>
      </c>
      <c r="C144" s="17" t="s">
        <v>1576</v>
      </c>
      <c r="D144" s="17" t="s">
        <v>1577</v>
      </c>
      <c r="E144" s="17" t="s">
        <v>1578</v>
      </c>
      <c r="F144" s="17" t="s">
        <v>387</v>
      </c>
      <c r="G144" s="17">
        <v>85</v>
      </c>
      <c r="H144" s="17" t="s">
        <v>1700</v>
      </c>
      <c r="I144" s="17" t="s">
        <v>846</v>
      </c>
      <c r="J144" s="17" t="s">
        <v>453</v>
      </c>
      <c r="K144" s="17" t="s">
        <v>1701</v>
      </c>
      <c r="L144" s="17" t="s">
        <v>391</v>
      </c>
      <c r="M144" s="17" t="s">
        <v>848</v>
      </c>
      <c r="N144" s="17" t="s">
        <v>849</v>
      </c>
      <c r="O144" s="17" t="s">
        <v>850</v>
      </c>
      <c r="P144" s="17" t="s">
        <v>1702</v>
      </c>
      <c r="Q144" s="17" t="s">
        <v>440</v>
      </c>
      <c r="R144" s="17"/>
      <c r="S144" s="48" t="str">
        <f>IFERROR(T(INDEX('Prospectos Resumen'!$K$9:$K$297,MATCH(A144,'Prospectos Resumen'!$A$9:$A$297,0))),"")</f>
        <v/>
      </c>
      <c r="T144" s="17"/>
      <c r="U144" s="17"/>
      <c r="V144" s="17"/>
      <c r="W144" s="17"/>
      <c r="X144" s="17" t="s">
        <v>1703</v>
      </c>
      <c r="Y144" s="17" t="s">
        <v>1703</v>
      </c>
      <c r="Z144" s="17" t="s">
        <v>443</v>
      </c>
      <c r="AA144" s="17" t="s">
        <v>1704</v>
      </c>
      <c r="AB144" s="17" t="s">
        <v>531</v>
      </c>
      <c r="AC144" s="17" t="s">
        <v>1705</v>
      </c>
      <c r="AD144" s="17" t="s">
        <v>1702</v>
      </c>
      <c r="AE144" s="17" t="s">
        <v>403</v>
      </c>
      <c r="AF144" s="17" t="s">
        <v>447</v>
      </c>
      <c r="AG144" s="17" t="s">
        <v>463</v>
      </c>
      <c r="AH144" s="17" t="s">
        <v>464</v>
      </c>
      <c r="AI144" s="17" t="s">
        <v>407</v>
      </c>
      <c r="AJ144" s="17" t="s">
        <v>408</v>
      </c>
      <c r="AK144" s="17"/>
      <c r="AL144" s="17" t="s">
        <v>450</v>
      </c>
      <c r="AM144" s="17" t="s">
        <v>1706</v>
      </c>
    </row>
    <row r="145" spans="1:39" ht="48">
      <c r="A145" s="7" t="s">
        <v>210</v>
      </c>
      <c r="B145" s="7" t="s">
        <v>383</v>
      </c>
      <c r="C145" s="7" t="s">
        <v>1576</v>
      </c>
      <c r="D145" s="7" t="s">
        <v>1577</v>
      </c>
      <c r="E145" s="7" t="s">
        <v>1578</v>
      </c>
      <c r="F145" s="7" t="s">
        <v>387</v>
      </c>
      <c r="G145" s="7">
        <v>85</v>
      </c>
      <c r="H145" s="7" t="s">
        <v>1707</v>
      </c>
      <c r="I145" s="7" t="s">
        <v>1708</v>
      </c>
      <c r="J145" s="7" t="s">
        <v>802</v>
      </c>
      <c r="K145" s="7" t="s">
        <v>1709</v>
      </c>
      <c r="L145" s="7" t="s">
        <v>391</v>
      </c>
      <c r="M145" s="7" t="s">
        <v>436</v>
      </c>
      <c r="N145" s="7" t="s">
        <v>437</v>
      </c>
      <c r="O145" s="7" t="s">
        <v>438</v>
      </c>
      <c r="P145" s="7" t="s">
        <v>1710</v>
      </c>
      <c r="Q145" s="7" t="s">
        <v>440</v>
      </c>
      <c r="R145" s="7"/>
      <c r="S145" s="49" t="str">
        <f>IFERROR(T(INDEX('Prospectos Resumen'!$K$9:$K$297,MATCH(A145,'Prospectos Resumen'!$A$9:$A$297,0))),"")</f>
        <v/>
      </c>
      <c r="T145" s="7"/>
      <c r="U145" s="7"/>
      <c r="V145" s="7"/>
      <c r="W145" s="7"/>
      <c r="X145" s="7" t="s">
        <v>1711</v>
      </c>
      <c r="Y145" s="7" t="s">
        <v>1711</v>
      </c>
      <c r="Z145" s="7" t="s">
        <v>443</v>
      </c>
      <c r="AA145" s="7" t="s">
        <v>1712</v>
      </c>
      <c r="AB145" s="7" t="s">
        <v>531</v>
      </c>
      <c r="AC145" s="7" t="s">
        <v>1713</v>
      </c>
      <c r="AD145" s="7" t="s">
        <v>1710</v>
      </c>
      <c r="AE145" s="7" t="s">
        <v>403</v>
      </c>
      <c r="AF145" s="7" t="s">
        <v>447</v>
      </c>
      <c r="AG145" s="7" t="s">
        <v>448</v>
      </c>
      <c r="AH145" s="7" t="s">
        <v>464</v>
      </c>
      <c r="AI145" s="7" t="s">
        <v>407</v>
      </c>
      <c r="AJ145" s="7" t="s">
        <v>408</v>
      </c>
      <c r="AK145" s="7"/>
      <c r="AL145" s="7" t="s">
        <v>450</v>
      </c>
      <c r="AM145" s="7"/>
    </row>
    <row r="146" spans="1:39" ht="72">
      <c r="A146" s="8" t="s">
        <v>211</v>
      </c>
      <c r="B146" s="8" t="s">
        <v>383</v>
      </c>
      <c r="C146" s="8" t="s">
        <v>1576</v>
      </c>
      <c r="D146" s="8" t="s">
        <v>1577</v>
      </c>
      <c r="E146" s="8" t="s">
        <v>1578</v>
      </c>
      <c r="F146" s="8" t="s">
        <v>724</v>
      </c>
      <c r="G146" s="8">
        <v>77</v>
      </c>
      <c r="H146" s="8" t="s">
        <v>1714</v>
      </c>
      <c r="I146" s="8" t="s">
        <v>1715</v>
      </c>
      <c r="J146" s="8" t="s">
        <v>453</v>
      </c>
      <c r="K146" s="8" t="s">
        <v>1716</v>
      </c>
      <c r="L146" s="8" t="s">
        <v>391</v>
      </c>
      <c r="M146" s="8" t="s">
        <v>455</v>
      </c>
      <c r="N146" s="8" t="s">
        <v>518</v>
      </c>
      <c r="O146" s="8" t="s">
        <v>519</v>
      </c>
      <c r="P146" s="8" t="s">
        <v>1717</v>
      </c>
      <c r="Q146" s="8" t="s">
        <v>777</v>
      </c>
      <c r="R146" s="8"/>
      <c r="S146" s="49" t="str">
        <f>IFERROR(T(INDEX('Prospectos Resumen'!$K$9:$K$297,MATCH(A146,'Prospectos Resumen'!$A$9:$A$297,0))),"")</f>
        <v/>
      </c>
      <c r="T146" s="8"/>
      <c r="U146" s="8"/>
      <c r="V146" s="8"/>
      <c r="W146" s="8"/>
      <c r="X146" s="8" t="s">
        <v>1718</v>
      </c>
      <c r="Y146" s="8" t="s">
        <v>1719</v>
      </c>
      <c r="Z146" s="8" t="s">
        <v>443</v>
      </c>
      <c r="AA146" s="8" t="s">
        <v>1720</v>
      </c>
      <c r="AB146" s="8" t="s">
        <v>1721</v>
      </c>
      <c r="AC146" s="8" t="s">
        <v>1722</v>
      </c>
      <c r="AD146" s="8" t="s">
        <v>1723</v>
      </c>
      <c r="AE146" s="8" t="s">
        <v>403</v>
      </c>
      <c r="AF146" s="8" t="s">
        <v>447</v>
      </c>
      <c r="AG146" s="8" t="s">
        <v>448</v>
      </c>
      <c r="AH146" s="8" t="s">
        <v>464</v>
      </c>
      <c r="AI146" s="8" t="s">
        <v>407</v>
      </c>
      <c r="AJ146" s="8" t="s">
        <v>403</v>
      </c>
      <c r="AK146" s="8" t="s">
        <v>1724</v>
      </c>
      <c r="AL146" s="8" t="s">
        <v>431</v>
      </c>
      <c r="AM146" s="8" t="s">
        <v>1725</v>
      </c>
    </row>
    <row r="147" spans="1:39" ht="48">
      <c r="A147" s="18" t="s">
        <v>212</v>
      </c>
      <c r="B147" s="18" t="s">
        <v>383</v>
      </c>
      <c r="C147" s="18" t="s">
        <v>1576</v>
      </c>
      <c r="D147" s="18" t="s">
        <v>1577</v>
      </c>
      <c r="E147" s="18" t="s">
        <v>1578</v>
      </c>
      <c r="F147" s="18" t="s">
        <v>724</v>
      </c>
      <c r="G147" s="18">
        <v>75</v>
      </c>
      <c r="H147" s="18" t="s">
        <v>1726</v>
      </c>
      <c r="I147" s="18" t="s">
        <v>23</v>
      </c>
      <c r="J147" s="18" t="s">
        <v>23</v>
      </c>
      <c r="K147" s="18" t="s">
        <v>1727</v>
      </c>
      <c r="L147" s="18" t="s">
        <v>557</v>
      </c>
      <c r="M147" s="18" t="s">
        <v>624</v>
      </c>
      <c r="N147" s="18" t="s">
        <v>625</v>
      </c>
      <c r="O147" s="18" t="s">
        <v>626</v>
      </c>
      <c r="P147" s="18" t="s">
        <v>1728</v>
      </c>
      <c r="Q147" s="18" t="s">
        <v>777</v>
      </c>
      <c r="R147" s="18"/>
      <c r="S147" s="48" t="str">
        <f>IFERROR(T(INDEX('Prospectos Resumen'!$K$9:$K$297,MATCH(A147,'Prospectos Resumen'!$A$9:$A$297,0))),"")</f>
        <v/>
      </c>
      <c r="T147" s="18"/>
      <c r="U147" s="18"/>
      <c r="V147" s="18"/>
      <c r="W147" s="18"/>
      <c r="X147" s="18" t="s">
        <v>1729</v>
      </c>
      <c r="Y147" s="18" t="s">
        <v>1729</v>
      </c>
      <c r="Z147" s="18" t="s">
        <v>443</v>
      </c>
      <c r="AA147" s="18" t="s">
        <v>1730</v>
      </c>
      <c r="AB147" s="18" t="s">
        <v>1684</v>
      </c>
      <c r="AC147" s="18" t="s">
        <v>1685</v>
      </c>
      <c r="AD147" s="18" t="s">
        <v>1728</v>
      </c>
      <c r="AE147" s="18" t="s">
        <v>566</v>
      </c>
      <c r="AF147" s="18" t="s">
        <v>447</v>
      </c>
      <c r="AG147" s="18" t="s">
        <v>463</v>
      </c>
      <c r="AH147" s="18" t="s">
        <v>449</v>
      </c>
      <c r="AI147" s="18" t="s">
        <v>407</v>
      </c>
      <c r="AJ147" s="18" t="s">
        <v>403</v>
      </c>
      <c r="AK147" s="18"/>
      <c r="AL147" s="18" t="s">
        <v>450</v>
      </c>
      <c r="AM147" s="18" t="s">
        <v>1731</v>
      </c>
    </row>
    <row r="148" spans="1:39" ht="36">
      <c r="A148" s="17" t="s">
        <v>213</v>
      </c>
      <c r="B148" s="17" t="s">
        <v>383</v>
      </c>
      <c r="C148" s="17" t="s">
        <v>1576</v>
      </c>
      <c r="D148" s="17" t="s">
        <v>1577</v>
      </c>
      <c r="E148" s="17" t="s">
        <v>1578</v>
      </c>
      <c r="F148" s="17" t="s">
        <v>724</v>
      </c>
      <c r="G148" s="17">
        <v>75</v>
      </c>
      <c r="H148" s="17" t="s">
        <v>1732</v>
      </c>
      <c r="I148" s="17" t="s">
        <v>1733</v>
      </c>
      <c r="J148" s="17" t="s">
        <v>23</v>
      </c>
      <c r="K148" s="17" t="s">
        <v>613</v>
      </c>
      <c r="L148" s="17" t="s">
        <v>613</v>
      </c>
      <c r="M148" s="17" t="s">
        <v>624</v>
      </c>
      <c r="N148" s="17" t="s">
        <v>625</v>
      </c>
      <c r="O148" s="17" t="s">
        <v>626</v>
      </c>
      <c r="P148" s="17" t="s">
        <v>1734</v>
      </c>
      <c r="Q148" s="17" t="s">
        <v>777</v>
      </c>
      <c r="R148" s="17"/>
      <c r="S148" s="48" t="str">
        <f>IFERROR(T(INDEX('Prospectos Resumen'!$K$9:$K$297,MATCH(A148,'Prospectos Resumen'!$A$9:$A$297,0))),"")</f>
        <v/>
      </c>
      <c r="T148" s="17"/>
      <c r="U148" s="17"/>
      <c r="V148" s="17"/>
      <c r="W148" s="17"/>
      <c r="X148" s="17"/>
      <c r="Y148" s="17"/>
      <c r="Z148" s="17" t="s">
        <v>443</v>
      </c>
      <c r="AA148" s="17" t="s">
        <v>1735</v>
      </c>
      <c r="AB148" s="17" t="s">
        <v>780</v>
      </c>
      <c r="AC148" s="17" t="s">
        <v>781</v>
      </c>
      <c r="AD148" s="17" t="s">
        <v>1734</v>
      </c>
      <c r="AE148" s="17" t="s">
        <v>566</v>
      </c>
      <c r="AF148" s="17" t="s">
        <v>447</v>
      </c>
      <c r="AG148" s="17" t="s">
        <v>463</v>
      </c>
      <c r="AH148" s="17" t="s">
        <v>449</v>
      </c>
      <c r="AI148" s="17" t="s">
        <v>407</v>
      </c>
      <c r="AJ148" s="17" t="s">
        <v>566</v>
      </c>
      <c r="AK148" s="17"/>
      <c r="AL148" s="17" t="s">
        <v>450</v>
      </c>
      <c r="AM148" s="17" t="s">
        <v>1736</v>
      </c>
    </row>
    <row r="149" spans="1:39" ht="48">
      <c r="A149" s="18" t="s">
        <v>214</v>
      </c>
      <c r="B149" s="18" t="s">
        <v>383</v>
      </c>
      <c r="C149" s="18" t="s">
        <v>1576</v>
      </c>
      <c r="D149" s="18" t="s">
        <v>1577</v>
      </c>
      <c r="E149" s="18" t="s">
        <v>1578</v>
      </c>
      <c r="F149" s="18" t="s">
        <v>724</v>
      </c>
      <c r="G149" s="18">
        <v>75</v>
      </c>
      <c r="H149" s="18" t="s">
        <v>1737</v>
      </c>
      <c r="I149" s="18" t="s">
        <v>1738</v>
      </c>
      <c r="J149" s="18" t="s">
        <v>484</v>
      </c>
      <c r="K149" s="18" t="s">
        <v>1739</v>
      </c>
      <c r="L149" s="18" t="s">
        <v>391</v>
      </c>
      <c r="M149" s="18" t="s">
        <v>614</v>
      </c>
      <c r="N149" s="18" t="s">
        <v>615</v>
      </c>
      <c r="O149" s="18" t="s">
        <v>616</v>
      </c>
      <c r="P149" s="18" t="s">
        <v>1740</v>
      </c>
      <c r="Q149" s="18" t="s">
        <v>777</v>
      </c>
      <c r="R149" s="18"/>
      <c r="S149" s="48" t="str">
        <f>IFERROR(T(INDEX('Prospectos Resumen'!$K$9:$K$297,MATCH(A149,'Prospectos Resumen'!$A$9:$A$297,0))),"")</f>
        <v/>
      </c>
      <c r="T149" s="18"/>
      <c r="U149" s="18"/>
      <c r="V149" s="18"/>
      <c r="W149" s="18"/>
      <c r="X149" s="18" t="s">
        <v>1741</v>
      </c>
      <c r="Y149" s="18" t="s">
        <v>1741</v>
      </c>
      <c r="Z149" s="18" t="s">
        <v>443</v>
      </c>
      <c r="AA149" s="18" t="s">
        <v>1742</v>
      </c>
      <c r="AB149" s="18" t="s">
        <v>531</v>
      </c>
      <c r="AC149" s="18" t="s">
        <v>1742</v>
      </c>
      <c r="AD149" s="18" t="s">
        <v>1740</v>
      </c>
      <c r="AE149" s="18" t="s">
        <v>403</v>
      </c>
      <c r="AF149" s="18" t="s">
        <v>447</v>
      </c>
      <c r="AG149" s="18" t="s">
        <v>1062</v>
      </c>
      <c r="AH149" s="18" t="s">
        <v>1063</v>
      </c>
      <c r="AI149" s="18" t="s">
        <v>407</v>
      </c>
      <c r="AJ149" s="18" t="s">
        <v>403</v>
      </c>
      <c r="AK149" s="18" t="s">
        <v>1064</v>
      </c>
      <c r="AL149" s="18" t="s">
        <v>450</v>
      </c>
      <c r="AM149" s="18"/>
    </row>
    <row r="150" spans="1:39" ht="48">
      <c r="A150" s="8" t="s">
        <v>215</v>
      </c>
      <c r="B150" s="8" t="s">
        <v>383</v>
      </c>
      <c r="C150" s="8" t="s">
        <v>1576</v>
      </c>
      <c r="D150" s="8" t="s">
        <v>1577</v>
      </c>
      <c r="E150" s="8" t="s">
        <v>1578</v>
      </c>
      <c r="F150" s="8" t="s">
        <v>724</v>
      </c>
      <c r="G150" s="8">
        <v>75</v>
      </c>
      <c r="H150" s="8" t="s">
        <v>1743</v>
      </c>
      <c r="I150" s="8" t="s">
        <v>1744</v>
      </c>
      <c r="J150" s="8" t="s">
        <v>484</v>
      </c>
      <c r="K150" s="8" t="s">
        <v>1745</v>
      </c>
      <c r="L150" s="8" t="s">
        <v>391</v>
      </c>
      <c r="M150" s="8" t="s">
        <v>614</v>
      </c>
      <c r="N150" s="8" t="s">
        <v>615</v>
      </c>
      <c r="O150" s="8" t="s">
        <v>616</v>
      </c>
      <c r="P150" s="8" t="s">
        <v>1746</v>
      </c>
      <c r="Q150" s="8" t="s">
        <v>777</v>
      </c>
      <c r="R150" s="8"/>
      <c r="S150" s="49" t="str">
        <f>IFERROR(T(INDEX('Prospectos Resumen'!$K$9:$K$297,MATCH(A150,'Prospectos Resumen'!$A$9:$A$297,0))),"")</f>
        <v/>
      </c>
      <c r="T150" s="8"/>
      <c r="U150" s="8"/>
      <c r="V150" s="8"/>
      <c r="W150" s="8"/>
      <c r="X150" s="8" t="s">
        <v>1747</v>
      </c>
      <c r="Y150" s="8" t="s">
        <v>1747</v>
      </c>
      <c r="Z150" s="8" t="s">
        <v>443</v>
      </c>
      <c r="AA150" s="8" t="s">
        <v>1748</v>
      </c>
      <c r="AB150" s="8" t="s">
        <v>531</v>
      </c>
      <c r="AC150" s="8" t="s">
        <v>1748</v>
      </c>
      <c r="AD150" s="8" t="s">
        <v>1746</v>
      </c>
      <c r="AE150" s="8" t="s">
        <v>403</v>
      </c>
      <c r="AF150" s="8" t="s">
        <v>447</v>
      </c>
      <c r="AG150" s="8" t="s">
        <v>428</v>
      </c>
      <c r="AH150" s="8" t="s">
        <v>429</v>
      </c>
      <c r="AI150" s="8" t="s">
        <v>407</v>
      </c>
      <c r="AJ150" s="8" t="s">
        <v>403</v>
      </c>
      <c r="AK150" s="8"/>
      <c r="AL150" s="8" t="s">
        <v>450</v>
      </c>
      <c r="AM150" s="8"/>
    </row>
    <row r="151" spans="1:39" ht="48">
      <c r="A151" s="7" t="s">
        <v>216</v>
      </c>
      <c r="B151" s="7" t="s">
        <v>383</v>
      </c>
      <c r="C151" s="7" t="s">
        <v>1576</v>
      </c>
      <c r="D151" s="7" t="s">
        <v>1577</v>
      </c>
      <c r="E151" s="7" t="s">
        <v>1578</v>
      </c>
      <c r="F151" s="7" t="s">
        <v>724</v>
      </c>
      <c r="G151" s="7">
        <v>60</v>
      </c>
      <c r="H151" s="7" t="s">
        <v>1749</v>
      </c>
      <c r="I151" s="7" t="s">
        <v>1750</v>
      </c>
      <c r="J151" s="7" t="s">
        <v>23</v>
      </c>
      <c r="K151" s="7" t="s">
        <v>1751</v>
      </c>
      <c r="L151" s="7" t="s">
        <v>557</v>
      </c>
      <c r="M151" s="7" t="s">
        <v>624</v>
      </c>
      <c r="N151" s="7" t="s">
        <v>625</v>
      </c>
      <c r="O151" s="7" t="s">
        <v>626</v>
      </c>
      <c r="P151" s="7" t="s">
        <v>1752</v>
      </c>
      <c r="Q151" s="7" t="s">
        <v>777</v>
      </c>
      <c r="R151" s="7"/>
      <c r="S151" s="49" t="str">
        <f>IFERROR(T(INDEX('Prospectos Resumen'!$K$9:$K$297,MATCH(A151,'Prospectos Resumen'!$A$9:$A$297,0))),"")</f>
        <v/>
      </c>
      <c r="T151" s="7"/>
      <c r="U151" s="7"/>
      <c r="V151" s="7"/>
      <c r="W151" s="7"/>
      <c r="X151" s="7" t="s">
        <v>1753</v>
      </c>
      <c r="Y151" s="7" t="s">
        <v>1753</v>
      </c>
      <c r="Z151" s="7" t="s">
        <v>443</v>
      </c>
      <c r="AA151" s="7" t="s">
        <v>1754</v>
      </c>
      <c r="AB151" s="7" t="s">
        <v>1684</v>
      </c>
      <c r="AC151" s="7" t="s">
        <v>1685</v>
      </c>
      <c r="AD151" s="7" t="s">
        <v>1752</v>
      </c>
      <c r="AE151" s="7" t="s">
        <v>566</v>
      </c>
      <c r="AF151" s="7" t="s">
        <v>447</v>
      </c>
      <c r="AG151" s="7" t="s">
        <v>463</v>
      </c>
      <c r="AH151" s="7" t="s">
        <v>449</v>
      </c>
      <c r="AI151" s="7" t="s">
        <v>407</v>
      </c>
      <c r="AJ151" s="7" t="s">
        <v>403</v>
      </c>
      <c r="AK151" s="7" t="s">
        <v>480</v>
      </c>
      <c r="AL151" s="7" t="s">
        <v>450</v>
      </c>
      <c r="AM151" s="7"/>
    </row>
    <row r="152" spans="1:39" ht="48">
      <c r="A152" s="17" t="s">
        <v>217</v>
      </c>
      <c r="B152" s="17" t="s">
        <v>383</v>
      </c>
      <c r="C152" s="17" t="s">
        <v>1576</v>
      </c>
      <c r="D152" s="17" t="s">
        <v>1577</v>
      </c>
      <c r="E152" s="17" t="s">
        <v>1578</v>
      </c>
      <c r="F152" s="17" t="s">
        <v>992</v>
      </c>
      <c r="G152" s="17">
        <v>40</v>
      </c>
      <c r="H152" s="17" t="s">
        <v>1755</v>
      </c>
      <c r="I152" s="17" t="s">
        <v>1756</v>
      </c>
      <c r="J152" s="17" t="s">
        <v>535</v>
      </c>
      <c r="K152" s="17" t="s">
        <v>613</v>
      </c>
      <c r="L152" s="17" t="s">
        <v>613</v>
      </c>
      <c r="M152" s="17" t="s">
        <v>537</v>
      </c>
      <c r="N152" s="17" t="s">
        <v>469</v>
      </c>
      <c r="O152" s="17" t="s">
        <v>1069</v>
      </c>
      <c r="P152" s="17" t="s">
        <v>1757</v>
      </c>
      <c r="Q152" s="17" t="s">
        <v>777</v>
      </c>
      <c r="R152" s="17"/>
      <c r="S152" s="48" t="str">
        <f>IFERROR(T(INDEX('Prospectos Resumen'!$K$9:$K$297,MATCH(A152,'Prospectos Resumen'!$A$9:$A$297,0))),"")</f>
        <v/>
      </c>
      <c r="T152" s="17"/>
      <c r="U152" s="17"/>
      <c r="V152" s="17"/>
      <c r="W152" s="17"/>
      <c r="X152" s="17"/>
      <c r="Y152" s="17"/>
      <c r="Z152" s="17" t="s">
        <v>443</v>
      </c>
      <c r="AA152" s="17" t="s">
        <v>1758</v>
      </c>
      <c r="AB152" s="17" t="s">
        <v>531</v>
      </c>
      <c r="AC152" s="17" t="s">
        <v>1759</v>
      </c>
      <c r="AD152" s="17" t="s">
        <v>1757</v>
      </c>
      <c r="AE152" s="17" t="s">
        <v>566</v>
      </c>
      <c r="AF152" s="17" t="s">
        <v>447</v>
      </c>
      <c r="AG152" s="17" t="s">
        <v>544</v>
      </c>
      <c r="AH152" s="17" t="s">
        <v>1039</v>
      </c>
      <c r="AI152" s="17" t="s">
        <v>407</v>
      </c>
      <c r="AJ152" s="17" t="s">
        <v>997</v>
      </c>
      <c r="AK152" s="17" t="s">
        <v>480</v>
      </c>
      <c r="AL152" s="17" t="s">
        <v>450</v>
      </c>
      <c r="AM152" s="17"/>
    </row>
    <row r="153" spans="1:39" ht="60">
      <c r="A153" s="18" t="s">
        <v>218</v>
      </c>
      <c r="B153" s="18" t="s">
        <v>383</v>
      </c>
      <c r="C153" s="18" t="s">
        <v>1760</v>
      </c>
      <c r="D153" s="18" t="s">
        <v>1761</v>
      </c>
      <c r="E153" s="18" t="s">
        <v>1578</v>
      </c>
      <c r="F153" s="18" t="s">
        <v>387</v>
      </c>
      <c r="G153" s="18">
        <v>99</v>
      </c>
      <c r="H153" s="18" t="s">
        <v>1762</v>
      </c>
      <c r="I153" s="18" t="s">
        <v>1763</v>
      </c>
      <c r="J153" s="18" t="s">
        <v>535</v>
      </c>
      <c r="K153" s="18" t="s">
        <v>1764</v>
      </c>
      <c r="L153" s="18" t="s">
        <v>391</v>
      </c>
      <c r="M153" s="18" t="s">
        <v>1765</v>
      </c>
      <c r="N153" s="18" t="s">
        <v>1766</v>
      </c>
      <c r="O153" s="18" t="s">
        <v>1767</v>
      </c>
      <c r="P153" s="18" t="s">
        <v>1768</v>
      </c>
      <c r="Q153" s="18" t="s">
        <v>1769</v>
      </c>
      <c r="R153" s="18"/>
      <c r="S153" s="48" t="str">
        <f>IFERROR(T(INDEX('Prospectos Resumen'!$K$9:$K$297,MATCH(A153,'Prospectos Resumen'!$A$9:$A$297,0))),"")</f>
        <v/>
      </c>
      <c r="T153" s="18"/>
      <c r="U153" s="18"/>
      <c r="V153" s="18"/>
      <c r="W153" s="18"/>
      <c r="X153" s="18" t="s">
        <v>1770</v>
      </c>
      <c r="Y153" s="18" t="s">
        <v>1771</v>
      </c>
      <c r="Z153" s="18" t="s">
        <v>1772</v>
      </c>
      <c r="AA153" s="18" t="s">
        <v>1773</v>
      </c>
      <c r="AB153" s="18" t="s">
        <v>1774</v>
      </c>
      <c r="AC153" s="18" t="s">
        <v>1775</v>
      </c>
      <c r="AD153" s="18" t="s">
        <v>1776</v>
      </c>
      <c r="AE153" s="18" t="s">
        <v>403</v>
      </c>
      <c r="AF153" s="18" t="s">
        <v>741</v>
      </c>
      <c r="AG153" s="18" t="s">
        <v>1777</v>
      </c>
      <c r="AH153" s="18" t="s">
        <v>1029</v>
      </c>
      <c r="AI153" s="18" t="s">
        <v>407</v>
      </c>
      <c r="AJ153" s="18" t="s">
        <v>408</v>
      </c>
      <c r="AK153" s="18" t="s">
        <v>1778</v>
      </c>
      <c r="AL153" s="18" t="s">
        <v>744</v>
      </c>
      <c r="AM153" s="18" t="s">
        <v>1779</v>
      </c>
    </row>
    <row r="154" spans="1:39" ht="48">
      <c r="A154" s="17" t="s">
        <v>219</v>
      </c>
      <c r="B154" s="17" t="s">
        <v>383</v>
      </c>
      <c r="C154" s="17" t="s">
        <v>1760</v>
      </c>
      <c r="D154" s="17" t="s">
        <v>1578</v>
      </c>
      <c r="E154" s="17" t="s">
        <v>1578</v>
      </c>
      <c r="F154" s="17" t="s">
        <v>724</v>
      </c>
      <c r="G154" s="17">
        <v>85</v>
      </c>
      <c r="H154" s="17" t="s">
        <v>1780</v>
      </c>
      <c r="I154" s="17" t="s">
        <v>1781</v>
      </c>
      <c r="J154" s="17" t="s">
        <v>535</v>
      </c>
      <c r="K154" s="17" t="s">
        <v>1782</v>
      </c>
      <c r="L154" s="17" t="s">
        <v>391</v>
      </c>
      <c r="M154" s="17" t="s">
        <v>1783</v>
      </c>
      <c r="N154" s="17" t="s">
        <v>1766</v>
      </c>
      <c r="O154" s="17" t="s">
        <v>1767</v>
      </c>
      <c r="P154" s="17" t="s">
        <v>1784</v>
      </c>
      <c r="Q154" s="17" t="s">
        <v>1785</v>
      </c>
      <c r="R154" s="17"/>
      <c r="S154" s="48" t="str">
        <f>IFERROR(T(INDEX('Prospectos Resumen'!$K$9:$K$297,MATCH(A154,'Prospectos Resumen'!$A$9:$A$297,0))),"")</f>
        <v/>
      </c>
      <c r="T154" s="17"/>
      <c r="U154" s="17"/>
      <c r="V154" s="17"/>
      <c r="W154" s="17"/>
      <c r="X154" s="17" t="s">
        <v>1786</v>
      </c>
      <c r="Y154" s="17" t="s">
        <v>1787</v>
      </c>
      <c r="Z154" s="17" t="s">
        <v>1788</v>
      </c>
      <c r="AA154" s="17" t="s">
        <v>1789</v>
      </c>
      <c r="AB154" s="17" t="s">
        <v>1790</v>
      </c>
      <c r="AC154" s="17" t="s">
        <v>1791</v>
      </c>
      <c r="AD154" s="17" t="s">
        <v>1792</v>
      </c>
      <c r="AE154" s="17" t="s">
        <v>403</v>
      </c>
      <c r="AF154" s="17" t="s">
        <v>741</v>
      </c>
      <c r="AG154" s="17" t="s">
        <v>1777</v>
      </c>
      <c r="AH154" s="17" t="s">
        <v>1075</v>
      </c>
      <c r="AI154" s="17" t="s">
        <v>407</v>
      </c>
      <c r="AJ154" s="17" t="s">
        <v>403</v>
      </c>
      <c r="AK154" s="17" t="s">
        <v>1793</v>
      </c>
      <c r="AL154" s="17" t="s">
        <v>744</v>
      </c>
      <c r="AM154" s="17" t="s">
        <v>1794</v>
      </c>
    </row>
    <row r="155" spans="1:39" ht="60">
      <c r="A155" s="18" t="s">
        <v>220</v>
      </c>
      <c r="B155" s="18" t="s">
        <v>383</v>
      </c>
      <c r="C155" s="18" t="s">
        <v>1760</v>
      </c>
      <c r="D155" s="18" t="s">
        <v>1795</v>
      </c>
      <c r="E155" s="18" t="s">
        <v>1578</v>
      </c>
      <c r="F155" s="18" t="s">
        <v>724</v>
      </c>
      <c r="G155" s="18">
        <v>81</v>
      </c>
      <c r="H155" s="18" t="s">
        <v>1796</v>
      </c>
      <c r="I155" s="18" t="s">
        <v>1797</v>
      </c>
      <c r="J155" s="18" t="s">
        <v>727</v>
      </c>
      <c r="K155" s="18" t="s">
        <v>1798</v>
      </c>
      <c r="L155" s="18" t="s">
        <v>557</v>
      </c>
      <c r="M155" s="18" t="s">
        <v>1799</v>
      </c>
      <c r="N155" s="18" t="s">
        <v>730</v>
      </c>
      <c r="O155" s="18" t="s">
        <v>731</v>
      </c>
      <c r="P155" s="18" t="s">
        <v>1800</v>
      </c>
      <c r="Q155" s="18" t="s">
        <v>1801</v>
      </c>
      <c r="R155" s="18"/>
      <c r="S155" s="48" t="str">
        <f>IFERROR(T(INDEX('Prospectos Resumen'!$K$9:$K$297,MATCH(A155,'Prospectos Resumen'!$A$9:$A$297,0))),"")</f>
        <v/>
      </c>
      <c r="T155" s="18"/>
      <c r="U155" s="18"/>
      <c r="V155" s="18"/>
      <c r="W155" s="18"/>
      <c r="X155" s="18" t="s">
        <v>1802</v>
      </c>
      <c r="Y155" s="18" t="s">
        <v>1802</v>
      </c>
      <c r="Z155" s="18" t="s">
        <v>1803</v>
      </c>
      <c r="AA155" s="18" t="s">
        <v>1804</v>
      </c>
      <c r="AB155" s="18" t="s">
        <v>769</v>
      </c>
      <c r="AC155" s="18" t="s">
        <v>1805</v>
      </c>
      <c r="AD155" s="18" t="s">
        <v>1806</v>
      </c>
      <c r="AE155" s="18" t="s">
        <v>566</v>
      </c>
      <c r="AF155" s="18" t="s">
        <v>741</v>
      </c>
      <c r="AG155" s="18" t="s">
        <v>742</v>
      </c>
      <c r="AH155" s="18" t="s">
        <v>743</v>
      </c>
      <c r="AI155" s="18" t="s">
        <v>407</v>
      </c>
      <c r="AJ155" s="18" t="s">
        <v>403</v>
      </c>
      <c r="AK155" s="18"/>
      <c r="AL155" s="18" t="s">
        <v>744</v>
      </c>
      <c r="AM155" s="18" t="s">
        <v>1807</v>
      </c>
    </row>
    <row r="156" spans="1:39" ht="48">
      <c r="A156" s="17" t="s">
        <v>221</v>
      </c>
      <c r="B156" s="17" t="s">
        <v>383</v>
      </c>
      <c r="C156" s="17" t="s">
        <v>1760</v>
      </c>
      <c r="D156" s="17" t="s">
        <v>1578</v>
      </c>
      <c r="E156" s="17" t="s">
        <v>1578</v>
      </c>
      <c r="F156" s="17" t="s">
        <v>724</v>
      </c>
      <c r="G156" s="17">
        <v>81</v>
      </c>
      <c r="H156" s="17" t="s">
        <v>1808</v>
      </c>
      <c r="I156" s="17" t="s">
        <v>1809</v>
      </c>
      <c r="J156" s="17" t="s">
        <v>414</v>
      </c>
      <c r="K156" s="17" t="s">
        <v>1810</v>
      </c>
      <c r="L156" s="17" t="s">
        <v>557</v>
      </c>
      <c r="M156" s="17" t="s">
        <v>558</v>
      </c>
      <c r="N156" s="17" t="s">
        <v>1811</v>
      </c>
      <c r="O156" s="17" t="s">
        <v>1812</v>
      </c>
      <c r="P156" s="17" t="s">
        <v>1813</v>
      </c>
      <c r="Q156" s="17" t="s">
        <v>1814</v>
      </c>
      <c r="R156" s="17"/>
      <c r="S156" s="48" t="str">
        <f>IFERROR(T(INDEX('Prospectos Resumen'!$K$9:$K$297,MATCH(A156,'Prospectos Resumen'!$A$9:$A$297,0))),"")</f>
        <v/>
      </c>
      <c r="T156" s="17"/>
      <c r="U156" s="17"/>
      <c r="V156" s="17"/>
      <c r="W156" s="17"/>
      <c r="X156" s="17" t="s">
        <v>1815</v>
      </c>
      <c r="Y156" s="17" t="s">
        <v>1815</v>
      </c>
      <c r="Z156" s="17" t="s">
        <v>1816</v>
      </c>
      <c r="AA156" s="17" t="s">
        <v>1817</v>
      </c>
      <c r="AB156" s="17" t="s">
        <v>1818</v>
      </c>
      <c r="AC156" s="17" t="s">
        <v>1819</v>
      </c>
      <c r="AD156" s="17" t="s">
        <v>1820</v>
      </c>
      <c r="AE156" s="17" t="s">
        <v>566</v>
      </c>
      <c r="AF156" s="17" t="s">
        <v>741</v>
      </c>
      <c r="AG156" s="17" t="s">
        <v>428</v>
      </c>
      <c r="AH156" s="17" t="s">
        <v>429</v>
      </c>
      <c r="AI156" s="17" t="s">
        <v>407</v>
      </c>
      <c r="AJ156" s="17" t="s">
        <v>403</v>
      </c>
      <c r="AK156" s="17" t="s">
        <v>1821</v>
      </c>
      <c r="AL156" s="17" t="s">
        <v>744</v>
      </c>
      <c r="AM156" s="17" t="s">
        <v>1822</v>
      </c>
    </row>
    <row r="157" spans="1:39" ht="48">
      <c r="A157" s="18" t="s">
        <v>222</v>
      </c>
      <c r="B157" s="18" t="s">
        <v>383</v>
      </c>
      <c r="C157" s="18" t="s">
        <v>1760</v>
      </c>
      <c r="D157" s="18" t="s">
        <v>1823</v>
      </c>
      <c r="E157" s="18" t="s">
        <v>1578</v>
      </c>
      <c r="F157" s="18" t="s">
        <v>992</v>
      </c>
      <c r="G157" s="18">
        <v>65</v>
      </c>
      <c r="H157" s="18" t="s">
        <v>1824</v>
      </c>
      <c r="I157" s="18" t="s">
        <v>1825</v>
      </c>
      <c r="J157" s="18" t="s">
        <v>535</v>
      </c>
      <c r="K157" s="18" t="s">
        <v>1826</v>
      </c>
      <c r="L157" s="18" t="s">
        <v>391</v>
      </c>
      <c r="M157" s="18" t="s">
        <v>1827</v>
      </c>
      <c r="N157" s="18" t="s">
        <v>1766</v>
      </c>
      <c r="O157" s="18" t="s">
        <v>1767</v>
      </c>
      <c r="P157" s="18" t="s">
        <v>1828</v>
      </c>
      <c r="Q157" s="18" t="s">
        <v>1829</v>
      </c>
      <c r="R157" s="18"/>
      <c r="S157" s="48" t="str">
        <f>IFERROR(T(INDEX('Prospectos Resumen'!$K$9:$K$297,MATCH(A157,'Prospectos Resumen'!$A$9:$A$297,0))),"")</f>
        <v/>
      </c>
      <c r="T157" s="18"/>
      <c r="U157" s="18"/>
      <c r="V157" s="18"/>
      <c r="W157" s="18"/>
      <c r="X157" s="18" t="s">
        <v>1830</v>
      </c>
      <c r="Y157" s="18" t="s">
        <v>1831</v>
      </c>
      <c r="Z157" s="18" t="s">
        <v>1832</v>
      </c>
      <c r="AA157" s="18" t="s">
        <v>1833</v>
      </c>
      <c r="AB157" s="18" t="s">
        <v>1834</v>
      </c>
      <c r="AC157" s="18" t="s">
        <v>1835</v>
      </c>
      <c r="AD157" s="18" t="s">
        <v>1836</v>
      </c>
      <c r="AE157" s="18" t="s">
        <v>403</v>
      </c>
      <c r="AF157" s="18" t="s">
        <v>741</v>
      </c>
      <c r="AG157" s="18" t="s">
        <v>1837</v>
      </c>
      <c r="AH157" s="18" t="s">
        <v>1029</v>
      </c>
      <c r="AI157" s="18" t="s">
        <v>407</v>
      </c>
      <c r="AJ157" s="18" t="s">
        <v>566</v>
      </c>
      <c r="AK157" s="18" t="s">
        <v>1778</v>
      </c>
      <c r="AL157" s="18" t="s">
        <v>744</v>
      </c>
      <c r="AM157" s="18" t="s">
        <v>1838</v>
      </c>
    </row>
    <row r="158" spans="1:39" ht="72">
      <c r="A158" s="17" t="s">
        <v>223</v>
      </c>
      <c r="B158" s="17" t="s">
        <v>383</v>
      </c>
      <c r="C158" s="17" t="s">
        <v>1839</v>
      </c>
      <c r="D158" s="17" t="s">
        <v>1840</v>
      </c>
      <c r="E158" s="17" t="s">
        <v>1840</v>
      </c>
      <c r="F158" s="17" t="s">
        <v>387</v>
      </c>
      <c r="G158" s="17">
        <v>100</v>
      </c>
      <c r="H158" s="17" t="s">
        <v>1841</v>
      </c>
      <c r="I158" s="17" t="s">
        <v>1842</v>
      </c>
      <c r="J158" s="17" t="s">
        <v>785</v>
      </c>
      <c r="K158" s="17" t="s">
        <v>1843</v>
      </c>
      <c r="L158" s="17" t="s">
        <v>391</v>
      </c>
      <c r="M158" s="17" t="s">
        <v>548</v>
      </c>
      <c r="N158" s="17" t="s">
        <v>469</v>
      </c>
      <c r="O158" s="17" t="s">
        <v>549</v>
      </c>
      <c r="P158" s="17" t="s">
        <v>1844</v>
      </c>
      <c r="Q158" s="17" t="s">
        <v>420</v>
      </c>
      <c r="R158" s="17"/>
      <c r="S158" s="48" t="str">
        <f>IFERROR(T(INDEX('Prospectos Resumen'!$K$9:$K$297,MATCH(A158,'Prospectos Resumen'!$A$9:$A$297,0))),"")</f>
        <v/>
      </c>
      <c r="T158" s="17"/>
      <c r="U158" s="17"/>
      <c r="V158" s="17"/>
      <c r="W158" s="17"/>
      <c r="X158" s="17" t="s">
        <v>1845</v>
      </c>
      <c r="Y158" s="17" t="s">
        <v>1846</v>
      </c>
      <c r="Z158" s="17" t="s">
        <v>423</v>
      </c>
      <c r="AA158" s="17" t="s">
        <v>1847</v>
      </c>
      <c r="AB158" s="17" t="s">
        <v>1848</v>
      </c>
      <c r="AC158" s="17"/>
      <c r="AD158" s="17" t="s">
        <v>426</v>
      </c>
      <c r="AE158" s="17" t="s">
        <v>403</v>
      </c>
      <c r="AF158" s="17" t="s">
        <v>427</v>
      </c>
      <c r="AG158" s="17" t="s">
        <v>1849</v>
      </c>
      <c r="AH158" s="17" t="s">
        <v>1029</v>
      </c>
      <c r="AI158" s="17"/>
      <c r="AJ158" s="17" t="s">
        <v>408</v>
      </c>
      <c r="AK158" s="17" t="s">
        <v>1030</v>
      </c>
      <c r="AL158" s="17" t="s">
        <v>431</v>
      </c>
      <c r="AM158" s="17" t="s">
        <v>1850</v>
      </c>
    </row>
    <row r="159" spans="1:39" ht="48">
      <c r="A159" s="18" t="s">
        <v>224</v>
      </c>
      <c r="B159" s="18" t="s">
        <v>383</v>
      </c>
      <c r="C159" s="18" t="s">
        <v>1839</v>
      </c>
      <c r="D159" s="18" t="s">
        <v>1840</v>
      </c>
      <c r="E159" s="18" t="s">
        <v>1840</v>
      </c>
      <c r="F159" s="18" t="s">
        <v>387</v>
      </c>
      <c r="G159" s="18">
        <v>92</v>
      </c>
      <c r="H159" s="18" t="s">
        <v>1851</v>
      </c>
      <c r="I159" s="18" t="s">
        <v>1852</v>
      </c>
      <c r="J159" s="18" t="s">
        <v>23</v>
      </c>
      <c r="K159" s="18" t="s">
        <v>1853</v>
      </c>
      <c r="L159" s="18" t="s">
        <v>391</v>
      </c>
      <c r="M159" s="18" t="s">
        <v>392</v>
      </c>
      <c r="N159" s="18" t="s">
        <v>571</v>
      </c>
      <c r="O159" s="18" t="s">
        <v>572</v>
      </c>
      <c r="P159" s="18" t="s">
        <v>573</v>
      </c>
      <c r="Q159" s="18" t="s">
        <v>396</v>
      </c>
      <c r="R159" s="18"/>
      <c r="S159" s="48" t="str">
        <f>IFERROR(T(INDEX('Prospectos Resumen'!$K$9:$K$297,MATCH(A159,'Prospectos Resumen'!$A$9:$A$297,0))),"")</f>
        <v/>
      </c>
      <c r="T159" s="18"/>
      <c r="U159" s="18"/>
      <c r="V159" s="18"/>
      <c r="W159" s="18"/>
      <c r="X159" s="18" t="s">
        <v>1854</v>
      </c>
      <c r="Y159" s="18" t="s">
        <v>1854</v>
      </c>
      <c r="Z159" s="18" t="s">
        <v>398</v>
      </c>
      <c r="AA159" s="18" t="s">
        <v>1855</v>
      </c>
      <c r="AB159" s="18" t="s">
        <v>1856</v>
      </c>
      <c r="AC159" s="18" t="s">
        <v>1857</v>
      </c>
      <c r="AD159" s="18" t="s">
        <v>1858</v>
      </c>
      <c r="AE159" s="18" t="s">
        <v>403</v>
      </c>
      <c r="AF159" s="18" t="s">
        <v>404</v>
      </c>
      <c r="AG159" s="18" t="s">
        <v>405</v>
      </c>
      <c r="AH159" s="18" t="s">
        <v>406</v>
      </c>
      <c r="AI159" s="18" t="s">
        <v>407</v>
      </c>
      <c r="AJ159" s="18" t="s">
        <v>408</v>
      </c>
      <c r="AK159" s="18" t="s">
        <v>409</v>
      </c>
      <c r="AL159" s="18" t="s">
        <v>410</v>
      </c>
      <c r="AM159" s="18" t="s">
        <v>411</v>
      </c>
    </row>
    <row r="160" spans="1:39" ht="48">
      <c r="A160" s="17" t="s">
        <v>225</v>
      </c>
      <c r="B160" s="17" t="s">
        <v>383</v>
      </c>
      <c r="C160" s="17" t="s">
        <v>1839</v>
      </c>
      <c r="D160" s="17" t="s">
        <v>1840</v>
      </c>
      <c r="E160" s="17" t="s">
        <v>1840</v>
      </c>
      <c r="F160" s="17" t="s">
        <v>387</v>
      </c>
      <c r="G160" s="17">
        <v>82</v>
      </c>
      <c r="H160" s="17" t="s">
        <v>1859</v>
      </c>
      <c r="I160" s="17" t="s">
        <v>1860</v>
      </c>
      <c r="J160" s="17" t="s">
        <v>23</v>
      </c>
      <c r="K160" s="17" t="s">
        <v>1861</v>
      </c>
      <c r="L160" s="17" t="s">
        <v>391</v>
      </c>
      <c r="M160" s="17" t="s">
        <v>392</v>
      </c>
      <c r="N160" s="17" t="s">
        <v>571</v>
      </c>
      <c r="O160" s="17" t="s">
        <v>572</v>
      </c>
      <c r="P160" s="17" t="s">
        <v>573</v>
      </c>
      <c r="Q160" s="17" t="s">
        <v>396</v>
      </c>
      <c r="R160" s="17"/>
      <c r="S160" s="48" t="str">
        <f>IFERROR(T(INDEX('Prospectos Resumen'!$K$9:$K$297,MATCH(A160,'Prospectos Resumen'!$A$9:$A$297,0))),"")</f>
        <v/>
      </c>
      <c r="T160" s="17"/>
      <c r="U160" s="17"/>
      <c r="V160" s="17"/>
      <c r="W160" s="17"/>
      <c r="X160" s="17" t="s">
        <v>1862</v>
      </c>
      <c r="Y160" s="17" t="s">
        <v>1862</v>
      </c>
      <c r="Z160" s="17" t="s">
        <v>398</v>
      </c>
      <c r="AA160" s="17" t="s">
        <v>1863</v>
      </c>
      <c r="AB160" s="17" t="s">
        <v>1864</v>
      </c>
      <c r="AC160" s="17" t="s">
        <v>1865</v>
      </c>
      <c r="AD160" s="17" t="s">
        <v>1866</v>
      </c>
      <c r="AE160" s="17" t="s">
        <v>566</v>
      </c>
      <c r="AF160" s="17" t="s">
        <v>404</v>
      </c>
      <c r="AG160" s="17" t="s">
        <v>405</v>
      </c>
      <c r="AH160" s="17" t="s">
        <v>406</v>
      </c>
      <c r="AI160" s="17" t="s">
        <v>407</v>
      </c>
      <c r="AJ160" s="17" t="s">
        <v>403</v>
      </c>
      <c r="AK160" s="17" t="s">
        <v>409</v>
      </c>
      <c r="AL160" s="17" t="s">
        <v>410</v>
      </c>
      <c r="AM160" s="17" t="s">
        <v>411</v>
      </c>
    </row>
    <row r="161" spans="1:39" ht="48">
      <c r="A161" s="18" t="s">
        <v>226</v>
      </c>
      <c r="B161" s="18" t="s">
        <v>383</v>
      </c>
      <c r="C161" s="18" t="s">
        <v>1839</v>
      </c>
      <c r="D161" s="18" t="s">
        <v>1840</v>
      </c>
      <c r="E161" s="18" t="s">
        <v>1840</v>
      </c>
      <c r="F161" s="18" t="s">
        <v>724</v>
      </c>
      <c r="G161" s="18">
        <v>75</v>
      </c>
      <c r="H161" s="18" t="s">
        <v>1867</v>
      </c>
      <c r="I161" s="18" t="s">
        <v>1868</v>
      </c>
      <c r="J161" s="18" t="s">
        <v>535</v>
      </c>
      <c r="K161" s="18" t="s">
        <v>1869</v>
      </c>
      <c r="L161" s="18" t="s">
        <v>391</v>
      </c>
      <c r="M161" s="18" t="s">
        <v>537</v>
      </c>
      <c r="N161" s="18" t="s">
        <v>469</v>
      </c>
      <c r="O161" s="18" t="s">
        <v>538</v>
      </c>
      <c r="P161" s="18" t="s">
        <v>1870</v>
      </c>
      <c r="Q161" s="18" t="s">
        <v>420</v>
      </c>
      <c r="R161" s="18"/>
      <c r="S161" s="48" t="str">
        <f>IFERROR(T(INDEX('Prospectos Resumen'!$K$9:$K$297,MATCH(A161,'Prospectos Resumen'!$A$9:$A$297,0))),"")</f>
        <v/>
      </c>
      <c r="T161" s="18"/>
      <c r="U161" s="18"/>
      <c r="V161" s="18"/>
      <c r="W161" s="18"/>
      <c r="X161" s="18" t="s">
        <v>1871</v>
      </c>
      <c r="Y161" s="18" t="s">
        <v>1871</v>
      </c>
      <c r="Z161" s="18" t="s">
        <v>423</v>
      </c>
      <c r="AA161" s="18" t="s">
        <v>1872</v>
      </c>
      <c r="AB161" s="18" t="s">
        <v>1873</v>
      </c>
      <c r="AC161" s="18"/>
      <c r="AD161" s="18" t="s">
        <v>426</v>
      </c>
      <c r="AE161" s="18" t="s">
        <v>403</v>
      </c>
      <c r="AF161" s="18" t="s">
        <v>427</v>
      </c>
      <c r="AG161" s="18" t="s">
        <v>544</v>
      </c>
      <c r="AH161" s="18" t="s">
        <v>1029</v>
      </c>
      <c r="AI161" s="18"/>
      <c r="AJ161" s="18" t="s">
        <v>403</v>
      </c>
      <c r="AK161" s="18" t="s">
        <v>1030</v>
      </c>
      <c r="AL161" s="18" t="s">
        <v>431</v>
      </c>
      <c r="AM161" s="18" t="s">
        <v>1874</v>
      </c>
    </row>
    <row r="162" spans="1:39" ht="48">
      <c r="A162" s="17" t="s">
        <v>227</v>
      </c>
      <c r="B162" s="17" t="s">
        <v>383</v>
      </c>
      <c r="C162" s="17" t="s">
        <v>1839</v>
      </c>
      <c r="D162" s="17" t="s">
        <v>1840</v>
      </c>
      <c r="E162" s="17" t="s">
        <v>1840</v>
      </c>
      <c r="F162" s="17" t="s">
        <v>724</v>
      </c>
      <c r="G162" s="17">
        <v>74</v>
      </c>
      <c r="H162" s="17" t="s">
        <v>1875</v>
      </c>
      <c r="I162" s="17" t="s">
        <v>1876</v>
      </c>
      <c r="J162" s="17" t="s">
        <v>23</v>
      </c>
      <c r="K162" s="17" t="s">
        <v>1877</v>
      </c>
      <c r="L162" s="17" t="s">
        <v>557</v>
      </c>
      <c r="M162" s="17" t="s">
        <v>392</v>
      </c>
      <c r="N162" s="17" t="s">
        <v>571</v>
      </c>
      <c r="O162" s="17" t="s">
        <v>572</v>
      </c>
      <c r="P162" s="17" t="s">
        <v>573</v>
      </c>
      <c r="Q162" s="17" t="s">
        <v>873</v>
      </c>
      <c r="R162" s="17"/>
      <c r="S162" s="48" t="str">
        <f>IFERROR(T(INDEX('Prospectos Resumen'!$K$9:$K$297,MATCH(A162,'Prospectos Resumen'!$A$9:$A$297,0))),"")</f>
        <v/>
      </c>
      <c r="T162" s="17"/>
      <c r="U162" s="17"/>
      <c r="V162" s="17"/>
      <c r="W162" s="17"/>
      <c r="X162" s="17" t="s">
        <v>1878</v>
      </c>
      <c r="Y162" s="17" t="s">
        <v>1878</v>
      </c>
      <c r="Z162" s="17" t="s">
        <v>695</v>
      </c>
      <c r="AA162" s="17" t="s">
        <v>1879</v>
      </c>
      <c r="AB162" s="17" t="s">
        <v>688</v>
      </c>
      <c r="AC162" s="17" t="s">
        <v>689</v>
      </c>
      <c r="AD162" s="17" t="s">
        <v>1880</v>
      </c>
      <c r="AE162" s="17" t="s">
        <v>566</v>
      </c>
      <c r="AF162" s="17" t="s">
        <v>404</v>
      </c>
      <c r="AG162" s="17" t="s">
        <v>405</v>
      </c>
      <c r="AH162" s="17" t="s">
        <v>406</v>
      </c>
      <c r="AI162" s="17" t="s">
        <v>407</v>
      </c>
      <c r="AJ162" s="17" t="s">
        <v>566</v>
      </c>
      <c r="AK162" s="17" t="s">
        <v>409</v>
      </c>
      <c r="AL162" s="17" t="s">
        <v>410</v>
      </c>
      <c r="AM162" s="17" t="s">
        <v>411</v>
      </c>
    </row>
    <row r="163" spans="1:39" ht="36">
      <c r="A163" s="18" t="s">
        <v>228</v>
      </c>
      <c r="B163" s="18" t="s">
        <v>383</v>
      </c>
      <c r="C163" s="18" t="s">
        <v>1839</v>
      </c>
      <c r="D163" s="18" t="s">
        <v>1840</v>
      </c>
      <c r="E163" s="18" t="s">
        <v>1840</v>
      </c>
      <c r="F163" s="18" t="s">
        <v>992</v>
      </c>
      <c r="G163" s="18">
        <v>30</v>
      </c>
      <c r="H163" s="18" t="s">
        <v>1881</v>
      </c>
      <c r="I163" s="18" t="s">
        <v>1882</v>
      </c>
      <c r="J163" s="18" t="s">
        <v>802</v>
      </c>
      <c r="K163" s="18" t="s">
        <v>613</v>
      </c>
      <c r="L163" s="18" t="s">
        <v>613</v>
      </c>
      <c r="M163" s="18" t="s">
        <v>455</v>
      </c>
      <c r="N163" s="18" t="s">
        <v>805</v>
      </c>
      <c r="O163" s="18" t="s">
        <v>457</v>
      </c>
      <c r="P163" s="18" t="s">
        <v>1883</v>
      </c>
      <c r="Q163" s="18" t="s">
        <v>420</v>
      </c>
      <c r="R163" s="18"/>
      <c r="S163" s="48" t="str">
        <f>IFERROR(T(INDEX('Prospectos Resumen'!$K$9:$K$297,MATCH(A163,'Prospectos Resumen'!$A$9:$A$297,0))),"")</f>
        <v/>
      </c>
      <c r="T163" s="18"/>
      <c r="U163" s="18"/>
      <c r="V163" s="18"/>
      <c r="W163" s="18"/>
      <c r="X163" s="18"/>
      <c r="Y163" s="18"/>
      <c r="Z163" s="18" t="s">
        <v>423</v>
      </c>
      <c r="AA163" s="18" t="s">
        <v>1884</v>
      </c>
      <c r="AB163" s="18" t="s">
        <v>1885</v>
      </c>
      <c r="AC163" s="18"/>
      <c r="AD163" s="18" t="s">
        <v>426</v>
      </c>
      <c r="AE163" s="18" t="s">
        <v>566</v>
      </c>
      <c r="AF163" s="18" t="s">
        <v>427</v>
      </c>
      <c r="AG163" s="18" t="s">
        <v>463</v>
      </c>
      <c r="AH163" s="18" t="s">
        <v>464</v>
      </c>
      <c r="AI163" s="18"/>
      <c r="AJ163" s="18" t="s">
        <v>997</v>
      </c>
      <c r="AK163" s="18"/>
      <c r="AL163" s="18" t="s">
        <v>431</v>
      </c>
      <c r="AM163" s="18" t="s">
        <v>1886</v>
      </c>
    </row>
    <row r="164" spans="1:39" ht="48">
      <c r="A164" s="17" t="s">
        <v>229</v>
      </c>
      <c r="B164" s="17" t="s">
        <v>383</v>
      </c>
      <c r="C164" s="17" t="s">
        <v>1839</v>
      </c>
      <c r="D164" s="17" t="s">
        <v>1887</v>
      </c>
      <c r="E164" s="17" t="s">
        <v>1887</v>
      </c>
      <c r="F164" s="17" t="s">
        <v>387</v>
      </c>
      <c r="G164" s="17">
        <v>85</v>
      </c>
      <c r="H164" s="17" t="s">
        <v>1888</v>
      </c>
      <c r="I164" s="17" t="s">
        <v>1889</v>
      </c>
      <c r="J164" s="17" t="s">
        <v>23</v>
      </c>
      <c r="K164" s="17" t="s">
        <v>1890</v>
      </c>
      <c r="L164" s="17" t="s">
        <v>391</v>
      </c>
      <c r="M164" s="17" t="s">
        <v>392</v>
      </c>
      <c r="N164" s="17" t="s">
        <v>571</v>
      </c>
      <c r="O164" s="17" t="s">
        <v>572</v>
      </c>
      <c r="P164" s="17" t="s">
        <v>573</v>
      </c>
      <c r="Q164" s="17" t="s">
        <v>396</v>
      </c>
      <c r="R164" s="17"/>
      <c r="S164" s="48" t="str">
        <f>IFERROR(T(INDEX('Prospectos Resumen'!$K$9:$K$297,MATCH(A164,'Prospectos Resumen'!$A$9:$A$297,0))),"")</f>
        <v/>
      </c>
      <c r="T164" s="17"/>
      <c r="U164" s="17"/>
      <c r="V164" s="17"/>
      <c r="W164" s="17"/>
      <c r="X164" s="17" t="s">
        <v>1891</v>
      </c>
      <c r="Y164" s="17" t="s">
        <v>1891</v>
      </c>
      <c r="Z164" s="17" t="s">
        <v>398</v>
      </c>
      <c r="AA164" s="17" t="s">
        <v>1892</v>
      </c>
      <c r="AB164" s="17" t="s">
        <v>1893</v>
      </c>
      <c r="AC164" s="17" t="s">
        <v>1894</v>
      </c>
      <c r="AD164" s="17" t="s">
        <v>1895</v>
      </c>
      <c r="AE164" s="17" t="s">
        <v>403</v>
      </c>
      <c r="AF164" s="17" t="s">
        <v>404</v>
      </c>
      <c r="AG164" s="17" t="s">
        <v>405</v>
      </c>
      <c r="AH164" s="17" t="s">
        <v>406</v>
      </c>
      <c r="AI164" s="17" t="s">
        <v>407</v>
      </c>
      <c r="AJ164" s="17" t="s">
        <v>403</v>
      </c>
      <c r="AK164" s="17" t="s">
        <v>409</v>
      </c>
      <c r="AL164" s="17" t="s">
        <v>410</v>
      </c>
      <c r="AM164" s="17" t="s">
        <v>411</v>
      </c>
    </row>
    <row r="165" spans="1:39" ht="36">
      <c r="A165" s="18" t="s">
        <v>230</v>
      </c>
      <c r="B165" s="18" t="s">
        <v>383</v>
      </c>
      <c r="C165" s="18" t="s">
        <v>1839</v>
      </c>
      <c r="D165" s="18" t="s">
        <v>1887</v>
      </c>
      <c r="E165" s="18" t="s">
        <v>1887</v>
      </c>
      <c r="F165" s="18" t="s">
        <v>724</v>
      </c>
      <c r="G165" s="18">
        <v>75</v>
      </c>
      <c r="H165" s="18" t="s">
        <v>1896</v>
      </c>
      <c r="I165" s="18" t="s">
        <v>1897</v>
      </c>
      <c r="J165" s="18" t="s">
        <v>453</v>
      </c>
      <c r="K165" s="18" t="s">
        <v>1898</v>
      </c>
      <c r="L165" s="18" t="s">
        <v>391</v>
      </c>
      <c r="M165" s="18" t="s">
        <v>455</v>
      </c>
      <c r="N165" s="18" t="s">
        <v>456</v>
      </c>
      <c r="O165" s="18" t="s">
        <v>457</v>
      </c>
      <c r="P165" s="18" t="s">
        <v>1899</v>
      </c>
      <c r="Q165" s="18" t="s">
        <v>420</v>
      </c>
      <c r="R165" s="18"/>
      <c r="S165" s="48" t="str">
        <f>IFERROR(T(INDEX('Prospectos Resumen'!$K$9:$K$297,MATCH(A165,'Prospectos Resumen'!$A$9:$A$297,0))),"")</f>
        <v/>
      </c>
      <c r="T165" s="18"/>
      <c r="U165" s="18"/>
      <c r="V165" s="18"/>
      <c r="W165" s="18"/>
      <c r="X165" s="18" t="s">
        <v>1900</v>
      </c>
      <c r="Y165" s="18" t="s">
        <v>1900</v>
      </c>
      <c r="Z165" s="18" t="s">
        <v>423</v>
      </c>
      <c r="AA165" s="18" t="s">
        <v>1901</v>
      </c>
      <c r="AB165" s="18" t="s">
        <v>1902</v>
      </c>
      <c r="AC165" s="18"/>
      <c r="AD165" s="18" t="s">
        <v>426</v>
      </c>
      <c r="AE165" s="18" t="s">
        <v>403</v>
      </c>
      <c r="AF165" s="18" t="s">
        <v>427</v>
      </c>
      <c r="AG165" s="18" t="s">
        <v>463</v>
      </c>
      <c r="AH165" s="18" t="s">
        <v>464</v>
      </c>
      <c r="AI165" s="18"/>
      <c r="AJ165" s="18" t="s">
        <v>403</v>
      </c>
      <c r="AK165" s="18"/>
      <c r="AL165" s="18" t="s">
        <v>431</v>
      </c>
      <c r="AM165" s="18" t="s">
        <v>432</v>
      </c>
    </row>
    <row r="166" spans="1:39" ht="36">
      <c r="A166" s="17" t="s">
        <v>231</v>
      </c>
      <c r="B166" s="17" t="s">
        <v>383</v>
      </c>
      <c r="C166" s="17" t="s">
        <v>1839</v>
      </c>
      <c r="D166" s="17" t="s">
        <v>1887</v>
      </c>
      <c r="E166" s="17" t="s">
        <v>1887</v>
      </c>
      <c r="F166" s="17" t="s">
        <v>992</v>
      </c>
      <c r="G166" s="17">
        <v>30</v>
      </c>
      <c r="H166" s="17" t="s">
        <v>1903</v>
      </c>
      <c r="I166" s="17" t="s">
        <v>1904</v>
      </c>
      <c r="J166" s="17" t="s">
        <v>414</v>
      </c>
      <c r="K166" s="17" t="s">
        <v>613</v>
      </c>
      <c r="L166" s="17" t="s">
        <v>613</v>
      </c>
      <c r="M166" s="17" t="s">
        <v>416</v>
      </c>
      <c r="N166" s="17" t="s">
        <v>417</v>
      </c>
      <c r="O166" s="17" t="s">
        <v>418</v>
      </c>
      <c r="P166" s="17" t="s">
        <v>1905</v>
      </c>
      <c r="Q166" s="17" t="s">
        <v>420</v>
      </c>
      <c r="R166" s="17"/>
      <c r="S166" s="48" t="str">
        <f>IFERROR(T(INDEX('Prospectos Resumen'!$K$9:$K$297,MATCH(A166,'Prospectos Resumen'!$A$9:$A$297,0))),"")</f>
        <v/>
      </c>
      <c r="T166" s="17"/>
      <c r="U166" s="17"/>
      <c r="V166" s="17"/>
      <c r="W166" s="17"/>
      <c r="X166" s="17"/>
      <c r="Y166" s="17"/>
      <c r="Z166" s="17" t="s">
        <v>423</v>
      </c>
      <c r="AA166" s="17" t="s">
        <v>1906</v>
      </c>
      <c r="AB166" s="17" t="s">
        <v>1907</v>
      </c>
      <c r="AC166" s="17"/>
      <c r="AD166" s="17" t="s">
        <v>426</v>
      </c>
      <c r="AE166" s="17" t="s">
        <v>566</v>
      </c>
      <c r="AF166" s="17" t="s">
        <v>427</v>
      </c>
      <c r="AG166" s="17" t="s">
        <v>428</v>
      </c>
      <c r="AH166" s="17" t="s">
        <v>429</v>
      </c>
      <c r="AI166" s="17"/>
      <c r="AJ166" s="17" t="s">
        <v>997</v>
      </c>
      <c r="AK166" s="17" t="s">
        <v>430</v>
      </c>
      <c r="AL166" s="17" t="s">
        <v>431</v>
      </c>
      <c r="AM166" s="17" t="s">
        <v>432</v>
      </c>
    </row>
    <row r="167" spans="1:39" ht="48">
      <c r="A167" s="7" t="s">
        <v>232</v>
      </c>
      <c r="B167" s="7" t="s">
        <v>383</v>
      </c>
      <c r="C167" s="7" t="s">
        <v>1839</v>
      </c>
      <c r="D167" s="7" t="s">
        <v>1908</v>
      </c>
      <c r="E167" s="7" t="s">
        <v>1908</v>
      </c>
      <c r="F167" s="7" t="s">
        <v>724</v>
      </c>
      <c r="G167" s="7">
        <v>75</v>
      </c>
      <c r="H167" s="7" t="s">
        <v>1909</v>
      </c>
      <c r="I167" s="7" t="s">
        <v>1910</v>
      </c>
      <c r="J167" s="7" t="s">
        <v>535</v>
      </c>
      <c r="K167" s="7" t="s">
        <v>1911</v>
      </c>
      <c r="L167" s="7" t="s">
        <v>391</v>
      </c>
      <c r="M167" s="7" t="s">
        <v>537</v>
      </c>
      <c r="N167" s="7" t="s">
        <v>469</v>
      </c>
      <c r="O167" s="7" t="s">
        <v>538</v>
      </c>
      <c r="P167" s="7" t="s">
        <v>1912</v>
      </c>
      <c r="Q167" s="7" t="s">
        <v>420</v>
      </c>
      <c r="R167" s="7"/>
      <c r="S167" s="49" t="str">
        <f>IFERROR(T(INDEX('Prospectos Resumen'!$K$9:$K$297,MATCH(A167,'Prospectos Resumen'!$A$9:$A$297,0))),"")</f>
        <v/>
      </c>
      <c r="T167" s="7"/>
      <c r="U167" s="7"/>
      <c r="V167" s="7"/>
      <c r="W167" s="7"/>
      <c r="X167" s="7" t="s">
        <v>1913</v>
      </c>
      <c r="Y167" s="7" t="s">
        <v>1914</v>
      </c>
      <c r="Z167" s="7" t="s">
        <v>423</v>
      </c>
      <c r="AA167" s="7" t="s">
        <v>1915</v>
      </c>
      <c r="AB167" s="7" t="s">
        <v>1916</v>
      </c>
      <c r="AC167" s="7"/>
      <c r="AD167" s="7" t="s">
        <v>426</v>
      </c>
      <c r="AE167" s="7" t="s">
        <v>403</v>
      </c>
      <c r="AF167" s="7" t="s">
        <v>427</v>
      </c>
      <c r="AG167" s="7" t="s">
        <v>544</v>
      </c>
      <c r="AH167" s="7" t="s">
        <v>1029</v>
      </c>
      <c r="AI167" s="7"/>
      <c r="AJ167" s="7" t="s">
        <v>403</v>
      </c>
      <c r="AK167" s="7" t="s">
        <v>1030</v>
      </c>
      <c r="AL167" s="7" t="s">
        <v>431</v>
      </c>
      <c r="AM167" s="7" t="s">
        <v>432</v>
      </c>
    </row>
    <row r="168" spans="1:39" ht="72">
      <c r="A168" s="17" t="s">
        <v>233</v>
      </c>
      <c r="B168" s="17" t="s">
        <v>383</v>
      </c>
      <c r="C168" s="17" t="s">
        <v>1839</v>
      </c>
      <c r="D168" s="17" t="s">
        <v>1917</v>
      </c>
      <c r="E168" s="17" t="s">
        <v>1917</v>
      </c>
      <c r="F168" s="17" t="s">
        <v>387</v>
      </c>
      <c r="G168" s="17">
        <v>100</v>
      </c>
      <c r="H168" s="17" t="s">
        <v>1918</v>
      </c>
      <c r="I168" s="17" t="s">
        <v>1919</v>
      </c>
      <c r="J168" s="17" t="s">
        <v>535</v>
      </c>
      <c r="K168" s="17" t="s">
        <v>1920</v>
      </c>
      <c r="L168" s="17" t="s">
        <v>391</v>
      </c>
      <c r="M168" s="17" t="s">
        <v>548</v>
      </c>
      <c r="N168" s="17" t="s">
        <v>469</v>
      </c>
      <c r="O168" s="17" t="s">
        <v>549</v>
      </c>
      <c r="P168" s="17" t="s">
        <v>1921</v>
      </c>
      <c r="Q168" s="17" t="s">
        <v>420</v>
      </c>
      <c r="R168" s="17"/>
      <c r="S168" s="48" t="str">
        <f>IFERROR(T(INDEX('Prospectos Resumen'!$K$9:$K$297,MATCH(A168,'Prospectos Resumen'!$A$9:$A$297,0))),"")</f>
        <v/>
      </c>
      <c r="T168" s="17"/>
      <c r="U168" s="17"/>
      <c r="V168" s="17"/>
      <c r="W168" s="17"/>
      <c r="X168" s="17" t="s">
        <v>1922</v>
      </c>
      <c r="Y168" s="17" t="s">
        <v>1922</v>
      </c>
      <c r="Z168" s="17" t="s">
        <v>423</v>
      </c>
      <c r="AA168" s="17" t="s">
        <v>1923</v>
      </c>
      <c r="AB168" s="17" t="s">
        <v>1924</v>
      </c>
      <c r="AC168" s="17"/>
      <c r="AD168" s="17" t="s">
        <v>426</v>
      </c>
      <c r="AE168" s="17" t="s">
        <v>403</v>
      </c>
      <c r="AF168" s="17" t="s">
        <v>427</v>
      </c>
      <c r="AG168" s="17" t="s">
        <v>1849</v>
      </c>
      <c r="AH168" s="17" t="s">
        <v>1029</v>
      </c>
      <c r="AI168" s="17"/>
      <c r="AJ168" s="17" t="s">
        <v>408</v>
      </c>
      <c r="AK168" s="17" t="s">
        <v>1030</v>
      </c>
      <c r="AL168" s="17" t="s">
        <v>431</v>
      </c>
      <c r="AM168" s="17" t="s">
        <v>432</v>
      </c>
    </row>
    <row r="169" spans="1:39" ht="48">
      <c r="A169" s="7" t="s">
        <v>234</v>
      </c>
      <c r="B169" s="7" t="s">
        <v>383</v>
      </c>
      <c r="C169" s="7" t="s">
        <v>1839</v>
      </c>
      <c r="D169" s="7" t="s">
        <v>1917</v>
      </c>
      <c r="E169" s="7" t="s">
        <v>1917</v>
      </c>
      <c r="F169" s="7" t="s">
        <v>387</v>
      </c>
      <c r="G169" s="7">
        <v>85</v>
      </c>
      <c r="H169" s="7" t="s">
        <v>1925</v>
      </c>
      <c r="I169" s="7" t="s">
        <v>1926</v>
      </c>
      <c r="J169" s="7" t="s">
        <v>23</v>
      </c>
      <c r="K169" s="7" t="s">
        <v>1927</v>
      </c>
      <c r="L169" s="7" t="s">
        <v>391</v>
      </c>
      <c r="M169" s="7" t="s">
        <v>392</v>
      </c>
      <c r="N169" s="7" t="s">
        <v>571</v>
      </c>
      <c r="O169" s="7" t="s">
        <v>572</v>
      </c>
      <c r="P169" s="7" t="s">
        <v>573</v>
      </c>
      <c r="Q169" s="7" t="s">
        <v>396</v>
      </c>
      <c r="R169" s="7"/>
      <c r="S169" s="49" t="str">
        <f>IFERROR(T(INDEX('Prospectos Resumen'!$K$9:$K$297,MATCH(A169,'Prospectos Resumen'!$A$9:$A$297,0))),"")</f>
        <v/>
      </c>
      <c r="T169" s="7"/>
      <c r="U169" s="7"/>
      <c r="V169" s="7"/>
      <c r="W169" s="7"/>
      <c r="X169" s="7" t="s">
        <v>1928</v>
      </c>
      <c r="Y169" s="7" t="s">
        <v>1928</v>
      </c>
      <c r="Z169" s="7" t="s">
        <v>398</v>
      </c>
      <c r="AA169" s="7" t="s">
        <v>1929</v>
      </c>
      <c r="AB169" s="7" t="s">
        <v>1930</v>
      </c>
      <c r="AC169" s="7" t="s">
        <v>1929</v>
      </c>
      <c r="AD169" s="7" t="s">
        <v>1931</v>
      </c>
      <c r="AE169" s="7" t="s">
        <v>403</v>
      </c>
      <c r="AF169" s="7" t="s">
        <v>404</v>
      </c>
      <c r="AG169" s="7" t="s">
        <v>405</v>
      </c>
      <c r="AH169" s="7" t="s">
        <v>406</v>
      </c>
      <c r="AI169" s="7" t="s">
        <v>407</v>
      </c>
      <c r="AJ169" s="7" t="s">
        <v>403</v>
      </c>
      <c r="AK169" s="7" t="s">
        <v>409</v>
      </c>
      <c r="AL169" s="7" t="s">
        <v>410</v>
      </c>
      <c r="AM169" s="7" t="s">
        <v>411</v>
      </c>
    </row>
    <row r="170" spans="1:39" ht="48">
      <c r="A170" s="17" t="s">
        <v>235</v>
      </c>
      <c r="B170" s="17" t="s">
        <v>383</v>
      </c>
      <c r="C170" s="17" t="s">
        <v>1839</v>
      </c>
      <c r="D170" s="17" t="s">
        <v>1917</v>
      </c>
      <c r="E170" s="17" t="s">
        <v>1917</v>
      </c>
      <c r="F170" s="17" t="s">
        <v>724</v>
      </c>
      <c r="G170" s="17">
        <v>75</v>
      </c>
      <c r="H170" s="17" t="s">
        <v>1932</v>
      </c>
      <c r="I170" s="17" t="s">
        <v>1933</v>
      </c>
      <c r="J170" s="17" t="s">
        <v>785</v>
      </c>
      <c r="K170" s="17" t="s">
        <v>1934</v>
      </c>
      <c r="L170" s="17" t="s">
        <v>391</v>
      </c>
      <c r="M170" s="17" t="s">
        <v>537</v>
      </c>
      <c r="N170" s="17" t="s">
        <v>805</v>
      </c>
      <c r="O170" s="17" t="s">
        <v>538</v>
      </c>
      <c r="P170" s="17" t="s">
        <v>1935</v>
      </c>
      <c r="Q170" s="17" t="s">
        <v>420</v>
      </c>
      <c r="R170" s="17"/>
      <c r="S170" s="48" t="str">
        <f>IFERROR(T(INDEX('Prospectos Resumen'!$K$9:$K$297,MATCH(A170,'Prospectos Resumen'!$A$9:$A$297,0))),"")</f>
        <v/>
      </c>
      <c r="T170" s="17"/>
      <c r="U170" s="17"/>
      <c r="V170" s="17"/>
      <c r="W170" s="17"/>
      <c r="X170" s="17" t="s">
        <v>1936</v>
      </c>
      <c r="Y170" s="17" t="s">
        <v>1937</v>
      </c>
      <c r="Z170" s="17" t="s">
        <v>423</v>
      </c>
      <c r="AA170" s="17" t="s">
        <v>1938</v>
      </c>
      <c r="AB170" s="17" t="s">
        <v>1939</v>
      </c>
      <c r="AC170" s="17"/>
      <c r="AD170" s="17" t="s">
        <v>426</v>
      </c>
      <c r="AE170" s="17" t="s">
        <v>403</v>
      </c>
      <c r="AF170" s="17" t="s">
        <v>427</v>
      </c>
      <c r="AG170" s="17" t="s">
        <v>544</v>
      </c>
      <c r="AH170" s="17" t="s">
        <v>1039</v>
      </c>
      <c r="AI170" s="17"/>
      <c r="AJ170" s="17" t="s">
        <v>403</v>
      </c>
      <c r="AK170" s="17" t="s">
        <v>480</v>
      </c>
      <c r="AL170" s="17" t="s">
        <v>431</v>
      </c>
      <c r="AM170" s="17" t="s">
        <v>432</v>
      </c>
    </row>
    <row r="171" spans="1:39" ht="48">
      <c r="A171" s="18" t="s">
        <v>236</v>
      </c>
      <c r="B171" s="18" t="s">
        <v>383</v>
      </c>
      <c r="C171" s="18" t="s">
        <v>1839</v>
      </c>
      <c r="D171" s="18" t="s">
        <v>1917</v>
      </c>
      <c r="E171" s="18" t="s">
        <v>1917</v>
      </c>
      <c r="F171" s="18" t="s">
        <v>724</v>
      </c>
      <c r="G171" s="18">
        <v>68</v>
      </c>
      <c r="H171" s="18" t="s">
        <v>1940</v>
      </c>
      <c r="I171" s="18" t="s">
        <v>774</v>
      </c>
      <c r="J171" s="18" t="s">
        <v>23</v>
      </c>
      <c r="K171" s="18" t="s">
        <v>613</v>
      </c>
      <c r="L171" s="18" t="s">
        <v>613</v>
      </c>
      <c r="M171" s="18" t="s">
        <v>392</v>
      </c>
      <c r="N171" s="18" t="s">
        <v>571</v>
      </c>
      <c r="O171" s="18" t="s">
        <v>572</v>
      </c>
      <c r="P171" s="18" t="s">
        <v>573</v>
      </c>
      <c r="Q171" s="18" t="s">
        <v>873</v>
      </c>
      <c r="R171" s="18"/>
      <c r="S171" s="48" t="str">
        <f>IFERROR(T(INDEX('Prospectos Resumen'!$K$9:$K$297,MATCH(A171,'Prospectos Resumen'!$A$9:$A$297,0))),"")</f>
        <v/>
      </c>
      <c r="T171" s="18"/>
      <c r="U171" s="18"/>
      <c r="V171" s="18"/>
      <c r="W171" s="18"/>
      <c r="X171" s="18"/>
      <c r="Y171" s="18"/>
      <c r="Z171" s="18" t="s">
        <v>1941</v>
      </c>
      <c r="AA171" s="18" t="s">
        <v>1942</v>
      </c>
      <c r="AB171" s="18" t="s">
        <v>1943</v>
      </c>
      <c r="AC171" s="18" t="s">
        <v>1942</v>
      </c>
      <c r="AD171" s="18" t="s">
        <v>1944</v>
      </c>
      <c r="AE171" s="18" t="s">
        <v>566</v>
      </c>
      <c r="AF171" s="18" t="s">
        <v>404</v>
      </c>
      <c r="AG171" s="18" t="s">
        <v>405</v>
      </c>
      <c r="AH171" s="18" t="s">
        <v>406</v>
      </c>
      <c r="AI171" s="18" t="s">
        <v>407</v>
      </c>
      <c r="AJ171" s="18" t="s">
        <v>566</v>
      </c>
      <c r="AK171" s="18" t="s">
        <v>409</v>
      </c>
      <c r="AL171" s="18" t="s">
        <v>410</v>
      </c>
      <c r="AM171" s="18" t="s">
        <v>411</v>
      </c>
    </row>
    <row r="172" spans="1:39" ht="48">
      <c r="A172" s="17" t="s">
        <v>237</v>
      </c>
      <c r="B172" s="17" t="s">
        <v>383</v>
      </c>
      <c r="C172" s="17" t="s">
        <v>1839</v>
      </c>
      <c r="D172" s="17" t="s">
        <v>1945</v>
      </c>
      <c r="E172" s="17" t="s">
        <v>1946</v>
      </c>
      <c r="F172" s="17" t="s">
        <v>387</v>
      </c>
      <c r="G172" s="17">
        <v>95</v>
      </c>
      <c r="H172" s="17" t="s">
        <v>1947</v>
      </c>
      <c r="I172" s="17" t="s">
        <v>1948</v>
      </c>
      <c r="J172" s="17" t="s">
        <v>23</v>
      </c>
      <c r="K172" s="17" t="s">
        <v>1949</v>
      </c>
      <c r="L172" s="17" t="s">
        <v>391</v>
      </c>
      <c r="M172" s="17" t="s">
        <v>499</v>
      </c>
      <c r="N172" s="17" t="s">
        <v>500</v>
      </c>
      <c r="O172" s="17" t="s">
        <v>501</v>
      </c>
      <c r="P172" s="17" t="s">
        <v>502</v>
      </c>
      <c r="Q172" s="17" t="s">
        <v>503</v>
      </c>
      <c r="R172" s="17"/>
      <c r="S172" s="48" t="str">
        <f>IFERROR(T(INDEX('Prospectos Resumen'!$K$9:$K$297,MATCH(A172,'Prospectos Resumen'!$A$9:$A$297,0))),"")</f>
        <v/>
      </c>
      <c r="T172" s="17"/>
      <c r="U172" s="17"/>
      <c r="V172" s="17"/>
      <c r="W172" s="17"/>
      <c r="X172" s="17" t="s">
        <v>1950</v>
      </c>
      <c r="Y172" s="17" t="s">
        <v>1950</v>
      </c>
      <c r="Z172" s="17" t="s">
        <v>505</v>
      </c>
      <c r="AA172" s="17" t="s">
        <v>1951</v>
      </c>
      <c r="AB172" s="17" t="s">
        <v>1952</v>
      </c>
      <c r="AC172" s="17" t="s">
        <v>1953</v>
      </c>
      <c r="AD172" s="17" t="s">
        <v>1954</v>
      </c>
      <c r="AE172" s="17" t="s">
        <v>403</v>
      </c>
      <c r="AF172" s="17" t="s">
        <v>510</v>
      </c>
      <c r="AG172" s="17" t="s">
        <v>511</v>
      </c>
      <c r="AH172" s="17" t="s">
        <v>512</v>
      </c>
      <c r="AI172" s="17" t="s">
        <v>60</v>
      </c>
      <c r="AJ172" s="17" t="s">
        <v>403</v>
      </c>
      <c r="AK172" s="17" t="s">
        <v>513</v>
      </c>
      <c r="AL172" s="17" t="s">
        <v>510</v>
      </c>
      <c r="AM172" s="17" t="s">
        <v>514</v>
      </c>
    </row>
    <row r="173" spans="1:39" ht="24">
      <c r="A173" s="18" t="s">
        <v>238</v>
      </c>
      <c r="B173" s="18" t="s">
        <v>383</v>
      </c>
      <c r="C173" s="18" t="s">
        <v>1839</v>
      </c>
      <c r="D173" s="18" t="s">
        <v>1955</v>
      </c>
      <c r="E173" s="18" t="s">
        <v>1955</v>
      </c>
      <c r="F173" s="18" t="s">
        <v>724</v>
      </c>
      <c r="G173" s="18">
        <v>50</v>
      </c>
      <c r="H173" s="18" t="s">
        <v>1956</v>
      </c>
      <c r="I173" s="18" t="s">
        <v>1957</v>
      </c>
      <c r="J173" s="18" t="s">
        <v>1521</v>
      </c>
      <c r="K173" s="18" t="s">
        <v>1958</v>
      </c>
      <c r="L173" s="18" t="s">
        <v>613</v>
      </c>
      <c r="M173" s="18" t="s">
        <v>455</v>
      </c>
      <c r="N173" s="18" t="s">
        <v>1523</v>
      </c>
      <c r="O173" s="18" t="s">
        <v>457</v>
      </c>
      <c r="P173" s="18" t="s">
        <v>1959</v>
      </c>
      <c r="Q173" s="18" t="s">
        <v>420</v>
      </c>
      <c r="R173" s="18"/>
      <c r="S173" s="48" t="str">
        <f>IFERROR(T(INDEX('Prospectos Resumen'!$K$9:$K$297,MATCH(A173,'Prospectos Resumen'!$A$9:$A$297,0))),"")</f>
        <v/>
      </c>
      <c r="T173" s="18"/>
      <c r="U173" s="18"/>
      <c r="V173" s="18"/>
      <c r="W173" s="18"/>
      <c r="X173" s="18"/>
      <c r="Y173" s="18"/>
      <c r="Z173" s="18" t="s">
        <v>423</v>
      </c>
      <c r="AA173" s="18" t="s">
        <v>1960</v>
      </c>
      <c r="AB173" s="18" t="s">
        <v>1961</v>
      </c>
      <c r="AC173" s="18"/>
      <c r="AD173" s="18" t="s">
        <v>426</v>
      </c>
      <c r="AE173" s="18" t="s">
        <v>566</v>
      </c>
      <c r="AF173" s="18" t="s">
        <v>427</v>
      </c>
      <c r="AG173" s="18" t="s">
        <v>428</v>
      </c>
      <c r="AH173" s="18" t="s">
        <v>464</v>
      </c>
      <c r="AI173" s="18"/>
      <c r="AJ173" s="18" t="s">
        <v>566</v>
      </c>
      <c r="AK173" s="18"/>
      <c r="AL173" s="18" t="s">
        <v>431</v>
      </c>
      <c r="AM173" s="18" t="s">
        <v>432</v>
      </c>
    </row>
    <row r="174" spans="1:39" ht="36">
      <c r="A174" s="17" t="s">
        <v>239</v>
      </c>
      <c r="B174" s="17" t="s">
        <v>383</v>
      </c>
      <c r="C174" s="17" t="s">
        <v>1839</v>
      </c>
      <c r="D174" s="17" t="s">
        <v>1962</v>
      </c>
      <c r="E174" s="17" t="s">
        <v>1962</v>
      </c>
      <c r="F174" s="17" t="s">
        <v>387</v>
      </c>
      <c r="G174" s="17">
        <v>100</v>
      </c>
      <c r="H174" s="17" t="s">
        <v>1963</v>
      </c>
      <c r="I174" s="17" t="s">
        <v>1964</v>
      </c>
      <c r="J174" s="17" t="s">
        <v>484</v>
      </c>
      <c r="K174" s="17" t="s">
        <v>1965</v>
      </c>
      <c r="L174" s="17" t="s">
        <v>391</v>
      </c>
      <c r="M174" s="17" t="s">
        <v>1397</v>
      </c>
      <c r="N174" s="17" t="s">
        <v>487</v>
      </c>
      <c r="O174" s="17" t="s">
        <v>1398</v>
      </c>
      <c r="P174" s="17" t="s">
        <v>1966</v>
      </c>
      <c r="Q174" s="17" t="s">
        <v>420</v>
      </c>
      <c r="R174" s="17"/>
      <c r="S174" s="48" t="str">
        <f>IFERROR(T(INDEX('Prospectos Resumen'!$K$9:$K$297,MATCH(A174,'Prospectos Resumen'!$A$9:$A$297,0))),"")</f>
        <v/>
      </c>
      <c r="T174" s="17"/>
      <c r="U174" s="17"/>
      <c r="V174" s="17"/>
      <c r="W174" s="17"/>
      <c r="X174" s="17" t="s">
        <v>1967</v>
      </c>
      <c r="Y174" s="17" t="s">
        <v>1967</v>
      </c>
      <c r="Z174" s="17" t="s">
        <v>423</v>
      </c>
      <c r="AA174" s="17" t="s">
        <v>1968</v>
      </c>
      <c r="AB174" s="17" t="s">
        <v>1969</v>
      </c>
      <c r="AC174" s="17"/>
      <c r="AD174" s="17" t="s">
        <v>426</v>
      </c>
      <c r="AE174" s="17" t="s">
        <v>403</v>
      </c>
      <c r="AF174" s="17" t="s">
        <v>427</v>
      </c>
      <c r="AG174" s="17" t="s">
        <v>428</v>
      </c>
      <c r="AH174" s="17" t="s">
        <v>464</v>
      </c>
      <c r="AI174" s="17"/>
      <c r="AJ174" s="17" t="s">
        <v>408</v>
      </c>
      <c r="AK174" s="17"/>
      <c r="AL174" s="17" t="s">
        <v>431</v>
      </c>
      <c r="AM174" s="17" t="s">
        <v>432</v>
      </c>
    </row>
    <row r="175" spans="1:39" ht="48">
      <c r="A175" s="18" t="s">
        <v>240</v>
      </c>
      <c r="B175" s="18" t="s">
        <v>383</v>
      </c>
      <c r="C175" s="18" t="s">
        <v>1839</v>
      </c>
      <c r="D175" s="18" t="s">
        <v>1970</v>
      </c>
      <c r="E175" s="18" t="s">
        <v>1962</v>
      </c>
      <c r="F175" s="18" t="s">
        <v>387</v>
      </c>
      <c r="G175" s="18">
        <v>100</v>
      </c>
      <c r="H175" s="18" t="s">
        <v>1971</v>
      </c>
      <c r="I175" s="18" t="s">
        <v>1972</v>
      </c>
      <c r="J175" s="18" t="s">
        <v>23</v>
      </c>
      <c r="K175" s="18" t="s">
        <v>1973</v>
      </c>
      <c r="L175" s="18" t="s">
        <v>557</v>
      </c>
      <c r="M175" s="18" t="s">
        <v>499</v>
      </c>
      <c r="N175" s="18" t="s">
        <v>500</v>
      </c>
      <c r="O175" s="18" t="s">
        <v>501</v>
      </c>
      <c r="P175" s="18" t="s">
        <v>502</v>
      </c>
      <c r="Q175" s="18" t="s">
        <v>503</v>
      </c>
      <c r="R175" s="18"/>
      <c r="S175" s="48" t="str">
        <f>IFERROR(T(INDEX('Prospectos Resumen'!$K$9:$K$297,MATCH(A175,'Prospectos Resumen'!$A$9:$A$297,0))),"")</f>
        <v/>
      </c>
      <c r="T175" s="18"/>
      <c r="U175" s="18"/>
      <c r="V175" s="18"/>
      <c r="W175" s="18"/>
      <c r="X175" s="18" t="s">
        <v>1974</v>
      </c>
      <c r="Y175" s="18" t="s">
        <v>1974</v>
      </c>
      <c r="Z175" s="18" t="s">
        <v>1975</v>
      </c>
      <c r="AA175" s="18" t="s">
        <v>1976</v>
      </c>
      <c r="AB175" s="18" t="s">
        <v>1977</v>
      </c>
      <c r="AC175" s="18" t="s">
        <v>1978</v>
      </c>
      <c r="AD175" s="18" t="s">
        <v>1979</v>
      </c>
      <c r="AE175" s="18" t="s">
        <v>403</v>
      </c>
      <c r="AF175" s="18" t="s">
        <v>510</v>
      </c>
      <c r="AG175" s="18" t="s">
        <v>511</v>
      </c>
      <c r="AH175" s="18" t="s">
        <v>512</v>
      </c>
      <c r="AI175" s="18" t="s">
        <v>407</v>
      </c>
      <c r="AJ175" s="18" t="s">
        <v>408</v>
      </c>
      <c r="AK175" s="18" t="s">
        <v>513</v>
      </c>
      <c r="AL175" s="18" t="s">
        <v>510</v>
      </c>
      <c r="AM175" s="18" t="s">
        <v>514</v>
      </c>
    </row>
    <row r="176" spans="1:39" ht="36">
      <c r="A176" s="17" t="s">
        <v>241</v>
      </c>
      <c r="B176" s="17" t="s">
        <v>383</v>
      </c>
      <c r="C176" s="17" t="s">
        <v>1839</v>
      </c>
      <c r="D176" s="17" t="s">
        <v>1962</v>
      </c>
      <c r="E176" s="17" t="s">
        <v>1962</v>
      </c>
      <c r="F176" s="17" t="s">
        <v>387</v>
      </c>
      <c r="G176" s="17">
        <v>100</v>
      </c>
      <c r="H176" s="17" t="s">
        <v>1980</v>
      </c>
      <c r="I176" s="17" t="s">
        <v>1981</v>
      </c>
      <c r="J176" s="17" t="s">
        <v>414</v>
      </c>
      <c r="K176" s="17" t="s">
        <v>1982</v>
      </c>
      <c r="L176" s="17" t="s">
        <v>391</v>
      </c>
      <c r="M176" s="17" t="s">
        <v>1397</v>
      </c>
      <c r="N176" s="17" t="s">
        <v>417</v>
      </c>
      <c r="O176" s="17" t="s">
        <v>1398</v>
      </c>
      <c r="P176" s="17" t="s">
        <v>1983</v>
      </c>
      <c r="Q176" s="17" t="s">
        <v>420</v>
      </c>
      <c r="R176" s="17"/>
      <c r="S176" s="48" t="str">
        <f>IFERROR(T(INDEX('Prospectos Resumen'!$K$9:$K$297,MATCH(A176,'Prospectos Resumen'!$A$9:$A$297,0))),"")</f>
        <v/>
      </c>
      <c r="T176" s="17"/>
      <c r="U176" s="17"/>
      <c r="V176" s="17"/>
      <c r="W176" s="17"/>
      <c r="X176" s="17" t="s">
        <v>1984</v>
      </c>
      <c r="Y176" s="17" t="s">
        <v>1984</v>
      </c>
      <c r="Z176" s="17" t="s">
        <v>423</v>
      </c>
      <c r="AA176" s="17" t="s">
        <v>1985</v>
      </c>
      <c r="AB176" s="17" t="s">
        <v>1986</v>
      </c>
      <c r="AC176" s="17"/>
      <c r="AD176" s="17" t="s">
        <v>426</v>
      </c>
      <c r="AE176" s="17" t="s">
        <v>403</v>
      </c>
      <c r="AF176" s="17" t="s">
        <v>427</v>
      </c>
      <c r="AG176" s="17" t="s">
        <v>428</v>
      </c>
      <c r="AH176" s="17" t="s">
        <v>429</v>
      </c>
      <c r="AI176" s="17"/>
      <c r="AJ176" s="17" t="s">
        <v>408</v>
      </c>
      <c r="AK176" s="17" t="s">
        <v>430</v>
      </c>
      <c r="AL176" s="17" t="s">
        <v>431</v>
      </c>
      <c r="AM176" s="17" t="s">
        <v>432</v>
      </c>
    </row>
    <row r="177" spans="1:39" ht="24">
      <c r="A177" s="6" t="s">
        <v>242</v>
      </c>
      <c r="B177" s="6" t="s">
        <v>383</v>
      </c>
      <c r="C177" s="6" t="s">
        <v>1839</v>
      </c>
      <c r="D177" s="6" t="s">
        <v>1962</v>
      </c>
      <c r="E177" s="6" t="s">
        <v>1962</v>
      </c>
      <c r="F177" s="6" t="s">
        <v>387</v>
      </c>
      <c r="G177" s="6">
        <v>100</v>
      </c>
      <c r="H177" s="6" t="s">
        <v>1987</v>
      </c>
      <c r="I177" s="6" t="s">
        <v>1988</v>
      </c>
      <c r="J177" s="6" t="s">
        <v>655</v>
      </c>
      <c r="K177" s="6" t="s">
        <v>1989</v>
      </c>
      <c r="L177" s="6" t="s">
        <v>391</v>
      </c>
      <c r="M177" s="6" t="s">
        <v>548</v>
      </c>
      <c r="N177" s="6" t="s">
        <v>657</v>
      </c>
      <c r="O177" s="6" t="s">
        <v>549</v>
      </c>
      <c r="P177" s="6" t="s">
        <v>1990</v>
      </c>
      <c r="Q177" s="6" t="s">
        <v>420</v>
      </c>
      <c r="R177" s="6"/>
      <c r="S177" s="50" t="str">
        <f>IFERROR(T(INDEX('Prospectos Resumen'!$K$9:$K$297,MATCH(A177,'Prospectos Resumen'!$A$9:$A$297,0))),"")</f>
        <v/>
      </c>
      <c r="T177" s="6"/>
      <c r="U177" s="6"/>
      <c r="V177" s="6"/>
      <c r="W177" s="6"/>
      <c r="X177" s="6" t="s">
        <v>1991</v>
      </c>
      <c r="Y177" s="6" t="s">
        <v>1991</v>
      </c>
      <c r="Z177" s="6" t="s">
        <v>423</v>
      </c>
      <c r="AA177" s="6" t="s">
        <v>1992</v>
      </c>
      <c r="AB177" s="6" t="s">
        <v>1993</v>
      </c>
      <c r="AC177" s="6"/>
      <c r="AD177" s="6" t="s">
        <v>426</v>
      </c>
      <c r="AE177" s="6" t="s">
        <v>403</v>
      </c>
      <c r="AF177" s="6" t="s">
        <v>427</v>
      </c>
      <c r="AG177" s="6" t="s">
        <v>428</v>
      </c>
      <c r="AH177" s="6" t="s">
        <v>464</v>
      </c>
      <c r="AI177" s="6"/>
      <c r="AJ177" s="6" t="s">
        <v>408</v>
      </c>
      <c r="AK177" s="6"/>
      <c r="AL177" s="6" t="s">
        <v>431</v>
      </c>
      <c r="AM177" s="6" t="s">
        <v>432</v>
      </c>
    </row>
    <row r="178" spans="1:39" ht="48">
      <c r="A178" s="17" t="s">
        <v>243</v>
      </c>
      <c r="B178" s="17" t="s">
        <v>383</v>
      </c>
      <c r="C178" s="17" t="s">
        <v>1839</v>
      </c>
      <c r="D178" s="17" t="s">
        <v>1962</v>
      </c>
      <c r="E178" s="17" t="s">
        <v>1962</v>
      </c>
      <c r="F178" s="17" t="s">
        <v>387</v>
      </c>
      <c r="G178" s="17">
        <v>100</v>
      </c>
      <c r="H178" s="17" t="s">
        <v>1994</v>
      </c>
      <c r="I178" s="17" t="s">
        <v>1995</v>
      </c>
      <c r="J178" s="17" t="s">
        <v>23</v>
      </c>
      <c r="K178" s="17" t="s">
        <v>1996</v>
      </c>
      <c r="L178" s="17" t="s">
        <v>391</v>
      </c>
      <c r="M178" s="17" t="s">
        <v>392</v>
      </c>
      <c r="N178" s="17" t="s">
        <v>571</v>
      </c>
      <c r="O178" s="17" t="s">
        <v>572</v>
      </c>
      <c r="P178" s="17" t="s">
        <v>573</v>
      </c>
      <c r="Q178" s="17" t="s">
        <v>396</v>
      </c>
      <c r="R178" s="17"/>
      <c r="S178" s="48" t="str">
        <f>IFERROR(T(INDEX('Prospectos Resumen'!$K$9:$K$297,MATCH(A178,'Prospectos Resumen'!$A$9:$A$297,0))),"")</f>
        <v/>
      </c>
      <c r="T178" s="17"/>
      <c r="U178" s="17"/>
      <c r="V178" s="17"/>
      <c r="W178" s="17"/>
      <c r="X178" s="17" t="s">
        <v>1997</v>
      </c>
      <c r="Y178" s="17" t="s">
        <v>1997</v>
      </c>
      <c r="Z178" s="17" t="s">
        <v>398</v>
      </c>
      <c r="AA178" s="17" t="s">
        <v>1998</v>
      </c>
      <c r="AB178" s="17" t="s">
        <v>1999</v>
      </c>
      <c r="AC178" s="17" t="s">
        <v>2000</v>
      </c>
      <c r="AD178" s="17" t="s">
        <v>2001</v>
      </c>
      <c r="AE178" s="17" t="s">
        <v>403</v>
      </c>
      <c r="AF178" s="17" t="s">
        <v>404</v>
      </c>
      <c r="AG178" s="17" t="s">
        <v>405</v>
      </c>
      <c r="AH178" s="17" t="s">
        <v>406</v>
      </c>
      <c r="AI178" s="17" t="s">
        <v>407</v>
      </c>
      <c r="AJ178" s="17" t="s">
        <v>408</v>
      </c>
      <c r="AK178" s="17" t="s">
        <v>409</v>
      </c>
      <c r="AL178" s="17" t="s">
        <v>410</v>
      </c>
      <c r="AM178" s="17" t="s">
        <v>411</v>
      </c>
    </row>
    <row r="179" spans="1:39" ht="48">
      <c r="A179" s="18" t="s">
        <v>244</v>
      </c>
      <c r="B179" s="18" t="s">
        <v>383</v>
      </c>
      <c r="C179" s="18" t="s">
        <v>1839</v>
      </c>
      <c r="D179" s="18" t="s">
        <v>1962</v>
      </c>
      <c r="E179" s="18" t="s">
        <v>1962</v>
      </c>
      <c r="F179" s="18" t="s">
        <v>387</v>
      </c>
      <c r="G179" s="18">
        <v>100</v>
      </c>
      <c r="H179" s="18" t="s">
        <v>2002</v>
      </c>
      <c r="I179" s="18" t="s">
        <v>2003</v>
      </c>
      <c r="J179" s="18" t="s">
        <v>453</v>
      </c>
      <c r="K179" s="18" t="s">
        <v>2004</v>
      </c>
      <c r="L179" s="18" t="s">
        <v>391</v>
      </c>
      <c r="M179" s="18" t="s">
        <v>1397</v>
      </c>
      <c r="N179" s="18" t="s">
        <v>469</v>
      </c>
      <c r="O179" s="18" t="s">
        <v>1398</v>
      </c>
      <c r="P179" s="18" t="s">
        <v>2005</v>
      </c>
      <c r="Q179" s="18" t="s">
        <v>420</v>
      </c>
      <c r="R179" s="18"/>
      <c r="S179" s="48" t="str">
        <f>IFERROR(T(INDEX('Prospectos Resumen'!$K$9:$K$297,MATCH(A179,'Prospectos Resumen'!$A$9:$A$297,0))),"")</f>
        <v/>
      </c>
      <c r="T179" s="18"/>
      <c r="U179" s="18"/>
      <c r="V179" s="18"/>
      <c r="W179" s="18"/>
      <c r="X179" s="18" t="s">
        <v>2006</v>
      </c>
      <c r="Y179" s="18" t="s">
        <v>2006</v>
      </c>
      <c r="Z179" s="18" t="s">
        <v>423</v>
      </c>
      <c r="AA179" s="18" t="s">
        <v>2007</v>
      </c>
      <c r="AB179" s="18" t="s">
        <v>2008</v>
      </c>
      <c r="AC179" s="18"/>
      <c r="AD179" s="18" t="s">
        <v>426</v>
      </c>
      <c r="AE179" s="18" t="s">
        <v>403</v>
      </c>
      <c r="AF179" s="18" t="s">
        <v>427</v>
      </c>
      <c r="AG179" s="18" t="s">
        <v>448</v>
      </c>
      <c r="AH179" s="18" t="s">
        <v>464</v>
      </c>
      <c r="AI179" s="18"/>
      <c r="AJ179" s="18" t="s">
        <v>408</v>
      </c>
      <c r="AK179" s="18"/>
      <c r="AL179" s="18" t="s">
        <v>431</v>
      </c>
      <c r="AM179" s="18" t="s">
        <v>432</v>
      </c>
    </row>
    <row r="180" spans="1:39" ht="48">
      <c r="A180" s="17" t="s">
        <v>245</v>
      </c>
      <c r="B180" s="17" t="s">
        <v>383</v>
      </c>
      <c r="C180" s="17" t="s">
        <v>1839</v>
      </c>
      <c r="D180" s="17" t="s">
        <v>1962</v>
      </c>
      <c r="E180" s="17" t="s">
        <v>1962</v>
      </c>
      <c r="F180" s="17" t="s">
        <v>387</v>
      </c>
      <c r="G180" s="17">
        <v>100</v>
      </c>
      <c r="H180" s="17" t="s">
        <v>2009</v>
      </c>
      <c r="I180" s="17" t="s">
        <v>2010</v>
      </c>
      <c r="J180" s="17" t="s">
        <v>535</v>
      </c>
      <c r="K180" s="17" t="s">
        <v>2011</v>
      </c>
      <c r="L180" s="17" t="s">
        <v>391</v>
      </c>
      <c r="M180" s="17" t="s">
        <v>1330</v>
      </c>
      <c r="N180" s="17" t="s">
        <v>469</v>
      </c>
      <c r="O180" s="17" t="s">
        <v>470</v>
      </c>
      <c r="P180" s="17" t="s">
        <v>2012</v>
      </c>
      <c r="Q180" s="17" t="s">
        <v>472</v>
      </c>
      <c r="R180" s="17"/>
      <c r="S180" s="48" t="str">
        <f>IFERROR(T(INDEX('Prospectos Resumen'!$K$9:$K$297,MATCH(A180,'Prospectos Resumen'!$A$9:$A$297,0))),"")</f>
        <v/>
      </c>
      <c r="T180" s="17"/>
      <c r="U180" s="17"/>
      <c r="V180" s="17"/>
      <c r="W180" s="17"/>
      <c r="X180" s="17" t="s">
        <v>2013</v>
      </c>
      <c r="Y180" s="17" t="s">
        <v>2013</v>
      </c>
      <c r="Z180" s="17" t="s">
        <v>474</v>
      </c>
      <c r="AA180" s="17" t="s">
        <v>2014</v>
      </c>
      <c r="AB180" s="17" t="s">
        <v>2015</v>
      </c>
      <c r="AC180" s="17" t="s">
        <v>2016</v>
      </c>
      <c r="AD180" s="17" t="s">
        <v>2017</v>
      </c>
      <c r="AE180" s="17" t="s">
        <v>403</v>
      </c>
      <c r="AF180" s="17" t="s">
        <v>479</v>
      </c>
      <c r="AG180" s="17" t="s">
        <v>448</v>
      </c>
      <c r="AH180" s="17" t="s">
        <v>429</v>
      </c>
      <c r="AI180" s="17"/>
      <c r="AJ180" s="17" t="s">
        <v>408</v>
      </c>
      <c r="AK180" s="17" t="s">
        <v>2018</v>
      </c>
      <c r="AL180" s="17" t="s">
        <v>431</v>
      </c>
      <c r="AM180" s="17" t="s">
        <v>432</v>
      </c>
    </row>
    <row r="181" spans="1:39" ht="48">
      <c r="A181" s="6" t="s">
        <v>246</v>
      </c>
      <c r="B181" s="6" t="s">
        <v>383</v>
      </c>
      <c r="C181" s="6" t="s">
        <v>1839</v>
      </c>
      <c r="D181" s="6" t="s">
        <v>1970</v>
      </c>
      <c r="E181" s="6" t="s">
        <v>1962</v>
      </c>
      <c r="F181" s="6" t="s">
        <v>387</v>
      </c>
      <c r="G181" s="6">
        <v>100</v>
      </c>
      <c r="H181" s="6" t="s">
        <v>2019</v>
      </c>
      <c r="I181" s="6" t="s">
        <v>2020</v>
      </c>
      <c r="J181" s="6" t="s">
        <v>23</v>
      </c>
      <c r="K181" s="6" t="s">
        <v>2021</v>
      </c>
      <c r="L181" s="6" t="s">
        <v>391</v>
      </c>
      <c r="M181" s="6" t="s">
        <v>499</v>
      </c>
      <c r="N181" s="6" t="s">
        <v>500</v>
      </c>
      <c r="O181" s="6" t="s">
        <v>501</v>
      </c>
      <c r="P181" s="6" t="s">
        <v>502</v>
      </c>
      <c r="Q181" s="6" t="s">
        <v>503</v>
      </c>
      <c r="R181" s="6"/>
      <c r="S181" s="50" t="str">
        <f>IFERROR(T(INDEX('Prospectos Resumen'!$K$9:$K$297,MATCH(A181,'Prospectos Resumen'!$A$9:$A$297,0))),"")</f>
        <v/>
      </c>
      <c r="T181" s="6"/>
      <c r="U181" s="6"/>
      <c r="V181" s="6"/>
      <c r="W181" s="6"/>
      <c r="X181" s="6" t="s">
        <v>2022</v>
      </c>
      <c r="Y181" s="6" t="s">
        <v>2022</v>
      </c>
      <c r="Z181" s="6" t="s">
        <v>505</v>
      </c>
      <c r="AA181" s="6" t="s">
        <v>2023</v>
      </c>
      <c r="AB181" s="6" t="s">
        <v>2024</v>
      </c>
      <c r="AC181" s="6" t="s">
        <v>2025</v>
      </c>
      <c r="AD181" s="6" t="s">
        <v>2026</v>
      </c>
      <c r="AE181" s="6" t="s">
        <v>403</v>
      </c>
      <c r="AF181" s="6" t="s">
        <v>510</v>
      </c>
      <c r="AG181" s="6" t="s">
        <v>511</v>
      </c>
      <c r="AH181" s="6" t="s">
        <v>512</v>
      </c>
      <c r="AI181" s="6" t="s">
        <v>407</v>
      </c>
      <c r="AJ181" s="6" t="s">
        <v>408</v>
      </c>
      <c r="AK181" s="6" t="s">
        <v>513</v>
      </c>
      <c r="AL181" s="6" t="s">
        <v>510</v>
      </c>
      <c r="AM181" s="6" t="s">
        <v>514</v>
      </c>
    </row>
    <row r="182" spans="1:39" ht="36">
      <c r="A182" s="17" t="s">
        <v>247</v>
      </c>
      <c r="B182" s="17" t="s">
        <v>383</v>
      </c>
      <c r="C182" s="17" t="s">
        <v>1839</v>
      </c>
      <c r="D182" s="17" t="s">
        <v>1962</v>
      </c>
      <c r="E182" s="17" t="s">
        <v>1962</v>
      </c>
      <c r="F182" s="17" t="s">
        <v>387</v>
      </c>
      <c r="G182" s="17">
        <v>100</v>
      </c>
      <c r="H182" s="17" t="s">
        <v>2027</v>
      </c>
      <c r="I182" s="17" t="s">
        <v>2028</v>
      </c>
      <c r="J182" s="17" t="s">
        <v>484</v>
      </c>
      <c r="K182" s="17" t="s">
        <v>2029</v>
      </c>
      <c r="L182" s="17" t="s">
        <v>391</v>
      </c>
      <c r="M182" s="17" t="s">
        <v>1397</v>
      </c>
      <c r="N182" s="17" t="s">
        <v>487</v>
      </c>
      <c r="O182" s="17" t="s">
        <v>1398</v>
      </c>
      <c r="P182" s="17" t="s">
        <v>2030</v>
      </c>
      <c r="Q182" s="17" t="s">
        <v>420</v>
      </c>
      <c r="R182" s="17"/>
      <c r="S182" s="48" t="str">
        <f>IFERROR(T(INDEX('Prospectos Resumen'!$K$9:$K$297,MATCH(A182,'Prospectos Resumen'!$A$9:$A$297,0))),"")</f>
        <v/>
      </c>
      <c r="T182" s="17"/>
      <c r="U182" s="17"/>
      <c r="V182" s="17"/>
      <c r="W182" s="17"/>
      <c r="X182" s="17" t="s">
        <v>2031</v>
      </c>
      <c r="Y182" s="17" t="s">
        <v>2032</v>
      </c>
      <c r="Z182" s="17" t="s">
        <v>423</v>
      </c>
      <c r="AA182" s="17" t="s">
        <v>2033</v>
      </c>
      <c r="AB182" s="17" t="s">
        <v>2034</v>
      </c>
      <c r="AC182" s="17"/>
      <c r="AD182" s="17" t="s">
        <v>426</v>
      </c>
      <c r="AE182" s="17" t="s">
        <v>403</v>
      </c>
      <c r="AF182" s="17" t="s">
        <v>427</v>
      </c>
      <c r="AG182" s="17" t="s">
        <v>428</v>
      </c>
      <c r="AH182" s="17" t="s">
        <v>464</v>
      </c>
      <c r="AI182" s="17"/>
      <c r="AJ182" s="17" t="s">
        <v>408</v>
      </c>
      <c r="AK182" s="17"/>
      <c r="AL182" s="17" t="s">
        <v>431</v>
      </c>
      <c r="AM182" s="17" t="s">
        <v>432</v>
      </c>
    </row>
    <row r="183" spans="1:39" ht="60">
      <c r="A183" s="7" t="s">
        <v>248</v>
      </c>
      <c r="B183" s="7" t="s">
        <v>383</v>
      </c>
      <c r="C183" s="7" t="s">
        <v>1839</v>
      </c>
      <c r="D183" s="7" t="s">
        <v>2035</v>
      </c>
      <c r="E183" s="7" t="s">
        <v>1962</v>
      </c>
      <c r="F183" s="7" t="s">
        <v>387</v>
      </c>
      <c r="G183" s="7">
        <v>100</v>
      </c>
      <c r="H183" s="7" t="s">
        <v>2036</v>
      </c>
      <c r="I183" s="7" t="s">
        <v>2037</v>
      </c>
      <c r="J183" s="7" t="s">
        <v>414</v>
      </c>
      <c r="K183" s="7" t="s">
        <v>2038</v>
      </c>
      <c r="L183" s="7" t="s">
        <v>391</v>
      </c>
      <c r="M183" s="7" t="s">
        <v>2039</v>
      </c>
      <c r="N183" s="7" t="s">
        <v>417</v>
      </c>
      <c r="O183" s="7" t="s">
        <v>943</v>
      </c>
      <c r="P183" s="7" t="s">
        <v>2040</v>
      </c>
      <c r="Q183" s="7" t="s">
        <v>472</v>
      </c>
      <c r="R183" s="7"/>
      <c r="S183" s="49" t="str">
        <f>IFERROR(T(INDEX('Prospectos Resumen'!$K$9:$K$297,MATCH(A183,'Prospectos Resumen'!$A$9:$A$297,0))),"")</f>
        <v/>
      </c>
      <c r="T183" s="7"/>
      <c r="U183" s="7"/>
      <c r="V183" s="7"/>
      <c r="W183" s="7"/>
      <c r="X183" s="7" t="s">
        <v>2041</v>
      </c>
      <c r="Y183" s="7" t="s">
        <v>2041</v>
      </c>
      <c r="Z183" s="7" t="s">
        <v>474</v>
      </c>
      <c r="AA183" s="7" t="s">
        <v>2042</v>
      </c>
      <c r="AB183" s="7" t="s">
        <v>2043</v>
      </c>
      <c r="AC183" s="7" t="s">
        <v>2044</v>
      </c>
      <c r="AD183" s="7" t="s">
        <v>2045</v>
      </c>
      <c r="AE183" s="7" t="s">
        <v>403</v>
      </c>
      <c r="AF183" s="7" t="s">
        <v>479</v>
      </c>
      <c r="AG183" s="7" t="s">
        <v>428</v>
      </c>
      <c r="AH183" s="7" t="s">
        <v>429</v>
      </c>
      <c r="AI183" s="7"/>
      <c r="AJ183" s="7" t="s">
        <v>408</v>
      </c>
      <c r="AK183" s="7" t="s">
        <v>2046</v>
      </c>
      <c r="AL183" s="7" t="s">
        <v>431</v>
      </c>
      <c r="AM183" s="7" t="s">
        <v>432</v>
      </c>
    </row>
    <row r="184" spans="1:39" ht="36">
      <c r="A184" s="17" t="s">
        <v>249</v>
      </c>
      <c r="B184" s="17" t="s">
        <v>383</v>
      </c>
      <c r="C184" s="17" t="s">
        <v>1839</v>
      </c>
      <c r="D184" s="17" t="s">
        <v>1962</v>
      </c>
      <c r="E184" s="17" t="s">
        <v>1962</v>
      </c>
      <c r="F184" s="17" t="s">
        <v>387</v>
      </c>
      <c r="G184" s="17">
        <v>100</v>
      </c>
      <c r="H184" s="17" t="s">
        <v>2047</v>
      </c>
      <c r="I184" s="17" t="s">
        <v>2048</v>
      </c>
      <c r="J184" s="17" t="s">
        <v>484</v>
      </c>
      <c r="K184" s="17" t="s">
        <v>2049</v>
      </c>
      <c r="L184" s="17" t="s">
        <v>391</v>
      </c>
      <c r="M184" s="17" t="s">
        <v>1397</v>
      </c>
      <c r="N184" s="17" t="s">
        <v>487</v>
      </c>
      <c r="O184" s="17" t="s">
        <v>1398</v>
      </c>
      <c r="P184" s="17" t="s">
        <v>2050</v>
      </c>
      <c r="Q184" s="17" t="s">
        <v>420</v>
      </c>
      <c r="R184" s="17"/>
      <c r="S184" s="48" t="str">
        <f>IFERROR(T(INDEX('Prospectos Resumen'!$K$9:$K$297,MATCH(A184,'Prospectos Resumen'!$A$9:$A$297,0))),"")</f>
        <v/>
      </c>
      <c r="T184" s="17"/>
      <c r="U184" s="17"/>
      <c r="V184" s="17"/>
      <c r="W184" s="17"/>
      <c r="X184" s="17" t="s">
        <v>2051</v>
      </c>
      <c r="Y184" s="17" t="s">
        <v>2051</v>
      </c>
      <c r="Z184" s="17" t="s">
        <v>423</v>
      </c>
      <c r="AA184" s="17" t="s">
        <v>2052</v>
      </c>
      <c r="AB184" s="17" t="s">
        <v>2053</v>
      </c>
      <c r="AC184" s="17"/>
      <c r="AD184" s="17" t="s">
        <v>426</v>
      </c>
      <c r="AE184" s="17" t="s">
        <v>403</v>
      </c>
      <c r="AF184" s="17" t="s">
        <v>427</v>
      </c>
      <c r="AG184" s="17" t="s">
        <v>428</v>
      </c>
      <c r="AH184" s="17" t="s">
        <v>429</v>
      </c>
      <c r="AI184" s="17"/>
      <c r="AJ184" s="17" t="s">
        <v>408</v>
      </c>
      <c r="AK184" s="17" t="s">
        <v>430</v>
      </c>
      <c r="AL184" s="17" t="s">
        <v>431</v>
      </c>
      <c r="AM184" s="17" t="s">
        <v>432</v>
      </c>
    </row>
    <row r="185" spans="1:39" ht="36">
      <c r="A185" s="18" t="s">
        <v>250</v>
      </c>
      <c r="B185" s="18" t="s">
        <v>383</v>
      </c>
      <c r="C185" s="18" t="s">
        <v>1839</v>
      </c>
      <c r="D185" s="18" t="s">
        <v>1962</v>
      </c>
      <c r="E185" s="18" t="s">
        <v>1962</v>
      </c>
      <c r="F185" s="18" t="s">
        <v>387</v>
      </c>
      <c r="G185" s="18">
        <v>100</v>
      </c>
      <c r="H185" s="18" t="s">
        <v>2054</v>
      </c>
      <c r="I185" s="18" t="s">
        <v>2055</v>
      </c>
      <c r="J185" s="18" t="s">
        <v>484</v>
      </c>
      <c r="K185" s="18" t="s">
        <v>2056</v>
      </c>
      <c r="L185" s="18" t="s">
        <v>391</v>
      </c>
      <c r="M185" s="18" t="s">
        <v>1397</v>
      </c>
      <c r="N185" s="18" t="s">
        <v>487</v>
      </c>
      <c r="O185" s="18" t="s">
        <v>1398</v>
      </c>
      <c r="P185" s="18" t="s">
        <v>2057</v>
      </c>
      <c r="Q185" s="18" t="s">
        <v>420</v>
      </c>
      <c r="R185" s="18"/>
      <c r="S185" s="48" t="str">
        <f>IFERROR(T(INDEX('Prospectos Resumen'!$K$9:$K$297,MATCH(A185,'Prospectos Resumen'!$A$9:$A$297,0))),"")</f>
        <v/>
      </c>
      <c r="T185" s="18"/>
      <c r="U185" s="18"/>
      <c r="V185" s="18"/>
      <c r="W185" s="18"/>
      <c r="X185" s="18" t="s">
        <v>2058</v>
      </c>
      <c r="Y185" s="18" t="s">
        <v>2058</v>
      </c>
      <c r="Z185" s="18" t="s">
        <v>423</v>
      </c>
      <c r="AA185" s="18" t="s">
        <v>2059</v>
      </c>
      <c r="AB185" s="18" t="s">
        <v>2060</v>
      </c>
      <c r="AC185" s="18"/>
      <c r="AD185" s="18" t="s">
        <v>426</v>
      </c>
      <c r="AE185" s="18" t="s">
        <v>403</v>
      </c>
      <c r="AF185" s="18" t="s">
        <v>427</v>
      </c>
      <c r="AG185" s="18" t="s">
        <v>428</v>
      </c>
      <c r="AH185" s="18" t="s">
        <v>464</v>
      </c>
      <c r="AI185" s="18"/>
      <c r="AJ185" s="18" t="s">
        <v>408</v>
      </c>
      <c r="AK185" s="18"/>
      <c r="AL185" s="18" t="s">
        <v>431</v>
      </c>
      <c r="AM185" s="18" t="s">
        <v>432</v>
      </c>
    </row>
    <row r="186" spans="1:39" ht="60">
      <c r="A186" s="17" t="s">
        <v>251</v>
      </c>
      <c r="B186" s="17" t="s">
        <v>383</v>
      </c>
      <c r="C186" s="17" t="s">
        <v>1839</v>
      </c>
      <c r="D186" s="17" t="s">
        <v>1970</v>
      </c>
      <c r="E186" s="17" t="s">
        <v>1962</v>
      </c>
      <c r="F186" s="17" t="s">
        <v>387</v>
      </c>
      <c r="G186" s="17">
        <v>100</v>
      </c>
      <c r="H186" s="17" t="s">
        <v>2061</v>
      </c>
      <c r="I186" s="17" t="s">
        <v>497</v>
      </c>
      <c r="J186" s="17" t="s">
        <v>23</v>
      </c>
      <c r="K186" s="17" t="s">
        <v>613</v>
      </c>
      <c r="L186" s="17" t="s">
        <v>613</v>
      </c>
      <c r="M186" s="17" t="s">
        <v>499</v>
      </c>
      <c r="N186" s="17" t="s">
        <v>500</v>
      </c>
      <c r="O186" s="17" t="s">
        <v>501</v>
      </c>
      <c r="P186" s="17" t="s">
        <v>502</v>
      </c>
      <c r="Q186" s="17" t="s">
        <v>503</v>
      </c>
      <c r="R186" s="17"/>
      <c r="S186" s="48" t="str">
        <f>IFERROR(T(INDEX('Prospectos Resumen'!$K$9:$K$297,MATCH(A186,'Prospectos Resumen'!$A$9:$A$297,0))),"")</f>
        <v/>
      </c>
      <c r="T186" s="17"/>
      <c r="U186" s="17"/>
      <c r="V186" s="17"/>
      <c r="W186" s="17"/>
      <c r="X186" s="17"/>
      <c r="Y186" s="17"/>
      <c r="Z186" s="17" t="s">
        <v>1975</v>
      </c>
      <c r="AA186" s="17" t="s">
        <v>2062</v>
      </c>
      <c r="AB186" s="17" t="s">
        <v>2063</v>
      </c>
      <c r="AC186" s="17" t="s">
        <v>508</v>
      </c>
      <c r="AD186" s="17" t="s">
        <v>2064</v>
      </c>
      <c r="AE186" s="17" t="s">
        <v>403</v>
      </c>
      <c r="AF186" s="17" t="s">
        <v>510</v>
      </c>
      <c r="AG186" s="17" t="s">
        <v>511</v>
      </c>
      <c r="AH186" s="17" t="s">
        <v>512</v>
      </c>
      <c r="AI186" s="17" t="s">
        <v>407</v>
      </c>
      <c r="AJ186" s="17" t="s">
        <v>408</v>
      </c>
      <c r="AK186" s="17" t="s">
        <v>513</v>
      </c>
      <c r="AL186" s="17" t="s">
        <v>510</v>
      </c>
      <c r="AM186" s="17" t="s">
        <v>514</v>
      </c>
    </row>
    <row r="187" spans="1:39" ht="36">
      <c r="A187" s="18" t="s">
        <v>252</v>
      </c>
      <c r="B187" s="18" t="s">
        <v>383</v>
      </c>
      <c r="C187" s="18" t="s">
        <v>1839</v>
      </c>
      <c r="D187" s="18" t="s">
        <v>1962</v>
      </c>
      <c r="E187" s="18" t="s">
        <v>1962</v>
      </c>
      <c r="F187" s="18" t="s">
        <v>387</v>
      </c>
      <c r="G187" s="18">
        <v>100</v>
      </c>
      <c r="H187" s="18" t="s">
        <v>2065</v>
      </c>
      <c r="I187" s="18" t="s">
        <v>2028</v>
      </c>
      <c r="J187" s="18" t="s">
        <v>484</v>
      </c>
      <c r="K187" s="18" t="s">
        <v>2066</v>
      </c>
      <c r="L187" s="18" t="s">
        <v>391</v>
      </c>
      <c r="M187" s="18" t="s">
        <v>1397</v>
      </c>
      <c r="N187" s="18" t="s">
        <v>487</v>
      </c>
      <c r="O187" s="18" t="s">
        <v>1398</v>
      </c>
      <c r="P187" s="18" t="s">
        <v>2067</v>
      </c>
      <c r="Q187" s="18" t="s">
        <v>420</v>
      </c>
      <c r="R187" s="18"/>
      <c r="S187" s="48" t="str">
        <f>IFERROR(T(INDEX('Prospectos Resumen'!$K$9:$K$297,MATCH(A187,'Prospectos Resumen'!$A$9:$A$297,0))),"")</f>
        <v/>
      </c>
      <c r="T187" s="18"/>
      <c r="U187" s="18"/>
      <c r="V187" s="18"/>
      <c r="W187" s="18"/>
      <c r="X187" s="18" t="s">
        <v>2068</v>
      </c>
      <c r="Y187" s="18" t="s">
        <v>2068</v>
      </c>
      <c r="Z187" s="18" t="s">
        <v>423</v>
      </c>
      <c r="AA187" s="18" t="s">
        <v>2069</v>
      </c>
      <c r="AB187" s="18" t="s">
        <v>2070</v>
      </c>
      <c r="AC187" s="18"/>
      <c r="AD187" s="18" t="s">
        <v>426</v>
      </c>
      <c r="AE187" s="18" t="s">
        <v>403</v>
      </c>
      <c r="AF187" s="18" t="s">
        <v>427</v>
      </c>
      <c r="AG187" s="18" t="s">
        <v>428</v>
      </c>
      <c r="AH187" s="18" t="s">
        <v>464</v>
      </c>
      <c r="AI187" s="18"/>
      <c r="AJ187" s="18" t="s">
        <v>408</v>
      </c>
      <c r="AK187" s="18"/>
      <c r="AL187" s="18" t="s">
        <v>431</v>
      </c>
      <c r="AM187" s="18" t="s">
        <v>432</v>
      </c>
    </row>
    <row r="188" spans="1:39" ht="48">
      <c r="A188" s="5" t="s">
        <v>253</v>
      </c>
      <c r="B188" s="5" t="s">
        <v>383</v>
      </c>
      <c r="C188" s="5" t="s">
        <v>1839</v>
      </c>
      <c r="D188" s="5" t="s">
        <v>1970</v>
      </c>
      <c r="E188" s="5" t="s">
        <v>1962</v>
      </c>
      <c r="F188" s="5" t="s">
        <v>387</v>
      </c>
      <c r="G188" s="5">
        <v>98</v>
      </c>
      <c r="H188" s="5" t="s">
        <v>2071</v>
      </c>
      <c r="I188" s="5" t="s">
        <v>2072</v>
      </c>
      <c r="J188" s="5" t="s">
        <v>23</v>
      </c>
      <c r="K188" s="5" t="s">
        <v>2073</v>
      </c>
      <c r="L188" s="5" t="s">
        <v>391</v>
      </c>
      <c r="M188" s="5" t="s">
        <v>499</v>
      </c>
      <c r="N188" s="5" t="s">
        <v>500</v>
      </c>
      <c r="O188" s="5" t="s">
        <v>501</v>
      </c>
      <c r="P188" s="5" t="s">
        <v>502</v>
      </c>
      <c r="Q188" s="5" t="s">
        <v>503</v>
      </c>
      <c r="R188" s="5"/>
      <c r="S188" s="47" t="str">
        <f>IFERROR(T(INDEX('Prospectos Resumen'!$K$9:$K$297,MATCH(A188,'Prospectos Resumen'!$A$9:$A$297,0))),"")</f>
        <v/>
      </c>
      <c r="T188" s="5"/>
      <c r="U188" s="5"/>
      <c r="V188" s="5"/>
      <c r="W188" s="5"/>
      <c r="X188" s="5" t="s">
        <v>2074</v>
      </c>
      <c r="Y188" s="5" t="s">
        <v>2074</v>
      </c>
      <c r="Z188" s="5" t="s">
        <v>505</v>
      </c>
      <c r="AA188" s="5" t="s">
        <v>2075</v>
      </c>
      <c r="AB188" s="5" t="s">
        <v>2076</v>
      </c>
      <c r="AC188" s="5" t="s">
        <v>2077</v>
      </c>
      <c r="AD188" s="5" t="s">
        <v>2078</v>
      </c>
      <c r="AE188" s="5" t="s">
        <v>403</v>
      </c>
      <c r="AF188" s="5" t="s">
        <v>510</v>
      </c>
      <c r="AG188" s="5" t="s">
        <v>511</v>
      </c>
      <c r="AH188" s="5" t="s">
        <v>512</v>
      </c>
      <c r="AI188" s="5" t="s">
        <v>407</v>
      </c>
      <c r="AJ188" s="5" t="s">
        <v>408</v>
      </c>
      <c r="AK188" s="5" t="s">
        <v>513</v>
      </c>
      <c r="AL188" s="5" t="s">
        <v>510</v>
      </c>
      <c r="AM188" s="5" t="s">
        <v>514</v>
      </c>
    </row>
    <row r="189" spans="1:39" ht="48">
      <c r="A189" s="18" t="s">
        <v>254</v>
      </c>
      <c r="B189" s="18" t="s">
        <v>383</v>
      </c>
      <c r="C189" s="18" t="s">
        <v>1839</v>
      </c>
      <c r="D189" s="18" t="s">
        <v>1970</v>
      </c>
      <c r="E189" s="18" t="s">
        <v>1962</v>
      </c>
      <c r="F189" s="18" t="s">
        <v>387</v>
      </c>
      <c r="G189" s="18">
        <v>98</v>
      </c>
      <c r="H189" s="18" t="s">
        <v>2079</v>
      </c>
      <c r="I189" s="18" t="s">
        <v>2080</v>
      </c>
      <c r="J189" s="18" t="s">
        <v>23</v>
      </c>
      <c r="K189" s="18" t="s">
        <v>2081</v>
      </c>
      <c r="L189" s="18" t="s">
        <v>391</v>
      </c>
      <c r="M189" s="18" t="s">
        <v>499</v>
      </c>
      <c r="N189" s="18" t="s">
        <v>500</v>
      </c>
      <c r="O189" s="18" t="s">
        <v>501</v>
      </c>
      <c r="P189" s="18" t="s">
        <v>502</v>
      </c>
      <c r="Q189" s="18" t="s">
        <v>503</v>
      </c>
      <c r="R189" s="18"/>
      <c r="S189" s="48" t="str">
        <f>IFERROR(T(INDEX('Prospectos Resumen'!$K$9:$K$297,MATCH(A189,'Prospectos Resumen'!$A$9:$A$297,0))),"")</f>
        <v/>
      </c>
      <c r="T189" s="18"/>
      <c r="U189" s="18"/>
      <c r="V189" s="18"/>
      <c r="W189" s="18"/>
      <c r="X189" s="18" t="s">
        <v>2082</v>
      </c>
      <c r="Y189" s="18" t="s">
        <v>2082</v>
      </c>
      <c r="Z189" s="18" t="s">
        <v>505</v>
      </c>
      <c r="AA189" s="18" t="s">
        <v>2083</v>
      </c>
      <c r="AB189" s="18" t="s">
        <v>2084</v>
      </c>
      <c r="AC189" s="18" t="s">
        <v>2085</v>
      </c>
      <c r="AD189" s="18" t="s">
        <v>2086</v>
      </c>
      <c r="AE189" s="18" t="s">
        <v>403</v>
      </c>
      <c r="AF189" s="18" t="s">
        <v>510</v>
      </c>
      <c r="AG189" s="18" t="s">
        <v>511</v>
      </c>
      <c r="AH189" s="18" t="s">
        <v>512</v>
      </c>
      <c r="AI189" s="18" t="s">
        <v>407</v>
      </c>
      <c r="AJ189" s="18" t="s">
        <v>408</v>
      </c>
      <c r="AK189" s="18" t="s">
        <v>513</v>
      </c>
      <c r="AL189" s="18" t="s">
        <v>510</v>
      </c>
      <c r="AM189" s="18" t="s">
        <v>514</v>
      </c>
    </row>
    <row r="190" spans="1:39" ht="48">
      <c r="A190" s="17" t="s">
        <v>255</v>
      </c>
      <c r="B190" s="17" t="s">
        <v>383</v>
      </c>
      <c r="C190" s="17" t="s">
        <v>1839</v>
      </c>
      <c r="D190" s="17" t="s">
        <v>1962</v>
      </c>
      <c r="E190" s="17" t="s">
        <v>1962</v>
      </c>
      <c r="F190" s="17" t="s">
        <v>387</v>
      </c>
      <c r="G190" s="17">
        <v>95</v>
      </c>
      <c r="H190" s="17" t="s">
        <v>2087</v>
      </c>
      <c r="I190" s="17" t="s">
        <v>2088</v>
      </c>
      <c r="J190" s="17" t="s">
        <v>23</v>
      </c>
      <c r="K190" s="17" t="s">
        <v>2089</v>
      </c>
      <c r="L190" s="17" t="s">
        <v>391</v>
      </c>
      <c r="M190" s="17" t="s">
        <v>392</v>
      </c>
      <c r="N190" s="17" t="s">
        <v>571</v>
      </c>
      <c r="O190" s="17" t="s">
        <v>572</v>
      </c>
      <c r="P190" s="17" t="s">
        <v>573</v>
      </c>
      <c r="Q190" s="17" t="s">
        <v>396</v>
      </c>
      <c r="R190" s="17"/>
      <c r="S190" s="48" t="str">
        <f>IFERROR(T(INDEX('Prospectos Resumen'!$K$9:$K$297,MATCH(A190,'Prospectos Resumen'!$A$9:$A$297,0))),"")</f>
        <v/>
      </c>
      <c r="T190" s="17"/>
      <c r="U190" s="17"/>
      <c r="V190" s="17"/>
      <c r="W190" s="17"/>
      <c r="X190" s="17" t="s">
        <v>2090</v>
      </c>
      <c r="Y190" s="17" t="s">
        <v>2090</v>
      </c>
      <c r="Z190" s="17" t="s">
        <v>398</v>
      </c>
      <c r="AA190" s="17" t="s">
        <v>2091</v>
      </c>
      <c r="AB190" s="17" t="s">
        <v>2092</v>
      </c>
      <c r="AC190" s="17" t="s">
        <v>2093</v>
      </c>
      <c r="AD190" s="17" t="s">
        <v>2094</v>
      </c>
      <c r="AE190" s="17" t="s">
        <v>403</v>
      </c>
      <c r="AF190" s="17" t="s">
        <v>404</v>
      </c>
      <c r="AG190" s="17" t="s">
        <v>405</v>
      </c>
      <c r="AH190" s="17" t="s">
        <v>406</v>
      </c>
      <c r="AI190" s="17" t="s">
        <v>407</v>
      </c>
      <c r="AJ190" s="17" t="s">
        <v>408</v>
      </c>
      <c r="AK190" s="17" t="s">
        <v>409</v>
      </c>
      <c r="AL190" s="17" t="s">
        <v>410</v>
      </c>
      <c r="AM190" s="17" t="s">
        <v>411</v>
      </c>
    </row>
    <row r="191" spans="1:39" ht="48">
      <c r="A191" s="18" t="s">
        <v>256</v>
      </c>
      <c r="B191" s="18" t="s">
        <v>383</v>
      </c>
      <c r="C191" s="18" t="s">
        <v>1839</v>
      </c>
      <c r="D191" s="18" t="s">
        <v>1962</v>
      </c>
      <c r="E191" s="18" t="s">
        <v>1962</v>
      </c>
      <c r="F191" s="18" t="s">
        <v>387</v>
      </c>
      <c r="G191" s="18">
        <v>95</v>
      </c>
      <c r="H191" s="18" t="s">
        <v>2095</v>
      </c>
      <c r="I191" s="18" t="s">
        <v>2096</v>
      </c>
      <c r="J191" s="18" t="s">
        <v>23</v>
      </c>
      <c r="K191" s="18" t="s">
        <v>2097</v>
      </c>
      <c r="L191" s="18" t="s">
        <v>391</v>
      </c>
      <c r="M191" s="18" t="s">
        <v>392</v>
      </c>
      <c r="N191" s="18" t="s">
        <v>571</v>
      </c>
      <c r="O191" s="18" t="s">
        <v>572</v>
      </c>
      <c r="P191" s="18" t="s">
        <v>573</v>
      </c>
      <c r="Q191" s="18" t="s">
        <v>396</v>
      </c>
      <c r="R191" s="18"/>
      <c r="S191" s="48" t="str">
        <f>IFERROR(T(INDEX('Prospectos Resumen'!$K$9:$K$297,MATCH(A191,'Prospectos Resumen'!$A$9:$A$297,0))),"")</f>
        <v/>
      </c>
      <c r="T191" s="18"/>
      <c r="U191" s="18"/>
      <c r="V191" s="18"/>
      <c r="W191" s="18"/>
      <c r="X191" s="18" t="s">
        <v>2098</v>
      </c>
      <c r="Y191" s="18" t="s">
        <v>2098</v>
      </c>
      <c r="Z191" s="18" t="s">
        <v>398</v>
      </c>
      <c r="AA191" s="18" t="s">
        <v>2099</v>
      </c>
      <c r="AB191" s="18" t="s">
        <v>2100</v>
      </c>
      <c r="AC191" s="18" t="s">
        <v>2101</v>
      </c>
      <c r="AD191" s="18" t="s">
        <v>2102</v>
      </c>
      <c r="AE191" s="18" t="s">
        <v>403</v>
      </c>
      <c r="AF191" s="18" t="s">
        <v>404</v>
      </c>
      <c r="AG191" s="18" t="s">
        <v>405</v>
      </c>
      <c r="AH191" s="18" t="s">
        <v>406</v>
      </c>
      <c r="AI191" s="18" t="s">
        <v>407</v>
      </c>
      <c r="AJ191" s="18" t="s">
        <v>408</v>
      </c>
      <c r="AK191" s="18" t="s">
        <v>409</v>
      </c>
      <c r="AL191" s="18" t="s">
        <v>410</v>
      </c>
      <c r="AM191" s="18" t="s">
        <v>411</v>
      </c>
    </row>
    <row r="192" spans="1:39" ht="48">
      <c r="A192" s="17" t="s">
        <v>257</v>
      </c>
      <c r="B192" s="17" t="s">
        <v>383</v>
      </c>
      <c r="C192" s="17" t="s">
        <v>1839</v>
      </c>
      <c r="D192" s="17" t="s">
        <v>1970</v>
      </c>
      <c r="E192" s="17" t="s">
        <v>1962</v>
      </c>
      <c r="F192" s="17" t="s">
        <v>387</v>
      </c>
      <c r="G192" s="17">
        <v>95</v>
      </c>
      <c r="H192" s="17" t="s">
        <v>2103</v>
      </c>
      <c r="I192" s="17" t="s">
        <v>2104</v>
      </c>
      <c r="J192" s="17" t="s">
        <v>23</v>
      </c>
      <c r="K192" s="17" t="s">
        <v>2105</v>
      </c>
      <c r="L192" s="17" t="s">
        <v>557</v>
      </c>
      <c r="M192" s="17" t="s">
        <v>499</v>
      </c>
      <c r="N192" s="17" t="s">
        <v>500</v>
      </c>
      <c r="O192" s="17" t="s">
        <v>501</v>
      </c>
      <c r="P192" s="17" t="s">
        <v>502</v>
      </c>
      <c r="Q192" s="17" t="s">
        <v>503</v>
      </c>
      <c r="R192" s="17"/>
      <c r="S192" s="48" t="str">
        <f>IFERROR(T(INDEX('Prospectos Resumen'!$K$9:$K$297,MATCH(A192,'Prospectos Resumen'!$A$9:$A$297,0))),"")</f>
        <v/>
      </c>
      <c r="T192" s="17"/>
      <c r="U192" s="17"/>
      <c r="V192" s="17"/>
      <c r="W192" s="17"/>
      <c r="X192" s="17" t="s">
        <v>2106</v>
      </c>
      <c r="Y192" s="17" t="s">
        <v>2106</v>
      </c>
      <c r="Z192" s="17" t="s">
        <v>1975</v>
      </c>
      <c r="AA192" s="17" t="s">
        <v>2107</v>
      </c>
      <c r="AB192" s="17" t="s">
        <v>2108</v>
      </c>
      <c r="AC192" s="17" t="s">
        <v>2109</v>
      </c>
      <c r="AD192" s="17" t="s">
        <v>2110</v>
      </c>
      <c r="AE192" s="17" t="s">
        <v>403</v>
      </c>
      <c r="AF192" s="17" t="s">
        <v>510</v>
      </c>
      <c r="AG192" s="17" t="s">
        <v>511</v>
      </c>
      <c r="AH192" s="17" t="s">
        <v>512</v>
      </c>
      <c r="AI192" s="17" t="s">
        <v>407</v>
      </c>
      <c r="AJ192" s="17" t="s">
        <v>408</v>
      </c>
      <c r="AK192" s="17" t="s">
        <v>513</v>
      </c>
      <c r="AL192" s="17" t="s">
        <v>510</v>
      </c>
      <c r="AM192" s="17" t="s">
        <v>514</v>
      </c>
    </row>
    <row r="193" spans="1:39" ht="48">
      <c r="A193" s="18" t="s">
        <v>258</v>
      </c>
      <c r="B193" s="18" t="s">
        <v>383</v>
      </c>
      <c r="C193" s="18" t="s">
        <v>1839</v>
      </c>
      <c r="D193" s="18" t="s">
        <v>1962</v>
      </c>
      <c r="E193" s="18" t="s">
        <v>1962</v>
      </c>
      <c r="F193" s="18" t="s">
        <v>387</v>
      </c>
      <c r="G193" s="18">
        <v>95</v>
      </c>
      <c r="H193" s="18" t="s">
        <v>2111</v>
      </c>
      <c r="I193" s="18" t="s">
        <v>2112</v>
      </c>
      <c r="J193" s="18" t="s">
        <v>23</v>
      </c>
      <c r="K193" s="18" t="s">
        <v>2113</v>
      </c>
      <c r="L193" s="18" t="s">
        <v>557</v>
      </c>
      <c r="M193" s="18" t="s">
        <v>392</v>
      </c>
      <c r="N193" s="18" t="s">
        <v>571</v>
      </c>
      <c r="O193" s="18" t="s">
        <v>572</v>
      </c>
      <c r="P193" s="18" t="s">
        <v>573</v>
      </c>
      <c r="Q193" s="18" t="s">
        <v>396</v>
      </c>
      <c r="R193" s="18"/>
      <c r="S193" s="48" t="str">
        <f>IFERROR(T(INDEX('Prospectos Resumen'!$K$9:$K$297,MATCH(A193,'Prospectos Resumen'!$A$9:$A$297,0))),"")</f>
        <v/>
      </c>
      <c r="T193" s="18"/>
      <c r="U193" s="18"/>
      <c r="V193" s="18"/>
      <c r="W193" s="18"/>
      <c r="X193" s="18" t="s">
        <v>2114</v>
      </c>
      <c r="Y193" s="18" t="s">
        <v>2114</v>
      </c>
      <c r="Z193" s="18" t="s">
        <v>695</v>
      </c>
      <c r="AA193" s="18" t="s">
        <v>2115</v>
      </c>
      <c r="AB193" s="18" t="s">
        <v>1382</v>
      </c>
      <c r="AC193" s="18" t="s">
        <v>1383</v>
      </c>
      <c r="AD193" s="18" t="s">
        <v>2116</v>
      </c>
      <c r="AE193" s="18" t="s">
        <v>403</v>
      </c>
      <c r="AF193" s="18" t="s">
        <v>404</v>
      </c>
      <c r="AG193" s="18" t="s">
        <v>405</v>
      </c>
      <c r="AH193" s="18" t="s">
        <v>406</v>
      </c>
      <c r="AI193" s="18" t="s">
        <v>407</v>
      </c>
      <c r="AJ193" s="18" t="s">
        <v>408</v>
      </c>
      <c r="AK193" s="18" t="s">
        <v>409</v>
      </c>
      <c r="AL193" s="18" t="s">
        <v>410</v>
      </c>
      <c r="AM193" s="18" t="s">
        <v>411</v>
      </c>
    </row>
    <row r="194" spans="1:39" ht="48">
      <c r="A194" s="17" t="s">
        <v>259</v>
      </c>
      <c r="B194" s="17" t="s">
        <v>383</v>
      </c>
      <c r="C194" s="17" t="s">
        <v>1839</v>
      </c>
      <c r="D194" s="17" t="s">
        <v>1962</v>
      </c>
      <c r="E194" s="17" t="s">
        <v>1962</v>
      </c>
      <c r="F194" s="17" t="s">
        <v>387</v>
      </c>
      <c r="G194" s="17">
        <v>95</v>
      </c>
      <c r="H194" s="17" t="s">
        <v>2117</v>
      </c>
      <c r="I194" s="17" t="s">
        <v>2118</v>
      </c>
      <c r="J194" s="17" t="s">
        <v>23</v>
      </c>
      <c r="K194" s="17" t="s">
        <v>2119</v>
      </c>
      <c r="L194" s="17" t="s">
        <v>391</v>
      </c>
      <c r="M194" s="17" t="s">
        <v>392</v>
      </c>
      <c r="N194" s="17" t="s">
        <v>571</v>
      </c>
      <c r="O194" s="17" t="s">
        <v>572</v>
      </c>
      <c r="P194" s="17" t="s">
        <v>573</v>
      </c>
      <c r="Q194" s="17" t="s">
        <v>396</v>
      </c>
      <c r="R194" s="17"/>
      <c r="S194" s="48" t="str">
        <f>IFERROR(T(INDEX('Prospectos Resumen'!$K$9:$K$297,MATCH(A194,'Prospectos Resumen'!$A$9:$A$297,0))),"")</f>
        <v/>
      </c>
      <c r="T194" s="17"/>
      <c r="U194" s="17"/>
      <c r="V194" s="17"/>
      <c r="W194" s="17"/>
      <c r="X194" s="17" t="s">
        <v>2120</v>
      </c>
      <c r="Y194" s="17" t="s">
        <v>2120</v>
      </c>
      <c r="Z194" s="17" t="s">
        <v>398</v>
      </c>
      <c r="AA194" s="17" t="s">
        <v>2121</v>
      </c>
      <c r="AB194" s="17" t="s">
        <v>2122</v>
      </c>
      <c r="AC194" s="17" t="s">
        <v>2123</v>
      </c>
      <c r="AD194" s="17" t="s">
        <v>2124</v>
      </c>
      <c r="AE194" s="17" t="s">
        <v>403</v>
      </c>
      <c r="AF194" s="17" t="s">
        <v>404</v>
      </c>
      <c r="AG194" s="17" t="s">
        <v>405</v>
      </c>
      <c r="AH194" s="17" t="s">
        <v>406</v>
      </c>
      <c r="AI194" s="17" t="s">
        <v>407</v>
      </c>
      <c r="AJ194" s="17" t="s">
        <v>408</v>
      </c>
      <c r="AK194" s="17" t="s">
        <v>409</v>
      </c>
      <c r="AL194" s="17" t="s">
        <v>410</v>
      </c>
      <c r="AM194" s="17" t="s">
        <v>411</v>
      </c>
    </row>
    <row r="195" spans="1:39" ht="60">
      <c r="A195" s="18" t="s">
        <v>260</v>
      </c>
      <c r="B195" s="18" t="s">
        <v>383</v>
      </c>
      <c r="C195" s="18" t="s">
        <v>1839</v>
      </c>
      <c r="D195" s="18" t="s">
        <v>1970</v>
      </c>
      <c r="E195" s="18" t="s">
        <v>1962</v>
      </c>
      <c r="F195" s="18" t="s">
        <v>387</v>
      </c>
      <c r="G195" s="18">
        <v>95</v>
      </c>
      <c r="H195" s="18" t="s">
        <v>2125</v>
      </c>
      <c r="I195" s="18" t="s">
        <v>2126</v>
      </c>
      <c r="J195" s="18" t="s">
        <v>23</v>
      </c>
      <c r="K195" s="18" t="s">
        <v>613</v>
      </c>
      <c r="L195" s="18" t="s">
        <v>613</v>
      </c>
      <c r="M195" s="18" t="s">
        <v>499</v>
      </c>
      <c r="N195" s="18" t="s">
        <v>500</v>
      </c>
      <c r="O195" s="18" t="s">
        <v>501</v>
      </c>
      <c r="P195" s="18" t="s">
        <v>502</v>
      </c>
      <c r="Q195" s="18" t="s">
        <v>503</v>
      </c>
      <c r="R195" s="18"/>
      <c r="S195" s="48" t="str">
        <f>IFERROR(T(INDEX('Prospectos Resumen'!$K$9:$K$297,MATCH(A195,'Prospectos Resumen'!$A$9:$A$297,0))),"")</f>
        <v/>
      </c>
      <c r="T195" s="18"/>
      <c r="U195" s="18"/>
      <c r="V195" s="18"/>
      <c r="W195" s="18"/>
      <c r="X195" s="18"/>
      <c r="Y195" s="18"/>
      <c r="Z195" s="18" t="s">
        <v>1975</v>
      </c>
      <c r="AA195" s="18" t="s">
        <v>2127</v>
      </c>
      <c r="AB195" s="18" t="s">
        <v>2128</v>
      </c>
      <c r="AC195" s="18" t="s">
        <v>1634</v>
      </c>
      <c r="AD195" s="18" t="s">
        <v>2129</v>
      </c>
      <c r="AE195" s="18" t="s">
        <v>403</v>
      </c>
      <c r="AF195" s="18" t="s">
        <v>510</v>
      </c>
      <c r="AG195" s="18" t="s">
        <v>511</v>
      </c>
      <c r="AH195" s="18" t="s">
        <v>512</v>
      </c>
      <c r="AI195" s="18" t="s">
        <v>407</v>
      </c>
      <c r="AJ195" s="18" t="s">
        <v>408</v>
      </c>
      <c r="AK195" s="18" t="s">
        <v>513</v>
      </c>
      <c r="AL195" s="18" t="s">
        <v>510</v>
      </c>
      <c r="AM195" s="18" t="s">
        <v>514</v>
      </c>
    </row>
    <row r="196" spans="1:39" ht="60">
      <c r="A196" s="17" t="s">
        <v>261</v>
      </c>
      <c r="B196" s="17" t="s">
        <v>383</v>
      </c>
      <c r="C196" s="17" t="s">
        <v>1839</v>
      </c>
      <c r="D196" s="17" t="s">
        <v>2130</v>
      </c>
      <c r="E196" s="17" t="s">
        <v>1962</v>
      </c>
      <c r="F196" s="17" t="s">
        <v>387</v>
      </c>
      <c r="G196" s="17">
        <v>94</v>
      </c>
      <c r="H196" s="17" t="s">
        <v>2131</v>
      </c>
      <c r="I196" s="17" t="s">
        <v>2132</v>
      </c>
      <c r="J196" s="17" t="s">
        <v>727</v>
      </c>
      <c r="K196" s="17" t="s">
        <v>2133</v>
      </c>
      <c r="L196" s="17" t="s">
        <v>391</v>
      </c>
      <c r="M196" s="17" t="s">
        <v>1190</v>
      </c>
      <c r="N196" s="17" t="s">
        <v>1262</v>
      </c>
      <c r="O196" s="17" t="s">
        <v>1263</v>
      </c>
      <c r="P196" s="17" t="s">
        <v>1264</v>
      </c>
      <c r="Q196" s="17" t="s">
        <v>1194</v>
      </c>
      <c r="R196" s="17"/>
      <c r="S196" s="48" t="str">
        <f>IFERROR(T(INDEX('Prospectos Resumen'!$K$9:$K$297,MATCH(A196,'Prospectos Resumen'!$A$9:$A$297,0))),"")</f>
        <v/>
      </c>
      <c r="T196" s="17"/>
      <c r="U196" s="17"/>
      <c r="V196" s="17"/>
      <c r="W196" s="17"/>
      <c r="X196" s="17" t="s">
        <v>2134</v>
      </c>
      <c r="Y196" s="17" t="s">
        <v>2134</v>
      </c>
      <c r="Z196" s="17" t="s">
        <v>1196</v>
      </c>
      <c r="AA196" s="17" t="s">
        <v>2135</v>
      </c>
      <c r="AB196" s="17" t="s">
        <v>2136</v>
      </c>
      <c r="AC196" s="17" t="s">
        <v>2137</v>
      </c>
      <c r="AD196" s="17" t="s">
        <v>2138</v>
      </c>
      <c r="AE196" s="17" t="s">
        <v>403</v>
      </c>
      <c r="AF196" s="17" t="s">
        <v>1201</v>
      </c>
      <c r="AG196" s="17" t="s">
        <v>1202</v>
      </c>
      <c r="AH196" s="17" t="s">
        <v>743</v>
      </c>
      <c r="AI196" s="17" t="s">
        <v>407</v>
      </c>
      <c r="AJ196" s="17" t="s">
        <v>408</v>
      </c>
      <c r="AK196" s="17" t="s">
        <v>1203</v>
      </c>
      <c r="AL196" s="17" t="s">
        <v>1204</v>
      </c>
      <c r="AM196" s="17" t="s">
        <v>1205</v>
      </c>
    </row>
    <row r="197" spans="1:39" ht="60">
      <c r="A197" s="18" t="s">
        <v>262</v>
      </c>
      <c r="B197" s="18" t="s">
        <v>383</v>
      </c>
      <c r="C197" s="18" t="s">
        <v>1839</v>
      </c>
      <c r="D197" s="18" t="s">
        <v>2130</v>
      </c>
      <c r="E197" s="18" t="s">
        <v>1962</v>
      </c>
      <c r="F197" s="18" t="s">
        <v>387</v>
      </c>
      <c r="G197" s="18">
        <v>94</v>
      </c>
      <c r="H197" s="18" t="s">
        <v>2139</v>
      </c>
      <c r="I197" s="18" t="s">
        <v>2140</v>
      </c>
      <c r="J197" s="18" t="s">
        <v>727</v>
      </c>
      <c r="K197" s="18" t="s">
        <v>2141</v>
      </c>
      <c r="L197" s="18" t="s">
        <v>391</v>
      </c>
      <c r="M197" s="18" t="s">
        <v>1190</v>
      </c>
      <c r="N197" s="18" t="s">
        <v>1285</v>
      </c>
      <c r="O197" s="18" t="s">
        <v>1286</v>
      </c>
      <c r="P197" s="18" t="s">
        <v>1305</v>
      </c>
      <c r="Q197" s="18" t="s">
        <v>1194</v>
      </c>
      <c r="R197" s="18"/>
      <c r="S197" s="48" t="str">
        <f>IFERROR(T(INDEX('Prospectos Resumen'!$K$9:$K$297,MATCH(A197,'Prospectos Resumen'!$A$9:$A$297,0))),"")</f>
        <v/>
      </c>
      <c r="T197" s="18"/>
      <c r="U197" s="18"/>
      <c r="V197" s="18"/>
      <c r="W197" s="18"/>
      <c r="X197" s="18" t="s">
        <v>2142</v>
      </c>
      <c r="Y197" s="18" t="s">
        <v>2142</v>
      </c>
      <c r="Z197" s="18" t="s">
        <v>1196</v>
      </c>
      <c r="AA197" s="18" t="s">
        <v>2143</v>
      </c>
      <c r="AB197" s="18" t="s">
        <v>2144</v>
      </c>
      <c r="AC197" s="18" t="s">
        <v>2145</v>
      </c>
      <c r="AD197" s="18" t="s">
        <v>2146</v>
      </c>
      <c r="AE197" s="18" t="s">
        <v>403</v>
      </c>
      <c r="AF197" s="18" t="s">
        <v>1201</v>
      </c>
      <c r="AG197" s="18" t="s">
        <v>1202</v>
      </c>
      <c r="AH197" s="18" t="s">
        <v>743</v>
      </c>
      <c r="AI197" s="18" t="s">
        <v>407</v>
      </c>
      <c r="AJ197" s="18" t="s">
        <v>408</v>
      </c>
      <c r="AK197" s="18" t="s">
        <v>1203</v>
      </c>
      <c r="AL197" s="18" t="s">
        <v>1204</v>
      </c>
      <c r="AM197" s="18" t="s">
        <v>1205</v>
      </c>
    </row>
    <row r="198" spans="1:39" ht="60">
      <c r="A198" s="17" t="s">
        <v>263</v>
      </c>
      <c r="B198" s="17" t="s">
        <v>383</v>
      </c>
      <c r="C198" s="17" t="s">
        <v>1839</v>
      </c>
      <c r="D198" s="17" t="s">
        <v>2130</v>
      </c>
      <c r="E198" s="17" t="s">
        <v>1962</v>
      </c>
      <c r="F198" s="17" t="s">
        <v>387</v>
      </c>
      <c r="G198" s="17">
        <v>92</v>
      </c>
      <c r="H198" s="17" t="s">
        <v>2147</v>
      </c>
      <c r="I198" s="17" t="s">
        <v>1260</v>
      </c>
      <c r="J198" s="17" t="s">
        <v>727</v>
      </c>
      <c r="K198" s="17" t="s">
        <v>2148</v>
      </c>
      <c r="L198" s="17" t="s">
        <v>391</v>
      </c>
      <c r="M198" s="17" t="s">
        <v>1190</v>
      </c>
      <c r="N198" s="17" t="s">
        <v>1262</v>
      </c>
      <c r="O198" s="17" t="s">
        <v>1263</v>
      </c>
      <c r="P198" s="17" t="s">
        <v>1264</v>
      </c>
      <c r="Q198" s="17" t="s">
        <v>1194</v>
      </c>
      <c r="R198" s="17"/>
      <c r="S198" s="48" t="str">
        <f>IFERROR(T(INDEX('Prospectos Resumen'!$K$9:$K$297,MATCH(A198,'Prospectos Resumen'!$A$9:$A$297,0))),"")</f>
        <v/>
      </c>
      <c r="T198" s="17"/>
      <c r="U198" s="17"/>
      <c r="V198" s="17"/>
      <c r="W198" s="17"/>
      <c r="X198" s="17" t="s">
        <v>2149</v>
      </c>
      <c r="Y198" s="17" t="s">
        <v>2149</v>
      </c>
      <c r="Z198" s="17" t="s">
        <v>1196</v>
      </c>
      <c r="AA198" s="17" t="s">
        <v>2150</v>
      </c>
      <c r="AB198" s="17" t="s">
        <v>1267</v>
      </c>
      <c r="AC198" s="17" t="s">
        <v>2151</v>
      </c>
      <c r="AD198" s="17" t="s">
        <v>2152</v>
      </c>
      <c r="AE198" s="17" t="s">
        <v>403</v>
      </c>
      <c r="AF198" s="17" t="s">
        <v>1201</v>
      </c>
      <c r="AG198" s="17" t="s">
        <v>1202</v>
      </c>
      <c r="AH198" s="17" t="s">
        <v>743</v>
      </c>
      <c r="AI198" s="17" t="s">
        <v>407</v>
      </c>
      <c r="AJ198" s="17" t="s">
        <v>408</v>
      </c>
      <c r="AK198" s="17" t="s">
        <v>1203</v>
      </c>
      <c r="AL198" s="17" t="s">
        <v>1204</v>
      </c>
      <c r="AM198" s="17" t="s">
        <v>1205</v>
      </c>
    </row>
    <row r="199" spans="1:39" ht="60">
      <c r="A199" s="18" t="s">
        <v>264</v>
      </c>
      <c r="B199" s="18" t="s">
        <v>383</v>
      </c>
      <c r="C199" s="18" t="s">
        <v>1839</v>
      </c>
      <c r="D199" s="18" t="s">
        <v>2130</v>
      </c>
      <c r="E199" s="18" t="s">
        <v>1962</v>
      </c>
      <c r="F199" s="18" t="s">
        <v>387</v>
      </c>
      <c r="G199" s="18">
        <v>90</v>
      </c>
      <c r="H199" s="18" t="s">
        <v>2153</v>
      </c>
      <c r="I199" s="18" t="s">
        <v>2154</v>
      </c>
      <c r="J199" s="18" t="s">
        <v>727</v>
      </c>
      <c r="K199" s="18" t="s">
        <v>2155</v>
      </c>
      <c r="L199" s="18" t="s">
        <v>557</v>
      </c>
      <c r="M199" s="18" t="s">
        <v>1190</v>
      </c>
      <c r="N199" s="18" t="s">
        <v>1262</v>
      </c>
      <c r="O199" s="18" t="s">
        <v>1263</v>
      </c>
      <c r="P199" s="18" t="s">
        <v>1264</v>
      </c>
      <c r="Q199" s="18" t="s">
        <v>1194</v>
      </c>
      <c r="R199" s="18"/>
      <c r="S199" s="48" t="str">
        <f>IFERROR(T(INDEX('Prospectos Resumen'!$K$9:$K$297,MATCH(A199,'Prospectos Resumen'!$A$9:$A$297,0))),"")</f>
        <v/>
      </c>
      <c r="T199" s="18"/>
      <c r="U199" s="18"/>
      <c r="V199" s="18"/>
      <c r="W199" s="18"/>
      <c r="X199" s="18" t="s">
        <v>2156</v>
      </c>
      <c r="Y199" s="18" t="s">
        <v>2156</v>
      </c>
      <c r="Z199" s="18" t="s">
        <v>1389</v>
      </c>
      <c r="AA199" s="18" t="s">
        <v>2157</v>
      </c>
      <c r="AB199" s="18" t="s">
        <v>2158</v>
      </c>
      <c r="AC199" s="18" t="s">
        <v>2159</v>
      </c>
      <c r="AD199" s="18" t="s">
        <v>2160</v>
      </c>
      <c r="AE199" s="18" t="s">
        <v>566</v>
      </c>
      <c r="AF199" s="18" t="s">
        <v>1201</v>
      </c>
      <c r="AG199" s="18" t="s">
        <v>1202</v>
      </c>
      <c r="AH199" s="18" t="s">
        <v>743</v>
      </c>
      <c r="AI199" s="18" t="s">
        <v>407</v>
      </c>
      <c r="AJ199" s="18" t="s">
        <v>403</v>
      </c>
      <c r="AK199" s="18" t="s">
        <v>1203</v>
      </c>
      <c r="AL199" s="18" t="s">
        <v>1204</v>
      </c>
      <c r="AM199" s="18" t="s">
        <v>1205</v>
      </c>
    </row>
    <row r="200" spans="1:39" ht="48">
      <c r="A200" s="17" t="s">
        <v>265</v>
      </c>
      <c r="B200" s="17" t="s">
        <v>383</v>
      </c>
      <c r="C200" s="17" t="s">
        <v>1839</v>
      </c>
      <c r="D200" s="17" t="s">
        <v>1970</v>
      </c>
      <c r="E200" s="17" t="s">
        <v>1962</v>
      </c>
      <c r="F200" s="17" t="s">
        <v>387</v>
      </c>
      <c r="G200" s="17">
        <v>90</v>
      </c>
      <c r="H200" s="17" t="s">
        <v>2161</v>
      </c>
      <c r="I200" s="17" t="s">
        <v>2162</v>
      </c>
      <c r="J200" s="17" t="s">
        <v>23</v>
      </c>
      <c r="K200" s="17" t="s">
        <v>2163</v>
      </c>
      <c r="L200" s="17" t="s">
        <v>391</v>
      </c>
      <c r="M200" s="17" t="s">
        <v>499</v>
      </c>
      <c r="N200" s="17" t="s">
        <v>500</v>
      </c>
      <c r="O200" s="17" t="s">
        <v>501</v>
      </c>
      <c r="P200" s="17" t="s">
        <v>502</v>
      </c>
      <c r="Q200" s="17" t="s">
        <v>503</v>
      </c>
      <c r="R200" s="17"/>
      <c r="S200" s="48" t="str">
        <f>IFERROR(T(INDEX('Prospectos Resumen'!$K$9:$K$297,MATCH(A200,'Prospectos Resumen'!$A$9:$A$297,0))),"")</f>
        <v/>
      </c>
      <c r="T200" s="17"/>
      <c r="U200" s="17"/>
      <c r="V200" s="17"/>
      <c r="W200" s="17"/>
      <c r="X200" s="17" t="s">
        <v>2164</v>
      </c>
      <c r="Y200" s="17" t="s">
        <v>2164</v>
      </c>
      <c r="Z200" s="17" t="s">
        <v>505</v>
      </c>
      <c r="AA200" s="17" t="s">
        <v>2165</v>
      </c>
      <c r="AB200" s="17" t="s">
        <v>2166</v>
      </c>
      <c r="AC200" s="17" t="s">
        <v>2167</v>
      </c>
      <c r="AD200" s="17" t="s">
        <v>2168</v>
      </c>
      <c r="AE200" s="17" t="s">
        <v>403</v>
      </c>
      <c r="AF200" s="17" t="s">
        <v>510</v>
      </c>
      <c r="AG200" s="17" t="s">
        <v>511</v>
      </c>
      <c r="AH200" s="17" t="s">
        <v>512</v>
      </c>
      <c r="AI200" s="17" t="s">
        <v>407</v>
      </c>
      <c r="AJ200" s="17" t="s">
        <v>403</v>
      </c>
      <c r="AK200" s="17" t="s">
        <v>513</v>
      </c>
      <c r="AL200" s="17" t="s">
        <v>510</v>
      </c>
      <c r="AM200" s="17" t="s">
        <v>514</v>
      </c>
    </row>
    <row r="201" spans="1:39" ht="48">
      <c r="A201" s="18" t="s">
        <v>266</v>
      </c>
      <c r="B201" s="18" t="s">
        <v>383</v>
      </c>
      <c r="C201" s="18" t="s">
        <v>1839</v>
      </c>
      <c r="D201" s="18" t="s">
        <v>1962</v>
      </c>
      <c r="E201" s="18" t="s">
        <v>1962</v>
      </c>
      <c r="F201" s="18" t="s">
        <v>387</v>
      </c>
      <c r="G201" s="18">
        <v>88</v>
      </c>
      <c r="H201" s="18" t="s">
        <v>2169</v>
      </c>
      <c r="I201" s="18" t="s">
        <v>2170</v>
      </c>
      <c r="J201" s="18" t="s">
        <v>23</v>
      </c>
      <c r="K201" s="18" t="s">
        <v>2171</v>
      </c>
      <c r="L201" s="18" t="s">
        <v>391</v>
      </c>
      <c r="M201" s="18" t="s">
        <v>392</v>
      </c>
      <c r="N201" s="18" t="s">
        <v>571</v>
      </c>
      <c r="O201" s="18" t="s">
        <v>572</v>
      </c>
      <c r="P201" s="18" t="s">
        <v>573</v>
      </c>
      <c r="Q201" s="18" t="s">
        <v>396</v>
      </c>
      <c r="R201" s="18"/>
      <c r="S201" s="48" t="str">
        <f>IFERROR(T(INDEX('Prospectos Resumen'!$K$9:$K$297,MATCH(A201,'Prospectos Resumen'!$A$9:$A$297,0))),"")</f>
        <v/>
      </c>
      <c r="T201" s="18"/>
      <c r="U201" s="18"/>
      <c r="V201" s="18"/>
      <c r="W201" s="18"/>
      <c r="X201" s="18" t="s">
        <v>2172</v>
      </c>
      <c r="Y201" s="18" t="s">
        <v>2172</v>
      </c>
      <c r="Z201" s="18" t="s">
        <v>398</v>
      </c>
      <c r="AA201" s="18" t="s">
        <v>2173</v>
      </c>
      <c r="AB201" s="18" t="s">
        <v>2174</v>
      </c>
      <c r="AC201" s="18" t="s">
        <v>2175</v>
      </c>
      <c r="AD201" s="18" t="s">
        <v>2176</v>
      </c>
      <c r="AE201" s="18" t="s">
        <v>403</v>
      </c>
      <c r="AF201" s="18" t="s">
        <v>404</v>
      </c>
      <c r="AG201" s="18" t="s">
        <v>405</v>
      </c>
      <c r="AH201" s="18" t="s">
        <v>406</v>
      </c>
      <c r="AI201" s="18" t="s">
        <v>407</v>
      </c>
      <c r="AJ201" s="18" t="s">
        <v>403</v>
      </c>
      <c r="AK201" s="18" t="s">
        <v>409</v>
      </c>
      <c r="AL201" s="18" t="s">
        <v>410</v>
      </c>
      <c r="AM201" s="18" t="s">
        <v>411</v>
      </c>
    </row>
    <row r="202" spans="1:39" ht="48">
      <c r="A202" s="17" t="s">
        <v>267</v>
      </c>
      <c r="B202" s="17" t="s">
        <v>383</v>
      </c>
      <c r="C202" s="17" t="s">
        <v>1839</v>
      </c>
      <c r="D202" s="17" t="s">
        <v>1962</v>
      </c>
      <c r="E202" s="17" t="s">
        <v>1962</v>
      </c>
      <c r="F202" s="17" t="s">
        <v>387</v>
      </c>
      <c r="G202" s="17">
        <v>88</v>
      </c>
      <c r="H202" s="17" t="s">
        <v>2177</v>
      </c>
      <c r="I202" s="17" t="s">
        <v>2178</v>
      </c>
      <c r="J202" s="17" t="s">
        <v>23</v>
      </c>
      <c r="K202" s="17" t="s">
        <v>2179</v>
      </c>
      <c r="L202" s="17" t="s">
        <v>391</v>
      </c>
      <c r="M202" s="17" t="s">
        <v>392</v>
      </c>
      <c r="N202" s="17" t="s">
        <v>393</v>
      </c>
      <c r="O202" s="17" t="s">
        <v>394</v>
      </c>
      <c r="P202" s="17" t="s">
        <v>395</v>
      </c>
      <c r="Q202" s="17" t="s">
        <v>396</v>
      </c>
      <c r="R202" s="17"/>
      <c r="S202" s="48" t="str">
        <f>IFERROR(T(INDEX('Prospectos Resumen'!$K$9:$K$297,MATCH(A202,'Prospectos Resumen'!$A$9:$A$297,0))),"")</f>
        <v/>
      </c>
      <c r="T202" s="17"/>
      <c r="U202" s="17"/>
      <c r="V202" s="17"/>
      <c r="W202" s="17"/>
      <c r="X202" s="17" t="s">
        <v>2180</v>
      </c>
      <c r="Y202" s="17" t="s">
        <v>2180</v>
      </c>
      <c r="Z202" s="17" t="s">
        <v>398</v>
      </c>
      <c r="AA202" s="17" t="s">
        <v>2181</v>
      </c>
      <c r="AB202" s="17" t="s">
        <v>2182</v>
      </c>
      <c r="AC202" s="17" t="s">
        <v>2183</v>
      </c>
      <c r="AD202" s="17" t="s">
        <v>2184</v>
      </c>
      <c r="AE202" s="17" t="s">
        <v>403</v>
      </c>
      <c r="AF202" s="17" t="s">
        <v>404</v>
      </c>
      <c r="AG202" s="17" t="s">
        <v>405</v>
      </c>
      <c r="AH202" s="17" t="s">
        <v>406</v>
      </c>
      <c r="AI202" s="17" t="s">
        <v>407</v>
      </c>
      <c r="AJ202" s="17" t="s">
        <v>403</v>
      </c>
      <c r="AK202" s="17" t="s">
        <v>409</v>
      </c>
      <c r="AL202" s="17" t="s">
        <v>410</v>
      </c>
      <c r="AM202" s="17" t="s">
        <v>411</v>
      </c>
    </row>
    <row r="203" spans="1:39" ht="48">
      <c r="A203" s="7" t="s">
        <v>268</v>
      </c>
      <c r="B203" s="7" t="s">
        <v>383</v>
      </c>
      <c r="C203" s="7" t="s">
        <v>1839</v>
      </c>
      <c r="D203" s="7" t="s">
        <v>1962</v>
      </c>
      <c r="E203" s="7" t="s">
        <v>1962</v>
      </c>
      <c r="F203" s="7" t="s">
        <v>387</v>
      </c>
      <c r="G203" s="7">
        <v>85</v>
      </c>
      <c r="H203" s="7" t="s">
        <v>2185</v>
      </c>
      <c r="I203" s="7" t="s">
        <v>2186</v>
      </c>
      <c r="J203" s="7" t="s">
        <v>23</v>
      </c>
      <c r="K203" s="7" t="s">
        <v>2187</v>
      </c>
      <c r="L203" s="7" t="s">
        <v>391</v>
      </c>
      <c r="M203" s="7" t="s">
        <v>392</v>
      </c>
      <c r="N203" s="7" t="s">
        <v>571</v>
      </c>
      <c r="O203" s="7" t="s">
        <v>572</v>
      </c>
      <c r="P203" s="7" t="s">
        <v>573</v>
      </c>
      <c r="Q203" s="7" t="s">
        <v>396</v>
      </c>
      <c r="R203" s="7"/>
      <c r="S203" s="49" t="str">
        <f>IFERROR(T(INDEX('Prospectos Resumen'!$K$9:$K$297,MATCH(A203,'Prospectos Resumen'!$A$9:$A$297,0))),"")</f>
        <v/>
      </c>
      <c r="T203" s="7"/>
      <c r="U203" s="7"/>
      <c r="V203" s="7"/>
      <c r="W203" s="7"/>
      <c r="X203" s="7" t="s">
        <v>2188</v>
      </c>
      <c r="Y203" s="7" t="s">
        <v>2188</v>
      </c>
      <c r="Z203" s="7" t="s">
        <v>398</v>
      </c>
      <c r="AA203" s="7" t="s">
        <v>2189</v>
      </c>
      <c r="AB203" s="7" t="s">
        <v>2190</v>
      </c>
      <c r="AC203" s="7" t="s">
        <v>2191</v>
      </c>
      <c r="AD203" s="7" t="s">
        <v>2192</v>
      </c>
      <c r="AE203" s="7" t="s">
        <v>566</v>
      </c>
      <c r="AF203" s="7" t="s">
        <v>404</v>
      </c>
      <c r="AG203" s="7" t="s">
        <v>405</v>
      </c>
      <c r="AH203" s="7" t="s">
        <v>406</v>
      </c>
      <c r="AI203" s="7" t="s">
        <v>407</v>
      </c>
      <c r="AJ203" s="7" t="s">
        <v>403</v>
      </c>
      <c r="AK203" s="7" t="s">
        <v>409</v>
      </c>
      <c r="AL203" s="7" t="s">
        <v>410</v>
      </c>
      <c r="AM203" s="7" t="s">
        <v>411</v>
      </c>
    </row>
    <row r="204" spans="1:39" ht="36">
      <c r="A204" s="17" t="s">
        <v>269</v>
      </c>
      <c r="B204" s="17" t="s">
        <v>383</v>
      </c>
      <c r="C204" s="17" t="s">
        <v>1839</v>
      </c>
      <c r="D204" s="17" t="s">
        <v>1962</v>
      </c>
      <c r="E204" s="17" t="s">
        <v>1962</v>
      </c>
      <c r="F204" s="17" t="s">
        <v>387</v>
      </c>
      <c r="G204" s="17">
        <v>75</v>
      </c>
      <c r="H204" s="17" t="s">
        <v>2193</v>
      </c>
      <c r="I204" s="17" t="s">
        <v>2194</v>
      </c>
      <c r="J204" s="17" t="s">
        <v>484</v>
      </c>
      <c r="K204" s="17" t="s">
        <v>2195</v>
      </c>
      <c r="L204" s="17" t="s">
        <v>613</v>
      </c>
      <c r="M204" s="17" t="s">
        <v>1397</v>
      </c>
      <c r="N204" s="17" t="s">
        <v>487</v>
      </c>
      <c r="O204" s="17" t="s">
        <v>1398</v>
      </c>
      <c r="P204" s="17" t="s">
        <v>2196</v>
      </c>
      <c r="Q204" s="17" t="s">
        <v>420</v>
      </c>
      <c r="R204" s="17"/>
      <c r="S204" s="48" t="str">
        <f>IFERROR(T(INDEX('Prospectos Resumen'!$K$9:$K$297,MATCH(A204,'Prospectos Resumen'!$A$9:$A$297,0))),"")</f>
        <v/>
      </c>
      <c r="T204" s="17"/>
      <c r="U204" s="17"/>
      <c r="V204" s="17"/>
      <c r="W204" s="17"/>
      <c r="X204" s="17"/>
      <c r="Y204" s="17"/>
      <c r="Z204" s="17" t="s">
        <v>423</v>
      </c>
      <c r="AA204" s="17" t="s">
        <v>2197</v>
      </c>
      <c r="AB204" s="17" t="s">
        <v>2198</v>
      </c>
      <c r="AC204" s="17"/>
      <c r="AD204" s="17" t="s">
        <v>426</v>
      </c>
      <c r="AE204" s="17" t="s">
        <v>566</v>
      </c>
      <c r="AF204" s="17" t="s">
        <v>427</v>
      </c>
      <c r="AG204" s="17" t="s">
        <v>428</v>
      </c>
      <c r="AH204" s="17" t="s">
        <v>464</v>
      </c>
      <c r="AI204" s="17"/>
      <c r="AJ204" s="17" t="s">
        <v>403</v>
      </c>
      <c r="AK204" s="17"/>
      <c r="AL204" s="17" t="s">
        <v>431</v>
      </c>
      <c r="AM204" s="17" t="s">
        <v>432</v>
      </c>
    </row>
    <row r="205" spans="1:39" ht="36">
      <c r="A205" s="7" t="s">
        <v>270</v>
      </c>
      <c r="B205" s="7" t="s">
        <v>383</v>
      </c>
      <c r="C205" s="7" t="s">
        <v>1839</v>
      </c>
      <c r="D205" s="7" t="s">
        <v>1962</v>
      </c>
      <c r="E205" s="7" t="s">
        <v>1962</v>
      </c>
      <c r="F205" s="7" t="s">
        <v>387</v>
      </c>
      <c r="G205" s="7">
        <v>75</v>
      </c>
      <c r="H205" s="7" t="s">
        <v>2199</v>
      </c>
      <c r="I205" s="7" t="s">
        <v>2194</v>
      </c>
      <c r="J205" s="7" t="s">
        <v>484</v>
      </c>
      <c r="K205" s="7" t="s">
        <v>613</v>
      </c>
      <c r="L205" s="7" t="s">
        <v>613</v>
      </c>
      <c r="M205" s="7" t="s">
        <v>1397</v>
      </c>
      <c r="N205" s="7" t="s">
        <v>487</v>
      </c>
      <c r="O205" s="7" t="s">
        <v>1398</v>
      </c>
      <c r="P205" s="7" t="s">
        <v>2200</v>
      </c>
      <c r="Q205" s="7" t="s">
        <v>420</v>
      </c>
      <c r="R205" s="7"/>
      <c r="S205" s="49" t="str">
        <f>IFERROR(T(INDEX('Prospectos Resumen'!$K$9:$K$297,MATCH(A205,'Prospectos Resumen'!$A$9:$A$297,0))),"")</f>
        <v/>
      </c>
      <c r="T205" s="7"/>
      <c r="U205" s="7"/>
      <c r="V205" s="7"/>
      <c r="W205" s="7"/>
      <c r="X205" s="7"/>
      <c r="Y205" s="7"/>
      <c r="Z205" s="7" t="s">
        <v>423</v>
      </c>
      <c r="AA205" s="7" t="s">
        <v>2201</v>
      </c>
      <c r="AB205" s="7" t="s">
        <v>2202</v>
      </c>
      <c r="AC205" s="7"/>
      <c r="AD205" s="7" t="s">
        <v>426</v>
      </c>
      <c r="AE205" s="7" t="s">
        <v>566</v>
      </c>
      <c r="AF205" s="7" t="s">
        <v>427</v>
      </c>
      <c r="AG205" s="7" t="s">
        <v>428</v>
      </c>
      <c r="AH205" s="7" t="s">
        <v>464</v>
      </c>
      <c r="AI205" s="7"/>
      <c r="AJ205" s="7" t="s">
        <v>403</v>
      </c>
      <c r="AK205" s="7"/>
      <c r="AL205" s="7" t="s">
        <v>431</v>
      </c>
      <c r="AM205" s="7" t="s">
        <v>432</v>
      </c>
    </row>
    <row r="206" spans="1:39" ht="60">
      <c r="A206" s="17" t="s">
        <v>271</v>
      </c>
      <c r="B206" s="17" t="s">
        <v>383</v>
      </c>
      <c r="C206" s="17" t="s">
        <v>1839</v>
      </c>
      <c r="D206" s="17" t="s">
        <v>2130</v>
      </c>
      <c r="E206" s="17" t="s">
        <v>1962</v>
      </c>
      <c r="F206" s="17" t="s">
        <v>724</v>
      </c>
      <c r="G206" s="17">
        <v>84</v>
      </c>
      <c r="H206" s="17" t="s">
        <v>2203</v>
      </c>
      <c r="I206" s="17" t="s">
        <v>2204</v>
      </c>
      <c r="J206" s="17" t="s">
        <v>727</v>
      </c>
      <c r="K206" s="17" t="s">
        <v>2205</v>
      </c>
      <c r="L206" s="17" t="s">
        <v>391</v>
      </c>
      <c r="M206" s="17" t="s">
        <v>1190</v>
      </c>
      <c r="N206" s="17" t="s">
        <v>1262</v>
      </c>
      <c r="O206" s="17" t="s">
        <v>1263</v>
      </c>
      <c r="P206" s="17" t="s">
        <v>1264</v>
      </c>
      <c r="Q206" s="17" t="s">
        <v>2206</v>
      </c>
      <c r="R206" s="17"/>
      <c r="S206" s="48" t="str">
        <f>IFERROR(T(INDEX('Prospectos Resumen'!$K$9:$K$297,MATCH(A206,'Prospectos Resumen'!$A$9:$A$297,0))),"")</f>
        <v/>
      </c>
      <c r="T206" s="17"/>
      <c r="U206" s="17"/>
      <c r="V206" s="17"/>
      <c r="W206" s="17"/>
      <c r="X206" s="17" t="s">
        <v>2207</v>
      </c>
      <c r="Y206" s="17" t="s">
        <v>2207</v>
      </c>
      <c r="Z206" s="17" t="s">
        <v>1196</v>
      </c>
      <c r="AA206" s="17" t="s">
        <v>2208</v>
      </c>
      <c r="AB206" s="17" t="s">
        <v>2209</v>
      </c>
      <c r="AC206" s="17" t="s">
        <v>2210</v>
      </c>
      <c r="AD206" s="17" t="s">
        <v>2211</v>
      </c>
      <c r="AE206" s="17" t="s">
        <v>403</v>
      </c>
      <c r="AF206" s="17" t="s">
        <v>1201</v>
      </c>
      <c r="AG206" s="17" t="s">
        <v>1202</v>
      </c>
      <c r="AH206" s="17" t="s">
        <v>743</v>
      </c>
      <c r="AI206" s="17" t="s">
        <v>407</v>
      </c>
      <c r="AJ206" s="17" t="s">
        <v>403</v>
      </c>
      <c r="AK206" s="17" t="s">
        <v>1203</v>
      </c>
      <c r="AL206" s="17" t="s">
        <v>1204</v>
      </c>
      <c r="AM206" s="17" t="s">
        <v>1205</v>
      </c>
    </row>
    <row r="207" spans="1:39" ht="48">
      <c r="A207" s="18" t="s">
        <v>272</v>
      </c>
      <c r="B207" s="18" t="s">
        <v>383</v>
      </c>
      <c r="C207" s="18" t="s">
        <v>1839</v>
      </c>
      <c r="D207" s="18" t="s">
        <v>1962</v>
      </c>
      <c r="E207" s="18" t="s">
        <v>1962</v>
      </c>
      <c r="F207" s="18" t="s">
        <v>724</v>
      </c>
      <c r="G207" s="18">
        <v>75</v>
      </c>
      <c r="H207" s="18" t="s">
        <v>2212</v>
      </c>
      <c r="I207" s="18" t="s">
        <v>23</v>
      </c>
      <c r="J207" s="18" t="s">
        <v>23</v>
      </c>
      <c r="K207" s="18" t="s">
        <v>2213</v>
      </c>
      <c r="L207" s="18" t="s">
        <v>391</v>
      </c>
      <c r="M207" s="18" t="s">
        <v>537</v>
      </c>
      <c r="N207" s="18" t="s">
        <v>805</v>
      </c>
      <c r="O207" s="18" t="s">
        <v>538</v>
      </c>
      <c r="P207" s="18" t="s">
        <v>2214</v>
      </c>
      <c r="Q207" s="18" t="s">
        <v>420</v>
      </c>
      <c r="R207" s="18"/>
      <c r="S207" s="48" t="str">
        <f>IFERROR(T(INDEX('Prospectos Resumen'!$K$9:$K$297,MATCH(A207,'Prospectos Resumen'!$A$9:$A$297,0))),"")</f>
        <v/>
      </c>
      <c r="T207" s="18"/>
      <c r="U207" s="18"/>
      <c r="V207" s="18"/>
      <c r="W207" s="18"/>
      <c r="X207" s="18" t="s">
        <v>2215</v>
      </c>
      <c r="Y207" s="18" t="s">
        <v>2215</v>
      </c>
      <c r="Z207" s="18" t="s">
        <v>423</v>
      </c>
      <c r="AA207" s="18" t="s">
        <v>2216</v>
      </c>
      <c r="AB207" s="18" t="s">
        <v>2217</v>
      </c>
      <c r="AC207" s="18"/>
      <c r="AD207" s="18" t="s">
        <v>426</v>
      </c>
      <c r="AE207" s="18" t="s">
        <v>403</v>
      </c>
      <c r="AF207" s="18" t="s">
        <v>427</v>
      </c>
      <c r="AG207" s="18" t="s">
        <v>544</v>
      </c>
      <c r="AH207" s="18" t="s">
        <v>449</v>
      </c>
      <c r="AI207" s="18"/>
      <c r="AJ207" s="18" t="s">
        <v>403</v>
      </c>
      <c r="AK207" s="18"/>
      <c r="AL207" s="18" t="s">
        <v>431</v>
      </c>
      <c r="AM207" s="18" t="s">
        <v>432</v>
      </c>
    </row>
    <row r="208" spans="1:39" ht="36">
      <c r="A208" s="17" t="s">
        <v>273</v>
      </c>
      <c r="B208" s="17" t="s">
        <v>383</v>
      </c>
      <c r="C208" s="17" t="s">
        <v>1839</v>
      </c>
      <c r="D208" s="17" t="s">
        <v>1962</v>
      </c>
      <c r="E208" s="17" t="s">
        <v>1962</v>
      </c>
      <c r="F208" s="17" t="s">
        <v>724</v>
      </c>
      <c r="G208" s="17">
        <v>75</v>
      </c>
      <c r="H208" s="17" t="s">
        <v>2218</v>
      </c>
      <c r="I208" s="17" t="s">
        <v>2219</v>
      </c>
      <c r="J208" s="17" t="s">
        <v>484</v>
      </c>
      <c r="K208" s="17" t="s">
        <v>2220</v>
      </c>
      <c r="L208" s="17" t="s">
        <v>391</v>
      </c>
      <c r="M208" s="17" t="s">
        <v>1397</v>
      </c>
      <c r="N208" s="17" t="s">
        <v>487</v>
      </c>
      <c r="O208" s="17" t="s">
        <v>1398</v>
      </c>
      <c r="P208" s="17" t="s">
        <v>2221</v>
      </c>
      <c r="Q208" s="17" t="s">
        <v>420</v>
      </c>
      <c r="R208" s="17"/>
      <c r="S208" s="48" t="str">
        <f>IFERROR(T(INDEX('Prospectos Resumen'!$K$9:$K$297,MATCH(A208,'Prospectos Resumen'!$A$9:$A$297,0))),"")</f>
        <v/>
      </c>
      <c r="T208" s="17"/>
      <c r="U208" s="17"/>
      <c r="V208" s="17"/>
      <c r="W208" s="17"/>
      <c r="X208" s="17" t="s">
        <v>2222</v>
      </c>
      <c r="Y208" s="17" t="s">
        <v>2222</v>
      </c>
      <c r="Z208" s="17" t="s">
        <v>423</v>
      </c>
      <c r="AA208" s="17" t="s">
        <v>2223</v>
      </c>
      <c r="AB208" s="17" t="s">
        <v>2224</v>
      </c>
      <c r="AC208" s="17"/>
      <c r="AD208" s="17" t="s">
        <v>426</v>
      </c>
      <c r="AE208" s="17" t="s">
        <v>403</v>
      </c>
      <c r="AF208" s="17" t="s">
        <v>427</v>
      </c>
      <c r="AG208" s="17" t="s">
        <v>428</v>
      </c>
      <c r="AH208" s="17" t="s">
        <v>429</v>
      </c>
      <c r="AI208" s="17"/>
      <c r="AJ208" s="17" t="s">
        <v>403</v>
      </c>
      <c r="AK208" s="17" t="s">
        <v>430</v>
      </c>
      <c r="AL208" s="17" t="s">
        <v>431</v>
      </c>
      <c r="AM208" s="17" t="s">
        <v>432</v>
      </c>
    </row>
    <row r="209" spans="1:39" ht="48">
      <c r="A209" s="18" t="s">
        <v>274</v>
      </c>
      <c r="B209" s="18" t="s">
        <v>383</v>
      </c>
      <c r="C209" s="18" t="s">
        <v>1839</v>
      </c>
      <c r="D209" s="18" t="s">
        <v>1962</v>
      </c>
      <c r="E209" s="18" t="s">
        <v>1962</v>
      </c>
      <c r="F209" s="18" t="s">
        <v>724</v>
      </c>
      <c r="G209" s="18">
        <v>75</v>
      </c>
      <c r="H209" s="18" t="s">
        <v>2225</v>
      </c>
      <c r="I209" s="18" t="s">
        <v>2226</v>
      </c>
      <c r="J209" s="18" t="s">
        <v>535</v>
      </c>
      <c r="K209" s="18" t="s">
        <v>2227</v>
      </c>
      <c r="L209" s="18" t="s">
        <v>391</v>
      </c>
      <c r="M209" s="18" t="s">
        <v>537</v>
      </c>
      <c r="N209" s="18" t="s">
        <v>469</v>
      </c>
      <c r="O209" s="18" t="s">
        <v>538</v>
      </c>
      <c r="P209" s="18" t="s">
        <v>2228</v>
      </c>
      <c r="Q209" s="18" t="s">
        <v>420</v>
      </c>
      <c r="R209" s="18"/>
      <c r="S209" s="48" t="str">
        <f>IFERROR(T(INDEX('Prospectos Resumen'!$K$9:$K$297,MATCH(A209,'Prospectos Resumen'!$A$9:$A$297,0))),"")</f>
        <v/>
      </c>
      <c r="T209" s="18"/>
      <c r="U209" s="18"/>
      <c r="V209" s="18"/>
      <c r="W209" s="18"/>
      <c r="X209" s="18" t="s">
        <v>2229</v>
      </c>
      <c r="Y209" s="18" t="s">
        <v>2229</v>
      </c>
      <c r="Z209" s="18" t="s">
        <v>423</v>
      </c>
      <c r="AA209" s="18" t="s">
        <v>2230</v>
      </c>
      <c r="AB209" s="18" t="s">
        <v>2231</v>
      </c>
      <c r="AC209" s="18"/>
      <c r="AD209" s="18" t="s">
        <v>426</v>
      </c>
      <c r="AE209" s="18" t="s">
        <v>403</v>
      </c>
      <c r="AF209" s="18" t="s">
        <v>427</v>
      </c>
      <c r="AG209" s="18" t="s">
        <v>544</v>
      </c>
      <c r="AH209" s="18" t="s">
        <v>1075</v>
      </c>
      <c r="AI209" s="18"/>
      <c r="AJ209" s="18" t="s">
        <v>403</v>
      </c>
      <c r="AK209" s="18" t="s">
        <v>1030</v>
      </c>
      <c r="AL209" s="18" t="s">
        <v>431</v>
      </c>
      <c r="AM209" s="18" t="s">
        <v>432</v>
      </c>
    </row>
    <row r="210" spans="1:39" ht="48">
      <c r="A210" s="17" t="s">
        <v>275</v>
      </c>
      <c r="B210" s="17" t="s">
        <v>383</v>
      </c>
      <c r="C210" s="17" t="s">
        <v>1839</v>
      </c>
      <c r="D210" s="17" t="s">
        <v>1962</v>
      </c>
      <c r="E210" s="17" t="s">
        <v>1962</v>
      </c>
      <c r="F210" s="17" t="s">
        <v>724</v>
      </c>
      <c r="G210" s="17">
        <v>75</v>
      </c>
      <c r="H210" s="17" t="s">
        <v>2232</v>
      </c>
      <c r="I210" s="17" t="s">
        <v>2233</v>
      </c>
      <c r="J210" s="17" t="s">
        <v>535</v>
      </c>
      <c r="K210" s="17" t="s">
        <v>2234</v>
      </c>
      <c r="L210" s="17" t="s">
        <v>391</v>
      </c>
      <c r="M210" s="17" t="s">
        <v>537</v>
      </c>
      <c r="N210" s="17" t="s">
        <v>469</v>
      </c>
      <c r="O210" s="17" t="s">
        <v>538</v>
      </c>
      <c r="P210" s="17" t="s">
        <v>2235</v>
      </c>
      <c r="Q210" s="17" t="s">
        <v>420</v>
      </c>
      <c r="R210" s="17"/>
      <c r="S210" s="48" t="str">
        <f>IFERROR(T(INDEX('Prospectos Resumen'!$K$9:$K$297,MATCH(A210,'Prospectos Resumen'!$A$9:$A$297,0))),"")</f>
        <v/>
      </c>
      <c r="T210" s="17"/>
      <c r="U210" s="17"/>
      <c r="V210" s="17"/>
      <c r="W210" s="17"/>
      <c r="X210" s="17" t="s">
        <v>2236</v>
      </c>
      <c r="Y210" s="17" t="s">
        <v>2236</v>
      </c>
      <c r="Z210" s="17" t="s">
        <v>423</v>
      </c>
      <c r="AA210" s="17" t="s">
        <v>2237</v>
      </c>
      <c r="AB210" s="17" t="s">
        <v>2238</v>
      </c>
      <c r="AC210" s="17"/>
      <c r="AD210" s="17" t="s">
        <v>426</v>
      </c>
      <c r="AE210" s="17" t="s">
        <v>403</v>
      </c>
      <c r="AF210" s="17" t="s">
        <v>427</v>
      </c>
      <c r="AG210" s="17" t="s">
        <v>544</v>
      </c>
      <c r="AH210" s="17" t="s">
        <v>1029</v>
      </c>
      <c r="AI210" s="17"/>
      <c r="AJ210" s="17" t="s">
        <v>403</v>
      </c>
      <c r="AK210" s="17" t="s">
        <v>1064</v>
      </c>
      <c r="AL210" s="17" t="s">
        <v>431</v>
      </c>
      <c r="AM210" s="17" t="s">
        <v>432</v>
      </c>
    </row>
    <row r="211" spans="1:39" ht="48">
      <c r="A211" s="18" t="s">
        <v>276</v>
      </c>
      <c r="B211" s="18" t="s">
        <v>383</v>
      </c>
      <c r="C211" s="18" t="s">
        <v>1839</v>
      </c>
      <c r="D211" s="18" t="s">
        <v>1962</v>
      </c>
      <c r="E211" s="18" t="s">
        <v>1962</v>
      </c>
      <c r="F211" s="18" t="s">
        <v>724</v>
      </c>
      <c r="G211" s="18">
        <v>74</v>
      </c>
      <c r="H211" s="18" t="s">
        <v>2239</v>
      </c>
      <c r="I211" s="18" t="s">
        <v>2240</v>
      </c>
      <c r="J211" s="18" t="s">
        <v>23</v>
      </c>
      <c r="K211" s="18" t="s">
        <v>2241</v>
      </c>
      <c r="L211" s="18" t="s">
        <v>557</v>
      </c>
      <c r="M211" s="18" t="s">
        <v>392</v>
      </c>
      <c r="N211" s="18" t="s">
        <v>571</v>
      </c>
      <c r="O211" s="18" t="s">
        <v>572</v>
      </c>
      <c r="P211" s="18" t="s">
        <v>573</v>
      </c>
      <c r="Q211" s="18" t="s">
        <v>873</v>
      </c>
      <c r="R211" s="18"/>
      <c r="S211" s="48" t="str">
        <f>IFERROR(T(INDEX('Prospectos Resumen'!$K$9:$K$297,MATCH(A211,'Prospectos Resumen'!$A$9:$A$297,0))),"")</f>
        <v/>
      </c>
      <c r="T211" s="18"/>
      <c r="U211" s="18"/>
      <c r="V211" s="18"/>
      <c r="W211" s="18"/>
      <c r="X211" s="18" t="s">
        <v>2242</v>
      </c>
      <c r="Y211" s="18" t="s">
        <v>2242</v>
      </c>
      <c r="Z211" s="18" t="s">
        <v>695</v>
      </c>
      <c r="AA211" s="18" t="s">
        <v>2243</v>
      </c>
      <c r="AB211" s="18" t="s">
        <v>2244</v>
      </c>
      <c r="AC211" s="18" t="s">
        <v>2245</v>
      </c>
      <c r="AD211" s="18" t="s">
        <v>2246</v>
      </c>
      <c r="AE211" s="18" t="s">
        <v>566</v>
      </c>
      <c r="AF211" s="18" t="s">
        <v>404</v>
      </c>
      <c r="AG211" s="18" t="s">
        <v>405</v>
      </c>
      <c r="AH211" s="18" t="s">
        <v>406</v>
      </c>
      <c r="AI211" s="18" t="s">
        <v>407</v>
      </c>
      <c r="AJ211" s="18" t="s">
        <v>566</v>
      </c>
      <c r="AK211" s="18" t="s">
        <v>409</v>
      </c>
      <c r="AL211" s="18" t="s">
        <v>410</v>
      </c>
      <c r="AM211" s="18" t="s">
        <v>411</v>
      </c>
    </row>
    <row r="212" spans="1:39" ht="48">
      <c r="A212" s="17" t="s">
        <v>277</v>
      </c>
      <c r="B212" s="17" t="s">
        <v>383</v>
      </c>
      <c r="C212" s="17" t="s">
        <v>1839</v>
      </c>
      <c r="D212" s="17" t="s">
        <v>1962</v>
      </c>
      <c r="E212" s="17" t="s">
        <v>1962</v>
      </c>
      <c r="F212" s="17" t="s">
        <v>724</v>
      </c>
      <c r="G212" s="17">
        <v>50</v>
      </c>
      <c r="H212" s="17" t="s">
        <v>2247</v>
      </c>
      <c r="I212" s="17" t="s">
        <v>2248</v>
      </c>
      <c r="J212" s="17" t="s">
        <v>535</v>
      </c>
      <c r="K212" s="17" t="s">
        <v>613</v>
      </c>
      <c r="L212" s="17" t="s">
        <v>613</v>
      </c>
      <c r="M212" s="17" t="s">
        <v>2249</v>
      </c>
      <c r="N212" s="17" t="s">
        <v>469</v>
      </c>
      <c r="O212" s="17" t="s">
        <v>470</v>
      </c>
      <c r="P212" s="17" t="s">
        <v>2250</v>
      </c>
      <c r="Q212" s="17" t="s">
        <v>472</v>
      </c>
      <c r="R212" s="17"/>
      <c r="S212" s="48" t="str">
        <f>IFERROR(T(INDEX('Prospectos Resumen'!$K$9:$K$297,MATCH(A212,'Prospectos Resumen'!$A$9:$A$297,0))),"")</f>
        <v/>
      </c>
      <c r="T212" s="17"/>
      <c r="U212" s="17"/>
      <c r="V212" s="17"/>
      <c r="W212" s="17"/>
      <c r="X212" s="17"/>
      <c r="Y212" s="17"/>
      <c r="Z212" s="17" t="s">
        <v>474</v>
      </c>
      <c r="AA212" s="17" t="s">
        <v>2251</v>
      </c>
      <c r="AB212" s="17" t="s">
        <v>2252</v>
      </c>
      <c r="AC212" s="17" t="s">
        <v>2253</v>
      </c>
      <c r="AD212" s="17" t="s">
        <v>2254</v>
      </c>
      <c r="AE212" s="17" t="s">
        <v>566</v>
      </c>
      <c r="AF212" s="17" t="s">
        <v>479</v>
      </c>
      <c r="AG212" s="17" t="s">
        <v>448</v>
      </c>
      <c r="AH212" s="17" t="s">
        <v>429</v>
      </c>
      <c r="AI212" s="17"/>
      <c r="AJ212" s="17" t="s">
        <v>566</v>
      </c>
      <c r="AK212" s="17"/>
      <c r="AL212" s="17" t="s">
        <v>431</v>
      </c>
      <c r="AM212" s="17" t="s">
        <v>432</v>
      </c>
    </row>
    <row r="213" spans="1:39" ht="48">
      <c r="A213" s="18" t="s">
        <v>278</v>
      </c>
      <c r="B213" s="18" t="s">
        <v>383</v>
      </c>
      <c r="C213" s="18" t="s">
        <v>2255</v>
      </c>
      <c r="D213" s="18" t="s">
        <v>2256</v>
      </c>
      <c r="E213" s="18" t="s">
        <v>2257</v>
      </c>
      <c r="F213" s="18" t="s">
        <v>387</v>
      </c>
      <c r="G213" s="18">
        <v>99</v>
      </c>
      <c r="H213" s="18" t="s">
        <v>2258</v>
      </c>
      <c r="I213" s="18" t="s">
        <v>2259</v>
      </c>
      <c r="J213" s="18" t="s">
        <v>535</v>
      </c>
      <c r="K213" s="18" t="s">
        <v>2260</v>
      </c>
      <c r="L213" s="18" t="s">
        <v>391</v>
      </c>
      <c r="M213" s="18" t="s">
        <v>2261</v>
      </c>
      <c r="N213" s="18" t="s">
        <v>1766</v>
      </c>
      <c r="O213" s="18" t="s">
        <v>1767</v>
      </c>
      <c r="P213" s="18" t="s">
        <v>2262</v>
      </c>
      <c r="Q213" s="18" t="s">
        <v>2263</v>
      </c>
      <c r="R213" s="18"/>
      <c r="S213" s="48" t="str">
        <f>IFERROR(T(INDEX('Prospectos Resumen'!$K$9:$K$297,MATCH(A213,'Prospectos Resumen'!$A$9:$A$297,0))),"")</f>
        <v/>
      </c>
      <c r="T213" s="18"/>
      <c r="U213" s="18"/>
      <c r="V213" s="18"/>
      <c r="W213" s="18"/>
      <c r="X213" s="18" t="s">
        <v>2264</v>
      </c>
      <c r="Y213" s="18" t="s">
        <v>2264</v>
      </c>
      <c r="Z213" s="18" t="s">
        <v>2265</v>
      </c>
      <c r="AA213" s="18" t="s">
        <v>2266</v>
      </c>
      <c r="AB213" s="18" t="s">
        <v>2267</v>
      </c>
      <c r="AC213" s="18" t="s">
        <v>2268</v>
      </c>
      <c r="AD213" s="18" t="s">
        <v>2269</v>
      </c>
      <c r="AE213" s="18" t="s">
        <v>403</v>
      </c>
      <c r="AF213" s="18" t="s">
        <v>741</v>
      </c>
      <c r="AG213" s="18" t="s">
        <v>2270</v>
      </c>
      <c r="AH213" s="18" t="s">
        <v>2271</v>
      </c>
      <c r="AI213" s="18" t="s">
        <v>407</v>
      </c>
      <c r="AJ213" s="18" t="s">
        <v>408</v>
      </c>
      <c r="AK213" s="18" t="s">
        <v>2272</v>
      </c>
      <c r="AL213" s="18" t="s">
        <v>744</v>
      </c>
      <c r="AM213" s="18" t="s">
        <v>2273</v>
      </c>
    </row>
    <row r="214" spans="1:39" ht="48">
      <c r="A214" s="17" t="s">
        <v>279</v>
      </c>
      <c r="B214" s="17" t="s">
        <v>383</v>
      </c>
      <c r="C214" s="17" t="s">
        <v>2255</v>
      </c>
      <c r="D214" s="17" t="s">
        <v>2274</v>
      </c>
      <c r="E214" s="17" t="s">
        <v>2257</v>
      </c>
      <c r="F214" s="17" t="s">
        <v>724</v>
      </c>
      <c r="G214" s="17">
        <v>85</v>
      </c>
      <c r="H214" s="17" t="s">
        <v>2275</v>
      </c>
      <c r="I214" s="17" t="s">
        <v>2276</v>
      </c>
      <c r="J214" s="17" t="s">
        <v>484</v>
      </c>
      <c r="K214" s="17" t="s">
        <v>2277</v>
      </c>
      <c r="L214" s="17" t="s">
        <v>391</v>
      </c>
      <c r="M214" s="17" t="s">
        <v>2278</v>
      </c>
      <c r="N214" s="17" t="s">
        <v>2279</v>
      </c>
      <c r="O214" s="17" t="s">
        <v>2280</v>
      </c>
      <c r="P214" s="17" t="s">
        <v>2281</v>
      </c>
      <c r="Q214" s="17" t="s">
        <v>2282</v>
      </c>
      <c r="R214" s="17"/>
      <c r="S214" s="48" t="str">
        <f>IFERROR(T(INDEX('Prospectos Resumen'!$K$9:$K$297,MATCH(A214,'Prospectos Resumen'!$A$9:$A$297,0))),"")</f>
        <v/>
      </c>
      <c r="T214" s="17"/>
      <c r="U214" s="17"/>
      <c r="V214" s="17"/>
      <c r="W214" s="17"/>
      <c r="X214" s="17" t="s">
        <v>2283</v>
      </c>
      <c r="Y214" s="17" t="s">
        <v>2284</v>
      </c>
      <c r="Z214" s="17" t="s">
        <v>2285</v>
      </c>
      <c r="AA214" s="17" t="s">
        <v>2286</v>
      </c>
      <c r="AB214" s="17" t="s">
        <v>2287</v>
      </c>
      <c r="AC214" s="17" t="s">
        <v>2288</v>
      </c>
      <c r="AD214" s="17" t="s">
        <v>2289</v>
      </c>
      <c r="AE214" s="17" t="s">
        <v>403</v>
      </c>
      <c r="AF214" s="17" t="s">
        <v>741</v>
      </c>
      <c r="AG214" s="17" t="s">
        <v>1837</v>
      </c>
      <c r="AH214" s="17" t="s">
        <v>1029</v>
      </c>
      <c r="AI214" s="17" t="s">
        <v>407</v>
      </c>
      <c r="AJ214" s="17" t="s">
        <v>403</v>
      </c>
      <c r="AK214" s="17" t="s">
        <v>1778</v>
      </c>
      <c r="AL214" s="17" t="s">
        <v>744</v>
      </c>
      <c r="AM214" s="17" t="s">
        <v>2290</v>
      </c>
    </row>
    <row r="215" spans="1:39" ht="48">
      <c r="A215" s="18" t="s">
        <v>280</v>
      </c>
      <c r="B215" s="18" t="s">
        <v>383</v>
      </c>
      <c r="C215" s="18" t="s">
        <v>2255</v>
      </c>
      <c r="D215" s="18" t="s">
        <v>2291</v>
      </c>
      <c r="E215" s="18" t="s">
        <v>2257</v>
      </c>
      <c r="F215" s="18" t="s">
        <v>724</v>
      </c>
      <c r="G215" s="18">
        <v>77</v>
      </c>
      <c r="H215" s="18" t="s">
        <v>2292</v>
      </c>
      <c r="I215" s="18" t="s">
        <v>2293</v>
      </c>
      <c r="J215" s="18" t="s">
        <v>414</v>
      </c>
      <c r="K215" s="18" t="s">
        <v>2294</v>
      </c>
      <c r="L215" s="18" t="s">
        <v>557</v>
      </c>
      <c r="M215" s="18" t="s">
        <v>2295</v>
      </c>
      <c r="N215" s="18" t="s">
        <v>1811</v>
      </c>
      <c r="O215" s="18" t="s">
        <v>1812</v>
      </c>
      <c r="P215" s="18" t="s">
        <v>2296</v>
      </c>
      <c r="Q215" s="18" t="s">
        <v>2297</v>
      </c>
      <c r="R215" s="18"/>
      <c r="S215" s="48" t="str">
        <f>IFERROR(T(INDEX('Prospectos Resumen'!$K$9:$K$297,MATCH(A215,'Prospectos Resumen'!$A$9:$A$297,0))),"")</f>
        <v/>
      </c>
      <c r="T215" s="18"/>
      <c r="U215" s="18"/>
      <c r="V215" s="18"/>
      <c r="W215" s="18"/>
      <c r="X215" s="18" t="s">
        <v>2298</v>
      </c>
      <c r="Y215" s="18" t="s">
        <v>2298</v>
      </c>
      <c r="Z215" s="18" t="s">
        <v>2299</v>
      </c>
      <c r="AA215" s="18" t="s">
        <v>2300</v>
      </c>
      <c r="AB215" s="18" t="s">
        <v>2301</v>
      </c>
      <c r="AC215" s="18" t="s">
        <v>2302</v>
      </c>
      <c r="AD215" s="18" t="s">
        <v>2303</v>
      </c>
      <c r="AE215" s="18" t="s">
        <v>566</v>
      </c>
      <c r="AF215" s="18" t="s">
        <v>741</v>
      </c>
      <c r="AG215" s="18" t="s">
        <v>428</v>
      </c>
      <c r="AH215" s="18" t="s">
        <v>429</v>
      </c>
      <c r="AI215" s="18" t="s">
        <v>407</v>
      </c>
      <c r="AJ215" s="18" t="s">
        <v>566</v>
      </c>
      <c r="AK215" s="18" t="s">
        <v>1821</v>
      </c>
      <c r="AL215" s="18" t="s">
        <v>744</v>
      </c>
      <c r="AM215" s="18" t="s">
        <v>2304</v>
      </c>
    </row>
    <row r="216" spans="1:39" ht="48">
      <c r="A216" s="17" t="s">
        <v>281</v>
      </c>
      <c r="B216" s="17" t="s">
        <v>383</v>
      </c>
      <c r="C216" s="17" t="s">
        <v>2255</v>
      </c>
      <c r="D216" s="17" t="s">
        <v>2305</v>
      </c>
      <c r="E216" s="17" t="s">
        <v>2257</v>
      </c>
      <c r="F216" s="17" t="s">
        <v>724</v>
      </c>
      <c r="G216" s="17">
        <v>73</v>
      </c>
      <c r="H216" s="17" t="s">
        <v>2306</v>
      </c>
      <c r="I216" s="17" t="s">
        <v>2307</v>
      </c>
      <c r="J216" s="17" t="s">
        <v>535</v>
      </c>
      <c r="K216" s="17" t="s">
        <v>613</v>
      </c>
      <c r="L216" s="17" t="s">
        <v>613</v>
      </c>
      <c r="M216" s="17" t="s">
        <v>2308</v>
      </c>
      <c r="N216" s="17" t="s">
        <v>1766</v>
      </c>
      <c r="O216" s="17" t="s">
        <v>1767</v>
      </c>
      <c r="P216" s="17" t="s">
        <v>2309</v>
      </c>
      <c r="Q216" s="17" t="s">
        <v>2310</v>
      </c>
      <c r="R216" s="17"/>
      <c r="S216" s="48" t="str">
        <f>IFERROR(T(INDEX('Prospectos Resumen'!$K$9:$K$297,MATCH(A216,'Prospectos Resumen'!$A$9:$A$297,0))),"")</f>
        <v/>
      </c>
      <c r="T216" s="17"/>
      <c r="U216" s="17"/>
      <c r="V216" s="17"/>
      <c r="W216" s="17"/>
      <c r="X216" s="17"/>
      <c r="Y216" s="17"/>
      <c r="Z216" s="17" t="s">
        <v>2311</v>
      </c>
      <c r="AA216" s="17" t="s">
        <v>2312</v>
      </c>
      <c r="AB216" s="17" t="s">
        <v>2313</v>
      </c>
      <c r="AC216" s="17" t="s">
        <v>2314</v>
      </c>
      <c r="AD216" s="17" t="s">
        <v>2315</v>
      </c>
      <c r="AE216" s="17" t="s">
        <v>566</v>
      </c>
      <c r="AF216" s="17" t="s">
        <v>741</v>
      </c>
      <c r="AG216" s="17" t="s">
        <v>1777</v>
      </c>
      <c r="AH216" s="17" t="s">
        <v>1029</v>
      </c>
      <c r="AI216" s="17" t="s">
        <v>407</v>
      </c>
      <c r="AJ216" s="17" t="s">
        <v>566</v>
      </c>
      <c r="AK216" s="17" t="s">
        <v>1793</v>
      </c>
      <c r="AL216" s="17" t="s">
        <v>744</v>
      </c>
      <c r="AM216" s="17" t="s">
        <v>2316</v>
      </c>
    </row>
    <row r="217" spans="1:39" ht="60">
      <c r="A217" s="18" t="s">
        <v>282</v>
      </c>
      <c r="B217" s="18" t="s">
        <v>383</v>
      </c>
      <c r="C217" s="18" t="s">
        <v>2317</v>
      </c>
      <c r="D217" s="18" t="s">
        <v>2318</v>
      </c>
      <c r="E217" s="18" t="s">
        <v>2318</v>
      </c>
      <c r="F217" s="18" t="s">
        <v>387</v>
      </c>
      <c r="G217" s="18">
        <v>92</v>
      </c>
      <c r="H217" s="18" t="s">
        <v>2319</v>
      </c>
      <c r="I217" s="18" t="s">
        <v>2320</v>
      </c>
      <c r="J217" s="18" t="s">
        <v>727</v>
      </c>
      <c r="K217" s="18" t="s">
        <v>2321</v>
      </c>
      <c r="L217" s="18" t="s">
        <v>391</v>
      </c>
      <c r="M217" s="18" t="s">
        <v>1190</v>
      </c>
      <c r="N217" s="18" t="s">
        <v>1262</v>
      </c>
      <c r="O217" s="18" t="s">
        <v>1263</v>
      </c>
      <c r="P217" s="18" t="s">
        <v>1264</v>
      </c>
      <c r="Q217" s="18" t="s">
        <v>1194</v>
      </c>
      <c r="R217" s="18"/>
      <c r="S217" s="48" t="str">
        <f>IFERROR(T(INDEX('Prospectos Resumen'!$K$9:$K$297,MATCH(A217,'Prospectos Resumen'!$A$9:$A$297,0))),"")</f>
        <v/>
      </c>
      <c r="T217" s="18"/>
      <c r="U217" s="18"/>
      <c r="V217" s="18"/>
      <c r="W217" s="18"/>
      <c r="X217" s="18" t="s">
        <v>2322</v>
      </c>
      <c r="Y217" s="18" t="s">
        <v>2322</v>
      </c>
      <c r="Z217" s="18" t="s">
        <v>1196</v>
      </c>
      <c r="AA217" s="18" t="s">
        <v>2323</v>
      </c>
      <c r="AB217" s="18" t="s">
        <v>1267</v>
      </c>
      <c r="AC217" s="18" t="s">
        <v>2324</v>
      </c>
      <c r="AD217" s="18" t="s">
        <v>2325</v>
      </c>
      <c r="AE217" s="18" t="s">
        <v>403</v>
      </c>
      <c r="AF217" s="18" t="s">
        <v>1201</v>
      </c>
      <c r="AG217" s="18" t="s">
        <v>1202</v>
      </c>
      <c r="AH217" s="18" t="s">
        <v>743</v>
      </c>
      <c r="AI217" s="18" t="s">
        <v>407</v>
      </c>
      <c r="AJ217" s="18" t="s">
        <v>408</v>
      </c>
      <c r="AK217" s="18" t="s">
        <v>1203</v>
      </c>
      <c r="AL217" s="18" t="s">
        <v>1204</v>
      </c>
      <c r="AM217" s="18" t="s">
        <v>1205</v>
      </c>
    </row>
    <row r="218" spans="1:39" ht="72">
      <c r="A218" s="17" t="s">
        <v>283</v>
      </c>
      <c r="B218" s="17" t="s">
        <v>383</v>
      </c>
      <c r="C218" s="17" t="s">
        <v>2317</v>
      </c>
      <c r="D218" s="17" t="s">
        <v>2318</v>
      </c>
      <c r="E218" s="17" t="s">
        <v>2318</v>
      </c>
      <c r="F218" s="17" t="s">
        <v>724</v>
      </c>
      <c r="G218" s="17">
        <v>75</v>
      </c>
      <c r="H218" s="17" t="s">
        <v>2326</v>
      </c>
      <c r="I218" s="17" t="s">
        <v>2327</v>
      </c>
      <c r="J218" s="17" t="s">
        <v>535</v>
      </c>
      <c r="K218" s="17" t="s">
        <v>2328</v>
      </c>
      <c r="L218" s="17" t="s">
        <v>391</v>
      </c>
      <c r="M218" s="17" t="s">
        <v>548</v>
      </c>
      <c r="N218" s="17" t="s">
        <v>469</v>
      </c>
      <c r="O218" s="17" t="s">
        <v>549</v>
      </c>
      <c r="P218" s="17" t="s">
        <v>2329</v>
      </c>
      <c r="Q218" s="17" t="s">
        <v>420</v>
      </c>
      <c r="R218" s="17"/>
      <c r="S218" s="48" t="str">
        <f>IFERROR(T(INDEX('Prospectos Resumen'!$K$9:$K$297,MATCH(A218,'Prospectos Resumen'!$A$9:$A$297,0))),"")</f>
        <v/>
      </c>
      <c r="T218" s="17"/>
      <c r="U218" s="17"/>
      <c r="V218" s="17"/>
      <c r="W218" s="17"/>
      <c r="X218" s="17" t="s">
        <v>2330</v>
      </c>
      <c r="Y218" s="17" t="s">
        <v>2330</v>
      </c>
      <c r="Z218" s="17" t="s">
        <v>423</v>
      </c>
      <c r="AA218" s="17" t="s">
        <v>2331</v>
      </c>
      <c r="AB218" s="17" t="s">
        <v>2332</v>
      </c>
      <c r="AC218" s="17"/>
      <c r="AD218" s="17" t="s">
        <v>426</v>
      </c>
      <c r="AE218" s="17" t="s">
        <v>403</v>
      </c>
      <c r="AF218" s="17" t="s">
        <v>427</v>
      </c>
      <c r="AG218" s="17" t="s">
        <v>1849</v>
      </c>
      <c r="AH218" s="17" t="s">
        <v>1075</v>
      </c>
      <c r="AI218" s="17"/>
      <c r="AJ218" s="17" t="s">
        <v>403</v>
      </c>
      <c r="AK218" s="17" t="s">
        <v>1030</v>
      </c>
      <c r="AL218" s="17" t="s">
        <v>431</v>
      </c>
      <c r="AM218" s="17" t="s">
        <v>432</v>
      </c>
    </row>
    <row r="219" spans="1:39" ht="48">
      <c r="A219" s="18" t="s">
        <v>284</v>
      </c>
      <c r="B219" s="18" t="s">
        <v>383</v>
      </c>
      <c r="C219" s="18" t="s">
        <v>2317</v>
      </c>
      <c r="D219" s="18" t="s">
        <v>2318</v>
      </c>
      <c r="E219" s="18" t="s">
        <v>2318</v>
      </c>
      <c r="F219" s="18" t="s">
        <v>724</v>
      </c>
      <c r="G219" s="18">
        <v>70</v>
      </c>
      <c r="H219" s="18" t="s">
        <v>2333</v>
      </c>
      <c r="I219" s="18" t="s">
        <v>684</v>
      </c>
      <c r="J219" s="18" t="s">
        <v>23</v>
      </c>
      <c r="K219" s="18" t="s">
        <v>2334</v>
      </c>
      <c r="L219" s="18" t="s">
        <v>557</v>
      </c>
      <c r="M219" s="18" t="s">
        <v>392</v>
      </c>
      <c r="N219" s="18" t="s">
        <v>571</v>
      </c>
      <c r="O219" s="18" t="s">
        <v>572</v>
      </c>
      <c r="P219" s="18" t="s">
        <v>573</v>
      </c>
      <c r="Q219" s="18" t="s">
        <v>873</v>
      </c>
      <c r="R219" s="18"/>
      <c r="S219" s="48" t="str">
        <f>IFERROR(T(INDEX('Prospectos Resumen'!$K$9:$K$297,MATCH(A219,'Prospectos Resumen'!$A$9:$A$297,0))),"")</f>
        <v/>
      </c>
      <c r="T219" s="18"/>
      <c r="U219" s="18"/>
      <c r="V219" s="18"/>
      <c r="W219" s="18"/>
      <c r="X219" s="18" t="s">
        <v>2335</v>
      </c>
      <c r="Y219" s="18" t="s">
        <v>2335</v>
      </c>
      <c r="Z219" s="18" t="s">
        <v>695</v>
      </c>
      <c r="AA219" s="18" t="s">
        <v>2336</v>
      </c>
      <c r="AB219" s="18" t="s">
        <v>688</v>
      </c>
      <c r="AC219" s="18" t="s">
        <v>689</v>
      </c>
      <c r="AD219" s="18" t="s">
        <v>2337</v>
      </c>
      <c r="AE219" s="18" t="s">
        <v>566</v>
      </c>
      <c r="AF219" s="18" t="s">
        <v>404</v>
      </c>
      <c r="AG219" s="18" t="s">
        <v>405</v>
      </c>
      <c r="AH219" s="18" t="s">
        <v>406</v>
      </c>
      <c r="AI219" s="18" t="s">
        <v>407</v>
      </c>
      <c r="AJ219" s="18" t="s">
        <v>566</v>
      </c>
      <c r="AK219" s="18" t="s">
        <v>409</v>
      </c>
      <c r="AL219" s="18" t="s">
        <v>410</v>
      </c>
      <c r="AM219" s="18" t="s">
        <v>411</v>
      </c>
    </row>
    <row r="220" spans="1:39" ht="72">
      <c r="A220" s="17" t="s">
        <v>285</v>
      </c>
      <c r="B220" s="17" t="s">
        <v>383</v>
      </c>
      <c r="C220" s="17" t="s">
        <v>2317</v>
      </c>
      <c r="D220" s="17" t="s">
        <v>2338</v>
      </c>
      <c r="E220" s="17" t="s">
        <v>2338</v>
      </c>
      <c r="F220" s="17" t="s">
        <v>387</v>
      </c>
      <c r="G220" s="17">
        <v>100</v>
      </c>
      <c r="H220" s="17" t="s">
        <v>2339</v>
      </c>
      <c r="I220" s="17" t="s">
        <v>2340</v>
      </c>
      <c r="J220" s="17" t="s">
        <v>535</v>
      </c>
      <c r="K220" s="17" t="s">
        <v>2341</v>
      </c>
      <c r="L220" s="17" t="s">
        <v>391</v>
      </c>
      <c r="M220" s="17" t="s">
        <v>548</v>
      </c>
      <c r="N220" s="17" t="s">
        <v>469</v>
      </c>
      <c r="O220" s="17" t="s">
        <v>549</v>
      </c>
      <c r="P220" s="17" t="s">
        <v>2342</v>
      </c>
      <c r="Q220" s="17" t="s">
        <v>420</v>
      </c>
      <c r="R220" s="17"/>
      <c r="S220" s="48" t="str">
        <f>IFERROR(T(INDEX('Prospectos Resumen'!$K$9:$K$297,MATCH(A220,'Prospectos Resumen'!$A$9:$A$297,0))),"")</f>
        <v/>
      </c>
      <c r="T220" s="17"/>
      <c r="U220" s="17"/>
      <c r="V220" s="17"/>
      <c r="W220" s="17"/>
      <c r="X220" s="17" t="s">
        <v>2343</v>
      </c>
      <c r="Y220" s="17" t="s">
        <v>2343</v>
      </c>
      <c r="Z220" s="17" t="s">
        <v>423</v>
      </c>
      <c r="AA220" s="17" t="s">
        <v>2344</v>
      </c>
      <c r="AB220" s="17" t="s">
        <v>2345</v>
      </c>
      <c r="AC220" s="17" t="s">
        <v>2346</v>
      </c>
      <c r="AD220" s="17" t="s">
        <v>2347</v>
      </c>
      <c r="AE220" s="17" t="s">
        <v>403</v>
      </c>
      <c r="AF220" s="17" t="s">
        <v>427</v>
      </c>
      <c r="AG220" s="17" t="s">
        <v>1849</v>
      </c>
      <c r="AH220" s="17" t="s">
        <v>1075</v>
      </c>
      <c r="AI220" s="17" t="s">
        <v>407</v>
      </c>
      <c r="AJ220" s="17" t="s">
        <v>408</v>
      </c>
      <c r="AK220" s="17" t="s">
        <v>1030</v>
      </c>
      <c r="AL220" s="17" t="s">
        <v>431</v>
      </c>
      <c r="AM220" s="17" t="s">
        <v>432</v>
      </c>
    </row>
    <row r="221" spans="1:39" ht="48">
      <c r="A221" s="18" t="s">
        <v>286</v>
      </c>
      <c r="B221" s="18" t="s">
        <v>383</v>
      </c>
      <c r="C221" s="18" t="s">
        <v>2317</v>
      </c>
      <c r="D221" s="18" t="s">
        <v>2348</v>
      </c>
      <c r="E221" s="18" t="s">
        <v>2338</v>
      </c>
      <c r="F221" s="18" t="s">
        <v>387</v>
      </c>
      <c r="G221" s="18">
        <v>100</v>
      </c>
      <c r="H221" s="18" t="s">
        <v>2349</v>
      </c>
      <c r="I221" s="18" t="s">
        <v>2350</v>
      </c>
      <c r="J221" s="18" t="s">
        <v>484</v>
      </c>
      <c r="K221" s="18" t="s">
        <v>2351</v>
      </c>
      <c r="L221" s="18" t="s">
        <v>391</v>
      </c>
      <c r="M221" s="18" t="s">
        <v>614</v>
      </c>
      <c r="N221" s="18" t="s">
        <v>615</v>
      </c>
      <c r="O221" s="18" t="s">
        <v>616</v>
      </c>
      <c r="P221" s="18" t="s">
        <v>2352</v>
      </c>
      <c r="Q221" s="18" t="s">
        <v>440</v>
      </c>
      <c r="R221" s="18"/>
      <c r="S221" s="48" t="str">
        <f>IFERROR(T(INDEX('Prospectos Resumen'!$K$9:$K$297,MATCH(A221,'Prospectos Resumen'!$A$9:$A$297,0))),"")</f>
        <v>ALDO DELCRE (DUEÑO)
HORACIO ING TECNICO</v>
      </c>
      <c r="T221" s="18"/>
      <c r="U221" s="18"/>
      <c r="V221" s="18"/>
      <c r="W221" s="18"/>
      <c r="X221" s="18" t="s">
        <v>2353</v>
      </c>
      <c r="Y221" s="18" t="s">
        <v>2353</v>
      </c>
      <c r="Z221" s="18" t="s">
        <v>443</v>
      </c>
      <c r="AA221" s="18" t="s">
        <v>2354</v>
      </c>
      <c r="AB221" s="18" t="s">
        <v>531</v>
      </c>
      <c r="AC221" s="18" t="s">
        <v>2355</v>
      </c>
      <c r="AD221" s="18" t="s">
        <v>2352</v>
      </c>
      <c r="AE221" s="18" t="s">
        <v>403</v>
      </c>
      <c r="AF221" s="18" t="s">
        <v>447</v>
      </c>
      <c r="AG221" s="18" t="s">
        <v>428</v>
      </c>
      <c r="AH221" s="18" t="s">
        <v>429</v>
      </c>
      <c r="AI221" s="18" t="s">
        <v>407</v>
      </c>
      <c r="AJ221" s="18" t="s">
        <v>408</v>
      </c>
      <c r="AK221" s="18" t="s">
        <v>430</v>
      </c>
      <c r="AL221" s="18" t="s">
        <v>450</v>
      </c>
      <c r="AM221" s="18"/>
    </row>
    <row r="222" spans="1:39" ht="60">
      <c r="A222" s="17" t="s">
        <v>287</v>
      </c>
      <c r="B222" s="17" t="s">
        <v>383</v>
      </c>
      <c r="C222" s="17" t="s">
        <v>2317</v>
      </c>
      <c r="D222" s="17" t="s">
        <v>2348</v>
      </c>
      <c r="E222" s="17" t="s">
        <v>2338</v>
      </c>
      <c r="F222" s="17" t="s">
        <v>387</v>
      </c>
      <c r="G222" s="17">
        <v>100</v>
      </c>
      <c r="H222" s="17" t="s">
        <v>2356</v>
      </c>
      <c r="I222" s="17" t="s">
        <v>2357</v>
      </c>
      <c r="J222" s="17" t="s">
        <v>655</v>
      </c>
      <c r="K222" s="17" t="s">
        <v>2358</v>
      </c>
      <c r="L222" s="17" t="s">
        <v>391</v>
      </c>
      <c r="M222" s="17" t="s">
        <v>436</v>
      </c>
      <c r="N222" s="17" t="s">
        <v>437</v>
      </c>
      <c r="O222" s="17" t="s">
        <v>438</v>
      </c>
      <c r="P222" s="17" t="s">
        <v>2359</v>
      </c>
      <c r="Q222" s="17" t="s">
        <v>440</v>
      </c>
      <c r="R222" s="17"/>
      <c r="S222" s="48" t="str">
        <f>IFERROR(T(INDEX('Prospectos Resumen'!$K$9:$K$297,MATCH(A222,'Prospectos Resumen'!$A$9:$A$297,0))),"")</f>
        <v/>
      </c>
      <c r="T222" s="17"/>
      <c r="U222" s="17"/>
      <c r="V222" s="17"/>
      <c r="W222" s="17"/>
      <c r="X222" s="17" t="s">
        <v>2360</v>
      </c>
      <c r="Y222" s="17" t="s">
        <v>2361</v>
      </c>
      <c r="Z222" s="17" t="s">
        <v>443</v>
      </c>
      <c r="AA222" s="17" t="s">
        <v>2362</v>
      </c>
      <c r="AB222" s="17" t="s">
        <v>2363</v>
      </c>
      <c r="AC222" s="17" t="s">
        <v>2364</v>
      </c>
      <c r="AD222" s="17" t="s">
        <v>2365</v>
      </c>
      <c r="AE222" s="17" t="s">
        <v>403</v>
      </c>
      <c r="AF222" s="17" t="s">
        <v>447</v>
      </c>
      <c r="AG222" s="17" t="s">
        <v>448</v>
      </c>
      <c r="AH222" s="17" t="s">
        <v>449</v>
      </c>
      <c r="AI222" s="17" t="s">
        <v>407</v>
      </c>
      <c r="AJ222" s="17" t="s">
        <v>408</v>
      </c>
      <c r="AK222" s="17"/>
      <c r="AL222" s="17" t="s">
        <v>431</v>
      </c>
      <c r="AM222" s="17" t="s">
        <v>432</v>
      </c>
    </row>
    <row r="223" spans="1:39" ht="48">
      <c r="A223" s="18" t="s">
        <v>288</v>
      </c>
      <c r="B223" s="18" t="s">
        <v>383</v>
      </c>
      <c r="C223" s="18" t="s">
        <v>2317</v>
      </c>
      <c r="D223" s="18" t="s">
        <v>2348</v>
      </c>
      <c r="E223" s="18" t="s">
        <v>2338</v>
      </c>
      <c r="F223" s="18" t="s">
        <v>387</v>
      </c>
      <c r="G223" s="18">
        <v>90</v>
      </c>
      <c r="H223" s="18" t="s">
        <v>2366</v>
      </c>
      <c r="I223" s="18" t="s">
        <v>2367</v>
      </c>
      <c r="J223" s="18" t="s">
        <v>23</v>
      </c>
      <c r="K223" s="18" t="s">
        <v>2368</v>
      </c>
      <c r="L223" s="18" t="s">
        <v>391</v>
      </c>
      <c r="M223" s="18" t="s">
        <v>392</v>
      </c>
      <c r="N223" s="18" t="s">
        <v>571</v>
      </c>
      <c r="O223" s="18" t="s">
        <v>572</v>
      </c>
      <c r="P223" s="18" t="s">
        <v>573</v>
      </c>
      <c r="Q223" s="18" t="s">
        <v>396</v>
      </c>
      <c r="R223" s="18"/>
      <c r="S223" s="48" t="str">
        <f>IFERROR(T(INDEX('Prospectos Resumen'!$K$9:$K$297,MATCH(A223,'Prospectos Resumen'!$A$9:$A$297,0))),"")</f>
        <v/>
      </c>
      <c r="T223" s="18"/>
      <c r="U223" s="18"/>
      <c r="V223" s="18"/>
      <c r="W223" s="18"/>
      <c r="X223" s="18" t="s">
        <v>2369</v>
      </c>
      <c r="Y223" s="18" t="s">
        <v>2369</v>
      </c>
      <c r="Z223" s="18" t="s">
        <v>398</v>
      </c>
      <c r="AA223" s="18" t="s">
        <v>2370</v>
      </c>
      <c r="AB223" s="18" t="s">
        <v>2371</v>
      </c>
      <c r="AC223" s="18" t="s">
        <v>2372</v>
      </c>
      <c r="AD223" s="18" t="s">
        <v>2373</v>
      </c>
      <c r="AE223" s="18" t="s">
        <v>403</v>
      </c>
      <c r="AF223" s="18" t="s">
        <v>404</v>
      </c>
      <c r="AG223" s="18" t="s">
        <v>405</v>
      </c>
      <c r="AH223" s="18" t="s">
        <v>406</v>
      </c>
      <c r="AI223" s="18" t="s">
        <v>407</v>
      </c>
      <c r="AJ223" s="18" t="s">
        <v>408</v>
      </c>
      <c r="AK223" s="18" t="s">
        <v>409</v>
      </c>
      <c r="AL223" s="18" t="s">
        <v>410</v>
      </c>
      <c r="AM223" s="18" t="s">
        <v>411</v>
      </c>
    </row>
    <row r="224" spans="1:39" ht="48">
      <c r="A224" s="17" t="s">
        <v>289</v>
      </c>
      <c r="B224" s="17" t="s">
        <v>383</v>
      </c>
      <c r="C224" s="17" t="s">
        <v>2317</v>
      </c>
      <c r="D224" s="17" t="s">
        <v>2348</v>
      </c>
      <c r="E224" s="17" t="s">
        <v>2338</v>
      </c>
      <c r="F224" s="17" t="s">
        <v>387</v>
      </c>
      <c r="G224" s="17">
        <v>90</v>
      </c>
      <c r="H224" s="17" t="s">
        <v>2374</v>
      </c>
      <c r="I224" s="17" t="s">
        <v>596</v>
      </c>
      <c r="J224" s="17" t="s">
        <v>23</v>
      </c>
      <c r="K224" s="17" t="s">
        <v>2375</v>
      </c>
      <c r="L224" s="17" t="s">
        <v>391</v>
      </c>
      <c r="M224" s="17" t="s">
        <v>392</v>
      </c>
      <c r="N224" s="17" t="s">
        <v>571</v>
      </c>
      <c r="O224" s="17" t="s">
        <v>572</v>
      </c>
      <c r="P224" s="17" t="s">
        <v>573</v>
      </c>
      <c r="Q224" s="17" t="s">
        <v>396</v>
      </c>
      <c r="R224" s="17"/>
      <c r="S224" s="48" t="str">
        <f>IFERROR(T(INDEX('Prospectos Resumen'!$K$9:$K$297,MATCH(A224,'Prospectos Resumen'!$A$9:$A$297,0))),"")</f>
        <v>VICTOR HUGO SEIA</v>
      </c>
      <c r="T224" s="17"/>
      <c r="U224" s="17"/>
      <c r="V224" s="17"/>
      <c r="W224" s="17"/>
      <c r="X224" s="17" t="s">
        <v>2376</v>
      </c>
      <c r="Y224" s="17" t="s">
        <v>2376</v>
      </c>
      <c r="Z224" s="17" t="s">
        <v>398</v>
      </c>
      <c r="AA224" s="17" t="s">
        <v>2377</v>
      </c>
      <c r="AB224" s="17" t="s">
        <v>600</v>
      </c>
      <c r="AC224" s="17" t="s">
        <v>601</v>
      </c>
      <c r="AD224" s="17" t="s">
        <v>2378</v>
      </c>
      <c r="AE224" s="17" t="s">
        <v>403</v>
      </c>
      <c r="AF224" s="17" t="s">
        <v>404</v>
      </c>
      <c r="AG224" s="17" t="s">
        <v>405</v>
      </c>
      <c r="AH224" s="17" t="s">
        <v>406</v>
      </c>
      <c r="AI224" s="17" t="s">
        <v>407</v>
      </c>
      <c r="AJ224" s="17" t="s">
        <v>408</v>
      </c>
      <c r="AK224" s="17" t="s">
        <v>409</v>
      </c>
      <c r="AL224" s="17" t="s">
        <v>410</v>
      </c>
      <c r="AM224" s="17" t="s">
        <v>411</v>
      </c>
    </row>
    <row r="225" spans="1:39" ht="48">
      <c r="A225" s="18" t="s">
        <v>290</v>
      </c>
      <c r="B225" s="18" t="s">
        <v>383</v>
      </c>
      <c r="C225" s="18" t="s">
        <v>2317</v>
      </c>
      <c r="D225" s="18" t="s">
        <v>2348</v>
      </c>
      <c r="E225" s="18" t="s">
        <v>2338</v>
      </c>
      <c r="F225" s="18" t="s">
        <v>387</v>
      </c>
      <c r="G225" s="18">
        <v>88</v>
      </c>
      <c r="H225" s="18" t="s">
        <v>2379</v>
      </c>
      <c r="I225" s="18" t="s">
        <v>2170</v>
      </c>
      <c r="J225" s="18" t="s">
        <v>23</v>
      </c>
      <c r="K225" s="18" t="s">
        <v>2380</v>
      </c>
      <c r="L225" s="18" t="s">
        <v>391</v>
      </c>
      <c r="M225" s="18" t="s">
        <v>392</v>
      </c>
      <c r="N225" s="18" t="s">
        <v>571</v>
      </c>
      <c r="O225" s="18" t="s">
        <v>572</v>
      </c>
      <c r="P225" s="18" t="s">
        <v>573</v>
      </c>
      <c r="Q225" s="18" t="s">
        <v>396</v>
      </c>
      <c r="R225" s="18"/>
      <c r="S225" s="48" t="str">
        <f>IFERROR(T(INDEX('Prospectos Resumen'!$K$9:$K$297,MATCH(A225,'Prospectos Resumen'!$A$9:$A$297,0))),"")</f>
        <v>DUEÑO FACUNDO CERUTTI
VENDEDOR CARLOS ARAMBURU</v>
      </c>
      <c r="T225" s="18"/>
      <c r="U225" s="18"/>
      <c r="V225" s="18"/>
      <c r="W225" s="18"/>
      <c r="X225" s="18" t="s">
        <v>2381</v>
      </c>
      <c r="Y225" s="18" t="s">
        <v>2381</v>
      </c>
      <c r="Z225" s="18" t="s">
        <v>398</v>
      </c>
      <c r="AA225" s="18" t="s">
        <v>2382</v>
      </c>
      <c r="AB225" s="18" t="s">
        <v>2174</v>
      </c>
      <c r="AC225" s="18" t="s">
        <v>2175</v>
      </c>
      <c r="AD225" s="18" t="s">
        <v>2383</v>
      </c>
      <c r="AE225" s="18" t="s">
        <v>403</v>
      </c>
      <c r="AF225" s="18" t="s">
        <v>404</v>
      </c>
      <c r="AG225" s="18" t="s">
        <v>405</v>
      </c>
      <c r="AH225" s="18" t="s">
        <v>406</v>
      </c>
      <c r="AI225" s="18" t="s">
        <v>407</v>
      </c>
      <c r="AJ225" s="18" t="s">
        <v>403</v>
      </c>
      <c r="AK225" s="18" t="s">
        <v>409</v>
      </c>
      <c r="AL225" s="18" t="s">
        <v>410</v>
      </c>
      <c r="AM225" s="18" t="s">
        <v>411</v>
      </c>
    </row>
    <row r="226" spans="1:39" ht="60">
      <c r="A226" s="17" t="s">
        <v>291</v>
      </c>
      <c r="B226" s="17" t="s">
        <v>383</v>
      </c>
      <c r="C226" s="17" t="s">
        <v>2317</v>
      </c>
      <c r="D226" s="17" t="s">
        <v>2348</v>
      </c>
      <c r="E226" s="17" t="s">
        <v>2338</v>
      </c>
      <c r="F226" s="17" t="s">
        <v>387</v>
      </c>
      <c r="G226" s="17">
        <v>88</v>
      </c>
      <c r="H226" s="17" t="s">
        <v>2384</v>
      </c>
      <c r="I226" s="17" t="s">
        <v>2385</v>
      </c>
      <c r="J226" s="17" t="s">
        <v>727</v>
      </c>
      <c r="K226" s="17" t="s">
        <v>2386</v>
      </c>
      <c r="L226" s="17" t="s">
        <v>557</v>
      </c>
      <c r="M226" s="17" t="s">
        <v>1190</v>
      </c>
      <c r="N226" s="17" t="s">
        <v>1262</v>
      </c>
      <c r="O226" s="17" t="s">
        <v>1263</v>
      </c>
      <c r="P226" s="17" t="s">
        <v>1264</v>
      </c>
      <c r="Q226" s="17" t="s">
        <v>1194</v>
      </c>
      <c r="R226" s="17"/>
      <c r="S226" s="48" t="str">
        <f>IFERROR(T(INDEX('Prospectos Resumen'!$K$9:$K$297,MATCH(A226,'Prospectos Resumen'!$A$9:$A$297,0))),"")</f>
        <v>VER EN ONCATIVO</v>
      </c>
      <c r="T226" s="17"/>
      <c r="U226" s="17"/>
      <c r="V226" s="17"/>
      <c r="W226" s="17"/>
      <c r="X226" s="17" t="s">
        <v>2387</v>
      </c>
      <c r="Y226" s="17" t="s">
        <v>2387</v>
      </c>
      <c r="Z226" s="17" t="s">
        <v>1389</v>
      </c>
      <c r="AA226" s="17" t="s">
        <v>2388</v>
      </c>
      <c r="AB226" s="17" t="s">
        <v>2389</v>
      </c>
      <c r="AC226" s="17" t="s">
        <v>2390</v>
      </c>
      <c r="AD226" s="17" t="s">
        <v>2391</v>
      </c>
      <c r="AE226" s="17" t="s">
        <v>566</v>
      </c>
      <c r="AF226" s="17" t="s">
        <v>1201</v>
      </c>
      <c r="AG226" s="17" t="s">
        <v>1202</v>
      </c>
      <c r="AH226" s="17" t="s">
        <v>743</v>
      </c>
      <c r="AI226" s="17" t="s">
        <v>407</v>
      </c>
      <c r="AJ226" s="17" t="s">
        <v>403</v>
      </c>
      <c r="AK226" s="17" t="s">
        <v>1203</v>
      </c>
      <c r="AL226" s="17" t="s">
        <v>1204</v>
      </c>
      <c r="AM226" s="17" t="s">
        <v>1205</v>
      </c>
    </row>
    <row r="227" spans="1:39" ht="48">
      <c r="A227" s="18" t="s">
        <v>292</v>
      </c>
      <c r="B227" s="18" t="s">
        <v>383</v>
      </c>
      <c r="C227" s="18" t="s">
        <v>2317</v>
      </c>
      <c r="D227" s="18" t="s">
        <v>2348</v>
      </c>
      <c r="E227" s="18" t="s">
        <v>2338</v>
      </c>
      <c r="F227" s="18" t="s">
        <v>387</v>
      </c>
      <c r="G227" s="18">
        <v>85</v>
      </c>
      <c r="H227" s="18" t="s">
        <v>2392</v>
      </c>
      <c r="I227" s="18" t="s">
        <v>2393</v>
      </c>
      <c r="J227" s="18" t="s">
        <v>535</v>
      </c>
      <c r="K227" s="18" t="s">
        <v>2394</v>
      </c>
      <c r="L227" s="18" t="s">
        <v>391</v>
      </c>
      <c r="M227" s="18" t="s">
        <v>537</v>
      </c>
      <c r="N227" s="18" t="s">
        <v>469</v>
      </c>
      <c r="O227" s="18" t="s">
        <v>1069</v>
      </c>
      <c r="P227" s="18" t="s">
        <v>2395</v>
      </c>
      <c r="Q227" s="18" t="s">
        <v>440</v>
      </c>
      <c r="R227" s="18"/>
      <c r="S227" s="48" t="str">
        <f>IFERROR(T(INDEX('Prospectos Resumen'!$K$9:$K$297,MATCH(A227,'Prospectos Resumen'!$A$9:$A$297,0))),"")</f>
        <v/>
      </c>
      <c r="T227" s="18"/>
      <c r="U227" s="18"/>
      <c r="V227" s="18"/>
      <c r="W227" s="18"/>
      <c r="X227" s="18" t="s">
        <v>2396</v>
      </c>
      <c r="Y227" s="18" t="s">
        <v>2396</v>
      </c>
      <c r="Z227" s="18" t="s">
        <v>443</v>
      </c>
      <c r="AA227" s="18" t="s">
        <v>2397</v>
      </c>
      <c r="AB227" s="18" t="s">
        <v>531</v>
      </c>
      <c r="AC227" s="18" t="s">
        <v>2398</v>
      </c>
      <c r="AD227" s="18" t="s">
        <v>2395</v>
      </c>
      <c r="AE227" s="18" t="s">
        <v>403</v>
      </c>
      <c r="AF227" s="18" t="s">
        <v>447</v>
      </c>
      <c r="AG227" s="18" t="s">
        <v>544</v>
      </c>
      <c r="AH227" s="18" t="s">
        <v>1029</v>
      </c>
      <c r="AI227" s="18" t="s">
        <v>407</v>
      </c>
      <c r="AJ227" s="18" t="s">
        <v>408</v>
      </c>
      <c r="AK227" s="18" t="s">
        <v>1064</v>
      </c>
      <c r="AL227" s="18" t="s">
        <v>450</v>
      </c>
      <c r="AM227" s="18"/>
    </row>
    <row r="228" spans="1:39" ht="48">
      <c r="A228" s="17" t="s">
        <v>293</v>
      </c>
      <c r="B228" s="17" t="s">
        <v>383</v>
      </c>
      <c r="C228" s="17" t="s">
        <v>2317</v>
      </c>
      <c r="D228" s="17" t="s">
        <v>2348</v>
      </c>
      <c r="E228" s="17" t="s">
        <v>2338</v>
      </c>
      <c r="F228" s="17" t="s">
        <v>387</v>
      </c>
      <c r="G228" s="17">
        <v>85</v>
      </c>
      <c r="H228" s="17" t="s">
        <v>2399</v>
      </c>
      <c r="I228" s="17" t="s">
        <v>2400</v>
      </c>
      <c r="J228" s="17" t="s">
        <v>785</v>
      </c>
      <c r="K228" s="17" t="s">
        <v>2401</v>
      </c>
      <c r="L228" s="17" t="s">
        <v>391</v>
      </c>
      <c r="M228" s="17" t="s">
        <v>537</v>
      </c>
      <c r="N228" s="17" t="s">
        <v>469</v>
      </c>
      <c r="O228" s="17" t="s">
        <v>1069</v>
      </c>
      <c r="P228" s="17" t="s">
        <v>2402</v>
      </c>
      <c r="Q228" s="17" t="s">
        <v>440</v>
      </c>
      <c r="R228" s="17"/>
      <c r="S228" s="48" t="str">
        <f>IFERROR(T(INDEX('Prospectos Resumen'!$K$9:$K$297,MATCH(A228,'Prospectos Resumen'!$A$9:$A$297,0))),"")</f>
        <v/>
      </c>
      <c r="T228" s="17"/>
      <c r="U228" s="17"/>
      <c r="V228" s="17"/>
      <c r="W228" s="17"/>
      <c r="X228" s="17" t="s">
        <v>2403</v>
      </c>
      <c r="Y228" s="17" t="s">
        <v>2403</v>
      </c>
      <c r="Z228" s="17" t="s">
        <v>443</v>
      </c>
      <c r="AA228" s="17" t="s">
        <v>2404</v>
      </c>
      <c r="AB228" s="17" t="s">
        <v>531</v>
      </c>
      <c r="AC228" s="17" t="s">
        <v>2405</v>
      </c>
      <c r="AD228" s="17" t="s">
        <v>2402</v>
      </c>
      <c r="AE228" s="17" t="s">
        <v>403</v>
      </c>
      <c r="AF228" s="17" t="s">
        <v>447</v>
      </c>
      <c r="AG228" s="17" t="s">
        <v>463</v>
      </c>
      <c r="AH228" s="17" t="s">
        <v>1029</v>
      </c>
      <c r="AI228" s="17" t="s">
        <v>407</v>
      </c>
      <c r="AJ228" s="17" t="s">
        <v>408</v>
      </c>
      <c r="AK228" s="17" t="s">
        <v>1064</v>
      </c>
      <c r="AL228" s="17" t="s">
        <v>450</v>
      </c>
      <c r="AM228" s="17"/>
    </row>
    <row r="229" spans="1:39" ht="48">
      <c r="A229" s="18" t="s">
        <v>294</v>
      </c>
      <c r="B229" s="18" t="s">
        <v>383</v>
      </c>
      <c r="C229" s="18" t="s">
        <v>2317</v>
      </c>
      <c r="D229" s="18" t="s">
        <v>2348</v>
      </c>
      <c r="E229" s="18" t="s">
        <v>2338</v>
      </c>
      <c r="F229" s="18" t="s">
        <v>387</v>
      </c>
      <c r="G229" s="18">
        <v>85</v>
      </c>
      <c r="H229" s="18" t="s">
        <v>2406</v>
      </c>
      <c r="I229" s="18" t="s">
        <v>604</v>
      </c>
      <c r="J229" s="18" t="s">
        <v>23</v>
      </c>
      <c r="K229" s="18" t="s">
        <v>2407</v>
      </c>
      <c r="L229" s="18" t="s">
        <v>391</v>
      </c>
      <c r="M229" s="18" t="s">
        <v>624</v>
      </c>
      <c r="N229" s="18" t="s">
        <v>625</v>
      </c>
      <c r="O229" s="18" t="s">
        <v>626</v>
      </c>
      <c r="P229" s="18" t="s">
        <v>2408</v>
      </c>
      <c r="Q229" s="18" t="s">
        <v>440</v>
      </c>
      <c r="R229" s="18"/>
      <c r="S229" s="48" t="str">
        <f>IFERROR(T(INDEX('Prospectos Resumen'!$K$9:$K$297,MATCH(A229,'Prospectos Resumen'!$A$9:$A$297,0))),"")</f>
        <v/>
      </c>
      <c r="T229" s="18"/>
      <c r="U229" s="18"/>
      <c r="V229" s="18"/>
      <c r="W229" s="18"/>
      <c r="X229" s="18" t="s">
        <v>2409</v>
      </c>
      <c r="Y229" s="18" t="s">
        <v>2409</v>
      </c>
      <c r="Z229" s="18" t="s">
        <v>443</v>
      </c>
      <c r="AA229" s="18" t="s">
        <v>2410</v>
      </c>
      <c r="AB229" s="18" t="s">
        <v>531</v>
      </c>
      <c r="AC229" s="18" t="s">
        <v>2411</v>
      </c>
      <c r="AD229" s="18" t="s">
        <v>2408</v>
      </c>
      <c r="AE229" s="18" t="s">
        <v>403</v>
      </c>
      <c r="AF229" s="18" t="s">
        <v>447</v>
      </c>
      <c r="AG229" s="18" t="s">
        <v>463</v>
      </c>
      <c r="AH229" s="18" t="s">
        <v>449</v>
      </c>
      <c r="AI229" s="18" t="s">
        <v>407</v>
      </c>
      <c r="AJ229" s="18" t="s">
        <v>408</v>
      </c>
      <c r="AK229" s="18"/>
      <c r="AL229" s="18" t="s">
        <v>450</v>
      </c>
      <c r="AM229" s="18"/>
    </row>
    <row r="230" spans="1:39" ht="48">
      <c r="A230" s="17" t="s">
        <v>295</v>
      </c>
      <c r="B230" s="17" t="s">
        <v>383</v>
      </c>
      <c r="C230" s="17" t="s">
        <v>2317</v>
      </c>
      <c r="D230" s="17" t="s">
        <v>2348</v>
      </c>
      <c r="E230" s="17" t="s">
        <v>2338</v>
      </c>
      <c r="F230" s="17" t="s">
        <v>387</v>
      </c>
      <c r="G230" s="17">
        <v>85</v>
      </c>
      <c r="H230" s="17" t="s">
        <v>2412</v>
      </c>
      <c r="I230" s="17" t="s">
        <v>2413</v>
      </c>
      <c r="J230" s="17" t="s">
        <v>785</v>
      </c>
      <c r="K230" s="17" t="s">
        <v>2414</v>
      </c>
      <c r="L230" s="17" t="s">
        <v>391</v>
      </c>
      <c r="M230" s="17" t="s">
        <v>537</v>
      </c>
      <c r="N230" s="17" t="s">
        <v>469</v>
      </c>
      <c r="O230" s="17" t="s">
        <v>1069</v>
      </c>
      <c r="P230" s="17" t="s">
        <v>2415</v>
      </c>
      <c r="Q230" s="17" t="s">
        <v>440</v>
      </c>
      <c r="R230" s="17"/>
      <c r="S230" s="48" t="str">
        <f>IFERROR(T(INDEX('Prospectos Resumen'!$K$9:$K$297,MATCH(A230,'Prospectos Resumen'!$A$9:$A$297,0))),"")</f>
        <v/>
      </c>
      <c r="T230" s="17"/>
      <c r="U230" s="17"/>
      <c r="V230" s="17"/>
      <c r="W230" s="17"/>
      <c r="X230" s="17" t="s">
        <v>2416</v>
      </c>
      <c r="Y230" s="17" t="s">
        <v>2416</v>
      </c>
      <c r="Z230" s="17" t="s">
        <v>443</v>
      </c>
      <c r="AA230" s="17" t="s">
        <v>2417</v>
      </c>
      <c r="AB230" s="17" t="s">
        <v>531</v>
      </c>
      <c r="AC230" s="17" t="s">
        <v>2418</v>
      </c>
      <c r="AD230" s="17" t="s">
        <v>2415</v>
      </c>
      <c r="AE230" s="17" t="s">
        <v>403</v>
      </c>
      <c r="AF230" s="17" t="s">
        <v>447</v>
      </c>
      <c r="AG230" s="17" t="s">
        <v>463</v>
      </c>
      <c r="AH230" s="17" t="s">
        <v>1029</v>
      </c>
      <c r="AI230" s="17" t="s">
        <v>407</v>
      </c>
      <c r="AJ230" s="17" t="s">
        <v>408</v>
      </c>
      <c r="AK230" s="17" t="s">
        <v>480</v>
      </c>
      <c r="AL230" s="17" t="s">
        <v>450</v>
      </c>
      <c r="AM230" s="17"/>
    </row>
    <row r="231" spans="1:39" ht="84">
      <c r="A231" s="18" t="s">
        <v>296</v>
      </c>
      <c r="B231" s="18" t="s">
        <v>383</v>
      </c>
      <c r="C231" s="18" t="s">
        <v>2317</v>
      </c>
      <c r="D231" s="18" t="s">
        <v>2348</v>
      </c>
      <c r="E231" s="18" t="s">
        <v>2338</v>
      </c>
      <c r="F231" s="18" t="s">
        <v>724</v>
      </c>
      <c r="G231" s="18">
        <v>81</v>
      </c>
      <c r="H231" s="18" t="s">
        <v>2419</v>
      </c>
      <c r="I231" s="18" t="s">
        <v>2420</v>
      </c>
      <c r="J231" s="18" t="s">
        <v>453</v>
      </c>
      <c r="K231" s="18" t="s">
        <v>2421</v>
      </c>
      <c r="L231" s="18" t="s">
        <v>391</v>
      </c>
      <c r="M231" s="18" t="s">
        <v>455</v>
      </c>
      <c r="N231" s="18" t="s">
        <v>518</v>
      </c>
      <c r="O231" s="18" t="s">
        <v>519</v>
      </c>
      <c r="P231" s="18" t="s">
        <v>2422</v>
      </c>
      <c r="Q231" s="18" t="s">
        <v>777</v>
      </c>
      <c r="R231" s="18"/>
      <c r="S231" s="48" t="str">
        <f>IFERROR(T(INDEX('Prospectos Resumen'!$K$9:$K$297,MATCH(A231,'Prospectos Resumen'!$A$9:$A$297,0))),"")</f>
        <v/>
      </c>
      <c r="T231" s="18"/>
      <c r="U231" s="18"/>
      <c r="V231" s="18"/>
      <c r="W231" s="18"/>
      <c r="X231" s="18" t="s">
        <v>2423</v>
      </c>
      <c r="Y231" s="18" t="s">
        <v>2423</v>
      </c>
      <c r="Z231" s="18" t="s">
        <v>443</v>
      </c>
      <c r="AA231" s="18" t="s">
        <v>2424</v>
      </c>
      <c r="AB231" s="18" t="s">
        <v>2425</v>
      </c>
      <c r="AC231" s="18" t="s">
        <v>2426</v>
      </c>
      <c r="AD231" s="18" t="s">
        <v>2427</v>
      </c>
      <c r="AE231" s="18" t="s">
        <v>403</v>
      </c>
      <c r="AF231" s="18" t="s">
        <v>447</v>
      </c>
      <c r="AG231" s="18" t="s">
        <v>448</v>
      </c>
      <c r="AH231" s="18" t="s">
        <v>464</v>
      </c>
      <c r="AI231" s="18" t="s">
        <v>407</v>
      </c>
      <c r="AJ231" s="18" t="s">
        <v>403</v>
      </c>
      <c r="AK231" s="18" t="s">
        <v>1724</v>
      </c>
      <c r="AL231" s="18" t="s">
        <v>431</v>
      </c>
      <c r="AM231" s="18" t="s">
        <v>2428</v>
      </c>
    </row>
    <row r="232" spans="1:39" ht="48">
      <c r="A232" s="17" t="s">
        <v>297</v>
      </c>
      <c r="B232" s="17" t="s">
        <v>383</v>
      </c>
      <c r="C232" s="17" t="s">
        <v>2317</v>
      </c>
      <c r="D232" s="17" t="s">
        <v>2338</v>
      </c>
      <c r="E232" s="17" t="s">
        <v>2338</v>
      </c>
      <c r="F232" s="17" t="s">
        <v>724</v>
      </c>
      <c r="G232" s="17">
        <v>75</v>
      </c>
      <c r="H232" s="17" t="s">
        <v>2429</v>
      </c>
      <c r="I232" s="17" t="s">
        <v>2430</v>
      </c>
      <c r="J232" s="17" t="s">
        <v>535</v>
      </c>
      <c r="K232" s="17" t="s">
        <v>2431</v>
      </c>
      <c r="L232" s="17" t="s">
        <v>391</v>
      </c>
      <c r="M232" s="17" t="s">
        <v>537</v>
      </c>
      <c r="N232" s="17" t="s">
        <v>469</v>
      </c>
      <c r="O232" s="17" t="s">
        <v>538</v>
      </c>
      <c r="P232" s="17" t="s">
        <v>2432</v>
      </c>
      <c r="Q232" s="17" t="s">
        <v>420</v>
      </c>
      <c r="R232" s="17"/>
      <c r="S232" s="48" t="str">
        <f>IFERROR(T(INDEX('Prospectos Resumen'!$K$9:$K$297,MATCH(A232,'Prospectos Resumen'!$A$9:$A$297,0))),"")</f>
        <v/>
      </c>
      <c r="T232" s="17"/>
      <c r="U232" s="17"/>
      <c r="V232" s="17"/>
      <c r="W232" s="17"/>
      <c r="X232" s="17" t="s">
        <v>2433</v>
      </c>
      <c r="Y232" s="17" t="s">
        <v>2433</v>
      </c>
      <c r="Z232" s="17" t="s">
        <v>423</v>
      </c>
      <c r="AA232" s="17" t="s">
        <v>2434</v>
      </c>
      <c r="AB232" s="17" t="s">
        <v>2435</v>
      </c>
      <c r="AC232" s="17" t="s">
        <v>2436</v>
      </c>
      <c r="AD232" s="17" t="s">
        <v>2437</v>
      </c>
      <c r="AE232" s="17" t="s">
        <v>403</v>
      </c>
      <c r="AF232" s="17" t="s">
        <v>427</v>
      </c>
      <c r="AG232" s="17" t="s">
        <v>544</v>
      </c>
      <c r="AH232" s="17" t="s">
        <v>1029</v>
      </c>
      <c r="AI232" s="17" t="s">
        <v>407</v>
      </c>
      <c r="AJ232" s="17" t="s">
        <v>403</v>
      </c>
      <c r="AK232" s="17" t="s">
        <v>1030</v>
      </c>
      <c r="AL232" s="17" t="s">
        <v>431</v>
      </c>
      <c r="AM232" s="17" t="s">
        <v>432</v>
      </c>
    </row>
    <row r="233" spans="1:39" ht="48">
      <c r="A233" s="18" t="s">
        <v>298</v>
      </c>
      <c r="B233" s="18" t="s">
        <v>383</v>
      </c>
      <c r="C233" s="18" t="s">
        <v>2317</v>
      </c>
      <c r="D233" s="18" t="s">
        <v>2348</v>
      </c>
      <c r="E233" s="18" t="s">
        <v>2338</v>
      </c>
      <c r="F233" s="18" t="s">
        <v>724</v>
      </c>
      <c r="G233" s="18">
        <v>75</v>
      </c>
      <c r="H233" s="18" t="s">
        <v>2438</v>
      </c>
      <c r="I233" s="18" t="s">
        <v>2439</v>
      </c>
      <c r="J233" s="18" t="s">
        <v>23</v>
      </c>
      <c r="K233" s="18" t="s">
        <v>2440</v>
      </c>
      <c r="L233" s="18" t="s">
        <v>557</v>
      </c>
      <c r="M233" s="18" t="s">
        <v>624</v>
      </c>
      <c r="N233" s="18" t="s">
        <v>625</v>
      </c>
      <c r="O233" s="18" t="s">
        <v>626</v>
      </c>
      <c r="P233" s="18" t="s">
        <v>2441</v>
      </c>
      <c r="Q233" s="18" t="s">
        <v>777</v>
      </c>
      <c r="R233" s="18"/>
      <c r="S233" s="48" t="str">
        <f>IFERROR(T(INDEX('Prospectos Resumen'!$K$9:$K$297,MATCH(A233,'Prospectos Resumen'!$A$9:$A$297,0))),"")</f>
        <v/>
      </c>
      <c r="T233" s="18"/>
      <c r="U233" s="18"/>
      <c r="V233" s="18"/>
      <c r="W233" s="18"/>
      <c r="X233" s="18" t="s">
        <v>2442</v>
      </c>
      <c r="Y233" s="18" t="s">
        <v>2442</v>
      </c>
      <c r="Z233" s="18" t="s">
        <v>443</v>
      </c>
      <c r="AA233" s="18" t="s">
        <v>2443</v>
      </c>
      <c r="AB233" s="18" t="s">
        <v>2444</v>
      </c>
      <c r="AC233" s="18" t="s">
        <v>2445</v>
      </c>
      <c r="AD233" s="18" t="s">
        <v>2441</v>
      </c>
      <c r="AE233" s="18" t="s">
        <v>566</v>
      </c>
      <c r="AF233" s="18" t="s">
        <v>447</v>
      </c>
      <c r="AG233" s="18" t="s">
        <v>463</v>
      </c>
      <c r="AH233" s="18" t="s">
        <v>449</v>
      </c>
      <c r="AI233" s="18" t="s">
        <v>407</v>
      </c>
      <c r="AJ233" s="18" t="s">
        <v>403</v>
      </c>
      <c r="AK233" s="18"/>
      <c r="AL233" s="18" t="s">
        <v>450</v>
      </c>
      <c r="AM233" s="18" t="s">
        <v>2446</v>
      </c>
    </row>
    <row r="234" spans="1:39" ht="48">
      <c r="A234" s="17" t="s">
        <v>299</v>
      </c>
      <c r="B234" s="17" t="s">
        <v>383</v>
      </c>
      <c r="C234" s="17" t="s">
        <v>2317</v>
      </c>
      <c r="D234" s="17" t="s">
        <v>2348</v>
      </c>
      <c r="E234" s="17" t="s">
        <v>2338</v>
      </c>
      <c r="F234" s="17" t="s">
        <v>724</v>
      </c>
      <c r="G234" s="17">
        <v>75</v>
      </c>
      <c r="H234" s="17" t="s">
        <v>2447</v>
      </c>
      <c r="I234" s="17" t="s">
        <v>1860</v>
      </c>
      <c r="J234" s="17" t="s">
        <v>23</v>
      </c>
      <c r="K234" s="17" t="s">
        <v>2448</v>
      </c>
      <c r="L234" s="17" t="s">
        <v>557</v>
      </c>
      <c r="M234" s="17" t="s">
        <v>392</v>
      </c>
      <c r="N234" s="17" t="s">
        <v>571</v>
      </c>
      <c r="O234" s="17" t="s">
        <v>572</v>
      </c>
      <c r="P234" s="17" t="s">
        <v>573</v>
      </c>
      <c r="Q234" s="17" t="s">
        <v>873</v>
      </c>
      <c r="R234" s="17"/>
      <c r="S234" s="48" t="str">
        <f>IFERROR(T(INDEX('Prospectos Resumen'!$K$9:$K$297,MATCH(A234,'Prospectos Resumen'!$A$9:$A$297,0))),"")</f>
        <v/>
      </c>
      <c r="T234" s="17"/>
      <c r="U234" s="17"/>
      <c r="V234" s="17"/>
      <c r="W234" s="17"/>
      <c r="X234" s="17" t="s">
        <v>2449</v>
      </c>
      <c r="Y234" s="17" t="s">
        <v>2449</v>
      </c>
      <c r="Z234" s="17" t="s">
        <v>695</v>
      </c>
      <c r="AA234" s="17" t="s">
        <v>2450</v>
      </c>
      <c r="AB234" s="17" t="s">
        <v>2451</v>
      </c>
      <c r="AC234" s="17" t="s">
        <v>2450</v>
      </c>
      <c r="AD234" s="17" t="s">
        <v>2452</v>
      </c>
      <c r="AE234" s="17" t="s">
        <v>566</v>
      </c>
      <c r="AF234" s="17" t="s">
        <v>404</v>
      </c>
      <c r="AG234" s="17" t="s">
        <v>405</v>
      </c>
      <c r="AH234" s="17" t="s">
        <v>406</v>
      </c>
      <c r="AI234" s="17" t="s">
        <v>407</v>
      </c>
      <c r="AJ234" s="17" t="s">
        <v>566</v>
      </c>
      <c r="AK234" s="17" t="s">
        <v>409</v>
      </c>
      <c r="AL234" s="17" t="s">
        <v>410</v>
      </c>
      <c r="AM234" s="17" t="s">
        <v>411</v>
      </c>
    </row>
    <row r="235" spans="1:39" ht="48">
      <c r="A235" s="18" t="s">
        <v>300</v>
      </c>
      <c r="B235" s="18" t="s">
        <v>383</v>
      </c>
      <c r="C235" s="18" t="s">
        <v>2317</v>
      </c>
      <c r="D235" s="18" t="s">
        <v>2348</v>
      </c>
      <c r="E235" s="18" t="s">
        <v>2338</v>
      </c>
      <c r="F235" s="18" t="s">
        <v>724</v>
      </c>
      <c r="G235" s="18">
        <v>75</v>
      </c>
      <c r="H235" s="18" t="s">
        <v>2453</v>
      </c>
      <c r="I235" s="18" t="s">
        <v>1744</v>
      </c>
      <c r="J235" s="18" t="s">
        <v>484</v>
      </c>
      <c r="K235" s="18" t="s">
        <v>2454</v>
      </c>
      <c r="L235" s="18" t="s">
        <v>391</v>
      </c>
      <c r="M235" s="18" t="s">
        <v>614</v>
      </c>
      <c r="N235" s="18" t="s">
        <v>615</v>
      </c>
      <c r="O235" s="18" t="s">
        <v>616</v>
      </c>
      <c r="P235" s="18" t="s">
        <v>2455</v>
      </c>
      <c r="Q235" s="18" t="s">
        <v>777</v>
      </c>
      <c r="R235" s="18"/>
      <c r="S235" s="48" t="str">
        <f>IFERROR(T(INDEX('Prospectos Resumen'!$K$9:$K$297,MATCH(A235,'Prospectos Resumen'!$A$9:$A$297,0))),"")</f>
        <v/>
      </c>
      <c r="T235" s="18"/>
      <c r="U235" s="18"/>
      <c r="V235" s="18"/>
      <c r="W235" s="18"/>
      <c r="X235" s="18" t="s">
        <v>2456</v>
      </c>
      <c r="Y235" s="18" t="s">
        <v>2456</v>
      </c>
      <c r="Z235" s="18" t="s">
        <v>443</v>
      </c>
      <c r="AA235" s="18" t="s">
        <v>2457</v>
      </c>
      <c r="AB235" s="18" t="s">
        <v>531</v>
      </c>
      <c r="AC235" s="18" t="s">
        <v>2457</v>
      </c>
      <c r="AD235" s="18" t="s">
        <v>2455</v>
      </c>
      <c r="AE235" s="18" t="s">
        <v>403</v>
      </c>
      <c r="AF235" s="18" t="s">
        <v>447</v>
      </c>
      <c r="AG235" s="18" t="s">
        <v>428</v>
      </c>
      <c r="AH235" s="18" t="s">
        <v>429</v>
      </c>
      <c r="AI235" s="18" t="s">
        <v>407</v>
      </c>
      <c r="AJ235" s="18" t="s">
        <v>403</v>
      </c>
      <c r="AK235" s="18"/>
      <c r="AL235" s="18" t="s">
        <v>450</v>
      </c>
      <c r="AM235" s="18" t="s">
        <v>2458</v>
      </c>
    </row>
    <row r="236" spans="1:39" ht="48">
      <c r="A236" s="17" t="s">
        <v>301</v>
      </c>
      <c r="B236" s="17" t="s">
        <v>383</v>
      </c>
      <c r="C236" s="17" t="s">
        <v>2317</v>
      </c>
      <c r="D236" s="17" t="s">
        <v>2338</v>
      </c>
      <c r="E236" s="17" t="s">
        <v>2338</v>
      </c>
      <c r="F236" s="17" t="s">
        <v>724</v>
      </c>
      <c r="G236" s="17">
        <v>75</v>
      </c>
      <c r="H236" s="17" t="s">
        <v>2459</v>
      </c>
      <c r="I236" s="17" t="s">
        <v>2460</v>
      </c>
      <c r="J236" s="17" t="s">
        <v>23</v>
      </c>
      <c r="K236" s="17" t="s">
        <v>2461</v>
      </c>
      <c r="L236" s="17" t="s">
        <v>391</v>
      </c>
      <c r="M236" s="17" t="s">
        <v>537</v>
      </c>
      <c r="N236" s="17" t="s">
        <v>805</v>
      </c>
      <c r="O236" s="17" t="s">
        <v>538</v>
      </c>
      <c r="P236" s="17" t="s">
        <v>2462</v>
      </c>
      <c r="Q236" s="17" t="s">
        <v>420</v>
      </c>
      <c r="R236" s="17"/>
      <c r="S236" s="48" t="str">
        <f>IFERROR(T(INDEX('Prospectos Resumen'!$K$9:$K$297,MATCH(A236,'Prospectos Resumen'!$A$9:$A$297,0))),"")</f>
        <v/>
      </c>
      <c r="T236" s="17"/>
      <c r="U236" s="17"/>
      <c r="V236" s="17"/>
      <c r="W236" s="17"/>
      <c r="X236" s="17" t="s">
        <v>2463</v>
      </c>
      <c r="Y236" s="17" t="s">
        <v>2464</v>
      </c>
      <c r="Z236" s="17" t="s">
        <v>423</v>
      </c>
      <c r="AA236" s="17" t="s">
        <v>2465</v>
      </c>
      <c r="AB236" s="17" t="s">
        <v>2466</v>
      </c>
      <c r="AC236" s="17"/>
      <c r="AD236" s="17" t="s">
        <v>426</v>
      </c>
      <c r="AE236" s="17" t="s">
        <v>403</v>
      </c>
      <c r="AF236" s="17" t="s">
        <v>427</v>
      </c>
      <c r="AG236" s="17" t="s">
        <v>544</v>
      </c>
      <c r="AH236" s="17" t="s">
        <v>449</v>
      </c>
      <c r="AI236" s="17" t="s">
        <v>407</v>
      </c>
      <c r="AJ236" s="17" t="s">
        <v>403</v>
      </c>
      <c r="AK236" s="17"/>
      <c r="AL236" s="17" t="s">
        <v>431</v>
      </c>
      <c r="AM236" s="17" t="s">
        <v>2467</v>
      </c>
    </row>
    <row r="237" spans="1:39" ht="48">
      <c r="A237" s="18" t="s">
        <v>302</v>
      </c>
      <c r="B237" s="18" t="s">
        <v>383</v>
      </c>
      <c r="C237" s="18" t="s">
        <v>2317</v>
      </c>
      <c r="D237" s="18" t="s">
        <v>2348</v>
      </c>
      <c r="E237" s="18" t="s">
        <v>2338</v>
      </c>
      <c r="F237" s="18" t="s">
        <v>724</v>
      </c>
      <c r="G237" s="18">
        <v>75</v>
      </c>
      <c r="H237" s="18" t="s">
        <v>2468</v>
      </c>
      <c r="I237" s="18" t="s">
        <v>2469</v>
      </c>
      <c r="J237" s="18" t="s">
        <v>453</v>
      </c>
      <c r="K237" s="18" t="s">
        <v>2470</v>
      </c>
      <c r="L237" s="18" t="s">
        <v>391</v>
      </c>
      <c r="M237" s="18" t="s">
        <v>455</v>
      </c>
      <c r="N237" s="18" t="s">
        <v>518</v>
      </c>
      <c r="O237" s="18" t="s">
        <v>519</v>
      </c>
      <c r="P237" s="18" t="s">
        <v>2471</v>
      </c>
      <c r="Q237" s="18" t="s">
        <v>777</v>
      </c>
      <c r="R237" s="18"/>
      <c r="S237" s="48" t="str">
        <f>IFERROR(T(INDEX('Prospectos Resumen'!$K$9:$K$297,MATCH(A237,'Prospectos Resumen'!$A$9:$A$297,0))),"")</f>
        <v/>
      </c>
      <c r="T237" s="18"/>
      <c r="U237" s="18"/>
      <c r="V237" s="18"/>
      <c r="W237" s="18"/>
      <c r="X237" s="18" t="s">
        <v>2472</v>
      </c>
      <c r="Y237" s="18" t="s">
        <v>2472</v>
      </c>
      <c r="Z237" s="18" t="s">
        <v>443</v>
      </c>
      <c r="AA237" s="18" t="s">
        <v>2473</v>
      </c>
      <c r="AB237" s="18" t="s">
        <v>531</v>
      </c>
      <c r="AC237" s="18" t="s">
        <v>2474</v>
      </c>
      <c r="AD237" s="18" t="s">
        <v>2471</v>
      </c>
      <c r="AE237" s="18" t="s">
        <v>403</v>
      </c>
      <c r="AF237" s="18" t="s">
        <v>447</v>
      </c>
      <c r="AG237" s="18" t="s">
        <v>448</v>
      </c>
      <c r="AH237" s="18" t="s">
        <v>464</v>
      </c>
      <c r="AI237" s="18" t="s">
        <v>407</v>
      </c>
      <c r="AJ237" s="18" t="s">
        <v>403</v>
      </c>
      <c r="AK237" s="18"/>
      <c r="AL237" s="18" t="s">
        <v>450</v>
      </c>
      <c r="AM237" s="18" t="s">
        <v>2475</v>
      </c>
    </row>
    <row r="238" spans="1:39" ht="60">
      <c r="A238" s="17" t="s">
        <v>303</v>
      </c>
      <c r="B238" s="17" t="s">
        <v>383</v>
      </c>
      <c r="C238" s="17" t="s">
        <v>2317</v>
      </c>
      <c r="D238" s="17" t="s">
        <v>2348</v>
      </c>
      <c r="E238" s="17" t="s">
        <v>2338</v>
      </c>
      <c r="F238" s="17" t="s">
        <v>724</v>
      </c>
      <c r="G238" s="17">
        <v>75</v>
      </c>
      <c r="H238" s="17" t="s">
        <v>2476</v>
      </c>
      <c r="I238" s="17" t="s">
        <v>23</v>
      </c>
      <c r="J238" s="17" t="s">
        <v>23</v>
      </c>
      <c r="K238" s="17" t="s">
        <v>2477</v>
      </c>
      <c r="L238" s="17" t="s">
        <v>391</v>
      </c>
      <c r="M238" s="17" t="s">
        <v>624</v>
      </c>
      <c r="N238" s="17" t="s">
        <v>625</v>
      </c>
      <c r="O238" s="17" t="s">
        <v>626</v>
      </c>
      <c r="P238" s="17" t="s">
        <v>2478</v>
      </c>
      <c r="Q238" s="17" t="s">
        <v>777</v>
      </c>
      <c r="R238" s="17"/>
      <c r="S238" s="48" t="str">
        <f>IFERROR(T(INDEX('Prospectos Resumen'!$K$9:$K$297,MATCH(A238,'Prospectos Resumen'!$A$9:$A$297,0))),"")</f>
        <v>TOTI CONTI DUEÑO</v>
      </c>
      <c r="T238" s="17"/>
      <c r="U238" s="17"/>
      <c r="V238" s="17"/>
      <c r="W238" s="17"/>
      <c r="X238" s="17" t="s">
        <v>2479</v>
      </c>
      <c r="Y238" s="17" t="s">
        <v>2479</v>
      </c>
      <c r="Z238" s="17" t="s">
        <v>443</v>
      </c>
      <c r="AA238" s="17" t="s">
        <v>2480</v>
      </c>
      <c r="AB238" s="17" t="s">
        <v>531</v>
      </c>
      <c r="AC238" s="17" t="s">
        <v>2481</v>
      </c>
      <c r="AD238" s="17" t="s">
        <v>2478</v>
      </c>
      <c r="AE238" s="17" t="s">
        <v>403</v>
      </c>
      <c r="AF238" s="17" t="s">
        <v>447</v>
      </c>
      <c r="AG238" s="17" t="s">
        <v>463</v>
      </c>
      <c r="AH238" s="17" t="s">
        <v>449</v>
      </c>
      <c r="AI238" s="17" t="s">
        <v>407</v>
      </c>
      <c r="AJ238" s="17" t="s">
        <v>403</v>
      </c>
      <c r="AK238" s="17"/>
      <c r="AL238" s="17" t="s">
        <v>450</v>
      </c>
      <c r="AM238" s="17" t="s">
        <v>2482</v>
      </c>
    </row>
    <row r="239" spans="1:39" ht="48">
      <c r="A239" s="18" t="s">
        <v>304</v>
      </c>
      <c r="B239" s="18" t="s">
        <v>383</v>
      </c>
      <c r="C239" s="18" t="s">
        <v>2317</v>
      </c>
      <c r="D239" s="18" t="s">
        <v>2338</v>
      </c>
      <c r="E239" s="18" t="s">
        <v>2338</v>
      </c>
      <c r="F239" s="18" t="s">
        <v>992</v>
      </c>
      <c r="G239" s="18">
        <v>40</v>
      </c>
      <c r="H239" s="18" t="s">
        <v>2483</v>
      </c>
      <c r="I239" s="18" t="s">
        <v>2484</v>
      </c>
      <c r="J239" s="18" t="s">
        <v>23</v>
      </c>
      <c r="K239" s="18" t="s">
        <v>2485</v>
      </c>
      <c r="L239" s="18" t="s">
        <v>557</v>
      </c>
      <c r="M239" s="18" t="s">
        <v>537</v>
      </c>
      <c r="N239" s="18" t="s">
        <v>805</v>
      </c>
      <c r="O239" s="18" t="s">
        <v>538</v>
      </c>
      <c r="P239" s="18" t="s">
        <v>2486</v>
      </c>
      <c r="Q239" s="18" t="s">
        <v>420</v>
      </c>
      <c r="R239" s="18"/>
      <c r="S239" s="48" t="str">
        <f>IFERROR(T(INDEX('Prospectos Resumen'!$K$9:$K$297,MATCH(A239,'Prospectos Resumen'!$A$9:$A$297,0))),"")</f>
        <v/>
      </c>
      <c r="T239" s="18"/>
      <c r="U239" s="18"/>
      <c r="V239" s="18"/>
      <c r="W239" s="18"/>
      <c r="X239" s="18" t="s">
        <v>2487</v>
      </c>
      <c r="Y239" s="18" t="s">
        <v>2487</v>
      </c>
      <c r="Z239" s="18" t="s">
        <v>423</v>
      </c>
      <c r="AA239" s="18" t="s">
        <v>2488</v>
      </c>
      <c r="AB239" s="18" t="s">
        <v>2489</v>
      </c>
      <c r="AC239" s="18"/>
      <c r="AD239" s="18" t="s">
        <v>426</v>
      </c>
      <c r="AE239" s="18" t="s">
        <v>566</v>
      </c>
      <c r="AF239" s="18" t="s">
        <v>427</v>
      </c>
      <c r="AG239" s="18" t="s">
        <v>544</v>
      </c>
      <c r="AH239" s="18" t="s">
        <v>449</v>
      </c>
      <c r="AI239" s="18" t="s">
        <v>407</v>
      </c>
      <c r="AJ239" s="18" t="s">
        <v>997</v>
      </c>
      <c r="AK239" s="18"/>
      <c r="AL239" s="18" t="s">
        <v>431</v>
      </c>
      <c r="AM239" s="18" t="s">
        <v>432</v>
      </c>
    </row>
    <row r="240" spans="1:39" ht="48">
      <c r="A240" s="17" t="s">
        <v>305</v>
      </c>
      <c r="B240" s="17" t="s">
        <v>383</v>
      </c>
      <c r="C240" s="17" t="s">
        <v>2317</v>
      </c>
      <c r="D240" s="17" t="s">
        <v>2338</v>
      </c>
      <c r="E240" s="17" t="s">
        <v>2338</v>
      </c>
      <c r="F240" s="17" t="s">
        <v>992</v>
      </c>
      <c r="G240" s="17">
        <v>30</v>
      </c>
      <c r="H240" s="17" t="s">
        <v>2490</v>
      </c>
      <c r="I240" s="17" t="s">
        <v>2491</v>
      </c>
      <c r="J240" s="17" t="s">
        <v>23</v>
      </c>
      <c r="K240" s="17" t="s">
        <v>613</v>
      </c>
      <c r="L240" s="17" t="s">
        <v>613</v>
      </c>
      <c r="M240" s="17" t="s">
        <v>537</v>
      </c>
      <c r="N240" s="17" t="s">
        <v>805</v>
      </c>
      <c r="O240" s="17" t="s">
        <v>538</v>
      </c>
      <c r="P240" s="17" t="s">
        <v>2492</v>
      </c>
      <c r="Q240" s="17" t="s">
        <v>420</v>
      </c>
      <c r="R240" s="17"/>
      <c r="S240" s="48" t="str">
        <f>IFERROR(T(INDEX('Prospectos Resumen'!$K$9:$K$297,MATCH(A240,'Prospectos Resumen'!$A$9:$A$297,0))),"")</f>
        <v/>
      </c>
      <c r="T240" s="17"/>
      <c r="U240" s="17"/>
      <c r="V240" s="17"/>
      <c r="W240" s="17"/>
      <c r="X240" s="17"/>
      <c r="Y240" s="17"/>
      <c r="Z240" s="17" t="s">
        <v>423</v>
      </c>
      <c r="AA240" s="17" t="s">
        <v>2493</v>
      </c>
      <c r="AB240" s="17" t="s">
        <v>2494</v>
      </c>
      <c r="AC240" s="17"/>
      <c r="AD240" s="17" t="s">
        <v>426</v>
      </c>
      <c r="AE240" s="17" t="s">
        <v>566</v>
      </c>
      <c r="AF240" s="17" t="s">
        <v>427</v>
      </c>
      <c r="AG240" s="17" t="s">
        <v>544</v>
      </c>
      <c r="AH240" s="17" t="s">
        <v>449</v>
      </c>
      <c r="AI240" s="17" t="s">
        <v>407</v>
      </c>
      <c r="AJ240" s="17" t="s">
        <v>997</v>
      </c>
      <c r="AK240" s="17"/>
      <c r="AL240" s="17" t="s">
        <v>431</v>
      </c>
      <c r="AM240" s="17" t="s">
        <v>432</v>
      </c>
    </row>
    <row r="241" spans="1:39" ht="48">
      <c r="A241" s="7" t="s">
        <v>306</v>
      </c>
      <c r="B241" s="7" t="s">
        <v>383</v>
      </c>
      <c r="C241" s="7" t="s">
        <v>2317</v>
      </c>
      <c r="D241" s="7" t="s">
        <v>2495</v>
      </c>
      <c r="E241" s="7" t="s">
        <v>2495</v>
      </c>
      <c r="F241" s="7" t="s">
        <v>387</v>
      </c>
      <c r="G241" s="7">
        <v>100</v>
      </c>
      <c r="H241" s="7" t="s">
        <v>2496</v>
      </c>
      <c r="I241" s="7" t="s">
        <v>2497</v>
      </c>
      <c r="J241" s="7" t="s">
        <v>535</v>
      </c>
      <c r="K241" s="7" t="s">
        <v>2498</v>
      </c>
      <c r="L241" s="7" t="s">
        <v>391</v>
      </c>
      <c r="M241" s="7" t="s">
        <v>537</v>
      </c>
      <c r="N241" s="7" t="s">
        <v>469</v>
      </c>
      <c r="O241" s="7" t="s">
        <v>538</v>
      </c>
      <c r="P241" s="7" t="s">
        <v>2499</v>
      </c>
      <c r="Q241" s="7" t="s">
        <v>420</v>
      </c>
      <c r="R241" s="7"/>
      <c r="S241" s="49" t="str">
        <f>IFERROR(T(INDEX('Prospectos Resumen'!$K$9:$K$297,MATCH(A241,'Prospectos Resumen'!$A$9:$A$297,0))),"")</f>
        <v/>
      </c>
      <c r="T241" s="7"/>
      <c r="U241" s="7"/>
      <c r="V241" s="7"/>
      <c r="W241" s="7"/>
      <c r="X241" s="7" t="s">
        <v>2500</v>
      </c>
      <c r="Y241" s="7" t="s">
        <v>2501</v>
      </c>
      <c r="Z241" s="7" t="s">
        <v>423</v>
      </c>
      <c r="AA241" s="7" t="s">
        <v>2502</v>
      </c>
      <c r="AB241" s="7" t="s">
        <v>2503</v>
      </c>
      <c r="AC241" s="7"/>
      <c r="AD241" s="7" t="s">
        <v>426</v>
      </c>
      <c r="AE241" s="7" t="s">
        <v>403</v>
      </c>
      <c r="AF241" s="7" t="s">
        <v>427</v>
      </c>
      <c r="AG241" s="7" t="s">
        <v>544</v>
      </c>
      <c r="AH241" s="7" t="s">
        <v>1029</v>
      </c>
      <c r="AI241" s="7"/>
      <c r="AJ241" s="7" t="s">
        <v>408</v>
      </c>
      <c r="AK241" s="7" t="s">
        <v>1030</v>
      </c>
      <c r="AL241" s="7" t="s">
        <v>431</v>
      </c>
      <c r="AM241" s="7" t="s">
        <v>432</v>
      </c>
    </row>
    <row r="242" spans="1:39" ht="48">
      <c r="A242" s="18" t="s">
        <v>307</v>
      </c>
      <c r="B242" s="18" t="s">
        <v>383</v>
      </c>
      <c r="C242" s="18" t="s">
        <v>2317</v>
      </c>
      <c r="D242" s="18" t="s">
        <v>2495</v>
      </c>
      <c r="E242" s="18" t="s">
        <v>2495</v>
      </c>
      <c r="F242" s="18" t="s">
        <v>724</v>
      </c>
      <c r="G242" s="18">
        <v>75</v>
      </c>
      <c r="H242" s="18" t="s">
        <v>2504</v>
      </c>
      <c r="I242" s="18" t="s">
        <v>2505</v>
      </c>
      <c r="J242" s="18" t="s">
        <v>453</v>
      </c>
      <c r="K242" s="18" t="s">
        <v>2506</v>
      </c>
      <c r="L242" s="18" t="s">
        <v>391</v>
      </c>
      <c r="M242" s="18" t="s">
        <v>537</v>
      </c>
      <c r="N242" s="18" t="s">
        <v>456</v>
      </c>
      <c r="O242" s="18" t="s">
        <v>538</v>
      </c>
      <c r="P242" s="18" t="s">
        <v>2507</v>
      </c>
      <c r="Q242" s="18" t="s">
        <v>420</v>
      </c>
      <c r="R242" s="18"/>
      <c r="S242" s="48" t="str">
        <f>IFERROR(T(INDEX('Prospectos Resumen'!$K$9:$K$297,MATCH(A242,'Prospectos Resumen'!$A$9:$A$297,0))),"")</f>
        <v/>
      </c>
      <c r="T242" s="18"/>
      <c r="U242" s="18"/>
      <c r="V242" s="18"/>
      <c r="W242" s="18"/>
      <c r="X242" s="18" t="s">
        <v>2508</v>
      </c>
      <c r="Y242" s="18" t="s">
        <v>2508</v>
      </c>
      <c r="Z242" s="18" t="s">
        <v>423</v>
      </c>
      <c r="AA242" s="18" t="s">
        <v>2509</v>
      </c>
      <c r="AB242" s="18" t="s">
        <v>2510</v>
      </c>
      <c r="AC242" s="18"/>
      <c r="AD242" s="18" t="s">
        <v>426</v>
      </c>
      <c r="AE242" s="18" t="s">
        <v>403</v>
      </c>
      <c r="AF242" s="18" t="s">
        <v>427</v>
      </c>
      <c r="AG242" s="18" t="s">
        <v>544</v>
      </c>
      <c r="AH242" s="18" t="s">
        <v>464</v>
      </c>
      <c r="AI242" s="18"/>
      <c r="AJ242" s="18" t="s">
        <v>403</v>
      </c>
      <c r="AK242" s="18"/>
      <c r="AL242" s="18" t="s">
        <v>431</v>
      </c>
      <c r="AM242" s="18" t="s">
        <v>432</v>
      </c>
    </row>
    <row r="243" spans="1:39" ht="60">
      <c r="A243" s="18" t="s">
        <v>308</v>
      </c>
      <c r="B243" s="18" t="s">
        <v>383</v>
      </c>
      <c r="C243" s="18" t="s">
        <v>2317</v>
      </c>
      <c r="D243" s="18" t="s">
        <v>2511</v>
      </c>
      <c r="E243" s="18" t="s">
        <v>2512</v>
      </c>
      <c r="F243" s="18" t="s">
        <v>387</v>
      </c>
      <c r="G243" s="18">
        <v>100</v>
      </c>
      <c r="H243" s="18" t="s">
        <v>2513</v>
      </c>
      <c r="I243" s="18" t="s">
        <v>2514</v>
      </c>
      <c r="J243" s="18" t="s">
        <v>23</v>
      </c>
      <c r="K243" s="18" t="s">
        <v>2515</v>
      </c>
      <c r="L243" s="18" t="s">
        <v>391</v>
      </c>
      <c r="M243" s="18" t="s">
        <v>499</v>
      </c>
      <c r="N243" s="18" t="s">
        <v>500</v>
      </c>
      <c r="O243" s="18" t="s">
        <v>501</v>
      </c>
      <c r="P243" s="18" t="s">
        <v>502</v>
      </c>
      <c r="Q243" s="18" t="s">
        <v>503</v>
      </c>
      <c r="R243" s="18"/>
      <c r="S243" s="48" t="str">
        <f>IFERROR(T(INDEX('Prospectos Resumen'!$K$9:$K$297,MATCH(A243,'Prospectos Resumen'!$A$9:$A$297,0))),"")</f>
        <v/>
      </c>
      <c r="T243" s="18"/>
      <c r="U243" s="18"/>
      <c r="V243" s="18"/>
      <c r="W243" s="18"/>
      <c r="X243" s="18" t="s">
        <v>2516</v>
      </c>
      <c r="Y243" s="18" t="s">
        <v>2516</v>
      </c>
      <c r="Z243" s="18" t="s">
        <v>505</v>
      </c>
      <c r="AA243" s="18" t="s">
        <v>2517</v>
      </c>
      <c r="AB243" s="18" t="s">
        <v>2518</v>
      </c>
      <c r="AC243" s="18" t="s">
        <v>2519</v>
      </c>
      <c r="AD243" s="18" t="s">
        <v>2520</v>
      </c>
      <c r="AE243" s="18" t="s">
        <v>403</v>
      </c>
      <c r="AF243" s="18" t="s">
        <v>510</v>
      </c>
      <c r="AG243" s="18" t="s">
        <v>511</v>
      </c>
      <c r="AH243" s="18" t="s">
        <v>512</v>
      </c>
      <c r="AI243" s="18" t="s">
        <v>407</v>
      </c>
      <c r="AJ243" s="18" t="s">
        <v>408</v>
      </c>
      <c r="AK243" s="18" t="s">
        <v>513</v>
      </c>
      <c r="AL243" s="18" t="s">
        <v>510</v>
      </c>
      <c r="AM243" s="18" t="s">
        <v>514</v>
      </c>
    </row>
    <row r="244" spans="1:39" ht="48">
      <c r="A244" s="18" t="s">
        <v>309</v>
      </c>
      <c r="B244" s="18" t="s">
        <v>383</v>
      </c>
      <c r="C244" s="18" t="s">
        <v>2317</v>
      </c>
      <c r="D244" s="18" t="s">
        <v>2512</v>
      </c>
      <c r="E244" s="18" t="s">
        <v>2512</v>
      </c>
      <c r="F244" s="18" t="s">
        <v>387</v>
      </c>
      <c r="G244" s="18">
        <v>100</v>
      </c>
      <c r="H244" s="18" t="s">
        <v>2521</v>
      </c>
      <c r="I244" s="18" t="s">
        <v>2522</v>
      </c>
      <c r="J244" s="18" t="s">
        <v>23</v>
      </c>
      <c r="K244" s="18" t="s">
        <v>613</v>
      </c>
      <c r="L244" s="18" t="s">
        <v>613</v>
      </c>
      <c r="M244" s="18" t="s">
        <v>392</v>
      </c>
      <c r="N244" s="18" t="s">
        <v>571</v>
      </c>
      <c r="O244" s="18" t="s">
        <v>572</v>
      </c>
      <c r="P244" s="18" t="s">
        <v>573</v>
      </c>
      <c r="Q244" s="18" t="s">
        <v>396</v>
      </c>
      <c r="R244" s="18"/>
      <c r="S244" s="48" t="str">
        <f>IFERROR(T(INDEX('Prospectos Resumen'!$K$9:$K$297,MATCH(A244,'Prospectos Resumen'!$A$9:$A$297,0))),"")</f>
        <v/>
      </c>
      <c r="T244" s="18"/>
      <c r="U244" s="18"/>
      <c r="V244" s="18"/>
      <c r="W244" s="18"/>
      <c r="X244" s="18"/>
      <c r="Y244" s="18"/>
      <c r="Z244" s="18" t="s">
        <v>1941</v>
      </c>
      <c r="AA244" s="18" t="s">
        <v>2523</v>
      </c>
      <c r="AB244" s="18" t="s">
        <v>2524</v>
      </c>
      <c r="AC244" s="18" t="s">
        <v>2525</v>
      </c>
      <c r="AD244" s="18" t="s">
        <v>2526</v>
      </c>
      <c r="AE244" s="18" t="s">
        <v>403</v>
      </c>
      <c r="AF244" s="18" t="s">
        <v>404</v>
      </c>
      <c r="AG244" s="18" t="s">
        <v>405</v>
      </c>
      <c r="AH244" s="18" t="s">
        <v>406</v>
      </c>
      <c r="AI244" s="18" t="s">
        <v>407</v>
      </c>
      <c r="AJ244" s="18" t="s">
        <v>408</v>
      </c>
      <c r="AK244" s="18" t="s">
        <v>409</v>
      </c>
      <c r="AL244" s="18" t="s">
        <v>410</v>
      </c>
      <c r="AM244" s="18" t="s">
        <v>411</v>
      </c>
    </row>
    <row r="245" spans="1:39" ht="36">
      <c r="A245" s="18" t="s">
        <v>310</v>
      </c>
      <c r="B245" s="18" t="s">
        <v>383</v>
      </c>
      <c r="C245" s="18" t="s">
        <v>2317</v>
      </c>
      <c r="D245" s="18" t="s">
        <v>2512</v>
      </c>
      <c r="E245" s="18" t="s">
        <v>2512</v>
      </c>
      <c r="F245" s="18" t="s">
        <v>387</v>
      </c>
      <c r="G245" s="18">
        <v>100</v>
      </c>
      <c r="H245" s="18" t="s">
        <v>2527</v>
      </c>
      <c r="I245" s="18" t="s">
        <v>2528</v>
      </c>
      <c r="J245" s="18" t="s">
        <v>453</v>
      </c>
      <c r="K245" s="18" t="s">
        <v>2529</v>
      </c>
      <c r="L245" s="18" t="s">
        <v>391</v>
      </c>
      <c r="M245" s="18" t="s">
        <v>455</v>
      </c>
      <c r="N245" s="18" t="s">
        <v>456</v>
      </c>
      <c r="O245" s="18" t="s">
        <v>457</v>
      </c>
      <c r="P245" s="18" t="s">
        <v>2530</v>
      </c>
      <c r="Q245" s="18" t="s">
        <v>420</v>
      </c>
      <c r="R245" s="18"/>
      <c r="S245" s="48" t="str">
        <f>IFERROR(T(INDEX('Prospectos Resumen'!$K$9:$K$297,MATCH(A245,'Prospectos Resumen'!$A$9:$A$297,0))),"")</f>
        <v/>
      </c>
      <c r="T245" s="18"/>
      <c r="U245" s="18"/>
      <c r="V245" s="18"/>
      <c r="W245" s="18"/>
      <c r="X245" s="18" t="s">
        <v>2531</v>
      </c>
      <c r="Y245" s="18" t="s">
        <v>2532</v>
      </c>
      <c r="Z245" s="18" t="s">
        <v>423</v>
      </c>
      <c r="AA245" s="18" t="s">
        <v>2533</v>
      </c>
      <c r="AB245" s="18" t="s">
        <v>2534</v>
      </c>
      <c r="AC245" s="18"/>
      <c r="AD245" s="18" t="s">
        <v>426</v>
      </c>
      <c r="AE245" s="18" t="s">
        <v>403</v>
      </c>
      <c r="AF245" s="18" t="s">
        <v>427</v>
      </c>
      <c r="AG245" s="18" t="s">
        <v>463</v>
      </c>
      <c r="AH245" s="18" t="s">
        <v>464</v>
      </c>
      <c r="AI245" s="18"/>
      <c r="AJ245" s="18" t="s">
        <v>408</v>
      </c>
      <c r="AK245" s="18"/>
      <c r="AL245" s="18" t="s">
        <v>431</v>
      </c>
      <c r="AM245" s="18" t="s">
        <v>432</v>
      </c>
    </row>
    <row r="246" spans="1:39" ht="36">
      <c r="A246" s="18" t="s">
        <v>311</v>
      </c>
      <c r="B246" s="18" t="s">
        <v>383</v>
      </c>
      <c r="C246" s="18" t="s">
        <v>2317</v>
      </c>
      <c r="D246" s="18" t="s">
        <v>2512</v>
      </c>
      <c r="E246" s="18" t="s">
        <v>2512</v>
      </c>
      <c r="F246" s="18" t="s">
        <v>387</v>
      </c>
      <c r="G246" s="18">
        <v>100</v>
      </c>
      <c r="H246" s="18" t="s">
        <v>2535</v>
      </c>
      <c r="I246" s="18" t="s">
        <v>2536</v>
      </c>
      <c r="J246" s="18" t="s">
        <v>453</v>
      </c>
      <c r="K246" s="18" t="s">
        <v>2537</v>
      </c>
      <c r="L246" s="18" t="s">
        <v>391</v>
      </c>
      <c r="M246" s="18" t="s">
        <v>455</v>
      </c>
      <c r="N246" s="18" t="s">
        <v>456</v>
      </c>
      <c r="O246" s="18" t="s">
        <v>457</v>
      </c>
      <c r="P246" s="18" t="s">
        <v>2538</v>
      </c>
      <c r="Q246" s="18" t="s">
        <v>420</v>
      </c>
      <c r="R246" s="18"/>
      <c r="S246" s="48" t="str">
        <f>IFERROR(T(INDEX('Prospectos Resumen'!$K$9:$K$297,MATCH(A246,'Prospectos Resumen'!$A$9:$A$297,0))),"")</f>
        <v/>
      </c>
      <c r="T246" s="18"/>
      <c r="U246" s="18"/>
      <c r="V246" s="18"/>
      <c r="W246" s="18"/>
      <c r="X246" s="18" t="s">
        <v>2539</v>
      </c>
      <c r="Y246" s="18" t="s">
        <v>2539</v>
      </c>
      <c r="Z246" s="18" t="s">
        <v>423</v>
      </c>
      <c r="AA246" s="18" t="s">
        <v>2540</v>
      </c>
      <c r="AB246" s="18" t="s">
        <v>2541</v>
      </c>
      <c r="AC246" s="18"/>
      <c r="AD246" s="18" t="s">
        <v>426</v>
      </c>
      <c r="AE246" s="18" t="s">
        <v>403</v>
      </c>
      <c r="AF246" s="18" t="s">
        <v>427</v>
      </c>
      <c r="AG246" s="18" t="s">
        <v>463</v>
      </c>
      <c r="AH246" s="18" t="s">
        <v>464</v>
      </c>
      <c r="AI246" s="18"/>
      <c r="AJ246" s="18" t="s">
        <v>408</v>
      </c>
      <c r="AK246" s="18"/>
      <c r="AL246" s="18" t="s">
        <v>431</v>
      </c>
      <c r="AM246" s="18" t="s">
        <v>432</v>
      </c>
    </row>
    <row r="247" spans="1:39" ht="48">
      <c r="A247" s="18" t="s">
        <v>312</v>
      </c>
      <c r="B247" s="18" t="s">
        <v>383</v>
      </c>
      <c r="C247" s="18" t="s">
        <v>2317</v>
      </c>
      <c r="D247" s="18" t="s">
        <v>2542</v>
      </c>
      <c r="E247" s="18" t="s">
        <v>2512</v>
      </c>
      <c r="F247" s="18" t="s">
        <v>387</v>
      </c>
      <c r="G247" s="18">
        <v>100</v>
      </c>
      <c r="H247" s="18" t="s">
        <v>2543</v>
      </c>
      <c r="I247" s="18" t="s">
        <v>2544</v>
      </c>
      <c r="J247" s="18" t="s">
        <v>453</v>
      </c>
      <c r="K247" s="18" t="s">
        <v>2545</v>
      </c>
      <c r="L247" s="18" t="s">
        <v>391</v>
      </c>
      <c r="M247" s="18" t="s">
        <v>2546</v>
      </c>
      <c r="N247" s="18" t="s">
        <v>456</v>
      </c>
      <c r="O247" s="18" t="s">
        <v>838</v>
      </c>
      <c r="P247" s="18" t="s">
        <v>2547</v>
      </c>
      <c r="Q247" s="18" t="s">
        <v>472</v>
      </c>
      <c r="R247" s="18"/>
      <c r="S247" s="48" t="str">
        <f>IFERROR(T(INDEX('Prospectos Resumen'!$K$9:$K$297,MATCH(A247,'Prospectos Resumen'!$A$9:$A$297,0))),"")</f>
        <v/>
      </c>
      <c r="T247" s="18"/>
      <c r="U247" s="18"/>
      <c r="V247" s="18"/>
      <c r="W247" s="18"/>
      <c r="X247" s="18" t="s">
        <v>2548</v>
      </c>
      <c r="Y247" s="18" t="s">
        <v>2549</v>
      </c>
      <c r="Z247" s="18" t="s">
        <v>474</v>
      </c>
      <c r="AA247" s="18" t="s">
        <v>2550</v>
      </c>
      <c r="AB247" s="18" t="s">
        <v>2551</v>
      </c>
      <c r="AC247" s="18" t="s">
        <v>2552</v>
      </c>
      <c r="AD247" s="18" t="s">
        <v>2553</v>
      </c>
      <c r="AE247" s="18" t="s">
        <v>403</v>
      </c>
      <c r="AF247" s="18" t="s">
        <v>479</v>
      </c>
      <c r="AG247" s="18" t="s">
        <v>2554</v>
      </c>
      <c r="AH247" s="18" t="s">
        <v>464</v>
      </c>
      <c r="AI247" s="18"/>
      <c r="AJ247" s="18" t="s">
        <v>408</v>
      </c>
      <c r="AK247" s="18"/>
      <c r="AL247" s="18" t="s">
        <v>431</v>
      </c>
      <c r="AM247" s="18" t="s">
        <v>432</v>
      </c>
    </row>
    <row r="248" spans="1:39" ht="60">
      <c r="A248" s="18" t="s">
        <v>313</v>
      </c>
      <c r="B248" s="18" t="s">
        <v>383</v>
      </c>
      <c r="C248" s="18" t="s">
        <v>2317</v>
      </c>
      <c r="D248" s="18" t="s">
        <v>2511</v>
      </c>
      <c r="E248" s="18" t="s">
        <v>2512</v>
      </c>
      <c r="F248" s="18" t="s">
        <v>387</v>
      </c>
      <c r="G248" s="18">
        <v>100</v>
      </c>
      <c r="H248" s="18" t="s">
        <v>2555</v>
      </c>
      <c r="I248" s="18" t="s">
        <v>497</v>
      </c>
      <c r="J248" s="18" t="s">
        <v>23</v>
      </c>
      <c r="K248" s="18" t="s">
        <v>613</v>
      </c>
      <c r="L248" s="18" t="s">
        <v>613</v>
      </c>
      <c r="M248" s="18" t="s">
        <v>499</v>
      </c>
      <c r="N248" s="18" t="s">
        <v>500</v>
      </c>
      <c r="O248" s="18" t="s">
        <v>501</v>
      </c>
      <c r="P248" s="18" t="s">
        <v>502</v>
      </c>
      <c r="Q248" s="18" t="s">
        <v>503</v>
      </c>
      <c r="R248" s="18"/>
      <c r="S248" s="48" t="str">
        <f>IFERROR(T(INDEX('Prospectos Resumen'!$K$9:$K$297,MATCH(A248,'Prospectos Resumen'!$A$9:$A$297,0))),"")</f>
        <v/>
      </c>
      <c r="T248" s="18"/>
      <c r="U248" s="18"/>
      <c r="V248" s="18"/>
      <c r="W248" s="18"/>
      <c r="X248" s="18"/>
      <c r="Y248" s="18"/>
      <c r="Z248" s="18" t="s">
        <v>1975</v>
      </c>
      <c r="AA248" s="18" t="s">
        <v>2556</v>
      </c>
      <c r="AB248" s="18" t="s">
        <v>2063</v>
      </c>
      <c r="AC248" s="18" t="s">
        <v>508</v>
      </c>
      <c r="AD248" s="18" t="s">
        <v>2557</v>
      </c>
      <c r="AE248" s="18" t="s">
        <v>403</v>
      </c>
      <c r="AF248" s="18" t="s">
        <v>510</v>
      </c>
      <c r="AG248" s="18" t="s">
        <v>511</v>
      </c>
      <c r="AH248" s="18" t="s">
        <v>512</v>
      </c>
      <c r="AI248" s="18" t="s">
        <v>407</v>
      </c>
      <c r="AJ248" s="18" t="s">
        <v>408</v>
      </c>
      <c r="AK248" s="18" t="s">
        <v>513</v>
      </c>
      <c r="AL248" s="18" t="s">
        <v>510</v>
      </c>
      <c r="AM248" s="18" t="s">
        <v>514</v>
      </c>
    </row>
    <row r="249" spans="1:39" ht="36">
      <c r="A249" s="18" t="s">
        <v>314</v>
      </c>
      <c r="B249" s="18" t="s">
        <v>383</v>
      </c>
      <c r="C249" s="18" t="s">
        <v>2317</v>
      </c>
      <c r="D249" s="18" t="s">
        <v>2512</v>
      </c>
      <c r="E249" s="18" t="s">
        <v>2512</v>
      </c>
      <c r="F249" s="18" t="s">
        <v>387</v>
      </c>
      <c r="G249" s="18">
        <v>100</v>
      </c>
      <c r="H249" s="18" t="s">
        <v>2558</v>
      </c>
      <c r="I249" s="18" t="s">
        <v>2559</v>
      </c>
      <c r="J249" s="18" t="s">
        <v>484</v>
      </c>
      <c r="K249" s="18" t="s">
        <v>2560</v>
      </c>
      <c r="L249" s="18" t="s">
        <v>391</v>
      </c>
      <c r="M249" s="18" t="s">
        <v>1397</v>
      </c>
      <c r="N249" s="18" t="s">
        <v>487</v>
      </c>
      <c r="O249" s="18" t="s">
        <v>1398</v>
      </c>
      <c r="P249" s="18" t="s">
        <v>2561</v>
      </c>
      <c r="Q249" s="18" t="s">
        <v>420</v>
      </c>
      <c r="R249" s="18"/>
      <c r="S249" s="48" t="str">
        <f>IFERROR(T(INDEX('Prospectos Resumen'!$K$9:$K$297,MATCH(A249,'Prospectos Resumen'!$A$9:$A$297,0))),"")</f>
        <v/>
      </c>
      <c r="T249" s="18"/>
      <c r="U249" s="18"/>
      <c r="V249" s="18"/>
      <c r="W249" s="18"/>
      <c r="X249" s="18" t="s">
        <v>2562</v>
      </c>
      <c r="Y249" s="18" t="s">
        <v>2563</v>
      </c>
      <c r="Z249" s="18" t="s">
        <v>423</v>
      </c>
      <c r="AA249" s="18" t="s">
        <v>2564</v>
      </c>
      <c r="AB249" s="18" t="s">
        <v>2565</v>
      </c>
      <c r="AC249" s="18"/>
      <c r="AD249" s="18" t="s">
        <v>426</v>
      </c>
      <c r="AE249" s="18" t="s">
        <v>403</v>
      </c>
      <c r="AF249" s="18" t="s">
        <v>427</v>
      </c>
      <c r="AG249" s="18" t="s">
        <v>428</v>
      </c>
      <c r="AH249" s="18" t="s">
        <v>464</v>
      </c>
      <c r="AI249" s="18"/>
      <c r="AJ249" s="18" t="s">
        <v>408</v>
      </c>
      <c r="AK249" s="18"/>
      <c r="AL249" s="18" t="s">
        <v>431</v>
      </c>
      <c r="AM249" s="18" t="s">
        <v>432</v>
      </c>
    </row>
    <row r="250" spans="1:39" ht="60">
      <c r="A250" s="18" t="s">
        <v>315</v>
      </c>
      <c r="B250" s="18" t="s">
        <v>383</v>
      </c>
      <c r="C250" s="18" t="s">
        <v>2317</v>
      </c>
      <c r="D250" s="18" t="s">
        <v>2566</v>
      </c>
      <c r="E250" s="18" t="s">
        <v>2512</v>
      </c>
      <c r="F250" s="18" t="s">
        <v>387</v>
      </c>
      <c r="G250" s="18">
        <v>96</v>
      </c>
      <c r="H250" s="18" t="s">
        <v>2567</v>
      </c>
      <c r="I250" s="18" t="s">
        <v>2320</v>
      </c>
      <c r="J250" s="18" t="s">
        <v>727</v>
      </c>
      <c r="K250" s="18" t="s">
        <v>2568</v>
      </c>
      <c r="L250" s="18" t="s">
        <v>391</v>
      </c>
      <c r="M250" s="18" t="s">
        <v>1190</v>
      </c>
      <c r="N250" s="18" t="s">
        <v>1262</v>
      </c>
      <c r="O250" s="18" t="s">
        <v>1263</v>
      </c>
      <c r="P250" s="18" t="s">
        <v>1264</v>
      </c>
      <c r="Q250" s="18" t="s">
        <v>1194</v>
      </c>
      <c r="R250" s="18"/>
      <c r="S250" s="48" t="str">
        <f>IFERROR(T(INDEX('Prospectos Resumen'!$K$9:$K$297,MATCH(A250,'Prospectos Resumen'!$A$9:$A$297,0))),"")</f>
        <v/>
      </c>
      <c r="T250" s="18"/>
      <c r="U250" s="18"/>
      <c r="V250" s="18"/>
      <c r="W250" s="18"/>
      <c r="X250" s="18" t="s">
        <v>2569</v>
      </c>
      <c r="Y250" s="18" t="s">
        <v>2569</v>
      </c>
      <c r="Z250" s="18" t="s">
        <v>1196</v>
      </c>
      <c r="AA250" s="18" t="s">
        <v>2570</v>
      </c>
      <c r="AB250" s="18" t="s">
        <v>2571</v>
      </c>
      <c r="AC250" s="18" t="s">
        <v>2572</v>
      </c>
      <c r="AD250" s="18" t="s">
        <v>2573</v>
      </c>
      <c r="AE250" s="18" t="s">
        <v>403</v>
      </c>
      <c r="AF250" s="18" t="s">
        <v>1201</v>
      </c>
      <c r="AG250" s="18" t="s">
        <v>1202</v>
      </c>
      <c r="AH250" s="18" t="s">
        <v>743</v>
      </c>
      <c r="AI250" s="18" t="s">
        <v>407</v>
      </c>
      <c r="AJ250" s="18" t="s">
        <v>408</v>
      </c>
      <c r="AK250" s="18" t="s">
        <v>1203</v>
      </c>
      <c r="AL250" s="18" t="s">
        <v>1204</v>
      </c>
      <c r="AM250" s="18" t="s">
        <v>1205</v>
      </c>
    </row>
    <row r="251" spans="1:39" ht="48">
      <c r="A251" s="18" t="s">
        <v>316</v>
      </c>
      <c r="B251" s="18" t="s">
        <v>383</v>
      </c>
      <c r="C251" s="18" t="s">
        <v>2317</v>
      </c>
      <c r="D251" s="18" t="s">
        <v>2512</v>
      </c>
      <c r="E251" s="18" t="s">
        <v>2512</v>
      </c>
      <c r="F251" s="18" t="s">
        <v>387</v>
      </c>
      <c r="G251" s="18">
        <v>95</v>
      </c>
      <c r="H251" s="18" t="s">
        <v>2574</v>
      </c>
      <c r="I251" s="18" t="s">
        <v>2088</v>
      </c>
      <c r="J251" s="18" t="s">
        <v>23</v>
      </c>
      <c r="K251" s="18" t="s">
        <v>2575</v>
      </c>
      <c r="L251" s="18" t="s">
        <v>391</v>
      </c>
      <c r="M251" s="18" t="s">
        <v>392</v>
      </c>
      <c r="N251" s="18" t="s">
        <v>571</v>
      </c>
      <c r="O251" s="18" t="s">
        <v>572</v>
      </c>
      <c r="P251" s="18" t="s">
        <v>573</v>
      </c>
      <c r="Q251" s="18" t="s">
        <v>396</v>
      </c>
      <c r="R251" s="18"/>
      <c r="S251" s="48" t="str">
        <f>IFERROR(T(INDEX('Prospectos Resumen'!$K$9:$K$297,MATCH(A251,'Prospectos Resumen'!$A$9:$A$297,0))),"")</f>
        <v/>
      </c>
      <c r="T251" s="18"/>
      <c r="U251" s="18"/>
      <c r="V251" s="18"/>
      <c r="W251" s="18"/>
      <c r="X251" s="18" t="s">
        <v>2576</v>
      </c>
      <c r="Y251" s="18" t="s">
        <v>2576</v>
      </c>
      <c r="Z251" s="18" t="s">
        <v>398</v>
      </c>
      <c r="AA251" s="18" t="s">
        <v>2577</v>
      </c>
      <c r="AB251" s="18" t="s">
        <v>2092</v>
      </c>
      <c r="AC251" s="18" t="s">
        <v>2093</v>
      </c>
      <c r="AD251" s="18" t="s">
        <v>2578</v>
      </c>
      <c r="AE251" s="18" t="s">
        <v>403</v>
      </c>
      <c r="AF251" s="18" t="s">
        <v>404</v>
      </c>
      <c r="AG251" s="18" t="s">
        <v>405</v>
      </c>
      <c r="AH251" s="18" t="s">
        <v>406</v>
      </c>
      <c r="AI251" s="18" t="s">
        <v>407</v>
      </c>
      <c r="AJ251" s="18" t="s">
        <v>408</v>
      </c>
      <c r="AK251" s="18" t="s">
        <v>409</v>
      </c>
      <c r="AL251" s="18" t="s">
        <v>410</v>
      </c>
      <c r="AM251" s="18" t="s">
        <v>411</v>
      </c>
    </row>
    <row r="252" spans="1:39" ht="60">
      <c r="A252" s="18" t="s">
        <v>317</v>
      </c>
      <c r="B252" s="18" t="s">
        <v>383</v>
      </c>
      <c r="C252" s="18" t="s">
        <v>2317</v>
      </c>
      <c r="D252" s="18" t="s">
        <v>2512</v>
      </c>
      <c r="E252" s="18" t="s">
        <v>2512</v>
      </c>
      <c r="F252" s="18" t="s">
        <v>387</v>
      </c>
      <c r="G252" s="18">
        <v>95</v>
      </c>
      <c r="H252" s="18" t="s">
        <v>2579</v>
      </c>
      <c r="I252" s="18" t="s">
        <v>2580</v>
      </c>
      <c r="J252" s="18" t="s">
        <v>23</v>
      </c>
      <c r="K252" s="18" t="s">
        <v>2581</v>
      </c>
      <c r="L252" s="18" t="s">
        <v>391</v>
      </c>
      <c r="M252" s="18" t="s">
        <v>392</v>
      </c>
      <c r="N252" s="18" t="s">
        <v>571</v>
      </c>
      <c r="O252" s="18" t="s">
        <v>572</v>
      </c>
      <c r="P252" s="18" t="s">
        <v>573</v>
      </c>
      <c r="Q252" s="18" t="s">
        <v>396</v>
      </c>
      <c r="R252" s="18"/>
      <c r="S252" s="48" t="str">
        <f>IFERROR(T(INDEX('Prospectos Resumen'!$K$9:$K$297,MATCH(A252,'Prospectos Resumen'!$A$9:$A$297,0))),"")</f>
        <v/>
      </c>
      <c r="T252" s="18"/>
      <c r="U252" s="18"/>
      <c r="V252" s="18"/>
      <c r="W252" s="18"/>
      <c r="X252" s="18" t="s">
        <v>2582</v>
      </c>
      <c r="Y252" s="18" t="s">
        <v>2582</v>
      </c>
      <c r="Z252" s="18" t="s">
        <v>398</v>
      </c>
      <c r="AA252" s="18" t="s">
        <v>2583</v>
      </c>
      <c r="AB252" s="18" t="s">
        <v>576</v>
      </c>
      <c r="AC252" s="18" t="s">
        <v>577</v>
      </c>
      <c r="AD252" s="18" t="s">
        <v>2584</v>
      </c>
      <c r="AE252" s="18" t="s">
        <v>403</v>
      </c>
      <c r="AF252" s="18" t="s">
        <v>404</v>
      </c>
      <c r="AG252" s="18" t="s">
        <v>405</v>
      </c>
      <c r="AH252" s="18" t="s">
        <v>406</v>
      </c>
      <c r="AI252" s="18" t="s">
        <v>407</v>
      </c>
      <c r="AJ252" s="18" t="s">
        <v>408</v>
      </c>
      <c r="AK252" s="18" t="s">
        <v>409</v>
      </c>
      <c r="AL252" s="18" t="s">
        <v>410</v>
      </c>
      <c r="AM252" s="18" t="s">
        <v>411</v>
      </c>
    </row>
    <row r="253" spans="1:39" ht="48">
      <c r="A253" s="18" t="s">
        <v>318</v>
      </c>
      <c r="B253" s="18" t="s">
        <v>383</v>
      </c>
      <c r="C253" s="18" t="s">
        <v>2317</v>
      </c>
      <c r="D253" s="18" t="s">
        <v>2511</v>
      </c>
      <c r="E253" s="18" t="s">
        <v>2512</v>
      </c>
      <c r="F253" s="18" t="s">
        <v>387</v>
      </c>
      <c r="G253" s="18">
        <v>95</v>
      </c>
      <c r="H253" s="18" t="s">
        <v>2585</v>
      </c>
      <c r="I253" s="18" t="s">
        <v>2586</v>
      </c>
      <c r="J253" s="18" t="s">
        <v>23</v>
      </c>
      <c r="K253" s="18" t="s">
        <v>2587</v>
      </c>
      <c r="L253" s="18" t="s">
        <v>391</v>
      </c>
      <c r="M253" s="18" t="s">
        <v>499</v>
      </c>
      <c r="N253" s="18" t="s">
        <v>500</v>
      </c>
      <c r="O253" s="18" t="s">
        <v>501</v>
      </c>
      <c r="P253" s="18" t="s">
        <v>502</v>
      </c>
      <c r="Q253" s="18" t="s">
        <v>503</v>
      </c>
      <c r="R253" s="18"/>
      <c r="S253" s="48" t="str">
        <f>IFERROR(T(INDEX('Prospectos Resumen'!$K$9:$K$297,MATCH(A253,'Prospectos Resumen'!$A$9:$A$297,0))),"")</f>
        <v/>
      </c>
      <c r="T253" s="18"/>
      <c r="U253" s="18"/>
      <c r="V253" s="18"/>
      <c r="W253" s="18"/>
      <c r="X253" s="18" t="s">
        <v>2588</v>
      </c>
      <c r="Y253" s="18" t="s">
        <v>2588</v>
      </c>
      <c r="Z253" s="18" t="s">
        <v>505</v>
      </c>
      <c r="AA253" s="18" t="s">
        <v>2589</v>
      </c>
      <c r="AB253" s="18" t="s">
        <v>2590</v>
      </c>
      <c r="AC253" s="18" t="s">
        <v>2591</v>
      </c>
      <c r="AD253" s="18" t="s">
        <v>2592</v>
      </c>
      <c r="AE253" s="18" t="s">
        <v>403</v>
      </c>
      <c r="AF253" s="18" t="s">
        <v>510</v>
      </c>
      <c r="AG253" s="18" t="s">
        <v>511</v>
      </c>
      <c r="AH253" s="18" t="s">
        <v>512</v>
      </c>
      <c r="AI253" s="18" t="s">
        <v>407</v>
      </c>
      <c r="AJ253" s="18" t="s">
        <v>408</v>
      </c>
      <c r="AK253" s="18" t="s">
        <v>513</v>
      </c>
      <c r="AL253" s="18" t="s">
        <v>510</v>
      </c>
      <c r="AM253" s="18" t="s">
        <v>514</v>
      </c>
    </row>
    <row r="254" spans="1:39" ht="60">
      <c r="A254" s="18" t="s">
        <v>319</v>
      </c>
      <c r="B254" s="18" t="s">
        <v>383</v>
      </c>
      <c r="C254" s="18" t="s">
        <v>2317</v>
      </c>
      <c r="D254" s="18" t="s">
        <v>2566</v>
      </c>
      <c r="E254" s="18" t="s">
        <v>2512</v>
      </c>
      <c r="F254" s="18" t="s">
        <v>387</v>
      </c>
      <c r="G254" s="18">
        <v>94</v>
      </c>
      <c r="H254" s="18" t="s">
        <v>2593</v>
      </c>
      <c r="I254" s="18" t="s">
        <v>2594</v>
      </c>
      <c r="J254" s="18" t="s">
        <v>727</v>
      </c>
      <c r="K254" s="18" t="s">
        <v>2595</v>
      </c>
      <c r="L254" s="18" t="s">
        <v>391</v>
      </c>
      <c r="M254" s="18" t="s">
        <v>1190</v>
      </c>
      <c r="N254" s="18" t="s">
        <v>1262</v>
      </c>
      <c r="O254" s="18" t="s">
        <v>1263</v>
      </c>
      <c r="P254" s="18" t="s">
        <v>1264</v>
      </c>
      <c r="Q254" s="18" t="s">
        <v>1194</v>
      </c>
      <c r="R254" s="18"/>
      <c r="S254" s="48" t="str">
        <f>IFERROR(T(INDEX('Prospectos Resumen'!$K$9:$K$297,MATCH(A254,'Prospectos Resumen'!$A$9:$A$297,0))),"")</f>
        <v/>
      </c>
      <c r="T254" s="18"/>
      <c r="U254" s="18"/>
      <c r="V254" s="18"/>
      <c r="W254" s="18"/>
      <c r="X254" s="18" t="s">
        <v>2596</v>
      </c>
      <c r="Y254" s="18" t="s">
        <v>2596</v>
      </c>
      <c r="Z254" s="18" t="s">
        <v>1196</v>
      </c>
      <c r="AA254" s="18" t="s">
        <v>2597</v>
      </c>
      <c r="AB254" s="18" t="s">
        <v>1267</v>
      </c>
      <c r="AC254" s="18" t="s">
        <v>2598</v>
      </c>
      <c r="AD254" s="18" t="s">
        <v>2599</v>
      </c>
      <c r="AE254" s="18" t="s">
        <v>403</v>
      </c>
      <c r="AF254" s="18" t="s">
        <v>1201</v>
      </c>
      <c r="AG254" s="18" t="s">
        <v>1202</v>
      </c>
      <c r="AH254" s="18" t="s">
        <v>743</v>
      </c>
      <c r="AI254" s="18" t="s">
        <v>407</v>
      </c>
      <c r="AJ254" s="18" t="s">
        <v>408</v>
      </c>
      <c r="AK254" s="18" t="s">
        <v>1203</v>
      </c>
      <c r="AL254" s="18" t="s">
        <v>1204</v>
      </c>
      <c r="AM254" s="18" t="s">
        <v>1205</v>
      </c>
    </row>
    <row r="255" spans="1:39" ht="60">
      <c r="A255" s="18" t="s">
        <v>320</v>
      </c>
      <c r="B255" s="18" t="s">
        <v>383</v>
      </c>
      <c r="C255" s="18" t="s">
        <v>2317</v>
      </c>
      <c r="D255" s="18" t="s">
        <v>2566</v>
      </c>
      <c r="E255" s="18" t="s">
        <v>2512</v>
      </c>
      <c r="F255" s="18" t="s">
        <v>387</v>
      </c>
      <c r="G255" s="18">
        <v>90</v>
      </c>
      <c r="H255" s="18" t="s">
        <v>2600</v>
      </c>
      <c r="I255" s="18" t="s">
        <v>2132</v>
      </c>
      <c r="J255" s="18" t="s">
        <v>727</v>
      </c>
      <c r="K255" s="18" t="s">
        <v>2601</v>
      </c>
      <c r="L255" s="18" t="s">
        <v>557</v>
      </c>
      <c r="M255" s="18" t="s">
        <v>1190</v>
      </c>
      <c r="N255" s="18" t="s">
        <v>1262</v>
      </c>
      <c r="O255" s="18" t="s">
        <v>1263</v>
      </c>
      <c r="P255" s="18" t="s">
        <v>1264</v>
      </c>
      <c r="Q255" s="18" t="s">
        <v>1194</v>
      </c>
      <c r="R255" s="18"/>
      <c r="S255" s="48" t="str">
        <f>IFERROR(T(INDEX('Prospectos Resumen'!$K$9:$K$297,MATCH(A255,'Prospectos Resumen'!$A$9:$A$297,0))),"")</f>
        <v/>
      </c>
      <c r="T255" s="18"/>
      <c r="U255" s="18"/>
      <c r="V255" s="18"/>
      <c r="W255" s="18"/>
      <c r="X255" s="18" t="s">
        <v>2602</v>
      </c>
      <c r="Y255" s="18" t="s">
        <v>2602</v>
      </c>
      <c r="Z255" s="18" t="s">
        <v>1389</v>
      </c>
      <c r="AA255" s="18" t="s">
        <v>2603</v>
      </c>
      <c r="AB255" s="18" t="s">
        <v>2604</v>
      </c>
      <c r="AC255" s="18" t="s">
        <v>2605</v>
      </c>
      <c r="AD255" s="18" t="s">
        <v>2606</v>
      </c>
      <c r="AE255" s="18" t="s">
        <v>566</v>
      </c>
      <c r="AF255" s="18" t="s">
        <v>1201</v>
      </c>
      <c r="AG255" s="18" t="s">
        <v>1202</v>
      </c>
      <c r="AH255" s="18" t="s">
        <v>743</v>
      </c>
      <c r="AI255" s="18" t="s">
        <v>407</v>
      </c>
      <c r="AJ255" s="18" t="s">
        <v>403</v>
      </c>
      <c r="AK255" s="18" t="s">
        <v>1203</v>
      </c>
      <c r="AL255" s="18" t="s">
        <v>1204</v>
      </c>
      <c r="AM255" s="18" t="s">
        <v>1205</v>
      </c>
    </row>
    <row r="256" spans="1:39" ht="48">
      <c r="A256" s="18" t="s">
        <v>321</v>
      </c>
      <c r="B256" s="18" t="s">
        <v>383</v>
      </c>
      <c r="C256" s="18" t="s">
        <v>2317</v>
      </c>
      <c r="D256" s="18" t="s">
        <v>2512</v>
      </c>
      <c r="E256" s="18" t="s">
        <v>2512</v>
      </c>
      <c r="F256" s="18" t="s">
        <v>387</v>
      </c>
      <c r="G256" s="18">
        <v>90</v>
      </c>
      <c r="H256" s="18" t="s">
        <v>2607</v>
      </c>
      <c r="I256" s="18" t="s">
        <v>2608</v>
      </c>
      <c r="J256" s="18" t="s">
        <v>23</v>
      </c>
      <c r="K256" s="18" t="s">
        <v>613</v>
      </c>
      <c r="L256" s="18" t="s">
        <v>613</v>
      </c>
      <c r="M256" s="18" t="s">
        <v>392</v>
      </c>
      <c r="N256" s="18" t="s">
        <v>571</v>
      </c>
      <c r="O256" s="18" t="s">
        <v>572</v>
      </c>
      <c r="P256" s="18" t="s">
        <v>573</v>
      </c>
      <c r="Q256" s="18" t="s">
        <v>396</v>
      </c>
      <c r="R256" s="18"/>
      <c r="S256" s="48" t="str">
        <f>IFERROR(T(INDEX('Prospectos Resumen'!$K$9:$K$297,MATCH(A256,'Prospectos Resumen'!$A$9:$A$297,0))),"")</f>
        <v/>
      </c>
      <c r="T256" s="18"/>
      <c r="U256" s="18"/>
      <c r="V256" s="18"/>
      <c r="W256" s="18"/>
      <c r="X256" s="18"/>
      <c r="Y256" s="18"/>
      <c r="Z256" s="18" t="s">
        <v>1941</v>
      </c>
      <c r="AA256" s="18" t="s">
        <v>2609</v>
      </c>
      <c r="AB256" s="18" t="s">
        <v>2610</v>
      </c>
      <c r="AC256" s="18" t="s">
        <v>2609</v>
      </c>
      <c r="AD256" s="18" t="s">
        <v>2611</v>
      </c>
      <c r="AE256" s="18" t="s">
        <v>566</v>
      </c>
      <c r="AF256" s="18" t="s">
        <v>404</v>
      </c>
      <c r="AG256" s="18" t="s">
        <v>405</v>
      </c>
      <c r="AH256" s="18" t="s">
        <v>406</v>
      </c>
      <c r="AI256" s="18" t="s">
        <v>407</v>
      </c>
      <c r="AJ256" s="18" t="s">
        <v>408</v>
      </c>
      <c r="AK256" s="18" t="s">
        <v>409</v>
      </c>
      <c r="AL256" s="18" t="s">
        <v>410</v>
      </c>
      <c r="AM256" s="18" t="s">
        <v>411</v>
      </c>
    </row>
    <row r="257" spans="1:39" ht="48">
      <c r="A257" s="18" t="s">
        <v>322</v>
      </c>
      <c r="B257" s="18" t="s">
        <v>383</v>
      </c>
      <c r="C257" s="18" t="s">
        <v>2317</v>
      </c>
      <c r="D257" s="18" t="s">
        <v>2512</v>
      </c>
      <c r="E257" s="18" t="s">
        <v>2512</v>
      </c>
      <c r="F257" s="18" t="s">
        <v>387</v>
      </c>
      <c r="G257" s="18">
        <v>90</v>
      </c>
      <c r="H257" s="18" t="s">
        <v>2612</v>
      </c>
      <c r="I257" s="18" t="s">
        <v>2613</v>
      </c>
      <c r="J257" s="18" t="s">
        <v>23</v>
      </c>
      <c r="K257" s="18" t="s">
        <v>2614</v>
      </c>
      <c r="L257" s="18" t="s">
        <v>557</v>
      </c>
      <c r="M257" s="18" t="s">
        <v>392</v>
      </c>
      <c r="N257" s="18" t="s">
        <v>571</v>
      </c>
      <c r="O257" s="18" t="s">
        <v>572</v>
      </c>
      <c r="P257" s="18" t="s">
        <v>573</v>
      </c>
      <c r="Q257" s="18" t="s">
        <v>396</v>
      </c>
      <c r="R257" s="18"/>
      <c r="S257" s="48" t="str">
        <f>IFERROR(T(INDEX('Prospectos Resumen'!$K$9:$K$297,MATCH(A257,'Prospectos Resumen'!$A$9:$A$297,0))),"")</f>
        <v/>
      </c>
      <c r="T257" s="18"/>
      <c r="U257" s="18"/>
      <c r="V257" s="18"/>
      <c r="W257" s="18"/>
      <c r="X257" s="18" t="s">
        <v>2615</v>
      </c>
      <c r="Y257" s="18" t="s">
        <v>2615</v>
      </c>
      <c r="Z257" s="18" t="s">
        <v>695</v>
      </c>
      <c r="AA257" s="18" t="s">
        <v>2616</v>
      </c>
      <c r="AB257" s="18" t="s">
        <v>2617</v>
      </c>
      <c r="AC257" s="18" t="s">
        <v>2618</v>
      </c>
      <c r="AD257" s="18" t="s">
        <v>2619</v>
      </c>
      <c r="AE257" s="18" t="s">
        <v>566</v>
      </c>
      <c r="AF257" s="18" t="s">
        <v>404</v>
      </c>
      <c r="AG257" s="18" t="s">
        <v>405</v>
      </c>
      <c r="AH257" s="18" t="s">
        <v>406</v>
      </c>
      <c r="AI257" s="18" t="s">
        <v>407</v>
      </c>
      <c r="AJ257" s="18" t="s">
        <v>408</v>
      </c>
      <c r="AK257" s="18" t="s">
        <v>409</v>
      </c>
      <c r="AL257" s="18" t="s">
        <v>410</v>
      </c>
      <c r="AM257" s="18" t="s">
        <v>411</v>
      </c>
    </row>
    <row r="258" spans="1:39" ht="48">
      <c r="A258" s="18" t="s">
        <v>323</v>
      </c>
      <c r="B258" s="18" t="s">
        <v>383</v>
      </c>
      <c r="C258" s="18" t="s">
        <v>2317</v>
      </c>
      <c r="D258" s="18" t="s">
        <v>2511</v>
      </c>
      <c r="E258" s="18" t="s">
        <v>2512</v>
      </c>
      <c r="F258" s="18" t="s">
        <v>387</v>
      </c>
      <c r="G258" s="18">
        <v>90</v>
      </c>
      <c r="H258" s="18" t="s">
        <v>2620</v>
      </c>
      <c r="I258" s="18" t="s">
        <v>2621</v>
      </c>
      <c r="J258" s="18" t="s">
        <v>23</v>
      </c>
      <c r="K258" s="18" t="s">
        <v>2622</v>
      </c>
      <c r="L258" s="18" t="s">
        <v>391</v>
      </c>
      <c r="M258" s="18" t="s">
        <v>2623</v>
      </c>
      <c r="N258" s="18" t="s">
        <v>2624</v>
      </c>
      <c r="O258" s="18" t="s">
        <v>2625</v>
      </c>
      <c r="P258" s="18" t="s">
        <v>2626</v>
      </c>
      <c r="Q258" s="18" t="s">
        <v>2627</v>
      </c>
      <c r="R258" s="18"/>
      <c r="S258" s="48" t="str">
        <f>IFERROR(T(INDEX('Prospectos Resumen'!$K$9:$K$297,MATCH(A258,'Prospectos Resumen'!$A$9:$A$297,0))),"")</f>
        <v/>
      </c>
      <c r="T258" s="18"/>
      <c r="U258" s="18"/>
      <c r="V258" s="18"/>
      <c r="W258" s="18"/>
      <c r="X258" s="18"/>
      <c r="Y258" s="18"/>
      <c r="Z258" s="18" t="s">
        <v>2628</v>
      </c>
      <c r="AA258" s="18" t="s">
        <v>2629</v>
      </c>
      <c r="AB258" s="18" t="s">
        <v>2630</v>
      </c>
      <c r="AC258" s="18" t="s">
        <v>2631</v>
      </c>
      <c r="AD258" s="18" t="s">
        <v>2632</v>
      </c>
      <c r="AE258" s="18" t="s">
        <v>403</v>
      </c>
      <c r="AF258" s="18" t="s">
        <v>404</v>
      </c>
      <c r="AG258" s="18" t="s">
        <v>405</v>
      </c>
      <c r="AH258" s="18" t="s">
        <v>512</v>
      </c>
      <c r="AI258" s="18" t="s">
        <v>407</v>
      </c>
      <c r="AJ258" s="18" t="s">
        <v>408</v>
      </c>
      <c r="AK258" s="18" t="s">
        <v>409</v>
      </c>
      <c r="AL258" s="18" t="s">
        <v>2633</v>
      </c>
      <c r="AM258" s="18" t="s">
        <v>2634</v>
      </c>
    </row>
    <row r="259" spans="1:39" ht="60">
      <c r="A259" s="18" t="s">
        <v>324</v>
      </c>
      <c r="B259" s="18" t="s">
        <v>383</v>
      </c>
      <c r="C259" s="18" t="s">
        <v>2317</v>
      </c>
      <c r="D259" s="18" t="s">
        <v>2566</v>
      </c>
      <c r="E259" s="18" t="s">
        <v>2512</v>
      </c>
      <c r="F259" s="18" t="s">
        <v>387</v>
      </c>
      <c r="G259" s="18">
        <v>88</v>
      </c>
      <c r="H259" s="18" t="s">
        <v>2635</v>
      </c>
      <c r="I259" s="18" t="s">
        <v>2636</v>
      </c>
      <c r="J259" s="18" t="s">
        <v>727</v>
      </c>
      <c r="K259" s="18" t="s">
        <v>2637</v>
      </c>
      <c r="L259" s="18" t="s">
        <v>557</v>
      </c>
      <c r="M259" s="18" t="s">
        <v>1190</v>
      </c>
      <c r="N259" s="18" t="s">
        <v>1191</v>
      </c>
      <c r="O259" s="18" t="s">
        <v>1192</v>
      </c>
      <c r="P259" s="18" t="s">
        <v>1193</v>
      </c>
      <c r="Q259" s="18" t="s">
        <v>1194</v>
      </c>
      <c r="R259" s="18"/>
      <c r="S259" s="48" t="str">
        <f>IFERROR(T(INDEX('Prospectos Resumen'!$K$9:$K$297,MATCH(A259,'Prospectos Resumen'!$A$9:$A$297,0))),"")</f>
        <v/>
      </c>
      <c r="T259" s="18"/>
      <c r="U259" s="18"/>
      <c r="V259" s="18"/>
      <c r="W259" s="18"/>
      <c r="X259" s="18" t="s">
        <v>2638</v>
      </c>
      <c r="Y259" s="18" t="s">
        <v>2638</v>
      </c>
      <c r="Z259" s="18" t="s">
        <v>1389</v>
      </c>
      <c r="AA259" s="18" t="s">
        <v>2639</v>
      </c>
      <c r="AB259" s="18" t="s">
        <v>2640</v>
      </c>
      <c r="AC259" s="18" t="s">
        <v>2641</v>
      </c>
      <c r="AD259" s="18" t="s">
        <v>2642</v>
      </c>
      <c r="AE259" s="18" t="s">
        <v>566</v>
      </c>
      <c r="AF259" s="18" t="s">
        <v>1201</v>
      </c>
      <c r="AG259" s="18" t="s">
        <v>1202</v>
      </c>
      <c r="AH259" s="18" t="s">
        <v>743</v>
      </c>
      <c r="AI259" s="18" t="s">
        <v>407</v>
      </c>
      <c r="AJ259" s="18" t="s">
        <v>403</v>
      </c>
      <c r="AK259" s="18" t="s">
        <v>1203</v>
      </c>
      <c r="AL259" s="18" t="s">
        <v>1204</v>
      </c>
      <c r="AM259" s="18" t="s">
        <v>1205</v>
      </c>
    </row>
    <row r="260" spans="1:39" ht="48">
      <c r="A260" s="18" t="s">
        <v>325</v>
      </c>
      <c r="B260" s="18" t="s">
        <v>383</v>
      </c>
      <c r="C260" s="18" t="s">
        <v>2317</v>
      </c>
      <c r="D260" s="18" t="s">
        <v>2512</v>
      </c>
      <c r="E260" s="18" t="s">
        <v>2512</v>
      </c>
      <c r="F260" s="18" t="s">
        <v>387</v>
      </c>
      <c r="G260" s="18">
        <v>88</v>
      </c>
      <c r="H260" s="18" t="s">
        <v>2643</v>
      </c>
      <c r="I260" s="18" t="s">
        <v>2644</v>
      </c>
      <c r="J260" s="18" t="s">
        <v>23</v>
      </c>
      <c r="K260" s="18" t="s">
        <v>2645</v>
      </c>
      <c r="L260" s="18" t="s">
        <v>391</v>
      </c>
      <c r="M260" s="18" t="s">
        <v>392</v>
      </c>
      <c r="N260" s="18" t="s">
        <v>393</v>
      </c>
      <c r="O260" s="18" t="s">
        <v>394</v>
      </c>
      <c r="P260" s="18" t="s">
        <v>395</v>
      </c>
      <c r="Q260" s="18" t="s">
        <v>396</v>
      </c>
      <c r="R260" s="18"/>
      <c r="S260" s="48" t="str">
        <f>IFERROR(T(INDEX('Prospectos Resumen'!$K$9:$K$297,MATCH(A260,'Prospectos Resumen'!$A$9:$A$297,0))),"")</f>
        <v/>
      </c>
      <c r="T260" s="18"/>
      <c r="U260" s="18"/>
      <c r="V260" s="18"/>
      <c r="W260" s="18"/>
      <c r="X260" s="18" t="s">
        <v>2646</v>
      </c>
      <c r="Y260" s="18" t="s">
        <v>2646</v>
      </c>
      <c r="Z260" s="18" t="s">
        <v>398</v>
      </c>
      <c r="AA260" s="18" t="s">
        <v>2647</v>
      </c>
      <c r="AB260" s="18" t="s">
        <v>2648</v>
      </c>
      <c r="AC260" s="18" t="s">
        <v>2649</v>
      </c>
      <c r="AD260" s="18" t="s">
        <v>2650</v>
      </c>
      <c r="AE260" s="18" t="s">
        <v>403</v>
      </c>
      <c r="AF260" s="18" t="s">
        <v>404</v>
      </c>
      <c r="AG260" s="18" t="s">
        <v>405</v>
      </c>
      <c r="AH260" s="18" t="s">
        <v>406</v>
      </c>
      <c r="AI260" s="18" t="s">
        <v>407</v>
      </c>
      <c r="AJ260" s="18" t="s">
        <v>403</v>
      </c>
      <c r="AK260" s="18" t="s">
        <v>409</v>
      </c>
      <c r="AL260" s="18" t="s">
        <v>410</v>
      </c>
      <c r="AM260" s="18" t="s">
        <v>411</v>
      </c>
    </row>
    <row r="261" spans="1:39" ht="60">
      <c r="A261" s="18" t="s">
        <v>326</v>
      </c>
      <c r="B261" s="18" t="s">
        <v>383</v>
      </c>
      <c r="C261" s="18" t="s">
        <v>2317</v>
      </c>
      <c r="D261" s="18" t="s">
        <v>2512</v>
      </c>
      <c r="E261" s="18" t="s">
        <v>2512</v>
      </c>
      <c r="F261" s="18" t="s">
        <v>387</v>
      </c>
      <c r="G261" s="18">
        <v>85</v>
      </c>
      <c r="H261" s="18" t="s">
        <v>2651</v>
      </c>
      <c r="I261" s="18" t="s">
        <v>2652</v>
      </c>
      <c r="J261" s="18" t="s">
        <v>23</v>
      </c>
      <c r="K261" s="18" t="s">
        <v>2653</v>
      </c>
      <c r="L261" s="18" t="s">
        <v>557</v>
      </c>
      <c r="M261" s="18" t="s">
        <v>392</v>
      </c>
      <c r="N261" s="18" t="s">
        <v>571</v>
      </c>
      <c r="O261" s="18" t="s">
        <v>572</v>
      </c>
      <c r="P261" s="18" t="s">
        <v>573</v>
      </c>
      <c r="Q261" s="18" t="s">
        <v>396</v>
      </c>
      <c r="R261" s="18"/>
      <c r="S261" s="48" t="str">
        <f>IFERROR(T(INDEX('Prospectos Resumen'!$K$9:$K$297,MATCH(A261,'Prospectos Resumen'!$A$9:$A$297,0))),"")</f>
        <v/>
      </c>
      <c r="T261" s="18"/>
      <c r="U261" s="18"/>
      <c r="V261" s="18"/>
      <c r="W261" s="18"/>
      <c r="X261" s="18" t="s">
        <v>2654</v>
      </c>
      <c r="Y261" s="18" t="s">
        <v>2654</v>
      </c>
      <c r="Z261" s="18" t="s">
        <v>695</v>
      </c>
      <c r="AA261" s="18" t="s">
        <v>2655</v>
      </c>
      <c r="AB261" s="18" t="s">
        <v>2656</v>
      </c>
      <c r="AC261" s="18" t="s">
        <v>2618</v>
      </c>
      <c r="AD261" s="18" t="s">
        <v>2657</v>
      </c>
      <c r="AE261" s="18" t="s">
        <v>566</v>
      </c>
      <c r="AF261" s="18" t="s">
        <v>404</v>
      </c>
      <c r="AG261" s="18" t="s">
        <v>405</v>
      </c>
      <c r="AH261" s="18" t="s">
        <v>406</v>
      </c>
      <c r="AI261" s="18" t="s">
        <v>407</v>
      </c>
      <c r="AJ261" s="18" t="s">
        <v>403</v>
      </c>
      <c r="AK261" s="18" t="s">
        <v>409</v>
      </c>
      <c r="AL261" s="18" t="s">
        <v>410</v>
      </c>
      <c r="AM261" s="18" t="s">
        <v>411</v>
      </c>
    </row>
    <row r="262" spans="1:39" ht="60">
      <c r="A262" s="18" t="s">
        <v>327</v>
      </c>
      <c r="B262" s="18" t="s">
        <v>383</v>
      </c>
      <c r="C262" s="18" t="s">
        <v>2317</v>
      </c>
      <c r="D262" s="18" t="s">
        <v>2542</v>
      </c>
      <c r="E262" s="18" t="s">
        <v>2512</v>
      </c>
      <c r="F262" s="18" t="s">
        <v>387</v>
      </c>
      <c r="G262" s="18">
        <v>85</v>
      </c>
      <c r="H262" s="18" t="s">
        <v>2658</v>
      </c>
      <c r="I262" s="18" t="s">
        <v>2659</v>
      </c>
      <c r="J262" s="18" t="s">
        <v>655</v>
      </c>
      <c r="K262" s="18" t="s">
        <v>2660</v>
      </c>
      <c r="L262" s="18" t="s">
        <v>557</v>
      </c>
      <c r="M262" s="18" t="s">
        <v>2661</v>
      </c>
      <c r="N262" s="18" t="s">
        <v>657</v>
      </c>
      <c r="O262" s="18" t="s">
        <v>2662</v>
      </c>
      <c r="P262" s="18" t="s">
        <v>2663</v>
      </c>
      <c r="Q262" s="18" t="s">
        <v>472</v>
      </c>
      <c r="R262" s="18"/>
      <c r="S262" s="48" t="str">
        <f>IFERROR(T(INDEX('Prospectos Resumen'!$K$9:$K$297,MATCH(A262,'Prospectos Resumen'!$A$9:$A$297,0))),"")</f>
        <v/>
      </c>
      <c r="T262" s="18"/>
      <c r="U262" s="18"/>
      <c r="V262" s="18"/>
      <c r="W262" s="18"/>
      <c r="X262" s="18" t="s">
        <v>2664</v>
      </c>
      <c r="Y262" s="18" t="s">
        <v>2664</v>
      </c>
      <c r="Z262" s="18" t="s">
        <v>474</v>
      </c>
      <c r="AA262" s="18" t="s">
        <v>2665</v>
      </c>
      <c r="AB262" s="18" t="s">
        <v>2666</v>
      </c>
      <c r="AC262" s="18" t="s">
        <v>2667</v>
      </c>
      <c r="AD262" s="18" t="s">
        <v>2668</v>
      </c>
      <c r="AE262" s="18" t="s">
        <v>566</v>
      </c>
      <c r="AF262" s="18" t="s">
        <v>479</v>
      </c>
      <c r="AG262" s="18" t="s">
        <v>428</v>
      </c>
      <c r="AH262" s="18" t="s">
        <v>464</v>
      </c>
      <c r="AI262" s="18"/>
      <c r="AJ262" s="18" t="s">
        <v>408</v>
      </c>
      <c r="AK262" s="18"/>
      <c r="AL262" s="18" t="s">
        <v>431</v>
      </c>
      <c r="AM262" s="18" t="s">
        <v>432</v>
      </c>
    </row>
    <row r="263" spans="1:39" ht="72">
      <c r="A263" s="18" t="s">
        <v>328</v>
      </c>
      <c r="B263" s="18" t="s">
        <v>383</v>
      </c>
      <c r="C263" s="18" t="s">
        <v>2317</v>
      </c>
      <c r="D263" s="18" t="s">
        <v>2512</v>
      </c>
      <c r="E263" s="18" t="s">
        <v>2512</v>
      </c>
      <c r="F263" s="18" t="s">
        <v>387</v>
      </c>
      <c r="G263" s="18">
        <v>82</v>
      </c>
      <c r="H263" s="18" t="s">
        <v>2669</v>
      </c>
      <c r="I263" s="18" t="s">
        <v>774</v>
      </c>
      <c r="J263" s="18" t="s">
        <v>23</v>
      </c>
      <c r="K263" s="18" t="s">
        <v>613</v>
      </c>
      <c r="L263" s="18" t="s">
        <v>613</v>
      </c>
      <c r="M263" s="18" t="s">
        <v>392</v>
      </c>
      <c r="N263" s="18" t="s">
        <v>571</v>
      </c>
      <c r="O263" s="18" t="s">
        <v>572</v>
      </c>
      <c r="P263" s="18" t="s">
        <v>573</v>
      </c>
      <c r="Q263" s="18" t="s">
        <v>396</v>
      </c>
      <c r="R263" s="18"/>
      <c r="S263" s="48" t="str">
        <f>IFERROR(T(INDEX('Prospectos Resumen'!$K$9:$K$297,MATCH(A263,'Prospectos Resumen'!$A$9:$A$297,0))),"")</f>
        <v/>
      </c>
      <c r="T263" s="18"/>
      <c r="U263" s="18"/>
      <c r="V263" s="18"/>
      <c r="W263" s="18"/>
      <c r="X263" s="18"/>
      <c r="Y263" s="18"/>
      <c r="Z263" s="18" t="s">
        <v>1941</v>
      </c>
      <c r="AA263" s="18" t="s">
        <v>2670</v>
      </c>
      <c r="AB263" s="18" t="s">
        <v>2656</v>
      </c>
      <c r="AC263" s="18" t="s">
        <v>2618</v>
      </c>
      <c r="AD263" s="18" t="s">
        <v>2671</v>
      </c>
      <c r="AE263" s="18" t="s">
        <v>566</v>
      </c>
      <c r="AF263" s="18" t="s">
        <v>404</v>
      </c>
      <c r="AG263" s="18" t="s">
        <v>405</v>
      </c>
      <c r="AH263" s="18" t="s">
        <v>406</v>
      </c>
      <c r="AI263" s="18" t="s">
        <v>407</v>
      </c>
      <c r="AJ263" s="18" t="s">
        <v>403</v>
      </c>
      <c r="AK263" s="18" t="s">
        <v>409</v>
      </c>
      <c r="AL263" s="18" t="s">
        <v>410</v>
      </c>
      <c r="AM263" s="18" t="s">
        <v>411</v>
      </c>
    </row>
    <row r="264" spans="1:39" ht="48">
      <c r="A264" s="18" t="s">
        <v>329</v>
      </c>
      <c r="B264" s="18" t="s">
        <v>383</v>
      </c>
      <c r="C264" s="18" t="s">
        <v>2317</v>
      </c>
      <c r="D264" s="18" t="s">
        <v>2512</v>
      </c>
      <c r="E264" s="18" t="s">
        <v>2512</v>
      </c>
      <c r="F264" s="18" t="s">
        <v>387</v>
      </c>
      <c r="G264" s="18">
        <v>75</v>
      </c>
      <c r="H264" s="18" t="s">
        <v>2672</v>
      </c>
      <c r="I264" s="18" t="s">
        <v>2673</v>
      </c>
      <c r="J264" s="18" t="s">
        <v>535</v>
      </c>
      <c r="K264" s="18" t="s">
        <v>613</v>
      </c>
      <c r="L264" s="18" t="s">
        <v>613</v>
      </c>
      <c r="M264" s="18" t="s">
        <v>537</v>
      </c>
      <c r="N264" s="18" t="s">
        <v>469</v>
      </c>
      <c r="O264" s="18" t="s">
        <v>538</v>
      </c>
      <c r="P264" s="18" t="s">
        <v>2674</v>
      </c>
      <c r="Q264" s="18" t="s">
        <v>420</v>
      </c>
      <c r="R264" s="18"/>
      <c r="S264" s="48" t="str">
        <f>IFERROR(T(INDEX('Prospectos Resumen'!$K$9:$K$297,MATCH(A264,'Prospectos Resumen'!$A$9:$A$297,0))),"")</f>
        <v/>
      </c>
      <c r="T264" s="18"/>
      <c r="U264" s="18"/>
      <c r="V264" s="18"/>
      <c r="W264" s="18"/>
      <c r="X264" s="18"/>
      <c r="Y264" s="18"/>
      <c r="Z264" s="18" t="s">
        <v>423</v>
      </c>
      <c r="AA264" s="18" t="s">
        <v>2675</v>
      </c>
      <c r="AB264" s="18" t="s">
        <v>2676</v>
      </c>
      <c r="AC264" s="18"/>
      <c r="AD264" s="18" t="s">
        <v>426</v>
      </c>
      <c r="AE264" s="18" t="s">
        <v>566</v>
      </c>
      <c r="AF264" s="18" t="s">
        <v>427</v>
      </c>
      <c r="AG264" s="18" t="s">
        <v>544</v>
      </c>
      <c r="AH264" s="18" t="s">
        <v>1029</v>
      </c>
      <c r="AI264" s="18"/>
      <c r="AJ264" s="18" t="s">
        <v>403</v>
      </c>
      <c r="AK264" s="18" t="s">
        <v>1064</v>
      </c>
      <c r="AL264" s="18" t="s">
        <v>431</v>
      </c>
      <c r="AM264" s="18" t="s">
        <v>432</v>
      </c>
    </row>
    <row r="265" spans="1:39" ht="60">
      <c r="A265" s="18" t="s">
        <v>330</v>
      </c>
      <c r="B265" s="18" t="s">
        <v>383</v>
      </c>
      <c r="C265" s="18" t="s">
        <v>2317</v>
      </c>
      <c r="D265" s="18" t="s">
        <v>2566</v>
      </c>
      <c r="E265" s="18" t="s">
        <v>2512</v>
      </c>
      <c r="F265" s="18" t="s">
        <v>724</v>
      </c>
      <c r="G265" s="18">
        <v>84</v>
      </c>
      <c r="H265" s="18" t="s">
        <v>2677</v>
      </c>
      <c r="I265" s="18" t="s">
        <v>2678</v>
      </c>
      <c r="J265" s="18" t="s">
        <v>727</v>
      </c>
      <c r="K265" s="18" t="s">
        <v>2679</v>
      </c>
      <c r="L265" s="18" t="s">
        <v>391</v>
      </c>
      <c r="M265" s="18" t="s">
        <v>1190</v>
      </c>
      <c r="N265" s="18" t="s">
        <v>1191</v>
      </c>
      <c r="O265" s="18" t="s">
        <v>1192</v>
      </c>
      <c r="P265" s="18" t="s">
        <v>1193</v>
      </c>
      <c r="Q265" s="18" t="s">
        <v>2206</v>
      </c>
      <c r="R265" s="18"/>
      <c r="S265" s="48" t="str">
        <f>IFERROR(T(INDEX('Prospectos Resumen'!$K$9:$K$297,MATCH(A265,'Prospectos Resumen'!$A$9:$A$297,0))),"")</f>
        <v/>
      </c>
      <c r="T265" s="18"/>
      <c r="U265" s="18"/>
      <c r="V265" s="18"/>
      <c r="W265" s="18"/>
      <c r="X265" s="18" t="s">
        <v>2680</v>
      </c>
      <c r="Y265" s="18" t="s">
        <v>2680</v>
      </c>
      <c r="Z265" s="18" t="s">
        <v>1196</v>
      </c>
      <c r="AA265" s="18" t="s">
        <v>2681</v>
      </c>
      <c r="AB265" s="18" t="s">
        <v>2682</v>
      </c>
      <c r="AC265" s="18" t="s">
        <v>2683</v>
      </c>
      <c r="AD265" s="18" t="s">
        <v>2684</v>
      </c>
      <c r="AE265" s="18" t="s">
        <v>566</v>
      </c>
      <c r="AF265" s="18" t="s">
        <v>1201</v>
      </c>
      <c r="AG265" s="18" t="s">
        <v>1202</v>
      </c>
      <c r="AH265" s="18" t="s">
        <v>743</v>
      </c>
      <c r="AI265" s="18" t="s">
        <v>407</v>
      </c>
      <c r="AJ265" s="18" t="s">
        <v>403</v>
      </c>
      <c r="AK265" s="18" t="s">
        <v>1203</v>
      </c>
      <c r="AL265" s="18" t="s">
        <v>1204</v>
      </c>
      <c r="AM265" s="18" t="s">
        <v>1205</v>
      </c>
    </row>
    <row r="266" spans="1:39" ht="48">
      <c r="A266" s="18" t="s">
        <v>331</v>
      </c>
      <c r="B266" s="18" t="s">
        <v>383</v>
      </c>
      <c r="C266" s="18" t="s">
        <v>2317</v>
      </c>
      <c r="D266" s="18" t="s">
        <v>2512</v>
      </c>
      <c r="E266" s="18" t="s">
        <v>2512</v>
      </c>
      <c r="F266" s="18" t="s">
        <v>724</v>
      </c>
      <c r="G266" s="18">
        <v>80</v>
      </c>
      <c r="H266" s="18" t="s">
        <v>2685</v>
      </c>
      <c r="I266" s="18" t="s">
        <v>2686</v>
      </c>
      <c r="J266" s="18" t="s">
        <v>23</v>
      </c>
      <c r="K266" s="18" t="s">
        <v>2687</v>
      </c>
      <c r="L266" s="18" t="s">
        <v>391</v>
      </c>
      <c r="M266" s="18" t="s">
        <v>392</v>
      </c>
      <c r="N266" s="18" t="s">
        <v>709</v>
      </c>
      <c r="O266" s="18" t="s">
        <v>710</v>
      </c>
      <c r="P266" s="18" t="s">
        <v>711</v>
      </c>
      <c r="Q266" s="18" t="s">
        <v>873</v>
      </c>
      <c r="R266" s="18"/>
      <c r="S266" s="48" t="str">
        <f>IFERROR(T(INDEX('Prospectos Resumen'!$K$9:$K$297,MATCH(A266,'Prospectos Resumen'!$A$9:$A$297,0))),"")</f>
        <v/>
      </c>
      <c r="T266" s="18"/>
      <c r="U266" s="18"/>
      <c r="V266" s="18"/>
      <c r="W266" s="18"/>
      <c r="X266" s="18" t="s">
        <v>2688</v>
      </c>
      <c r="Y266" s="18" t="s">
        <v>2688</v>
      </c>
      <c r="Z266" s="18" t="s">
        <v>398</v>
      </c>
      <c r="AA266" s="18" t="s">
        <v>2689</v>
      </c>
      <c r="AB266" s="18" t="s">
        <v>2690</v>
      </c>
      <c r="AC266" s="18" t="s">
        <v>2691</v>
      </c>
      <c r="AD266" s="18" t="s">
        <v>2692</v>
      </c>
      <c r="AE266" s="18" t="s">
        <v>403</v>
      </c>
      <c r="AF266" s="18" t="s">
        <v>404</v>
      </c>
      <c r="AG266" s="18" t="s">
        <v>405</v>
      </c>
      <c r="AH266" s="18" t="s">
        <v>406</v>
      </c>
      <c r="AI266" s="18" t="s">
        <v>407</v>
      </c>
      <c r="AJ266" s="18" t="s">
        <v>403</v>
      </c>
      <c r="AK266" s="18" t="s">
        <v>409</v>
      </c>
      <c r="AL266" s="18" t="s">
        <v>410</v>
      </c>
      <c r="AM266" s="18" t="s">
        <v>411</v>
      </c>
    </row>
    <row r="267" spans="1:39" ht="48">
      <c r="A267" s="3" t="s">
        <v>332</v>
      </c>
      <c r="B267" s="3" t="s">
        <v>383</v>
      </c>
      <c r="C267" s="3" t="s">
        <v>2317</v>
      </c>
      <c r="D267" s="3" t="s">
        <v>2512</v>
      </c>
      <c r="E267" s="3" t="s">
        <v>2512</v>
      </c>
      <c r="F267" s="3" t="s">
        <v>724</v>
      </c>
      <c r="G267" s="3">
        <v>76</v>
      </c>
      <c r="H267" s="3" t="s">
        <v>2693</v>
      </c>
      <c r="I267" s="3" t="s">
        <v>2694</v>
      </c>
      <c r="J267" s="3" t="s">
        <v>23</v>
      </c>
      <c r="K267" s="3" t="s">
        <v>2695</v>
      </c>
      <c r="L267" s="3" t="s">
        <v>557</v>
      </c>
      <c r="M267" s="3" t="s">
        <v>392</v>
      </c>
      <c r="N267" s="3" t="s">
        <v>393</v>
      </c>
      <c r="O267" s="3" t="s">
        <v>394</v>
      </c>
      <c r="P267" s="3" t="s">
        <v>395</v>
      </c>
      <c r="Q267" s="3" t="s">
        <v>873</v>
      </c>
      <c r="R267" s="3"/>
      <c r="S267" s="47" t="str">
        <f>IFERROR(T(INDEX('Prospectos Resumen'!$K$9:$K$297,MATCH(A267,'Prospectos Resumen'!$A$9:$A$297,0))),"")</f>
        <v/>
      </c>
      <c r="T267" s="3"/>
      <c r="U267" s="3"/>
      <c r="V267" s="3"/>
      <c r="W267" s="3"/>
      <c r="X267" s="3" t="s">
        <v>2696</v>
      </c>
      <c r="Y267" s="3" t="s">
        <v>2696</v>
      </c>
      <c r="Z267" s="3" t="s">
        <v>695</v>
      </c>
      <c r="AA267" s="3" t="s">
        <v>2697</v>
      </c>
      <c r="AB267" s="3" t="s">
        <v>2656</v>
      </c>
      <c r="AC267" s="3" t="s">
        <v>2618</v>
      </c>
      <c r="AD267" s="3" t="s">
        <v>2698</v>
      </c>
      <c r="AE267" s="3" t="s">
        <v>566</v>
      </c>
      <c r="AF267" s="3" t="s">
        <v>404</v>
      </c>
      <c r="AG267" s="3" t="s">
        <v>405</v>
      </c>
      <c r="AH267" s="3" t="s">
        <v>406</v>
      </c>
      <c r="AI267" s="3" t="s">
        <v>407</v>
      </c>
      <c r="AJ267" s="3" t="s">
        <v>403</v>
      </c>
      <c r="AK267" s="3" t="s">
        <v>409</v>
      </c>
      <c r="AL267" s="3" t="s">
        <v>410</v>
      </c>
      <c r="AM267" s="3" t="s">
        <v>411</v>
      </c>
    </row>
    <row r="268" spans="1:39" ht="48">
      <c r="A268" s="18" t="s">
        <v>333</v>
      </c>
      <c r="B268" s="18" t="s">
        <v>383</v>
      </c>
      <c r="C268" s="18" t="s">
        <v>2317</v>
      </c>
      <c r="D268" s="18" t="s">
        <v>2512</v>
      </c>
      <c r="E268" s="18" t="s">
        <v>2512</v>
      </c>
      <c r="F268" s="18" t="s">
        <v>724</v>
      </c>
      <c r="G268" s="18">
        <v>75</v>
      </c>
      <c r="H268" s="18" t="s">
        <v>2699</v>
      </c>
      <c r="I268" s="18" t="s">
        <v>2700</v>
      </c>
      <c r="J268" s="18" t="s">
        <v>802</v>
      </c>
      <c r="K268" s="18" t="s">
        <v>2701</v>
      </c>
      <c r="L268" s="18" t="s">
        <v>391</v>
      </c>
      <c r="M268" s="18" t="s">
        <v>804</v>
      </c>
      <c r="N268" s="18" t="s">
        <v>805</v>
      </c>
      <c r="O268" s="18" t="s">
        <v>806</v>
      </c>
      <c r="P268" s="18" t="s">
        <v>2702</v>
      </c>
      <c r="Q268" s="18" t="s">
        <v>420</v>
      </c>
      <c r="R268" s="18"/>
      <c r="S268" s="48" t="str">
        <f>IFERROR(T(INDEX('Prospectos Resumen'!$K$9:$K$297,MATCH(A268,'Prospectos Resumen'!$A$9:$A$297,0))),"")</f>
        <v/>
      </c>
      <c r="T268" s="18"/>
      <c r="U268" s="18"/>
      <c r="V268" s="18"/>
      <c r="W268" s="18"/>
      <c r="X268" s="18" t="s">
        <v>2703</v>
      </c>
      <c r="Y268" s="18" t="s">
        <v>2703</v>
      </c>
      <c r="Z268" s="18" t="s">
        <v>423</v>
      </c>
      <c r="AA268" s="18" t="s">
        <v>2704</v>
      </c>
      <c r="AB268" s="18" t="s">
        <v>2705</v>
      </c>
      <c r="AC268" s="18"/>
      <c r="AD268" s="18" t="s">
        <v>426</v>
      </c>
      <c r="AE268" s="18" t="s">
        <v>403</v>
      </c>
      <c r="AF268" s="18" t="s">
        <v>427</v>
      </c>
      <c r="AG268" s="18" t="s">
        <v>448</v>
      </c>
      <c r="AH268" s="18" t="s">
        <v>429</v>
      </c>
      <c r="AI268" s="18"/>
      <c r="AJ268" s="18" t="s">
        <v>403</v>
      </c>
      <c r="AK268" s="18" t="s">
        <v>430</v>
      </c>
      <c r="AL268" s="18" t="s">
        <v>431</v>
      </c>
      <c r="AM268" s="18" t="s">
        <v>432</v>
      </c>
    </row>
    <row r="269" spans="1:39" ht="36">
      <c r="A269" s="18" t="s">
        <v>334</v>
      </c>
      <c r="B269" s="18" t="s">
        <v>383</v>
      </c>
      <c r="C269" s="18" t="s">
        <v>2317</v>
      </c>
      <c r="D269" s="18" t="s">
        <v>2512</v>
      </c>
      <c r="E269" s="18" t="s">
        <v>2512</v>
      </c>
      <c r="F269" s="18" t="s">
        <v>724</v>
      </c>
      <c r="G269" s="18">
        <v>75</v>
      </c>
      <c r="H269" s="18" t="s">
        <v>2706</v>
      </c>
      <c r="I269" s="18" t="s">
        <v>2707</v>
      </c>
      <c r="J269" s="18" t="s">
        <v>453</v>
      </c>
      <c r="K269" s="18" t="s">
        <v>2708</v>
      </c>
      <c r="L269" s="18" t="s">
        <v>391</v>
      </c>
      <c r="M269" s="18" t="s">
        <v>455</v>
      </c>
      <c r="N269" s="18" t="s">
        <v>456</v>
      </c>
      <c r="O269" s="18" t="s">
        <v>457</v>
      </c>
      <c r="P269" s="18" t="s">
        <v>2709</v>
      </c>
      <c r="Q269" s="18" t="s">
        <v>420</v>
      </c>
      <c r="R269" s="18"/>
      <c r="S269" s="48" t="str">
        <f>IFERROR(T(INDEX('Prospectos Resumen'!$K$9:$K$297,MATCH(A269,'Prospectos Resumen'!$A$9:$A$297,0))),"")</f>
        <v/>
      </c>
      <c r="T269" s="18"/>
      <c r="U269" s="18"/>
      <c r="V269" s="18"/>
      <c r="W269" s="18"/>
      <c r="X269" s="18" t="s">
        <v>2710</v>
      </c>
      <c r="Y269" s="18" t="s">
        <v>2710</v>
      </c>
      <c r="Z269" s="18" t="s">
        <v>423</v>
      </c>
      <c r="AA269" s="18" t="s">
        <v>2711</v>
      </c>
      <c r="AB269" s="18" t="s">
        <v>2541</v>
      </c>
      <c r="AC269" s="18"/>
      <c r="AD269" s="18" t="s">
        <v>426</v>
      </c>
      <c r="AE269" s="18" t="s">
        <v>403</v>
      </c>
      <c r="AF269" s="18" t="s">
        <v>427</v>
      </c>
      <c r="AG269" s="18" t="s">
        <v>463</v>
      </c>
      <c r="AH269" s="18" t="s">
        <v>464</v>
      </c>
      <c r="AI269" s="18"/>
      <c r="AJ269" s="18" t="s">
        <v>403</v>
      </c>
      <c r="AK269" s="18"/>
      <c r="AL269" s="18" t="s">
        <v>431</v>
      </c>
      <c r="AM269" s="18" t="s">
        <v>2712</v>
      </c>
    </row>
    <row r="270" spans="1:39" ht="36">
      <c r="A270" s="18" t="s">
        <v>335</v>
      </c>
      <c r="B270" s="18" t="s">
        <v>383</v>
      </c>
      <c r="C270" s="18" t="s">
        <v>2317</v>
      </c>
      <c r="D270" s="18" t="s">
        <v>2512</v>
      </c>
      <c r="E270" s="18" t="s">
        <v>2512</v>
      </c>
      <c r="F270" s="18" t="s">
        <v>724</v>
      </c>
      <c r="G270" s="18">
        <v>75</v>
      </c>
      <c r="H270" s="18" t="s">
        <v>2713</v>
      </c>
      <c r="I270" s="18" t="s">
        <v>1395</v>
      </c>
      <c r="J270" s="18" t="s">
        <v>484</v>
      </c>
      <c r="K270" s="18" t="s">
        <v>2714</v>
      </c>
      <c r="L270" s="18" t="s">
        <v>391</v>
      </c>
      <c r="M270" s="18" t="s">
        <v>1397</v>
      </c>
      <c r="N270" s="18" t="s">
        <v>487</v>
      </c>
      <c r="O270" s="18" t="s">
        <v>1398</v>
      </c>
      <c r="P270" s="18" t="s">
        <v>2715</v>
      </c>
      <c r="Q270" s="18" t="s">
        <v>420</v>
      </c>
      <c r="R270" s="18"/>
      <c r="S270" s="48" t="str">
        <f>IFERROR(T(INDEX('Prospectos Resumen'!$K$9:$K$297,MATCH(A270,'Prospectos Resumen'!$A$9:$A$297,0))),"")</f>
        <v/>
      </c>
      <c r="T270" s="18"/>
      <c r="U270" s="18"/>
      <c r="V270" s="18"/>
      <c r="W270" s="18"/>
      <c r="X270" s="18" t="s">
        <v>2716</v>
      </c>
      <c r="Y270" s="18" t="s">
        <v>2716</v>
      </c>
      <c r="Z270" s="18" t="s">
        <v>423</v>
      </c>
      <c r="AA270" s="18" t="s">
        <v>2717</v>
      </c>
      <c r="AB270" s="18" t="s">
        <v>2718</v>
      </c>
      <c r="AC270" s="18"/>
      <c r="AD270" s="18" t="s">
        <v>426</v>
      </c>
      <c r="AE270" s="18" t="s">
        <v>403</v>
      </c>
      <c r="AF270" s="18" t="s">
        <v>427</v>
      </c>
      <c r="AG270" s="18" t="s">
        <v>428</v>
      </c>
      <c r="AH270" s="18" t="s">
        <v>464</v>
      </c>
      <c r="AI270" s="18"/>
      <c r="AJ270" s="18" t="s">
        <v>403</v>
      </c>
      <c r="AK270" s="18"/>
      <c r="AL270" s="18" t="s">
        <v>431</v>
      </c>
      <c r="AM270" s="18" t="s">
        <v>2719</v>
      </c>
    </row>
    <row r="271" spans="1:39" ht="36">
      <c r="A271" s="18" t="s">
        <v>336</v>
      </c>
      <c r="B271" s="18" t="s">
        <v>383</v>
      </c>
      <c r="C271" s="18" t="s">
        <v>2317</v>
      </c>
      <c r="D271" s="18" t="s">
        <v>2512</v>
      </c>
      <c r="E271" s="18" t="s">
        <v>2512</v>
      </c>
      <c r="F271" s="18" t="s">
        <v>724</v>
      </c>
      <c r="G271" s="18">
        <v>75</v>
      </c>
      <c r="H271" s="18" t="s">
        <v>2720</v>
      </c>
      <c r="I271" s="18" t="s">
        <v>2721</v>
      </c>
      <c r="J271" s="18" t="s">
        <v>802</v>
      </c>
      <c r="K271" s="18" t="s">
        <v>2722</v>
      </c>
      <c r="L271" s="18" t="s">
        <v>391</v>
      </c>
      <c r="M271" s="18" t="s">
        <v>455</v>
      </c>
      <c r="N271" s="18" t="s">
        <v>805</v>
      </c>
      <c r="O271" s="18" t="s">
        <v>457</v>
      </c>
      <c r="P271" s="18" t="s">
        <v>2723</v>
      </c>
      <c r="Q271" s="18" t="s">
        <v>420</v>
      </c>
      <c r="R271" s="18"/>
      <c r="S271" s="48" t="str">
        <f>IFERROR(T(INDEX('Prospectos Resumen'!$K$9:$K$297,MATCH(A271,'Prospectos Resumen'!$A$9:$A$297,0))),"")</f>
        <v/>
      </c>
      <c r="T271" s="18"/>
      <c r="U271" s="18"/>
      <c r="V271" s="18"/>
      <c r="W271" s="18"/>
      <c r="X271" s="18" t="s">
        <v>2724</v>
      </c>
      <c r="Y271" s="18" t="s">
        <v>2724</v>
      </c>
      <c r="Z271" s="18" t="s">
        <v>423</v>
      </c>
      <c r="AA271" s="18" t="s">
        <v>2725</v>
      </c>
      <c r="AB271" s="18" t="s">
        <v>2541</v>
      </c>
      <c r="AC271" s="18"/>
      <c r="AD271" s="18" t="s">
        <v>426</v>
      </c>
      <c r="AE271" s="18" t="s">
        <v>403</v>
      </c>
      <c r="AF271" s="18" t="s">
        <v>427</v>
      </c>
      <c r="AG271" s="18" t="s">
        <v>463</v>
      </c>
      <c r="AH271" s="18" t="s">
        <v>464</v>
      </c>
      <c r="AI271" s="18"/>
      <c r="AJ271" s="18" t="s">
        <v>403</v>
      </c>
      <c r="AK271" s="18"/>
      <c r="AL271" s="18" t="s">
        <v>431</v>
      </c>
      <c r="AM271" s="18" t="s">
        <v>432</v>
      </c>
    </row>
    <row r="272" spans="1:39" ht="36">
      <c r="A272" s="18" t="s">
        <v>337</v>
      </c>
      <c r="B272" s="18" t="s">
        <v>383</v>
      </c>
      <c r="C272" s="18" t="s">
        <v>2317</v>
      </c>
      <c r="D272" s="18" t="s">
        <v>2512</v>
      </c>
      <c r="E272" s="18" t="s">
        <v>2512</v>
      </c>
      <c r="F272" s="18" t="s">
        <v>724</v>
      </c>
      <c r="G272" s="18">
        <v>75</v>
      </c>
      <c r="H272" s="18" t="s">
        <v>2726</v>
      </c>
      <c r="I272" s="18" t="s">
        <v>2727</v>
      </c>
      <c r="J272" s="18" t="s">
        <v>484</v>
      </c>
      <c r="K272" s="18" t="s">
        <v>2728</v>
      </c>
      <c r="L272" s="18" t="s">
        <v>391</v>
      </c>
      <c r="M272" s="18" t="s">
        <v>1397</v>
      </c>
      <c r="N272" s="18" t="s">
        <v>487</v>
      </c>
      <c r="O272" s="18" t="s">
        <v>1398</v>
      </c>
      <c r="P272" s="18" t="s">
        <v>2729</v>
      </c>
      <c r="Q272" s="18" t="s">
        <v>420</v>
      </c>
      <c r="R272" s="18"/>
      <c r="S272" s="48" t="str">
        <f>IFERROR(T(INDEX('Prospectos Resumen'!$K$9:$K$297,MATCH(A272,'Prospectos Resumen'!$A$9:$A$297,0))),"")</f>
        <v/>
      </c>
      <c r="T272" s="18"/>
      <c r="U272" s="18"/>
      <c r="V272" s="18"/>
      <c r="W272" s="18"/>
      <c r="X272" s="18" t="s">
        <v>2730</v>
      </c>
      <c r="Y272" s="18" t="s">
        <v>2730</v>
      </c>
      <c r="Z272" s="18" t="s">
        <v>423</v>
      </c>
      <c r="AA272" s="18" t="s">
        <v>2731</v>
      </c>
      <c r="AB272" s="18" t="s">
        <v>2732</v>
      </c>
      <c r="AC272" s="18"/>
      <c r="AD272" s="18" t="s">
        <v>426</v>
      </c>
      <c r="AE272" s="18" t="s">
        <v>403</v>
      </c>
      <c r="AF272" s="18" t="s">
        <v>427</v>
      </c>
      <c r="AG272" s="18" t="s">
        <v>428</v>
      </c>
      <c r="AH272" s="18" t="s">
        <v>464</v>
      </c>
      <c r="AI272" s="18"/>
      <c r="AJ272" s="18" t="s">
        <v>403</v>
      </c>
      <c r="AK272" s="18"/>
      <c r="AL272" s="18" t="s">
        <v>431</v>
      </c>
      <c r="AM272" s="18" t="s">
        <v>432</v>
      </c>
    </row>
    <row r="273" spans="1:39" ht="36">
      <c r="A273" s="18" t="s">
        <v>338</v>
      </c>
      <c r="B273" s="18" t="s">
        <v>383</v>
      </c>
      <c r="C273" s="18" t="s">
        <v>2317</v>
      </c>
      <c r="D273" s="18" t="s">
        <v>2512</v>
      </c>
      <c r="E273" s="18" t="s">
        <v>2512</v>
      </c>
      <c r="F273" s="18" t="s">
        <v>724</v>
      </c>
      <c r="G273" s="18">
        <v>75</v>
      </c>
      <c r="H273" s="18" t="s">
        <v>2733</v>
      </c>
      <c r="I273" s="18" t="s">
        <v>2734</v>
      </c>
      <c r="J273" s="18" t="s">
        <v>785</v>
      </c>
      <c r="K273" s="18" t="s">
        <v>2735</v>
      </c>
      <c r="L273" s="18" t="s">
        <v>391</v>
      </c>
      <c r="M273" s="18" t="s">
        <v>987</v>
      </c>
      <c r="N273" s="18" t="s">
        <v>805</v>
      </c>
      <c r="O273" s="18" t="s">
        <v>1034</v>
      </c>
      <c r="P273" s="18" t="s">
        <v>2736</v>
      </c>
      <c r="Q273" s="18" t="s">
        <v>420</v>
      </c>
      <c r="R273" s="18"/>
      <c r="S273" s="48" t="str">
        <f>IFERROR(T(INDEX('Prospectos Resumen'!$K$9:$K$297,MATCH(A273,'Prospectos Resumen'!$A$9:$A$297,0))),"")</f>
        <v/>
      </c>
      <c r="T273" s="18"/>
      <c r="U273" s="18"/>
      <c r="V273" s="18"/>
      <c r="W273" s="18"/>
      <c r="X273" s="18" t="s">
        <v>2737</v>
      </c>
      <c r="Y273" s="18" t="s">
        <v>2737</v>
      </c>
      <c r="Z273" s="18" t="s">
        <v>423</v>
      </c>
      <c r="AA273" s="18" t="s">
        <v>2738</v>
      </c>
      <c r="AB273" s="18" t="s">
        <v>2739</v>
      </c>
      <c r="AC273" s="18"/>
      <c r="AD273" s="18" t="s">
        <v>426</v>
      </c>
      <c r="AE273" s="18" t="s">
        <v>403</v>
      </c>
      <c r="AF273" s="18" t="s">
        <v>427</v>
      </c>
      <c r="AG273" s="18" t="s">
        <v>463</v>
      </c>
      <c r="AH273" s="18" t="s">
        <v>1039</v>
      </c>
      <c r="AI273" s="18"/>
      <c r="AJ273" s="18" t="s">
        <v>403</v>
      </c>
      <c r="AK273" s="18" t="s">
        <v>480</v>
      </c>
      <c r="AL273" s="18" t="s">
        <v>431</v>
      </c>
      <c r="AM273" s="18" t="s">
        <v>432</v>
      </c>
    </row>
    <row r="274" spans="1:39" ht="36">
      <c r="A274" s="18" t="s">
        <v>339</v>
      </c>
      <c r="B274" s="18" t="s">
        <v>383</v>
      </c>
      <c r="C274" s="18" t="s">
        <v>2317</v>
      </c>
      <c r="D274" s="18" t="s">
        <v>2512</v>
      </c>
      <c r="E274" s="18" t="s">
        <v>2512</v>
      </c>
      <c r="F274" s="18" t="s">
        <v>724</v>
      </c>
      <c r="G274" s="18">
        <v>75</v>
      </c>
      <c r="H274" s="18" t="s">
        <v>2740</v>
      </c>
      <c r="I274" s="18" t="s">
        <v>1569</v>
      </c>
      <c r="J274" s="18" t="s">
        <v>414</v>
      </c>
      <c r="K274" s="18" t="s">
        <v>2741</v>
      </c>
      <c r="L274" s="18" t="s">
        <v>391</v>
      </c>
      <c r="M274" s="18" t="s">
        <v>455</v>
      </c>
      <c r="N274" s="18" t="s">
        <v>417</v>
      </c>
      <c r="O274" s="18" t="s">
        <v>457</v>
      </c>
      <c r="P274" s="18" t="s">
        <v>2742</v>
      </c>
      <c r="Q274" s="18" t="s">
        <v>420</v>
      </c>
      <c r="R274" s="18"/>
      <c r="S274" s="48" t="str">
        <f>IFERROR(T(INDEX('Prospectos Resumen'!$K$9:$K$297,MATCH(A274,'Prospectos Resumen'!$A$9:$A$297,0))),"")</f>
        <v/>
      </c>
      <c r="T274" s="18"/>
      <c r="U274" s="18"/>
      <c r="V274" s="18"/>
      <c r="W274" s="18"/>
      <c r="X274" s="18" t="s">
        <v>2743</v>
      </c>
      <c r="Y274" s="18" t="s">
        <v>2744</v>
      </c>
      <c r="Z274" s="18" t="s">
        <v>423</v>
      </c>
      <c r="AA274" s="18" t="s">
        <v>2745</v>
      </c>
      <c r="AB274" s="18" t="s">
        <v>2746</v>
      </c>
      <c r="AC274" s="18"/>
      <c r="AD274" s="18" t="s">
        <v>426</v>
      </c>
      <c r="AE274" s="18" t="s">
        <v>403</v>
      </c>
      <c r="AF274" s="18" t="s">
        <v>427</v>
      </c>
      <c r="AG274" s="18" t="s">
        <v>428</v>
      </c>
      <c r="AH274" s="18" t="s">
        <v>429</v>
      </c>
      <c r="AI274" s="18"/>
      <c r="AJ274" s="18" t="s">
        <v>403</v>
      </c>
      <c r="AK274" s="18" t="s">
        <v>430</v>
      </c>
      <c r="AL274" s="18" t="s">
        <v>431</v>
      </c>
      <c r="AM274" s="18" t="s">
        <v>432</v>
      </c>
    </row>
    <row r="275" spans="1:39" ht="36">
      <c r="A275" s="18" t="s">
        <v>340</v>
      </c>
      <c r="B275" s="18" t="s">
        <v>383</v>
      </c>
      <c r="C275" s="18" t="s">
        <v>2317</v>
      </c>
      <c r="D275" s="18" t="s">
        <v>2512</v>
      </c>
      <c r="E275" s="18" t="s">
        <v>2512</v>
      </c>
      <c r="F275" s="18" t="s">
        <v>724</v>
      </c>
      <c r="G275" s="18">
        <v>75</v>
      </c>
      <c r="H275" s="18" t="s">
        <v>2747</v>
      </c>
      <c r="I275" s="18" t="s">
        <v>2748</v>
      </c>
      <c r="J275" s="18" t="s">
        <v>802</v>
      </c>
      <c r="K275" s="18" t="s">
        <v>2749</v>
      </c>
      <c r="L275" s="18" t="s">
        <v>391</v>
      </c>
      <c r="M275" s="18" t="s">
        <v>455</v>
      </c>
      <c r="N275" s="18" t="s">
        <v>805</v>
      </c>
      <c r="O275" s="18" t="s">
        <v>457</v>
      </c>
      <c r="P275" s="18" t="s">
        <v>2750</v>
      </c>
      <c r="Q275" s="18" t="s">
        <v>420</v>
      </c>
      <c r="R275" s="18"/>
      <c r="S275" s="48" t="str">
        <f>IFERROR(T(INDEX('Prospectos Resumen'!$K$9:$K$297,MATCH(A275,'Prospectos Resumen'!$A$9:$A$297,0))),"")</f>
        <v/>
      </c>
      <c r="T275" s="18"/>
      <c r="U275" s="18"/>
      <c r="V275" s="18"/>
      <c r="W275" s="18"/>
      <c r="X275" s="18" t="s">
        <v>2751</v>
      </c>
      <c r="Y275" s="18" t="s">
        <v>2751</v>
      </c>
      <c r="Z275" s="18" t="s">
        <v>423</v>
      </c>
      <c r="AA275" s="18" t="s">
        <v>2752</v>
      </c>
      <c r="AB275" s="18" t="s">
        <v>2541</v>
      </c>
      <c r="AC275" s="18"/>
      <c r="AD275" s="18" t="s">
        <v>426</v>
      </c>
      <c r="AE275" s="18" t="s">
        <v>403</v>
      </c>
      <c r="AF275" s="18" t="s">
        <v>427</v>
      </c>
      <c r="AG275" s="18" t="s">
        <v>463</v>
      </c>
      <c r="AH275" s="18" t="s">
        <v>464</v>
      </c>
      <c r="AI275" s="18"/>
      <c r="AJ275" s="18" t="s">
        <v>403</v>
      </c>
      <c r="AK275" s="18"/>
      <c r="AL275" s="18" t="s">
        <v>431</v>
      </c>
      <c r="AM275" s="18" t="s">
        <v>432</v>
      </c>
    </row>
    <row r="276" spans="1:39" ht="48">
      <c r="A276" s="18" t="s">
        <v>341</v>
      </c>
      <c r="B276" s="18" t="s">
        <v>383</v>
      </c>
      <c r="C276" s="18" t="s">
        <v>2317</v>
      </c>
      <c r="D276" s="18" t="s">
        <v>2512</v>
      </c>
      <c r="E276" s="18" t="s">
        <v>2512</v>
      </c>
      <c r="F276" s="18" t="s">
        <v>724</v>
      </c>
      <c r="G276" s="18">
        <v>75</v>
      </c>
      <c r="H276" s="18" t="s">
        <v>2753</v>
      </c>
      <c r="I276" s="18" t="s">
        <v>2754</v>
      </c>
      <c r="J276" s="18" t="s">
        <v>535</v>
      </c>
      <c r="K276" s="18" t="s">
        <v>2755</v>
      </c>
      <c r="L276" s="18" t="s">
        <v>391</v>
      </c>
      <c r="M276" s="18" t="s">
        <v>537</v>
      </c>
      <c r="N276" s="18" t="s">
        <v>469</v>
      </c>
      <c r="O276" s="18" t="s">
        <v>538</v>
      </c>
      <c r="P276" s="18" t="s">
        <v>2756</v>
      </c>
      <c r="Q276" s="18" t="s">
        <v>420</v>
      </c>
      <c r="R276" s="18"/>
      <c r="S276" s="48" t="str">
        <f>IFERROR(T(INDEX('Prospectos Resumen'!$K$9:$K$297,MATCH(A276,'Prospectos Resumen'!$A$9:$A$297,0))),"")</f>
        <v/>
      </c>
      <c r="T276" s="18"/>
      <c r="U276" s="18"/>
      <c r="V276" s="18"/>
      <c r="W276" s="18"/>
      <c r="X276" s="18" t="s">
        <v>2757</v>
      </c>
      <c r="Y276" s="18" t="s">
        <v>2757</v>
      </c>
      <c r="Z276" s="18" t="s">
        <v>423</v>
      </c>
      <c r="AA276" s="18" t="s">
        <v>2758</v>
      </c>
      <c r="AB276" s="18" t="s">
        <v>2759</v>
      </c>
      <c r="AC276" s="18"/>
      <c r="AD276" s="18" t="s">
        <v>426</v>
      </c>
      <c r="AE276" s="18" t="s">
        <v>403</v>
      </c>
      <c r="AF276" s="18" t="s">
        <v>427</v>
      </c>
      <c r="AG276" s="18" t="s">
        <v>544</v>
      </c>
      <c r="AH276" s="18" t="s">
        <v>1075</v>
      </c>
      <c r="AI276" s="18"/>
      <c r="AJ276" s="18" t="s">
        <v>403</v>
      </c>
      <c r="AK276" s="18" t="s">
        <v>1030</v>
      </c>
      <c r="AL276" s="18" t="s">
        <v>431</v>
      </c>
      <c r="AM276" s="18" t="s">
        <v>432</v>
      </c>
    </row>
    <row r="277" spans="1:39" ht="48">
      <c r="A277" s="18" t="s">
        <v>342</v>
      </c>
      <c r="B277" s="18" t="s">
        <v>383</v>
      </c>
      <c r="C277" s="18" t="s">
        <v>2317</v>
      </c>
      <c r="D277" s="18" t="s">
        <v>2512</v>
      </c>
      <c r="E277" s="18" t="s">
        <v>2512</v>
      </c>
      <c r="F277" s="18" t="s">
        <v>724</v>
      </c>
      <c r="G277" s="18">
        <v>74</v>
      </c>
      <c r="H277" s="18" t="s">
        <v>2760</v>
      </c>
      <c r="I277" s="18" t="s">
        <v>2761</v>
      </c>
      <c r="J277" s="18" t="s">
        <v>23</v>
      </c>
      <c r="K277" s="18" t="s">
        <v>2762</v>
      </c>
      <c r="L277" s="18" t="s">
        <v>557</v>
      </c>
      <c r="M277" s="18" t="s">
        <v>392</v>
      </c>
      <c r="N277" s="18" t="s">
        <v>571</v>
      </c>
      <c r="O277" s="18" t="s">
        <v>572</v>
      </c>
      <c r="P277" s="18" t="s">
        <v>573</v>
      </c>
      <c r="Q277" s="18" t="s">
        <v>873</v>
      </c>
      <c r="R277" s="18"/>
      <c r="S277" s="48" t="str">
        <f>IFERROR(T(INDEX('Prospectos Resumen'!$K$9:$K$297,MATCH(A277,'Prospectos Resumen'!$A$9:$A$297,0))),"")</f>
        <v/>
      </c>
      <c r="T277" s="18"/>
      <c r="U277" s="18"/>
      <c r="V277" s="18"/>
      <c r="W277" s="18"/>
      <c r="X277" s="18" t="s">
        <v>2763</v>
      </c>
      <c r="Y277" s="18" t="s">
        <v>2763</v>
      </c>
      <c r="Z277" s="18" t="s">
        <v>695</v>
      </c>
      <c r="AA277" s="18" t="s">
        <v>2764</v>
      </c>
      <c r="AB277" s="18" t="s">
        <v>2656</v>
      </c>
      <c r="AC277" s="18" t="s">
        <v>2618</v>
      </c>
      <c r="AD277" s="18" t="s">
        <v>2765</v>
      </c>
      <c r="AE277" s="18" t="s">
        <v>566</v>
      </c>
      <c r="AF277" s="18" t="s">
        <v>404</v>
      </c>
      <c r="AG277" s="18" t="s">
        <v>405</v>
      </c>
      <c r="AH277" s="18" t="s">
        <v>406</v>
      </c>
      <c r="AI277" s="18" t="s">
        <v>407</v>
      </c>
      <c r="AJ277" s="18" t="s">
        <v>566</v>
      </c>
      <c r="AK277" s="18" t="s">
        <v>409</v>
      </c>
      <c r="AL277" s="18" t="s">
        <v>410</v>
      </c>
      <c r="AM277" s="18" t="s">
        <v>411</v>
      </c>
    </row>
    <row r="278" spans="1:39" ht="60">
      <c r="A278" s="18" t="s">
        <v>343</v>
      </c>
      <c r="B278" s="18" t="s">
        <v>383</v>
      </c>
      <c r="C278" s="18" t="s">
        <v>2317</v>
      </c>
      <c r="D278" s="18" t="s">
        <v>2512</v>
      </c>
      <c r="E278" s="18" t="s">
        <v>2512</v>
      </c>
      <c r="F278" s="18" t="s">
        <v>724</v>
      </c>
      <c r="G278" s="18">
        <v>74</v>
      </c>
      <c r="H278" s="18" t="s">
        <v>2766</v>
      </c>
      <c r="I278" s="18" t="s">
        <v>2240</v>
      </c>
      <c r="J278" s="18" t="s">
        <v>23</v>
      </c>
      <c r="K278" s="18" t="s">
        <v>2767</v>
      </c>
      <c r="L278" s="18" t="s">
        <v>557</v>
      </c>
      <c r="M278" s="18" t="s">
        <v>392</v>
      </c>
      <c r="N278" s="18" t="s">
        <v>571</v>
      </c>
      <c r="O278" s="18" t="s">
        <v>572</v>
      </c>
      <c r="P278" s="18" t="s">
        <v>573</v>
      </c>
      <c r="Q278" s="18" t="s">
        <v>873</v>
      </c>
      <c r="R278" s="18"/>
      <c r="S278" s="48" t="str">
        <f>IFERROR(T(INDEX('Prospectos Resumen'!$K$9:$K$297,MATCH(A278,'Prospectos Resumen'!$A$9:$A$297,0))),"")</f>
        <v/>
      </c>
      <c r="T278" s="18"/>
      <c r="U278" s="18"/>
      <c r="V278" s="18"/>
      <c r="W278" s="18"/>
      <c r="X278" s="18" t="s">
        <v>2768</v>
      </c>
      <c r="Y278" s="18" t="s">
        <v>2768</v>
      </c>
      <c r="Z278" s="18" t="s">
        <v>695</v>
      </c>
      <c r="AA278" s="18" t="s">
        <v>2769</v>
      </c>
      <c r="AB278" s="18" t="s">
        <v>2656</v>
      </c>
      <c r="AC278" s="18" t="s">
        <v>2618</v>
      </c>
      <c r="AD278" s="18" t="s">
        <v>2770</v>
      </c>
      <c r="AE278" s="18" t="s">
        <v>566</v>
      </c>
      <c r="AF278" s="18" t="s">
        <v>404</v>
      </c>
      <c r="AG278" s="18" t="s">
        <v>405</v>
      </c>
      <c r="AH278" s="18" t="s">
        <v>406</v>
      </c>
      <c r="AI278" s="18" t="s">
        <v>407</v>
      </c>
      <c r="AJ278" s="18" t="s">
        <v>566</v>
      </c>
      <c r="AK278" s="18" t="s">
        <v>409</v>
      </c>
      <c r="AL278" s="18" t="s">
        <v>410</v>
      </c>
      <c r="AM278" s="18" t="s">
        <v>411</v>
      </c>
    </row>
    <row r="279" spans="1:39" ht="48">
      <c r="A279" s="18" t="s">
        <v>344</v>
      </c>
      <c r="B279" s="18" t="s">
        <v>383</v>
      </c>
      <c r="C279" s="18" t="s">
        <v>2317</v>
      </c>
      <c r="D279" s="18" t="s">
        <v>2512</v>
      </c>
      <c r="E279" s="18" t="s">
        <v>2512</v>
      </c>
      <c r="F279" s="18" t="s">
        <v>724</v>
      </c>
      <c r="G279" s="18">
        <v>74</v>
      </c>
      <c r="H279" s="18" t="s">
        <v>2771</v>
      </c>
      <c r="I279" s="18" t="s">
        <v>2772</v>
      </c>
      <c r="J279" s="18" t="s">
        <v>23</v>
      </c>
      <c r="K279" s="18" t="s">
        <v>2773</v>
      </c>
      <c r="L279" s="18" t="s">
        <v>557</v>
      </c>
      <c r="M279" s="18" t="s">
        <v>392</v>
      </c>
      <c r="N279" s="18" t="s">
        <v>571</v>
      </c>
      <c r="O279" s="18" t="s">
        <v>572</v>
      </c>
      <c r="P279" s="18" t="s">
        <v>573</v>
      </c>
      <c r="Q279" s="18" t="s">
        <v>873</v>
      </c>
      <c r="R279" s="18"/>
      <c r="S279" s="48" t="str">
        <f>IFERROR(T(INDEX('Prospectos Resumen'!$K$9:$K$297,MATCH(A279,'Prospectos Resumen'!$A$9:$A$297,0))),"")</f>
        <v/>
      </c>
      <c r="T279" s="18"/>
      <c r="U279" s="18"/>
      <c r="V279" s="18"/>
      <c r="W279" s="18"/>
      <c r="X279" s="18" t="s">
        <v>2774</v>
      </c>
      <c r="Y279" s="18" t="s">
        <v>2774</v>
      </c>
      <c r="Z279" s="18" t="s">
        <v>695</v>
      </c>
      <c r="AA279" s="18" t="s">
        <v>2775</v>
      </c>
      <c r="AB279" s="18" t="s">
        <v>2656</v>
      </c>
      <c r="AC279" s="18" t="s">
        <v>2618</v>
      </c>
      <c r="AD279" s="18" t="s">
        <v>2776</v>
      </c>
      <c r="AE279" s="18" t="s">
        <v>566</v>
      </c>
      <c r="AF279" s="18" t="s">
        <v>404</v>
      </c>
      <c r="AG279" s="18" t="s">
        <v>405</v>
      </c>
      <c r="AH279" s="18" t="s">
        <v>406</v>
      </c>
      <c r="AI279" s="18" t="s">
        <v>407</v>
      </c>
      <c r="AJ279" s="18" t="s">
        <v>566</v>
      </c>
      <c r="AK279" s="18" t="s">
        <v>409</v>
      </c>
      <c r="AL279" s="18" t="s">
        <v>410</v>
      </c>
      <c r="AM279" s="18" t="s">
        <v>411</v>
      </c>
    </row>
    <row r="280" spans="1:39" ht="48">
      <c r="A280" s="18" t="s">
        <v>345</v>
      </c>
      <c r="B280" s="18" t="s">
        <v>383</v>
      </c>
      <c r="C280" s="18" t="s">
        <v>2317</v>
      </c>
      <c r="D280" s="18" t="s">
        <v>2512</v>
      </c>
      <c r="E280" s="18" t="s">
        <v>2512</v>
      </c>
      <c r="F280" s="18" t="s">
        <v>724</v>
      </c>
      <c r="G280" s="18">
        <v>74</v>
      </c>
      <c r="H280" s="18" t="s">
        <v>2777</v>
      </c>
      <c r="I280" s="18" t="s">
        <v>2778</v>
      </c>
      <c r="J280" s="18" t="s">
        <v>23</v>
      </c>
      <c r="K280" s="18" t="s">
        <v>2779</v>
      </c>
      <c r="L280" s="18" t="s">
        <v>557</v>
      </c>
      <c r="M280" s="18" t="s">
        <v>392</v>
      </c>
      <c r="N280" s="18" t="s">
        <v>571</v>
      </c>
      <c r="O280" s="18" t="s">
        <v>572</v>
      </c>
      <c r="P280" s="18" t="s">
        <v>573</v>
      </c>
      <c r="Q280" s="18" t="s">
        <v>873</v>
      </c>
      <c r="R280" s="18"/>
      <c r="S280" s="48" t="str">
        <f>IFERROR(T(INDEX('Prospectos Resumen'!$K$9:$K$297,MATCH(A280,'Prospectos Resumen'!$A$9:$A$297,0))),"")</f>
        <v/>
      </c>
      <c r="T280" s="18"/>
      <c r="U280" s="18"/>
      <c r="V280" s="18"/>
      <c r="W280" s="18"/>
      <c r="X280" s="18" t="s">
        <v>2780</v>
      </c>
      <c r="Y280" s="18" t="s">
        <v>2780</v>
      </c>
      <c r="Z280" s="18" t="s">
        <v>695</v>
      </c>
      <c r="AA280" s="18" t="s">
        <v>2781</v>
      </c>
      <c r="AB280" s="18" t="s">
        <v>2656</v>
      </c>
      <c r="AC280" s="18" t="s">
        <v>2618</v>
      </c>
      <c r="AD280" s="18" t="s">
        <v>2782</v>
      </c>
      <c r="AE280" s="18" t="s">
        <v>566</v>
      </c>
      <c r="AF280" s="18" t="s">
        <v>404</v>
      </c>
      <c r="AG280" s="18" t="s">
        <v>405</v>
      </c>
      <c r="AH280" s="18" t="s">
        <v>406</v>
      </c>
      <c r="AI280" s="18" t="s">
        <v>407</v>
      </c>
      <c r="AJ280" s="18" t="s">
        <v>566</v>
      </c>
      <c r="AK280" s="18" t="s">
        <v>409</v>
      </c>
      <c r="AL280" s="18" t="s">
        <v>410</v>
      </c>
      <c r="AM280" s="18" t="s">
        <v>411</v>
      </c>
    </row>
    <row r="281" spans="1:39" ht="60">
      <c r="A281" s="18" t="s">
        <v>346</v>
      </c>
      <c r="B281" s="18" t="s">
        <v>383</v>
      </c>
      <c r="C281" s="18" t="s">
        <v>2317</v>
      </c>
      <c r="D281" s="18" t="s">
        <v>2512</v>
      </c>
      <c r="E281" s="18" t="s">
        <v>2512</v>
      </c>
      <c r="F281" s="18" t="s">
        <v>724</v>
      </c>
      <c r="G281" s="18">
        <v>72</v>
      </c>
      <c r="H281" s="18" t="s">
        <v>2783</v>
      </c>
      <c r="I281" s="18" t="s">
        <v>2772</v>
      </c>
      <c r="J281" s="18" t="s">
        <v>23</v>
      </c>
      <c r="K281" s="18" t="s">
        <v>2784</v>
      </c>
      <c r="L281" s="18" t="s">
        <v>557</v>
      </c>
      <c r="M281" s="18" t="s">
        <v>392</v>
      </c>
      <c r="N281" s="18" t="s">
        <v>571</v>
      </c>
      <c r="O281" s="18" t="s">
        <v>572</v>
      </c>
      <c r="P281" s="18" t="s">
        <v>573</v>
      </c>
      <c r="Q281" s="18" t="s">
        <v>873</v>
      </c>
      <c r="R281" s="18"/>
      <c r="S281" s="48" t="str">
        <f>IFERROR(T(INDEX('Prospectos Resumen'!$K$9:$K$297,MATCH(A281,'Prospectos Resumen'!$A$9:$A$297,0))),"")</f>
        <v/>
      </c>
      <c r="T281" s="18"/>
      <c r="U281" s="18"/>
      <c r="V281" s="18"/>
      <c r="W281" s="18"/>
      <c r="X281" s="18" t="s">
        <v>2785</v>
      </c>
      <c r="Y281" s="18" t="s">
        <v>2785</v>
      </c>
      <c r="Z281" s="18" t="s">
        <v>695</v>
      </c>
      <c r="AA281" s="18" t="s">
        <v>2786</v>
      </c>
      <c r="AB281" s="18" t="s">
        <v>2656</v>
      </c>
      <c r="AC281" s="18" t="s">
        <v>2618</v>
      </c>
      <c r="AD281" s="18" t="s">
        <v>2787</v>
      </c>
      <c r="AE281" s="18" t="s">
        <v>566</v>
      </c>
      <c r="AF281" s="18" t="s">
        <v>404</v>
      </c>
      <c r="AG281" s="18" t="s">
        <v>405</v>
      </c>
      <c r="AH281" s="18" t="s">
        <v>406</v>
      </c>
      <c r="AI281" s="18" t="s">
        <v>407</v>
      </c>
      <c r="AJ281" s="18" t="s">
        <v>566</v>
      </c>
      <c r="AK281" s="18" t="s">
        <v>409</v>
      </c>
      <c r="AL281" s="18" t="s">
        <v>410</v>
      </c>
      <c r="AM281" s="18" t="s">
        <v>411</v>
      </c>
    </row>
    <row r="282" spans="1:39" ht="48">
      <c r="A282" s="18" t="s">
        <v>347</v>
      </c>
      <c r="B282" s="18" t="s">
        <v>383</v>
      </c>
      <c r="C282" s="18" t="s">
        <v>2317</v>
      </c>
      <c r="D282" s="18" t="s">
        <v>2512</v>
      </c>
      <c r="E282" s="18" t="s">
        <v>2512</v>
      </c>
      <c r="F282" s="18" t="s">
        <v>724</v>
      </c>
      <c r="G282" s="18">
        <v>70</v>
      </c>
      <c r="H282" s="18" t="s">
        <v>2788</v>
      </c>
      <c r="I282" s="18" t="s">
        <v>2789</v>
      </c>
      <c r="J282" s="18" t="s">
        <v>23</v>
      </c>
      <c r="K282" s="18" t="s">
        <v>2790</v>
      </c>
      <c r="L282" s="18" t="s">
        <v>557</v>
      </c>
      <c r="M282" s="18" t="s">
        <v>392</v>
      </c>
      <c r="N282" s="18" t="s">
        <v>709</v>
      </c>
      <c r="O282" s="18" t="s">
        <v>710</v>
      </c>
      <c r="P282" s="18" t="s">
        <v>711</v>
      </c>
      <c r="Q282" s="18" t="s">
        <v>873</v>
      </c>
      <c r="R282" s="18"/>
      <c r="S282" s="48" t="str">
        <f>IFERROR(T(INDEX('Prospectos Resumen'!$K$9:$K$297,MATCH(A282,'Prospectos Resumen'!$A$9:$A$297,0))),"")</f>
        <v/>
      </c>
      <c r="T282" s="18"/>
      <c r="U282" s="18"/>
      <c r="V282" s="18"/>
      <c r="W282" s="18"/>
      <c r="X282" s="18" t="s">
        <v>2791</v>
      </c>
      <c r="Y282" s="18" t="s">
        <v>2791</v>
      </c>
      <c r="Z282" s="18" t="s">
        <v>695</v>
      </c>
      <c r="AA282" s="18" t="s">
        <v>2792</v>
      </c>
      <c r="AB282" s="18" t="s">
        <v>2656</v>
      </c>
      <c r="AC282" s="18" t="s">
        <v>2618</v>
      </c>
      <c r="AD282" s="18" t="s">
        <v>2793</v>
      </c>
      <c r="AE282" s="18" t="s">
        <v>566</v>
      </c>
      <c r="AF282" s="18" t="s">
        <v>404</v>
      </c>
      <c r="AG282" s="18" t="s">
        <v>405</v>
      </c>
      <c r="AH282" s="18" t="s">
        <v>406</v>
      </c>
      <c r="AI282" s="18" t="s">
        <v>407</v>
      </c>
      <c r="AJ282" s="18" t="s">
        <v>566</v>
      </c>
      <c r="AK282" s="18" t="s">
        <v>409</v>
      </c>
      <c r="AL282" s="18" t="s">
        <v>410</v>
      </c>
      <c r="AM282" s="18" t="s">
        <v>411</v>
      </c>
    </row>
    <row r="283" spans="1:39" ht="48">
      <c r="A283" s="18" t="s">
        <v>348</v>
      </c>
      <c r="B283" s="18" t="s">
        <v>383</v>
      </c>
      <c r="C283" s="18" t="s">
        <v>2317</v>
      </c>
      <c r="D283" s="18" t="s">
        <v>2512</v>
      </c>
      <c r="E283" s="18" t="s">
        <v>2512</v>
      </c>
      <c r="F283" s="18" t="s">
        <v>724</v>
      </c>
      <c r="G283" s="18">
        <v>60</v>
      </c>
      <c r="H283" s="18" t="s">
        <v>2794</v>
      </c>
      <c r="I283" s="18" t="s">
        <v>2795</v>
      </c>
      <c r="J283" s="18" t="s">
        <v>655</v>
      </c>
      <c r="K283" s="18" t="s">
        <v>2796</v>
      </c>
      <c r="L283" s="18" t="s">
        <v>557</v>
      </c>
      <c r="M283" s="18" t="s">
        <v>548</v>
      </c>
      <c r="N283" s="18" t="s">
        <v>657</v>
      </c>
      <c r="O283" s="18" t="s">
        <v>2662</v>
      </c>
      <c r="P283" s="18" t="s">
        <v>2797</v>
      </c>
      <c r="Q283" s="18" t="s">
        <v>472</v>
      </c>
      <c r="R283" s="18"/>
      <c r="S283" s="48" t="str">
        <f>IFERROR(T(INDEX('Prospectos Resumen'!$K$9:$K$297,MATCH(A283,'Prospectos Resumen'!$A$9:$A$297,0))),"")</f>
        <v/>
      </c>
      <c r="T283" s="18"/>
      <c r="U283" s="18"/>
      <c r="V283" s="18"/>
      <c r="W283" s="18"/>
      <c r="X283" s="18" t="s">
        <v>2798</v>
      </c>
      <c r="Y283" s="18" t="s">
        <v>2798</v>
      </c>
      <c r="Z283" s="18" t="s">
        <v>474</v>
      </c>
      <c r="AA283" s="18" t="s">
        <v>2799</v>
      </c>
      <c r="AB283" s="18" t="s">
        <v>2800</v>
      </c>
      <c r="AC283" s="18" t="s">
        <v>2801</v>
      </c>
      <c r="AD283" s="18" t="s">
        <v>2802</v>
      </c>
      <c r="AE283" s="18" t="s">
        <v>566</v>
      </c>
      <c r="AF283" s="18" t="s">
        <v>479</v>
      </c>
      <c r="AG283" s="18" t="s">
        <v>428</v>
      </c>
      <c r="AH283" s="18" t="s">
        <v>464</v>
      </c>
      <c r="AI283" s="18"/>
      <c r="AJ283" s="18" t="s">
        <v>566</v>
      </c>
      <c r="AK283" s="18"/>
      <c r="AL283" s="18" t="s">
        <v>431</v>
      </c>
      <c r="AM283" s="18" t="s">
        <v>432</v>
      </c>
    </row>
    <row r="284" spans="1:39" ht="60">
      <c r="A284" s="18" t="s">
        <v>349</v>
      </c>
      <c r="B284" s="18" t="s">
        <v>383</v>
      </c>
      <c r="C284" s="18" t="s">
        <v>2317</v>
      </c>
      <c r="D284" s="18" t="s">
        <v>2803</v>
      </c>
      <c r="E284" s="18" t="s">
        <v>2512</v>
      </c>
      <c r="F284" s="18" t="s">
        <v>724</v>
      </c>
      <c r="G284" s="18">
        <v>60</v>
      </c>
      <c r="H284" s="18" t="s">
        <v>2804</v>
      </c>
      <c r="I284" s="18" t="s">
        <v>2805</v>
      </c>
      <c r="J284" s="18" t="s">
        <v>1521</v>
      </c>
      <c r="K284" s="18" t="s">
        <v>2806</v>
      </c>
      <c r="L284" s="18" t="s">
        <v>557</v>
      </c>
      <c r="M284" s="18" t="s">
        <v>2807</v>
      </c>
      <c r="N284" s="18" t="s">
        <v>1523</v>
      </c>
      <c r="O284" s="18" t="s">
        <v>2808</v>
      </c>
      <c r="P284" s="18" t="s">
        <v>2809</v>
      </c>
      <c r="Q284" s="18" t="s">
        <v>472</v>
      </c>
      <c r="R284" s="18"/>
      <c r="S284" s="48" t="str">
        <f>IFERROR(T(INDEX('Prospectos Resumen'!$K$9:$K$297,MATCH(A284,'Prospectos Resumen'!$A$9:$A$297,0))),"")</f>
        <v/>
      </c>
      <c r="T284" s="18"/>
      <c r="U284" s="18"/>
      <c r="V284" s="18"/>
      <c r="W284" s="18"/>
      <c r="X284" s="18" t="s">
        <v>2810</v>
      </c>
      <c r="Y284" s="18" t="s">
        <v>2811</v>
      </c>
      <c r="Z284" s="18" t="s">
        <v>474</v>
      </c>
      <c r="AA284" s="18" t="s">
        <v>2812</v>
      </c>
      <c r="AB284" s="18" t="s">
        <v>2813</v>
      </c>
      <c r="AC284" s="18" t="s">
        <v>2814</v>
      </c>
      <c r="AD284" s="18" t="s">
        <v>2815</v>
      </c>
      <c r="AE284" s="18" t="s">
        <v>566</v>
      </c>
      <c r="AF284" s="18" t="s">
        <v>479</v>
      </c>
      <c r="AG284" s="18" t="s">
        <v>428</v>
      </c>
      <c r="AH284" s="18" t="s">
        <v>464</v>
      </c>
      <c r="AI284" s="18"/>
      <c r="AJ284" s="18" t="s">
        <v>566</v>
      </c>
      <c r="AK284" s="18"/>
      <c r="AL284" s="18" t="s">
        <v>431</v>
      </c>
      <c r="AM284" s="18" t="s">
        <v>432</v>
      </c>
    </row>
    <row r="285" spans="1:39" ht="48">
      <c r="A285" s="18" t="s">
        <v>350</v>
      </c>
      <c r="B285" s="18" t="s">
        <v>383</v>
      </c>
      <c r="C285" s="18" t="s">
        <v>2317</v>
      </c>
      <c r="D285" s="18" t="s">
        <v>2512</v>
      </c>
      <c r="E285" s="18" t="s">
        <v>2512</v>
      </c>
      <c r="F285" s="18" t="s">
        <v>992</v>
      </c>
      <c r="G285" s="18">
        <v>55</v>
      </c>
      <c r="H285" s="18" t="s">
        <v>2816</v>
      </c>
      <c r="I285" s="18" t="s">
        <v>2817</v>
      </c>
      <c r="J285" s="18" t="s">
        <v>785</v>
      </c>
      <c r="K285" s="18" t="s">
        <v>2818</v>
      </c>
      <c r="L285" s="18" t="s">
        <v>391</v>
      </c>
      <c r="M285" s="18" t="s">
        <v>537</v>
      </c>
      <c r="N285" s="18" t="s">
        <v>469</v>
      </c>
      <c r="O285" s="18" t="s">
        <v>538</v>
      </c>
      <c r="P285" s="18" t="s">
        <v>2819</v>
      </c>
      <c r="Q285" s="18" t="s">
        <v>420</v>
      </c>
      <c r="R285" s="18"/>
      <c r="S285" s="48" t="str">
        <f>IFERROR(T(INDEX('Prospectos Resumen'!$K$9:$K$297,MATCH(A285,'Prospectos Resumen'!$A$9:$A$297,0))),"")</f>
        <v/>
      </c>
      <c r="T285" s="18"/>
      <c r="U285" s="18"/>
      <c r="V285" s="18"/>
      <c r="W285" s="18"/>
      <c r="X285" s="18" t="s">
        <v>2820</v>
      </c>
      <c r="Y285" s="18" t="s">
        <v>2820</v>
      </c>
      <c r="Z285" s="18" t="s">
        <v>423</v>
      </c>
      <c r="AA285" s="18" t="s">
        <v>2821</v>
      </c>
      <c r="AB285" s="18" t="s">
        <v>2822</v>
      </c>
      <c r="AC285" s="18"/>
      <c r="AD285" s="18" t="s">
        <v>426</v>
      </c>
      <c r="AE285" s="18" t="s">
        <v>403</v>
      </c>
      <c r="AF285" s="18" t="s">
        <v>427</v>
      </c>
      <c r="AG285" s="18" t="s">
        <v>544</v>
      </c>
      <c r="AH285" s="18" t="s">
        <v>1039</v>
      </c>
      <c r="AI285" s="18"/>
      <c r="AJ285" s="18" t="s">
        <v>997</v>
      </c>
      <c r="AK285" s="18" t="s">
        <v>480</v>
      </c>
      <c r="AL285" s="18" t="s">
        <v>431</v>
      </c>
      <c r="AM285" s="18" t="s">
        <v>432</v>
      </c>
    </row>
    <row r="286" spans="1:39" ht="48">
      <c r="A286" s="18" t="s">
        <v>351</v>
      </c>
      <c r="B286" s="18" t="s">
        <v>383</v>
      </c>
      <c r="C286" s="18" t="s">
        <v>2317</v>
      </c>
      <c r="D286" s="18" t="s">
        <v>2512</v>
      </c>
      <c r="E286" s="18" t="s">
        <v>2512</v>
      </c>
      <c r="F286" s="18" t="s">
        <v>992</v>
      </c>
      <c r="G286" s="18">
        <v>40</v>
      </c>
      <c r="H286" s="18" t="s">
        <v>2823</v>
      </c>
      <c r="I286" s="18" t="s">
        <v>2824</v>
      </c>
      <c r="J286" s="18" t="s">
        <v>453</v>
      </c>
      <c r="K286" s="18" t="s">
        <v>2825</v>
      </c>
      <c r="L286" s="18" t="s">
        <v>557</v>
      </c>
      <c r="M286" s="18" t="s">
        <v>2826</v>
      </c>
      <c r="N286" s="18" t="s">
        <v>456</v>
      </c>
      <c r="O286" s="18" t="s">
        <v>838</v>
      </c>
      <c r="P286" s="18" t="s">
        <v>2827</v>
      </c>
      <c r="Q286" s="18" t="s">
        <v>472</v>
      </c>
      <c r="R286" s="18"/>
      <c r="S286" s="48" t="str">
        <f>IFERROR(T(INDEX('Prospectos Resumen'!$K$9:$K$297,MATCH(A286,'Prospectos Resumen'!$A$9:$A$297,0))),"")</f>
        <v/>
      </c>
      <c r="T286" s="18"/>
      <c r="U286" s="18"/>
      <c r="V286" s="18"/>
      <c r="W286" s="18"/>
      <c r="X286" s="18" t="s">
        <v>2828</v>
      </c>
      <c r="Y286" s="18" t="s">
        <v>2828</v>
      </c>
      <c r="Z286" s="18" t="s">
        <v>474</v>
      </c>
      <c r="AA286" s="18" t="s">
        <v>2829</v>
      </c>
      <c r="AB286" s="18" t="s">
        <v>2830</v>
      </c>
      <c r="AC286" s="18" t="s">
        <v>2831</v>
      </c>
      <c r="AD286" s="18" t="s">
        <v>2832</v>
      </c>
      <c r="AE286" s="18" t="s">
        <v>566</v>
      </c>
      <c r="AF286" s="18" t="s">
        <v>479</v>
      </c>
      <c r="AG286" s="18" t="s">
        <v>463</v>
      </c>
      <c r="AH286" s="18" t="s">
        <v>464</v>
      </c>
      <c r="AI286" s="18"/>
      <c r="AJ286" s="18" t="s">
        <v>997</v>
      </c>
      <c r="AK286" s="18"/>
      <c r="AL286" s="18" t="s">
        <v>431</v>
      </c>
      <c r="AM286" s="18" t="s">
        <v>432</v>
      </c>
    </row>
    <row r="287" spans="1:39" ht="36">
      <c r="A287" s="18" t="s">
        <v>352</v>
      </c>
      <c r="B287" s="18" t="s">
        <v>383</v>
      </c>
      <c r="C287" s="18" t="s">
        <v>2317</v>
      </c>
      <c r="D287" s="18" t="s">
        <v>2512</v>
      </c>
      <c r="E287" s="18" t="s">
        <v>2512</v>
      </c>
      <c r="F287" s="18" t="s">
        <v>992</v>
      </c>
      <c r="G287" s="18">
        <v>30</v>
      </c>
      <c r="H287" s="18" t="s">
        <v>2833</v>
      </c>
      <c r="I287" s="18" t="s">
        <v>2795</v>
      </c>
      <c r="J287" s="18" t="s">
        <v>655</v>
      </c>
      <c r="K287" s="18" t="s">
        <v>613</v>
      </c>
      <c r="L287" s="18" t="s">
        <v>613</v>
      </c>
      <c r="M287" s="18" t="s">
        <v>548</v>
      </c>
      <c r="N287" s="18" t="s">
        <v>657</v>
      </c>
      <c r="O287" s="18" t="s">
        <v>2662</v>
      </c>
      <c r="P287" s="18" t="s">
        <v>2834</v>
      </c>
      <c r="Q287" s="18" t="s">
        <v>472</v>
      </c>
      <c r="R287" s="18"/>
      <c r="S287" s="48" t="str">
        <f>IFERROR(T(INDEX('Prospectos Resumen'!$K$9:$K$297,MATCH(A287,'Prospectos Resumen'!$A$9:$A$297,0))),"")</f>
        <v/>
      </c>
      <c r="T287" s="18"/>
      <c r="U287" s="18"/>
      <c r="V287" s="18"/>
      <c r="W287" s="18"/>
      <c r="X287" s="18"/>
      <c r="Y287" s="18"/>
      <c r="Z287" s="18" t="s">
        <v>474</v>
      </c>
      <c r="AA287" s="18" t="s">
        <v>2835</v>
      </c>
      <c r="AB287" s="18" t="s">
        <v>2800</v>
      </c>
      <c r="AC287" s="18" t="s">
        <v>2801</v>
      </c>
      <c r="AD287" s="18" t="s">
        <v>2836</v>
      </c>
      <c r="AE287" s="18" t="s">
        <v>566</v>
      </c>
      <c r="AF287" s="18" t="s">
        <v>479</v>
      </c>
      <c r="AG287" s="18" t="s">
        <v>428</v>
      </c>
      <c r="AH287" s="18" t="s">
        <v>464</v>
      </c>
      <c r="AI287" s="18"/>
      <c r="AJ287" s="18" t="s">
        <v>997</v>
      </c>
      <c r="AK287" s="18"/>
      <c r="AL287" s="18" t="s">
        <v>431</v>
      </c>
      <c r="AM287" s="18" t="s">
        <v>432</v>
      </c>
    </row>
    <row r="288" spans="1:39" ht="48">
      <c r="A288" s="3" t="s">
        <v>353</v>
      </c>
      <c r="B288" s="3" t="s">
        <v>383</v>
      </c>
      <c r="C288" s="3" t="s">
        <v>2317</v>
      </c>
      <c r="D288" s="3" t="s">
        <v>2837</v>
      </c>
      <c r="E288" s="3" t="s">
        <v>2838</v>
      </c>
      <c r="F288" s="3" t="s">
        <v>387</v>
      </c>
      <c r="G288" s="3">
        <v>85</v>
      </c>
      <c r="H288" s="3" t="s">
        <v>2839</v>
      </c>
      <c r="I288" s="3" t="s">
        <v>2840</v>
      </c>
      <c r="J288" s="3" t="s">
        <v>23</v>
      </c>
      <c r="K288" s="3" t="s">
        <v>2841</v>
      </c>
      <c r="L288" s="3" t="s">
        <v>391</v>
      </c>
      <c r="M288" s="3" t="s">
        <v>392</v>
      </c>
      <c r="N288" s="3" t="s">
        <v>571</v>
      </c>
      <c r="O288" s="3" t="s">
        <v>572</v>
      </c>
      <c r="P288" s="3" t="s">
        <v>573</v>
      </c>
      <c r="Q288" s="3" t="s">
        <v>396</v>
      </c>
      <c r="R288" s="3"/>
      <c r="S288" s="47" t="str">
        <f>IFERROR(T(INDEX('Prospectos Resumen'!$K$9:$K$297,MATCH(A288,'Prospectos Resumen'!$A$9:$A$297,0))),"")</f>
        <v/>
      </c>
      <c r="T288" s="3"/>
      <c r="U288" s="3"/>
      <c r="V288" s="3"/>
      <c r="W288" s="3"/>
      <c r="X288" s="3" t="s">
        <v>2842</v>
      </c>
      <c r="Y288" s="3" t="s">
        <v>2842</v>
      </c>
      <c r="Z288" s="3" t="s">
        <v>398</v>
      </c>
      <c r="AA288" s="3" t="s">
        <v>2843</v>
      </c>
      <c r="AB288" s="3" t="s">
        <v>2844</v>
      </c>
      <c r="AC288" s="3" t="s">
        <v>2845</v>
      </c>
      <c r="AD288" s="3" t="s">
        <v>2846</v>
      </c>
      <c r="AE288" s="3" t="s">
        <v>403</v>
      </c>
      <c r="AF288" s="3" t="s">
        <v>404</v>
      </c>
      <c r="AG288" s="3" t="s">
        <v>405</v>
      </c>
      <c r="AH288" s="3" t="s">
        <v>406</v>
      </c>
      <c r="AI288" s="3" t="s">
        <v>407</v>
      </c>
      <c r="AJ288" s="3" t="s">
        <v>403</v>
      </c>
      <c r="AK288" s="3" t="s">
        <v>409</v>
      </c>
      <c r="AL288" s="3" t="s">
        <v>410</v>
      </c>
      <c r="AM288" s="3" t="s">
        <v>411</v>
      </c>
    </row>
  </sheetData>
  <dataValidations count="5">
    <dataValidation type="list" sqref="B2:B288">
      <formula1>"Pendiente,Contactado,Visita programada,Visitado,Cotización,Seguimiento,Cerrado,Descartado"</formula1>
    </dataValidation>
    <dataValidation type="list" sqref="F2:F288">
      <formula1>"A,B,C"</formula1>
    </dataValidation>
    <dataValidation type="list" sqref="L2:L288">
      <formula1>"OK,Verificar,A relevar"</formula1>
    </dataValidation>
    <dataValidation type="list" sqref="T2:T288">
      <formula1>"Interesado,Pedir cotización,Volver a contactar,Sin respuesta,Sin necesidad actual,No aplica"</formula1>
    </dataValidation>
    <dataValidation type="list" sqref="J2:J241">
      <formula1>"Maquinaria agrícola,Metalúrgica y fabricación,Construcción y obra vial,Hormigón, áridos y materiales,Agro, acopio y cooperativas,Agroindustria y alimentos,Industria y mantenimiento,Módulos y contenedores,PRFV y plásticos,Institucional y parques"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baseColWidth="10" defaultColWidth="9" defaultRowHeight="14.25"/>
  <cols>
    <col min="1" max="1" width="24" customWidth="1"/>
    <col min="2" max="2" width="20" customWidth="1"/>
    <col min="3" max="4" width="12" customWidth="1"/>
    <col min="5" max="6" width="14" customWidth="1"/>
    <col min="8" max="8" width="32" customWidth="1"/>
    <col min="9" max="10" width="13" customWidth="1"/>
  </cols>
  <sheetData>
    <row r="1" spans="1:10" ht="20.25">
      <c r="A1" s="40" t="s">
        <v>0</v>
      </c>
      <c r="B1" s="40"/>
      <c r="C1" s="40"/>
      <c r="D1" s="40"/>
      <c r="E1" s="40"/>
      <c r="F1" s="40"/>
      <c r="G1" s="40"/>
      <c r="H1" s="40"/>
    </row>
    <row r="2" spans="1:10">
      <c r="A2" s="41" t="s">
        <v>1</v>
      </c>
      <c r="B2" s="41"/>
      <c r="C2" s="41"/>
      <c r="D2" s="41"/>
      <c r="E2" s="41"/>
      <c r="F2" s="41"/>
      <c r="G2" s="41"/>
      <c r="H2" s="41"/>
    </row>
    <row r="4" spans="1:10">
      <c r="A4" s="12" t="s">
        <v>57</v>
      </c>
      <c r="B4" s="12" t="s">
        <v>7</v>
      </c>
      <c r="C4" s="12" t="s">
        <v>2847</v>
      </c>
      <c r="D4" s="12" t="s">
        <v>2848</v>
      </c>
      <c r="H4" s="12" t="s">
        <v>59</v>
      </c>
      <c r="I4" s="12" t="s">
        <v>7</v>
      </c>
      <c r="J4" s="12" t="s">
        <v>2847</v>
      </c>
    </row>
    <row r="5" spans="1:10">
      <c r="A5" s="2" t="s">
        <v>387</v>
      </c>
      <c r="B5" s="2">
        <f>COUNTIF(Prospectos!F2:F288,"A")</f>
        <v>162</v>
      </c>
      <c r="C5" s="13">
        <f>B5/$B$8</f>
        <v>0.56445993031358888</v>
      </c>
      <c r="D5" s="2" t="s">
        <v>2849</v>
      </c>
      <c r="H5" s="10" t="s">
        <v>23</v>
      </c>
      <c r="I5" s="10">
        <f>COUNTIF(Prospectos!J2:J288,"Maquinaria agrícola")</f>
        <v>98</v>
      </c>
      <c r="J5" s="15">
        <f t="shared" ref="J5:J14" si="0">I5/$B$8</f>
        <v>0.34146341463414637</v>
      </c>
    </row>
    <row r="6" spans="1:10" ht="24">
      <c r="A6" s="2" t="s">
        <v>724</v>
      </c>
      <c r="B6" s="2">
        <f>COUNTIF(Prospectos!F2:F288,"B")</f>
        <v>110</v>
      </c>
      <c r="C6" s="13">
        <f>B6/$B$8</f>
        <v>0.38327526132404183</v>
      </c>
      <c r="D6" s="2" t="s">
        <v>2850</v>
      </c>
      <c r="H6" s="11" t="s">
        <v>453</v>
      </c>
      <c r="I6" s="11">
        <f>COUNTIF(Prospectos!J2:J288,"Metalúrgica y fabricación")</f>
        <v>32</v>
      </c>
      <c r="J6" s="16">
        <f t="shared" si="0"/>
        <v>0.11149825783972125</v>
      </c>
    </row>
    <row r="7" spans="1:10" ht="36">
      <c r="A7" s="2" t="s">
        <v>992</v>
      </c>
      <c r="B7" s="2">
        <f>COUNTIF(Prospectos!F2:F288,"C")</f>
        <v>15</v>
      </c>
      <c r="C7" s="13">
        <f>B7/$B$8</f>
        <v>5.2264808362369339E-2</v>
      </c>
      <c r="D7" s="2" t="s">
        <v>2851</v>
      </c>
      <c r="H7" s="10" t="s">
        <v>484</v>
      </c>
      <c r="I7" s="10">
        <f>COUNTIF(Prospectos!J2:J288,"Construcción y obra vial")</f>
        <v>26</v>
      </c>
      <c r="J7" s="15">
        <f t="shared" si="0"/>
        <v>9.0592334494773524E-2</v>
      </c>
    </row>
    <row r="8" spans="1:10">
      <c r="A8" s="3" t="s">
        <v>2852</v>
      </c>
      <c r="B8" s="3">
        <f>COUNTA(Prospectos!A2:A288)</f>
        <v>287</v>
      </c>
      <c r="C8" s="14">
        <f>1</f>
        <v>1</v>
      </c>
      <c r="D8" s="3" t="s">
        <v>2853</v>
      </c>
      <c r="H8" s="11" t="s">
        <v>414</v>
      </c>
      <c r="I8" s="11">
        <f>COUNTIF(Prospectos!J2:J288,"Hormigón, áridos y materiales")</f>
        <v>27</v>
      </c>
      <c r="J8" s="16">
        <f t="shared" si="0"/>
        <v>9.4076655052264813E-2</v>
      </c>
    </row>
    <row r="9" spans="1:10">
      <c r="H9" s="10" t="s">
        <v>535</v>
      </c>
      <c r="I9" s="10">
        <f>COUNTIF(Prospectos!J2:J288,"Agro, acopio y cooperativas")</f>
        <v>25</v>
      </c>
      <c r="J9" s="15">
        <f t="shared" si="0"/>
        <v>8.7108013937282236E-2</v>
      </c>
    </row>
    <row r="10" spans="1:10">
      <c r="H10" s="11" t="s">
        <v>785</v>
      </c>
      <c r="I10" s="11">
        <f>COUNTIF(Prospectos!J2:J288,"Agroindustria y alimentos")</f>
        <v>16</v>
      </c>
      <c r="J10" s="16">
        <f t="shared" si="0"/>
        <v>5.5749128919860627E-2</v>
      </c>
    </row>
    <row r="11" spans="1:10">
      <c r="A11" s="19" t="s">
        <v>60</v>
      </c>
      <c r="B11" s="19" t="s">
        <v>61</v>
      </c>
      <c r="C11" s="19" t="s">
        <v>2852</v>
      </c>
      <c r="D11" s="19" t="s">
        <v>2854</v>
      </c>
      <c r="E11" s="19" t="s">
        <v>2855</v>
      </c>
      <c r="F11" s="19" t="s">
        <v>2856</v>
      </c>
      <c r="H11" s="10" t="s">
        <v>802</v>
      </c>
      <c r="I11" s="10">
        <f>COUNTIF(Prospectos!J2:J288,"Industria y mantenimiento")</f>
        <v>18</v>
      </c>
      <c r="J11" s="15">
        <f t="shared" si="0"/>
        <v>6.2717770034843204E-2</v>
      </c>
    </row>
    <row r="12" spans="1:10">
      <c r="A12" s="5" t="s">
        <v>384</v>
      </c>
      <c r="B12" s="5" t="s">
        <v>386</v>
      </c>
      <c r="C12" s="5">
        <f>COUNTIFS(Prospectos!C2:C288,"Base Río Tercero",Prospectos!E2:E288,"Río Tercero")</f>
        <v>65</v>
      </c>
      <c r="D12" s="5">
        <f>COUNTIFS(Prospectos!C2:C288,"Base Río Tercero",Prospectos!E2:E288,"Río Tercero",Prospectos!F2:F288,"A")</f>
        <v>31</v>
      </c>
      <c r="E12" s="5">
        <f>COUNTIFS(Prospectos!C2:C288,"Base Río Tercero",Prospectos!E2:E288,"Río Tercero",Prospectos!L2:L288,"OK")</f>
        <v>40</v>
      </c>
      <c r="F12" s="5">
        <f t="shared" ref="F12:F34" si="1">C12-E12</f>
        <v>25</v>
      </c>
      <c r="H12" s="11" t="s">
        <v>655</v>
      </c>
      <c r="I12" s="11">
        <f>COUNTIF(Prospectos!J2:J288,"Módulos y contenedores")</f>
        <v>12</v>
      </c>
      <c r="J12" s="16">
        <f t="shared" si="0"/>
        <v>4.1811846689895474E-2</v>
      </c>
    </row>
    <row r="13" spans="1:10" ht="24">
      <c r="A13" s="3" t="s">
        <v>1019</v>
      </c>
      <c r="B13" s="3" t="s">
        <v>1021</v>
      </c>
      <c r="C13" s="3">
        <f>COUNTIFS(Prospectos!C2:C288,"Corralito / acceso secundario RN36",Prospectos!E2:E288,"Corralito")</f>
        <v>2</v>
      </c>
      <c r="D13" s="3">
        <f>COUNTIFS(Prospectos!C2:C288,"Corralito / acceso secundario RN36",Prospectos!E2:E288,"Corralito",Prospectos!F2:F288,"A")</f>
        <v>1</v>
      </c>
      <c r="E13" s="3">
        <f>COUNTIFS(Prospectos!C2:C288,"Corralito / acceso secundario RN36",Prospectos!E2:E288,"Corralito",Prospectos!L2:L288,"OK")</f>
        <v>2</v>
      </c>
      <c r="F13" s="3">
        <f t="shared" si="1"/>
        <v>0</v>
      </c>
      <c r="H13" s="10" t="s">
        <v>727</v>
      </c>
      <c r="I13" s="10">
        <f>COUNTIF(Prospectos!J2:J288,"PRFV y plásticos")</f>
        <v>30</v>
      </c>
      <c r="J13" s="15">
        <f t="shared" si="0"/>
        <v>0.10452961672473868</v>
      </c>
    </row>
    <row r="14" spans="1:10" ht="24">
      <c r="A14" s="5" t="s">
        <v>1019</v>
      </c>
      <c r="B14" s="5" t="s">
        <v>1041</v>
      </c>
      <c r="C14" s="5">
        <f>COUNTIFS(Prospectos!C2:C288,"Corralito / acceso secundario RN36",Prospectos!E2:E288,"Tancacha")</f>
        <v>12</v>
      </c>
      <c r="D14" s="5">
        <f>COUNTIFS(Prospectos!C2:C288,"Corralito / acceso secundario RN36",Prospectos!E2:E288,"Tancacha",Prospectos!F2:F288,"A")</f>
        <v>4</v>
      </c>
      <c r="E14" s="5">
        <f>COUNTIFS(Prospectos!C2:C288,"Corralito / acceso secundario RN36",Prospectos!E2:E288,"Tancacha",Prospectos!L2:L288,"OK")</f>
        <v>10</v>
      </c>
      <c r="F14" s="5">
        <f t="shared" si="1"/>
        <v>2</v>
      </c>
      <c r="H14" s="11" t="s">
        <v>1521</v>
      </c>
      <c r="I14" s="11">
        <f>COUNTIF(Prospectos!J2:J288,"Institucional y parques")</f>
        <v>3</v>
      </c>
      <c r="J14" s="16">
        <f t="shared" si="0"/>
        <v>1.0452961672473868E-2</v>
      </c>
    </row>
    <row r="15" spans="1:10">
      <c r="A15" s="3" t="s">
        <v>1159</v>
      </c>
      <c r="B15" s="3" t="s">
        <v>1160</v>
      </c>
      <c r="C15" s="3">
        <f>COUNTIFS(Prospectos!C2:C288,"Córdoba / RN36 norte",Prospectos!E2:E288,"Alta Gracia")</f>
        <v>10</v>
      </c>
      <c r="D15" s="3">
        <f>COUNTIFS(Prospectos!C2:C288,"Córdoba / RN36 norte",Prospectos!E2:E288,"Alta Gracia",Prospectos!F2:F288,"A")</f>
        <v>6</v>
      </c>
      <c r="E15" s="3">
        <f>COUNTIFS(Prospectos!C2:C288,"Córdoba / RN36 norte",Prospectos!E2:E288,"Alta Gracia",Prospectos!L2:L288,"OK")</f>
        <v>8</v>
      </c>
      <c r="F15" s="3">
        <f t="shared" si="1"/>
        <v>2</v>
      </c>
    </row>
    <row r="16" spans="1:10">
      <c r="A16" s="5" t="s">
        <v>1159</v>
      </c>
      <c r="B16" s="5" t="s">
        <v>1250</v>
      </c>
      <c r="C16" s="5">
        <f>COUNTIFS(Prospectos!C2:C288,"Córdoba / RN36 norte",Prospectos!E2:E288,"Anisacate")</f>
        <v>2</v>
      </c>
      <c r="D16" s="5">
        <f>COUNTIFS(Prospectos!C2:C288,"Córdoba / RN36 norte",Prospectos!E2:E288,"Anisacate",Prospectos!F2:F288,"A")</f>
        <v>2</v>
      </c>
      <c r="E16" s="5">
        <f>COUNTIFS(Prospectos!C2:C288,"Córdoba / RN36 norte",Prospectos!E2:E288,"Anisacate",Prospectos!L2:L288,"OK")</f>
        <v>2</v>
      </c>
      <c r="F16" s="5">
        <f t="shared" si="1"/>
        <v>0</v>
      </c>
    </row>
    <row r="17" spans="1:6">
      <c r="A17" s="3" t="s">
        <v>1159</v>
      </c>
      <c r="B17" s="3" t="s">
        <v>1271</v>
      </c>
      <c r="C17" s="3">
        <f>COUNTIFS(Prospectos!C2:C288,"Córdoba / RN36 norte",Prospectos!E2:E288,"Córdoba / Sierras")</f>
        <v>1</v>
      </c>
      <c r="D17" s="3">
        <f>COUNTIFS(Prospectos!C2:C288,"Córdoba / RN36 norte",Prospectos!E2:E288,"Córdoba / Sierras",Prospectos!F2:F288,"A")</f>
        <v>0</v>
      </c>
      <c r="E17" s="3">
        <f>COUNTIFS(Prospectos!C2:C288,"Córdoba / RN36 norte",Prospectos!E2:E288,"Córdoba / Sierras",Prospectos!L2:L288,"OK")</f>
        <v>0</v>
      </c>
      <c r="F17" s="3">
        <f t="shared" si="1"/>
        <v>1</v>
      </c>
    </row>
    <row r="18" spans="1:6">
      <c r="A18" s="5" t="s">
        <v>1159</v>
      </c>
      <c r="B18" s="5" t="s">
        <v>1281</v>
      </c>
      <c r="C18" s="5">
        <f>COUNTIFS(Prospectos!C2:C288,"Córdoba / RN36 norte",Prospectos!E2:E288,"Córdoba capital")</f>
        <v>16</v>
      </c>
      <c r="D18" s="5">
        <f>COUNTIFS(Prospectos!C2:C288,"Córdoba / RN36 norte",Prospectos!E2:E288,"Córdoba capital",Prospectos!F2:F288,"A")</f>
        <v>13</v>
      </c>
      <c r="E18" s="5">
        <f>COUNTIFS(Prospectos!C2:C288,"Córdoba / RN36 norte",Prospectos!E2:E288,"Córdoba capital",Prospectos!L2:L288,"OK")</f>
        <v>14</v>
      </c>
      <c r="F18" s="5">
        <f t="shared" si="1"/>
        <v>2</v>
      </c>
    </row>
    <row r="19" spans="1:6">
      <c r="A19" s="3" t="s">
        <v>1159</v>
      </c>
      <c r="B19" s="3" t="s">
        <v>1418</v>
      </c>
      <c r="C19" s="3">
        <f>COUNTIFS(Prospectos!C2:C288,"Córdoba / RN36 norte",Prospectos!E2:E288,"Córdoba capital zona sur")</f>
        <v>9</v>
      </c>
      <c r="D19" s="3">
        <f>COUNTIFS(Prospectos!C2:C288,"Córdoba / RN36 norte",Prospectos!E2:E288,"Córdoba capital zona sur",Prospectos!F2:F288,"A")</f>
        <v>6</v>
      </c>
      <c r="E19" s="3">
        <f>COUNTIFS(Prospectos!C2:C288,"Córdoba / RN36 norte",Prospectos!E2:E288,"Córdoba capital zona sur",Prospectos!L2:L288,"OK")</f>
        <v>7</v>
      </c>
      <c r="F19" s="3">
        <f t="shared" si="1"/>
        <v>2</v>
      </c>
    </row>
    <row r="20" spans="1:6">
      <c r="A20" s="5" t="s">
        <v>1159</v>
      </c>
      <c r="B20" s="5" t="s">
        <v>1493</v>
      </c>
      <c r="C20" s="5">
        <f>COUNTIFS(Prospectos!C2:C288,"Córdoba / RN36 norte",Prospectos!E2:E288,"Despeñaderos")</f>
        <v>4</v>
      </c>
      <c r="D20" s="5">
        <f>COUNTIFS(Prospectos!C2:C288,"Córdoba / RN36 norte",Prospectos!E2:E288,"Despeñaderos",Prospectos!F2:F288,"A")</f>
        <v>2</v>
      </c>
      <c r="E20" s="5">
        <f>COUNTIFS(Prospectos!C2:C288,"Córdoba / RN36 norte",Prospectos!E2:E288,"Despeñaderos",Prospectos!L2:L288,"OK")</f>
        <v>2</v>
      </c>
      <c r="F20" s="5">
        <f t="shared" si="1"/>
        <v>2</v>
      </c>
    </row>
    <row r="21" spans="1:6">
      <c r="A21" s="3" t="s">
        <v>1159</v>
      </c>
      <c r="B21" s="3" t="s">
        <v>1527</v>
      </c>
      <c r="C21" s="3">
        <f>COUNTIFS(Prospectos!C2:C288,"Córdoba / RN36 norte",Prospectos!E2:E288,"Ferreyra / Santa Isabel")</f>
        <v>2</v>
      </c>
      <c r="D21" s="3">
        <f>COUNTIFS(Prospectos!C2:C288,"Córdoba / RN36 norte",Prospectos!E2:E288,"Ferreyra / Santa Isabel",Prospectos!F2:F288,"A")</f>
        <v>0</v>
      </c>
      <c r="E21" s="3">
        <f>COUNTIFS(Prospectos!C2:C288,"Córdoba / RN36 norte",Prospectos!E2:E288,"Ferreyra / Santa Isabel",Prospectos!L2:L288,"OK")</f>
        <v>2</v>
      </c>
      <c r="F21" s="3">
        <f t="shared" si="1"/>
        <v>0</v>
      </c>
    </row>
    <row r="22" spans="1:6">
      <c r="A22" s="5" t="s">
        <v>1159</v>
      </c>
      <c r="B22" s="5" t="s">
        <v>1544</v>
      </c>
      <c r="C22" s="5">
        <f>COUNTIFS(Prospectos!C2:C288,"Córdoba / RN36 norte",Prospectos!E2:E288,"Malagueño")</f>
        <v>4</v>
      </c>
      <c r="D22" s="5">
        <f>COUNTIFS(Prospectos!C2:C288,"Córdoba / RN36 norte",Prospectos!E2:E288,"Malagueño",Prospectos!F2:F288,"A")</f>
        <v>3</v>
      </c>
      <c r="E22" s="5">
        <f>COUNTIFS(Prospectos!C2:C288,"Córdoba / RN36 norte",Prospectos!E2:E288,"Malagueño",Prospectos!L2:L288,"OK")</f>
        <v>3</v>
      </c>
      <c r="F22" s="5">
        <f t="shared" si="1"/>
        <v>1</v>
      </c>
    </row>
    <row r="23" spans="1:6">
      <c r="A23" s="3" t="s">
        <v>1576</v>
      </c>
      <c r="B23" s="3" t="s">
        <v>1578</v>
      </c>
      <c r="C23" s="3">
        <f>COUNTIFS(Prospectos!C2:C288,"Oncativo / RN9",Prospectos!E2:E288,"Oncativo")</f>
        <v>24</v>
      </c>
      <c r="D23" s="3">
        <f>COUNTIFS(Prospectos!C2:C288,"Oncativo / RN9",Prospectos!E2:E288,"Oncativo",Prospectos!F2:F288,"A")</f>
        <v>17</v>
      </c>
      <c r="E23" s="3">
        <f>COUNTIFS(Prospectos!C2:C288,"Oncativo / RN9",Prospectos!E2:E288,"Oncativo",Prospectos!L2:L288,"OK")</f>
        <v>18</v>
      </c>
      <c r="F23" s="3">
        <f t="shared" si="1"/>
        <v>6</v>
      </c>
    </row>
    <row r="24" spans="1:6">
      <c r="A24" s="5" t="s">
        <v>1760</v>
      </c>
      <c r="B24" s="5" t="s">
        <v>1578</v>
      </c>
      <c r="C24" s="5">
        <f>COUNTIFS(Prospectos!C2:C288,"Oncativo / RN9-RP10",Prospectos!E2:E288,"Oncativo")</f>
        <v>5</v>
      </c>
      <c r="D24" s="5">
        <f>COUNTIFS(Prospectos!C2:C288,"Oncativo / RN9-RP10",Prospectos!E2:E288,"Oncativo",Prospectos!F2:F288,"A")</f>
        <v>1</v>
      </c>
      <c r="E24" s="5">
        <f>COUNTIFS(Prospectos!C2:C288,"Oncativo / RN9-RP10",Prospectos!E2:E288,"Oncativo",Prospectos!L2:L288,"OK")</f>
        <v>3</v>
      </c>
      <c r="F24" s="5">
        <f t="shared" si="1"/>
        <v>2</v>
      </c>
    </row>
    <row r="25" spans="1:6">
      <c r="A25" s="3" t="s">
        <v>1839</v>
      </c>
      <c r="B25" s="3" t="s">
        <v>1840</v>
      </c>
      <c r="C25" s="3">
        <f>COUNTIFS(Prospectos!C2:C288,"Río Cuarto / RN36 sur",Prospectos!E2:E288,"Alcira Gigena")</f>
        <v>6</v>
      </c>
      <c r="D25" s="3">
        <f>COUNTIFS(Prospectos!C2:C288,"Río Cuarto / RN36 sur",Prospectos!E2:E288,"Alcira Gigena",Prospectos!F2:F288,"A")</f>
        <v>3</v>
      </c>
      <c r="E25" s="3">
        <f>COUNTIFS(Prospectos!C2:C288,"Río Cuarto / RN36 sur",Prospectos!E2:E288,"Alcira Gigena",Prospectos!L2:L288,"OK")</f>
        <v>4</v>
      </c>
      <c r="F25" s="3">
        <f t="shared" si="1"/>
        <v>2</v>
      </c>
    </row>
    <row r="26" spans="1:6">
      <c r="A26" s="5" t="s">
        <v>1839</v>
      </c>
      <c r="B26" s="5" t="s">
        <v>1887</v>
      </c>
      <c r="C26" s="5">
        <f>COUNTIFS(Prospectos!C2:C288,"Río Cuarto / RN36 sur",Prospectos!E2:E288,"Berrotarán")</f>
        <v>3</v>
      </c>
      <c r="D26" s="5">
        <f>COUNTIFS(Prospectos!C2:C288,"Río Cuarto / RN36 sur",Prospectos!E2:E288,"Berrotarán",Prospectos!F2:F288,"A")</f>
        <v>1</v>
      </c>
      <c r="E26" s="5">
        <f>COUNTIFS(Prospectos!C2:C288,"Río Cuarto / RN36 sur",Prospectos!E2:E288,"Berrotarán",Prospectos!L2:L288,"OK")</f>
        <v>2</v>
      </c>
      <c r="F26" s="5">
        <f t="shared" si="1"/>
        <v>1</v>
      </c>
    </row>
    <row r="27" spans="1:6">
      <c r="A27" s="3" t="s">
        <v>1839</v>
      </c>
      <c r="B27" s="3" t="s">
        <v>1908</v>
      </c>
      <c r="C27" s="3">
        <f>COUNTIFS(Prospectos!C2:C288,"Río Cuarto / RN36 sur",Prospectos!E2:E288,"Chucul")</f>
        <v>1</v>
      </c>
      <c r="D27" s="3">
        <f>COUNTIFS(Prospectos!C2:C288,"Río Cuarto / RN36 sur",Prospectos!E2:E288,"Chucul",Prospectos!F2:F288,"A")</f>
        <v>0</v>
      </c>
      <c r="E27" s="3">
        <f>COUNTIFS(Prospectos!C2:C288,"Río Cuarto / RN36 sur",Prospectos!E2:E288,"Chucul",Prospectos!L2:L288,"OK")</f>
        <v>1</v>
      </c>
      <c r="F27" s="3">
        <f t="shared" si="1"/>
        <v>0</v>
      </c>
    </row>
    <row r="28" spans="1:6">
      <c r="A28" s="5" t="s">
        <v>1839</v>
      </c>
      <c r="B28" s="5" t="s">
        <v>1917</v>
      </c>
      <c r="C28" s="5">
        <f>COUNTIFS(Prospectos!C2:C288,"Río Cuarto / RN36 sur",Prospectos!E2:E288,"Elena")</f>
        <v>4</v>
      </c>
      <c r="D28" s="5">
        <f>COUNTIFS(Prospectos!C2:C288,"Río Cuarto / RN36 sur",Prospectos!E2:E288,"Elena",Prospectos!F2:F288,"A")</f>
        <v>2</v>
      </c>
      <c r="E28" s="5">
        <f>COUNTIFS(Prospectos!C2:C288,"Río Cuarto / RN36 sur",Prospectos!E2:E288,"Elena",Prospectos!L2:L288,"OK")</f>
        <v>3</v>
      </c>
      <c r="F28" s="5">
        <f t="shared" si="1"/>
        <v>1</v>
      </c>
    </row>
    <row r="29" spans="1:6">
      <c r="A29" s="3" t="s">
        <v>1839</v>
      </c>
      <c r="B29" s="3" t="s">
        <v>1946</v>
      </c>
      <c r="C29" s="3">
        <f>COUNTIFS(Prospectos!C2:C288,"Río Cuarto / RN36 sur",Prospectos!E2:E288,"Las Acequias")</f>
        <v>1</v>
      </c>
      <c r="D29" s="3">
        <f>COUNTIFS(Prospectos!C2:C288,"Río Cuarto / RN36 sur",Prospectos!E2:E288,"Las Acequias",Prospectos!F2:F288,"A")</f>
        <v>1</v>
      </c>
      <c r="E29" s="3">
        <f>COUNTIFS(Prospectos!C2:C288,"Río Cuarto / RN36 sur",Prospectos!E2:E288,"Las Acequias",Prospectos!L2:L288,"OK")</f>
        <v>1</v>
      </c>
      <c r="F29" s="3">
        <f t="shared" si="1"/>
        <v>0</v>
      </c>
    </row>
    <row r="30" spans="1:6">
      <c r="A30" s="5" t="s">
        <v>1839</v>
      </c>
      <c r="B30" s="5" t="s">
        <v>1955</v>
      </c>
      <c r="C30" s="5">
        <f>COUNTIFS(Prospectos!C2:C288,"Río Cuarto / RN36 sur",Prospectos!E2:E288,"Las Higueras")</f>
        <v>1</v>
      </c>
      <c r="D30" s="5">
        <f>COUNTIFS(Prospectos!C2:C288,"Río Cuarto / RN36 sur",Prospectos!E2:E288,"Las Higueras",Prospectos!F2:F288,"A")</f>
        <v>0</v>
      </c>
      <c r="E30" s="5">
        <f>COUNTIFS(Prospectos!C2:C288,"Río Cuarto / RN36 sur",Prospectos!E2:E288,"Las Higueras",Prospectos!L2:L288,"OK")</f>
        <v>0</v>
      </c>
      <c r="F30" s="5">
        <f t="shared" si="1"/>
        <v>1</v>
      </c>
    </row>
    <row r="31" spans="1:6">
      <c r="A31" s="3" t="s">
        <v>1839</v>
      </c>
      <c r="B31" s="3" t="s">
        <v>1962</v>
      </c>
      <c r="C31" s="3">
        <f>COUNTIFS(Prospectos!C2:C288,"Río Cuarto / RN36 sur",Prospectos!E2:E288,"Río Cuarto")</f>
        <v>39</v>
      </c>
      <c r="D31" s="3">
        <f>COUNTIFS(Prospectos!C2:C288,"Río Cuarto / RN36 sur",Prospectos!E2:E288,"Río Cuarto",Prospectos!F2:F288,"A")</f>
        <v>32</v>
      </c>
      <c r="E31" s="3">
        <f>COUNTIFS(Prospectos!C2:C288,"Río Cuarto / RN36 sur",Prospectos!E2:E288,"Río Cuarto",Prospectos!L2:L288,"OK")</f>
        <v>29</v>
      </c>
      <c r="F31" s="3">
        <f t="shared" si="1"/>
        <v>10</v>
      </c>
    </row>
    <row r="32" spans="1:6">
      <c r="A32" s="5" t="s">
        <v>2255</v>
      </c>
      <c r="B32" s="5" t="s">
        <v>2257</v>
      </c>
      <c r="C32" s="5">
        <f>COUNTIFS(Prospectos!C2:C288,"Villa Ascasubi / RP6-E79",Prospectos!E2:E288,"Villa Ascasubi")</f>
        <v>4</v>
      </c>
      <c r="D32" s="5">
        <f>COUNTIFS(Prospectos!C2:C288,"Villa Ascasubi / RP6-E79",Prospectos!E2:E288,"Villa Ascasubi",Prospectos!F2:F288,"A")</f>
        <v>1</v>
      </c>
      <c r="E32" s="5">
        <f>COUNTIFS(Prospectos!C2:C288,"Villa Ascasubi / RP6-E79",Prospectos!E2:E288,"Villa Ascasubi",Prospectos!L2:L288,"OK")</f>
        <v>2</v>
      </c>
      <c r="F32" s="5">
        <f t="shared" si="1"/>
        <v>2</v>
      </c>
    </row>
    <row r="33" spans="1:6">
      <c r="A33" s="3" t="s">
        <v>2317</v>
      </c>
      <c r="B33" s="3" t="s">
        <v>2318</v>
      </c>
      <c r="C33" s="3">
        <f>COUNTIFS(Prospectos!C2:C288,"Villa María / RP6",Prospectos!E2:E288,"Almafuerte")</f>
        <v>3</v>
      </c>
      <c r="D33" s="3">
        <f>COUNTIFS(Prospectos!C2:C288,"Villa María / RP6",Prospectos!E2:E288,"Almafuerte",Prospectos!F2:F288,"A")</f>
        <v>1</v>
      </c>
      <c r="E33" s="3">
        <f>COUNTIFS(Prospectos!C2:C288,"Villa María / RP6",Prospectos!E2:E288,"Almafuerte",Prospectos!L2:L288,"OK")</f>
        <v>2</v>
      </c>
      <c r="F33" s="3">
        <f t="shared" si="1"/>
        <v>1</v>
      </c>
    </row>
    <row r="34" spans="1:6">
      <c r="A34" s="5" t="s">
        <v>2317</v>
      </c>
      <c r="B34" s="5" t="s">
        <v>2338</v>
      </c>
      <c r="C34" s="5">
        <f>COUNTIFS(Prospectos!C2:C288,"Villa María / RP6",Prospectos!E2:E288,"Hernando")</f>
        <v>21</v>
      </c>
      <c r="D34" s="5">
        <f>COUNTIFS(Prospectos!C2:C288,"Villa María / RP6",Prospectos!E2:E288,"Hernando",Prospectos!F2:F288,"A")</f>
        <v>11</v>
      </c>
      <c r="E34" s="5">
        <f>COUNTIFS(Prospectos!C2:C288,"Villa María / RP6",Prospectos!E2:E288,"Hernando",Prospectos!L2:L288,"OK")</f>
        <v>16</v>
      </c>
      <c r="F34" s="5">
        <f t="shared" si="1"/>
        <v>5</v>
      </c>
    </row>
    <row r="35" spans="1:6">
      <c r="A35" t="s">
        <v>2317</v>
      </c>
      <c r="B35" t="s">
        <v>2495</v>
      </c>
      <c r="C35">
        <f>COUNTIFS(Prospectos!C2:C288,"Villa María / RP6",Prospectos!E2:E288,"Tío Pujio")</f>
        <v>2</v>
      </c>
      <c r="D35">
        <f>COUNTIFS(Prospectos!C2:C288,"Villa María / RP6",Prospectos!E2:E288,"Tío Pujio",Prospectos!F2:F288,"A")</f>
        <v>1</v>
      </c>
      <c r="E35">
        <f>COUNTIFS(Prospectos!C2:C288,"Villa María / RP6",Prospectos!E2:E288,"Tío Pujio",Prospectos!L2:L288,"OK")</f>
        <v>2</v>
      </c>
      <c r="F35">
        <f>C35-E35</f>
        <v>0</v>
      </c>
    </row>
    <row r="36" spans="1:6">
      <c r="A36" t="s">
        <v>2317</v>
      </c>
      <c r="B36" t="s">
        <v>2512</v>
      </c>
      <c r="C36">
        <f>COUNTIFS(Prospectos!C2:C288,"Villa María / RP6",Prospectos!E2:E288,"Villa María")</f>
        <v>45</v>
      </c>
      <c r="D36">
        <f>COUNTIFS(Prospectos!C2:C288,"Villa María / RP6",Prospectos!E2:E288,"Villa María",Prospectos!F2:F288,"A")</f>
        <v>22</v>
      </c>
      <c r="E36">
        <f>COUNTIFS(Prospectos!C2:C288,"Villa María / RP6",Prospectos!E2:E288,"Villa María",Prospectos!L2:L288,"OK")</f>
        <v>24</v>
      </c>
      <c r="F36">
        <f>C36-E36</f>
        <v>21</v>
      </c>
    </row>
    <row r="37" spans="1:6">
      <c r="A37" t="s">
        <v>2317</v>
      </c>
      <c r="B37" t="s">
        <v>2838</v>
      </c>
      <c r="C37">
        <f>COUNTIFS(Prospectos!C2:C288,"Villa María / RP6",Prospectos!E2:E288,"Villa Nueva")</f>
        <v>1</v>
      </c>
      <c r="D37">
        <f>COUNTIFS(Prospectos!C2:C288,"Villa María / RP6",Prospectos!E2:E288,"Villa Nueva",Prospectos!F2:F288,"A")</f>
        <v>1</v>
      </c>
      <c r="E37">
        <f>COUNTIFS(Prospectos!C2:C288,"Villa María / RP6",Prospectos!E2:E288,"Villa Nueva",Prospectos!L2:L288,"OK")</f>
        <v>1</v>
      </c>
      <c r="F37">
        <f>C37-E37</f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baseColWidth="10" defaultColWidth="9" defaultRowHeight="14.25"/>
  <cols>
    <col min="1" max="1" width="11" customWidth="1"/>
    <col min="2" max="2" width="18" customWidth="1"/>
    <col min="3" max="3" width="7" customWidth="1"/>
    <col min="4" max="4" width="30" customWidth="1"/>
    <col min="5" max="5" width="28" customWidth="1"/>
    <col min="6" max="6" width="27" customWidth="1"/>
    <col min="7" max="7" width="16" customWidth="1"/>
    <col min="8" max="8" width="24" customWidth="1"/>
    <col min="9" max="9" width="42" customWidth="1"/>
    <col min="10" max="10" width="35" customWidth="1"/>
  </cols>
  <sheetData>
    <row r="1" spans="1:10" ht="20.25">
      <c r="A1" s="40" t="s">
        <v>2</v>
      </c>
      <c r="B1" s="40"/>
      <c r="C1" s="40"/>
      <c r="D1" s="40"/>
      <c r="E1" s="40"/>
      <c r="F1" s="40"/>
      <c r="G1" s="40"/>
      <c r="H1" s="40"/>
      <c r="I1" s="40"/>
      <c r="J1" s="40"/>
    </row>
    <row r="2" spans="1:10">
      <c r="A2" s="41" t="s">
        <v>3</v>
      </c>
      <c r="B2" s="41"/>
      <c r="C2" s="41"/>
      <c r="D2" s="41"/>
      <c r="E2" s="41"/>
      <c r="F2" s="41"/>
      <c r="G2" s="41"/>
      <c r="H2" s="41"/>
      <c r="I2" s="41"/>
      <c r="J2" s="41"/>
    </row>
    <row r="4" spans="1:10" ht="25.5">
      <c r="A4" s="19" t="s">
        <v>56</v>
      </c>
      <c r="B4" s="19" t="s">
        <v>61</v>
      </c>
      <c r="C4" s="19" t="s">
        <v>57</v>
      </c>
      <c r="D4" s="19" t="s">
        <v>58</v>
      </c>
      <c r="E4" s="19" t="s">
        <v>357</v>
      </c>
      <c r="F4" s="19" t="s">
        <v>62</v>
      </c>
      <c r="G4" s="19" t="s">
        <v>358</v>
      </c>
      <c r="H4" s="19" t="s">
        <v>63</v>
      </c>
      <c r="I4" s="19" t="s">
        <v>369</v>
      </c>
      <c r="J4" s="19" t="s">
        <v>370</v>
      </c>
    </row>
    <row r="5" spans="1:10" ht="33.950000000000003" customHeight="1">
      <c r="A5" s="17" t="s">
        <v>78</v>
      </c>
      <c r="B5" s="17" t="s">
        <v>386</v>
      </c>
      <c r="C5" s="17" t="s">
        <v>387</v>
      </c>
      <c r="D5" s="17" t="s">
        <v>554</v>
      </c>
      <c r="E5" s="17" t="s">
        <v>555</v>
      </c>
      <c r="F5" s="17" t="s">
        <v>556</v>
      </c>
      <c r="G5" s="17" t="s">
        <v>557</v>
      </c>
      <c r="H5" s="17" t="s">
        <v>558</v>
      </c>
      <c r="I5" s="17" t="s">
        <v>443</v>
      </c>
      <c r="J5" s="17" t="s">
        <v>563</v>
      </c>
    </row>
    <row r="6" spans="1:10" ht="33.950000000000003" customHeight="1">
      <c r="A6" s="18" t="s">
        <v>84</v>
      </c>
      <c r="B6" s="18" t="s">
        <v>386</v>
      </c>
      <c r="C6" s="18" t="s">
        <v>387</v>
      </c>
      <c r="D6" s="18" t="s">
        <v>611</v>
      </c>
      <c r="E6" s="18" t="s">
        <v>612</v>
      </c>
      <c r="F6" s="18" t="s">
        <v>613</v>
      </c>
      <c r="G6" s="18" t="s">
        <v>613</v>
      </c>
      <c r="H6" s="18" t="s">
        <v>614</v>
      </c>
      <c r="I6" s="18" t="s">
        <v>443</v>
      </c>
      <c r="J6" s="18" t="s">
        <v>618</v>
      </c>
    </row>
    <row r="7" spans="1:10" ht="33.950000000000003" customHeight="1">
      <c r="A7" s="17" t="s">
        <v>87</v>
      </c>
      <c r="B7" s="17" t="s">
        <v>386</v>
      </c>
      <c r="C7" s="17" t="s">
        <v>387</v>
      </c>
      <c r="D7" s="17" t="s">
        <v>639</v>
      </c>
      <c r="E7" s="17" t="s">
        <v>640</v>
      </c>
      <c r="F7" s="17" t="s">
        <v>613</v>
      </c>
      <c r="G7" s="17" t="s">
        <v>613</v>
      </c>
      <c r="H7" s="17" t="s">
        <v>455</v>
      </c>
      <c r="I7" s="17" t="s">
        <v>443</v>
      </c>
      <c r="J7" s="17" t="s">
        <v>642</v>
      </c>
    </row>
    <row r="8" spans="1:10" ht="33.950000000000003" customHeight="1">
      <c r="A8" s="18" t="s">
        <v>89</v>
      </c>
      <c r="B8" s="18" t="s">
        <v>386</v>
      </c>
      <c r="C8" s="18" t="s">
        <v>387</v>
      </c>
      <c r="D8" s="18" t="s">
        <v>653</v>
      </c>
      <c r="E8" s="18" t="s">
        <v>654</v>
      </c>
      <c r="F8" s="18" t="s">
        <v>656</v>
      </c>
      <c r="G8" s="18" t="s">
        <v>557</v>
      </c>
      <c r="H8" s="18" t="s">
        <v>548</v>
      </c>
      <c r="I8" s="18" t="s">
        <v>423</v>
      </c>
      <c r="J8" s="18" t="s">
        <v>659</v>
      </c>
    </row>
    <row r="9" spans="1:10" ht="33.950000000000003" customHeight="1">
      <c r="A9" s="17" t="s">
        <v>91</v>
      </c>
      <c r="B9" s="17" t="s">
        <v>386</v>
      </c>
      <c r="C9" s="17" t="s">
        <v>387</v>
      </c>
      <c r="D9" s="17" t="s">
        <v>667</v>
      </c>
      <c r="E9" s="17" t="s">
        <v>668</v>
      </c>
      <c r="F9" s="17" t="s">
        <v>669</v>
      </c>
      <c r="G9" s="17" t="s">
        <v>557</v>
      </c>
      <c r="H9" s="17" t="s">
        <v>614</v>
      </c>
      <c r="I9" s="17" t="s">
        <v>443</v>
      </c>
      <c r="J9" s="17" t="s">
        <v>672</v>
      </c>
    </row>
    <row r="10" spans="1:10" ht="33.950000000000003" customHeight="1">
      <c r="A10" s="18" t="s">
        <v>94</v>
      </c>
      <c r="B10" s="18" t="s">
        <v>386</v>
      </c>
      <c r="C10" s="18" t="s">
        <v>387</v>
      </c>
      <c r="D10" s="18" t="s">
        <v>691</v>
      </c>
      <c r="E10" s="18" t="s">
        <v>692</v>
      </c>
      <c r="F10" s="18" t="s">
        <v>693</v>
      </c>
      <c r="G10" s="18" t="s">
        <v>557</v>
      </c>
      <c r="H10" s="18" t="s">
        <v>392</v>
      </c>
      <c r="I10" s="18" t="s">
        <v>695</v>
      </c>
      <c r="J10" s="18" t="s">
        <v>696</v>
      </c>
    </row>
    <row r="11" spans="1:10" ht="33.950000000000003" customHeight="1">
      <c r="A11" s="17" t="s">
        <v>97</v>
      </c>
      <c r="B11" s="17" t="s">
        <v>386</v>
      </c>
      <c r="C11" s="17" t="s">
        <v>387</v>
      </c>
      <c r="D11" s="17" t="s">
        <v>717</v>
      </c>
      <c r="E11" s="17" t="s">
        <v>718</v>
      </c>
      <c r="F11" s="17" t="s">
        <v>719</v>
      </c>
      <c r="G11" s="17" t="s">
        <v>613</v>
      </c>
      <c r="H11" s="17" t="s">
        <v>455</v>
      </c>
      <c r="I11" s="17" t="s">
        <v>423</v>
      </c>
      <c r="J11" s="17" t="s">
        <v>721</v>
      </c>
    </row>
    <row r="12" spans="1:10" ht="33.950000000000003" customHeight="1">
      <c r="A12" s="18" t="s">
        <v>100</v>
      </c>
      <c r="B12" s="18" t="s">
        <v>386</v>
      </c>
      <c r="C12" s="18" t="s">
        <v>724</v>
      </c>
      <c r="D12" s="18" t="s">
        <v>760</v>
      </c>
      <c r="E12" s="18" t="s">
        <v>761</v>
      </c>
      <c r="F12" s="18" t="s">
        <v>762</v>
      </c>
      <c r="G12" s="18" t="s">
        <v>557</v>
      </c>
      <c r="H12" s="18" t="s">
        <v>763</v>
      </c>
      <c r="I12" s="18" t="s">
        <v>767</v>
      </c>
      <c r="J12" s="18" t="s">
        <v>768</v>
      </c>
    </row>
    <row r="13" spans="1:10" ht="33.950000000000003" customHeight="1">
      <c r="A13" s="17" t="s">
        <v>112</v>
      </c>
      <c r="B13" s="17" t="s">
        <v>386</v>
      </c>
      <c r="C13" s="17" t="s">
        <v>724</v>
      </c>
      <c r="D13" s="17" t="s">
        <v>870</v>
      </c>
      <c r="E13" s="17" t="s">
        <v>871</v>
      </c>
      <c r="F13" s="17" t="s">
        <v>872</v>
      </c>
      <c r="G13" s="17" t="s">
        <v>557</v>
      </c>
      <c r="H13" s="17" t="s">
        <v>392</v>
      </c>
      <c r="I13" s="17" t="s">
        <v>695</v>
      </c>
      <c r="J13" s="17" t="s">
        <v>875</v>
      </c>
    </row>
    <row r="14" spans="1:10" ht="33.950000000000003" customHeight="1">
      <c r="A14" s="18" t="s">
        <v>113</v>
      </c>
      <c r="B14" s="18" t="s">
        <v>386</v>
      </c>
      <c r="C14" s="18" t="s">
        <v>724</v>
      </c>
      <c r="D14" s="18" t="s">
        <v>879</v>
      </c>
      <c r="E14" s="18" t="s">
        <v>880</v>
      </c>
      <c r="F14" s="18" t="s">
        <v>881</v>
      </c>
      <c r="G14" s="18" t="s">
        <v>557</v>
      </c>
      <c r="H14" s="18" t="s">
        <v>392</v>
      </c>
      <c r="I14" s="18" t="s">
        <v>695</v>
      </c>
      <c r="J14" s="18" t="s">
        <v>883</v>
      </c>
    </row>
    <row r="15" spans="1:10" ht="33.950000000000003" customHeight="1">
      <c r="A15" s="17" t="s">
        <v>114</v>
      </c>
      <c r="B15" s="17" t="s">
        <v>386</v>
      </c>
      <c r="C15" s="17" t="s">
        <v>724</v>
      </c>
      <c r="D15" s="17" t="s">
        <v>886</v>
      </c>
      <c r="E15" s="17" t="s">
        <v>640</v>
      </c>
      <c r="F15" s="17" t="s">
        <v>887</v>
      </c>
      <c r="G15" s="17" t="s">
        <v>557</v>
      </c>
      <c r="H15" s="17" t="s">
        <v>455</v>
      </c>
      <c r="I15" s="17" t="s">
        <v>474</v>
      </c>
      <c r="J15" s="17" t="s">
        <v>891</v>
      </c>
    </row>
    <row r="16" spans="1:10" ht="33.950000000000003" customHeight="1">
      <c r="A16" s="18" t="s">
        <v>116</v>
      </c>
      <c r="B16" s="18" t="s">
        <v>386</v>
      </c>
      <c r="C16" s="18" t="s">
        <v>724</v>
      </c>
      <c r="D16" s="18" t="s">
        <v>907</v>
      </c>
      <c r="E16" s="18" t="s">
        <v>908</v>
      </c>
      <c r="F16" s="18" t="s">
        <v>909</v>
      </c>
      <c r="G16" s="18" t="s">
        <v>557</v>
      </c>
      <c r="H16" s="18" t="s">
        <v>804</v>
      </c>
      <c r="I16" s="18" t="s">
        <v>423</v>
      </c>
      <c r="J16" s="18" t="s">
        <v>911</v>
      </c>
    </row>
    <row r="17" spans="1:10" ht="33.950000000000003" customHeight="1">
      <c r="A17" s="17" t="s">
        <v>117</v>
      </c>
      <c r="B17" s="17" t="s">
        <v>386</v>
      </c>
      <c r="C17" s="17" t="s">
        <v>724</v>
      </c>
      <c r="D17" s="17" t="s">
        <v>913</v>
      </c>
      <c r="E17" s="17" t="s">
        <v>413</v>
      </c>
      <c r="F17" s="17" t="s">
        <v>914</v>
      </c>
      <c r="G17" s="17" t="s">
        <v>557</v>
      </c>
      <c r="H17" s="17" t="s">
        <v>915</v>
      </c>
      <c r="I17" s="17" t="s">
        <v>423</v>
      </c>
      <c r="J17" s="17" t="s">
        <v>919</v>
      </c>
    </row>
    <row r="18" spans="1:10" ht="33.950000000000003" customHeight="1">
      <c r="A18" s="18" t="s">
        <v>118</v>
      </c>
      <c r="B18" s="18" t="s">
        <v>386</v>
      </c>
      <c r="C18" s="18" t="s">
        <v>724</v>
      </c>
      <c r="D18" s="18" t="s">
        <v>922</v>
      </c>
      <c r="E18" s="18" t="s">
        <v>923</v>
      </c>
      <c r="F18" s="18" t="s">
        <v>924</v>
      </c>
      <c r="G18" s="18" t="s">
        <v>613</v>
      </c>
      <c r="H18" s="18" t="s">
        <v>455</v>
      </c>
      <c r="I18" s="18" t="s">
        <v>443</v>
      </c>
      <c r="J18" s="18" t="s">
        <v>926</v>
      </c>
    </row>
    <row r="19" spans="1:10" ht="33.950000000000003" customHeight="1">
      <c r="A19" s="17" t="s">
        <v>120</v>
      </c>
      <c r="B19" s="17" t="s">
        <v>386</v>
      </c>
      <c r="C19" s="17" t="s">
        <v>724</v>
      </c>
      <c r="D19" s="17" t="s">
        <v>935</v>
      </c>
      <c r="E19" s="17" t="s">
        <v>936</v>
      </c>
      <c r="F19" s="17" t="s">
        <v>613</v>
      </c>
      <c r="G19" s="17" t="s">
        <v>613</v>
      </c>
      <c r="H19" s="17" t="s">
        <v>537</v>
      </c>
      <c r="I19" s="17" t="s">
        <v>423</v>
      </c>
      <c r="J19" s="17" t="s">
        <v>938</v>
      </c>
    </row>
    <row r="20" spans="1:10" ht="33.950000000000003" customHeight="1">
      <c r="A20" s="18" t="s">
        <v>121</v>
      </c>
      <c r="B20" s="18" t="s">
        <v>386</v>
      </c>
      <c r="C20" s="18" t="s">
        <v>724</v>
      </c>
      <c r="D20" s="18" t="s">
        <v>941</v>
      </c>
      <c r="E20" s="18" t="s">
        <v>942</v>
      </c>
      <c r="F20" s="18" t="s">
        <v>924</v>
      </c>
      <c r="G20" s="18" t="s">
        <v>613</v>
      </c>
      <c r="H20" s="18" t="s">
        <v>558</v>
      </c>
      <c r="I20" s="18" t="s">
        <v>474</v>
      </c>
      <c r="J20" s="18" t="s">
        <v>945</v>
      </c>
    </row>
    <row r="21" spans="1:10" ht="33.950000000000003" customHeight="1">
      <c r="A21" s="17" t="s">
        <v>122</v>
      </c>
      <c r="B21" s="17" t="s">
        <v>386</v>
      </c>
      <c r="C21" s="17" t="s">
        <v>724</v>
      </c>
      <c r="D21" s="17" t="s">
        <v>948</v>
      </c>
      <c r="E21" s="17" t="s">
        <v>949</v>
      </c>
      <c r="F21" s="17" t="s">
        <v>924</v>
      </c>
      <c r="G21" s="17" t="s">
        <v>613</v>
      </c>
      <c r="H21" s="17" t="s">
        <v>950</v>
      </c>
      <c r="I21" s="17" t="s">
        <v>474</v>
      </c>
      <c r="J21" s="17" t="s">
        <v>952</v>
      </c>
    </row>
    <row r="22" spans="1:10" ht="33.950000000000003" customHeight="1">
      <c r="A22" s="18" t="s">
        <v>124</v>
      </c>
      <c r="B22" s="18" t="s">
        <v>386</v>
      </c>
      <c r="C22" s="18" t="s">
        <v>724</v>
      </c>
      <c r="D22" s="18" t="s">
        <v>966</v>
      </c>
      <c r="E22" s="18" t="s">
        <v>967</v>
      </c>
      <c r="F22" s="18" t="s">
        <v>613</v>
      </c>
      <c r="G22" s="18" t="s">
        <v>613</v>
      </c>
      <c r="H22" s="18" t="s">
        <v>455</v>
      </c>
      <c r="I22" s="18" t="s">
        <v>423</v>
      </c>
      <c r="J22" s="18" t="s">
        <v>969</v>
      </c>
    </row>
    <row r="23" spans="1:10" ht="33.950000000000003" customHeight="1">
      <c r="A23" s="17" t="s">
        <v>125</v>
      </c>
      <c r="B23" s="17" t="s">
        <v>386</v>
      </c>
      <c r="C23" s="17" t="s">
        <v>724</v>
      </c>
      <c r="D23" s="17" t="s">
        <v>972</v>
      </c>
      <c r="E23" s="17" t="s">
        <v>973</v>
      </c>
      <c r="F23" s="17" t="s">
        <v>924</v>
      </c>
      <c r="G23" s="17" t="s">
        <v>613</v>
      </c>
      <c r="H23" s="17" t="s">
        <v>455</v>
      </c>
      <c r="I23" s="17" t="s">
        <v>474</v>
      </c>
      <c r="J23" s="17" t="s">
        <v>975</v>
      </c>
    </row>
    <row r="24" spans="1:10" ht="33.950000000000003" customHeight="1">
      <c r="A24" s="18" t="s">
        <v>126</v>
      </c>
      <c r="B24" s="18" t="s">
        <v>386</v>
      </c>
      <c r="C24" s="18" t="s">
        <v>724</v>
      </c>
      <c r="D24" s="18" t="s">
        <v>979</v>
      </c>
      <c r="E24" s="18" t="s">
        <v>980</v>
      </c>
      <c r="F24" s="18" t="s">
        <v>924</v>
      </c>
      <c r="G24" s="18" t="s">
        <v>613</v>
      </c>
      <c r="H24" s="18" t="s">
        <v>455</v>
      </c>
      <c r="I24" s="18" t="s">
        <v>474</v>
      </c>
      <c r="J24" s="18" t="s">
        <v>982</v>
      </c>
    </row>
    <row r="25" spans="1:10" ht="33.950000000000003" customHeight="1">
      <c r="A25" s="17" t="s">
        <v>127</v>
      </c>
      <c r="B25" s="17" t="s">
        <v>386</v>
      </c>
      <c r="C25" s="17" t="s">
        <v>724</v>
      </c>
      <c r="D25" s="17" t="s">
        <v>985</v>
      </c>
      <c r="E25" s="17" t="s">
        <v>986</v>
      </c>
      <c r="F25" s="17" t="s">
        <v>924</v>
      </c>
      <c r="G25" s="17" t="s">
        <v>613</v>
      </c>
      <c r="H25" s="17" t="s">
        <v>987</v>
      </c>
      <c r="I25" s="17" t="s">
        <v>474</v>
      </c>
      <c r="J25" s="17" t="s">
        <v>989</v>
      </c>
    </row>
    <row r="26" spans="1:10" ht="33.950000000000003" customHeight="1">
      <c r="A26" s="18" t="s">
        <v>128</v>
      </c>
      <c r="B26" s="18" t="s">
        <v>386</v>
      </c>
      <c r="C26" s="18" t="s">
        <v>992</v>
      </c>
      <c r="D26" s="18" t="s">
        <v>993</v>
      </c>
      <c r="E26" s="18" t="s">
        <v>994</v>
      </c>
      <c r="F26" s="18" t="s">
        <v>909</v>
      </c>
      <c r="G26" s="18" t="s">
        <v>557</v>
      </c>
      <c r="H26" s="18" t="s">
        <v>537</v>
      </c>
      <c r="I26" s="18" t="s">
        <v>423</v>
      </c>
      <c r="J26" s="18" t="s">
        <v>996</v>
      </c>
    </row>
    <row r="27" spans="1:10" ht="33.950000000000003" customHeight="1">
      <c r="A27" s="17" t="s">
        <v>129</v>
      </c>
      <c r="B27" s="17" t="s">
        <v>386</v>
      </c>
      <c r="C27" s="17" t="s">
        <v>992</v>
      </c>
      <c r="D27" s="17" t="s">
        <v>999</v>
      </c>
      <c r="E27" s="17" t="s">
        <v>1000</v>
      </c>
      <c r="F27" s="17" t="s">
        <v>924</v>
      </c>
      <c r="G27" s="17" t="s">
        <v>613</v>
      </c>
      <c r="H27" s="17" t="s">
        <v>1001</v>
      </c>
      <c r="I27" s="17" t="s">
        <v>474</v>
      </c>
      <c r="J27" s="17" t="s">
        <v>1003</v>
      </c>
    </row>
    <row r="28" spans="1:10" ht="33.950000000000003" customHeight="1">
      <c r="A28" s="18" t="s">
        <v>130</v>
      </c>
      <c r="B28" s="18" t="s">
        <v>386</v>
      </c>
      <c r="C28" s="18" t="s">
        <v>992</v>
      </c>
      <c r="D28" s="18" t="s">
        <v>1006</v>
      </c>
      <c r="E28" s="18" t="s">
        <v>1007</v>
      </c>
      <c r="F28" s="18" t="s">
        <v>924</v>
      </c>
      <c r="G28" s="18" t="s">
        <v>613</v>
      </c>
      <c r="H28" s="18" t="s">
        <v>1008</v>
      </c>
      <c r="I28" s="18" t="s">
        <v>474</v>
      </c>
      <c r="J28" s="18" t="s">
        <v>1010</v>
      </c>
    </row>
    <row r="29" spans="1:10" ht="33.950000000000003" customHeight="1">
      <c r="A29" s="17" t="s">
        <v>131</v>
      </c>
      <c r="B29" s="17" t="s">
        <v>386</v>
      </c>
      <c r="C29" s="17" t="s">
        <v>992</v>
      </c>
      <c r="D29" s="17" t="s">
        <v>1013</v>
      </c>
      <c r="E29" s="17" t="s">
        <v>1014</v>
      </c>
      <c r="F29" s="17" t="s">
        <v>613</v>
      </c>
      <c r="G29" s="17" t="s">
        <v>613</v>
      </c>
      <c r="H29" s="17" t="s">
        <v>416</v>
      </c>
      <c r="I29" s="17" t="s">
        <v>423</v>
      </c>
      <c r="J29" s="17" t="s">
        <v>1016</v>
      </c>
    </row>
    <row r="30" spans="1:10" ht="33.950000000000003" customHeight="1">
      <c r="A30" s="18" t="s">
        <v>141</v>
      </c>
      <c r="B30" s="18" t="s">
        <v>1041</v>
      </c>
      <c r="C30" s="18" t="s">
        <v>724</v>
      </c>
      <c r="D30" s="18" t="s">
        <v>1113</v>
      </c>
      <c r="E30" s="18" t="s">
        <v>1114</v>
      </c>
      <c r="F30" s="18" t="s">
        <v>1115</v>
      </c>
      <c r="G30" s="18" t="s">
        <v>557</v>
      </c>
      <c r="H30" s="18" t="s">
        <v>1116</v>
      </c>
      <c r="I30" s="18" t="s">
        <v>474</v>
      </c>
      <c r="J30" s="18" t="s">
        <v>1119</v>
      </c>
    </row>
    <row r="31" spans="1:10" ht="33.950000000000003" customHeight="1">
      <c r="A31" s="17" t="s">
        <v>142</v>
      </c>
      <c r="B31" s="17" t="s">
        <v>1041</v>
      </c>
      <c r="C31" s="17" t="s">
        <v>724</v>
      </c>
      <c r="D31" s="17" t="s">
        <v>1123</v>
      </c>
      <c r="E31" s="17" t="s">
        <v>1124</v>
      </c>
      <c r="F31" s="17" t="s">
        <v>613</v>
      </c>
      <c r="G31" s="17" t="s">
        <v>613</v>
      </c>
      <c r="H31" s="17" t="s">
        <v>1125</v>
      </c>
      <c r="I31" s="17" t="s">
        <v>474</v>
      </c>
      <c r="J31" s="17" t="s">
        <v>1127</v>
      </c>
    </row>
    <row r="32" spans="1:10" ht="33.950000000000003" customHeight="1">
      <c r="A32" s="18" t="s">
        <v>154</v>
      </c>
      <c r="B32" s="18" t="s">
        <v>1160</v>
      </c>
      <c r="C32" s="18" t="s">
        <v>724</v>
      </c>
      <c r="D32" s="18" t="s">
        <v>1237</v>
      </c>
      <c r="E32" s="18" t="s">
        <v>1238</v>
      </c>
      <c r="F32" s="18" t="s">
        <v>613</v>
      </c>
      <c r="G32" s="18" t="s">
        <v>613</v>
      </c>
      <c r="H32" s="18" t="s">
        <v>548</v>
      </c>
      <c r="I32" s="18" t="s">
        <v>423</v>
      </c>
      <c r="J32" s="18" t="s">
        <v>1240</v>
      </c>
    </row>
    <row r="33" spans="1:10" ht="33.950000000000003" customHeight="1">
      <c r="A33" s="17" t="s">
        <v>155</v>
      </c>
      <c r="B33" s="17" t="s">
        <v>1160</v>
      </c>
      <c r="C33" s="17" t="s">
        <v>724</v>
      </c>
      <c r="D33" s="17" t="s">
        <v>1242</v>
      </c>
      <c r="E33" s="17" t="s">
        <v>1243</v>
      </c>
      <c r="F33" s="17" t="s">
        <v>613</v>
      </c>
      <c r="G33" s="17" t="s">
        <v>613</v>
      </c>
      <c r="H33" s="17" t="s">
        <v>1244</v>
      </c>
      <c r="I33" s="17" t="s">
        <v>474</v>
      </c>
      <c r="J33" s="17" t="s">
        <v>1246</v>
      </c>
    </row>
    <row r="34" spans="1:10" ht="33.950000000000003" customHeight="1">
      <c r="A34" s="18" t="s">
        <v>158</v>
      </c>
      <c r="B34" s="18" t="s">
        <v>1271</v>
      </c>
      <c r="C34" s="18" t="s">
        <v>724</v>
      </c>
      <c r="D34" s="18" t="s">
        <v>1272</v>
      </c>
      <c r="E34" s="18" t="s">
        <v>1273</v>
      </c>
      <c r="F34" s="18" t="s">
        <v>613</v>
      </c>
      <c r="G34" s="18" t="s">
        <v>613</v>
      </c>
      <c r="H34" s="18" t="s">
        <v>416</v>
      </c>
      <c r="I34" s="18" t="s">
        <v>474</v>
      </c>
      <c r="J34" s="18" t="s">
        <v>1275</v>
      </c>
    </row>
    <row r="35" spans="1:10" ht="33.950000000000003" customHeight="1">
      <c r="A35" s="17" t="s">
        <v>171</v>
      </c>
      <c r="B35" s="17" t="s">
        <v>1281</v>
      </c>
      <c r="C35" s="17" t="s">
        <v>387</v>
      </c>
      <c r="D35" s="17" t="s">
        <v>1385</v>
      </c>
      <c r="E35" s="17" t="s">
        <v>1386</v>
      </c>
      <c r="F35" s="17" t="s">
        <v>1387</v>
      </c>
      <c r="G35" s="17" t="s">
        <v>557</v>
      </c>
      <c r="H35" s="17" t="s">
        <v>1190</v>
      </c>
      <c r="I35" s="17" t="s">
        <v>1389</v>
      </c>
      <c r="J35" s="17" t="s">
        <v>1390</v>
      </c>
    </row>
    <row r="36" spans="1:10" ht="33.950000000000003" customHeight="1">
      <c r="A36" s="18" t="s">
        <v>174</v>
      </c>
      <c r="B36" s="18" t="s">
        <v>1281</v>
      </c>
      <c r="C36" s="18" t="s">
        <v>724</v>
      </c>
      <c r="D36" s="18" t="s">
        <v>1410</v>
      </c>
      <c r="E36" s="18" t="s">
        <v>1395</v>
      </c>
      <c r="F36" s="18" t="s">
        <v>1411</v>
      </c>
      <c r="G36" s="18" t="s">
        <v>557</v>
      </c>
      <c r="H36" s="18" t="s">
        <v>1397</v>
      </c>
      <c r="I36" s="18" t="s">
        <v>423</v>
      </c>
      <c r="J36" s="18" t="s">
        <v>1415</v>
      </c>
    </row>
    <row r="37" spans="1:10" ht="33.950000000000003" customHeight="1">
      <c r="A37" s="17" t="s">
        <v>182</v>
      </c>
      <c r="B37" s="17" t="s">
        <v>1418</v>
      </c>
      <c r="C37" s="17" t="s">
        <v>724</v>
      </c>
      <c r="D37" s="17" t="s">
        <v>1480</v>
      </c>
      <c r="E37" s="17" t="s">
        <v>1438</v>
      </c>
      <c r="F37" s="17" t="s">
        <v>1481</v>
      </c>
      <c r="G37" s="17" t="s">
        <v>557</v>
      </c>
      <c r="H37" s="17" t="s">
        <v>804</v>
      </c>
      <c r="I37" s="17" t="s">
        <v>423</v>
      </c>
      <c r="J37" s="17" t="s">
        <v>1484</v>
      </c>
    </row>
    <row r="38" spans="1:10" ht="33.950000000000003" customHeight="1">
      <c r="A38" s="18" t="s">
        <v>183</v>
      </c>
      <c r="B38" s="18" t="s">
        <v>1418</v>
      </c>
      <c r="C38" s="18" t="s">
        <v>724</v>
      </c>
      <c r="D38" s="18" t="s">
        <v>1487</v>
      </c>
      <c r="E38" s="18" t="s">
        <v>1014</v>
      </c>
      <c r="F38" s="18" t="s">
        <v>613</v>
      </c>
      <c r="G38" s="18" t="s">
        <v>613</v>
      </c>
      <c r="H38" s="18" t="s">
        <v>416</v>
      </c>
      <c r="I38" s="18" t="s">
        <v>423</v>
      </c>
      <c r="J38" s="18" t="s">
        <v>1489</v>
      </c>
    </row>
    <row r="39" spans="1:10" ht="33.950000000000003" customHeight="1">
      <c r="A39" s="17" t="s">
        <v>184</v>
      </c>
      <c r="B39" s="17" t="s">
        <v>1493</v>
      </c>
      <c r="C39" s="17" t="s">
        <v>387</v>
      </c>
      <c r="D39" s="17" t="s">
        <v>1494</v>
      </c>
      <c r="E39" s="17" t="s">
        <v>1495</v>
      </c>
      <c r="F39" s="17" t="s">
        <v>1496</v>
      </c>
      <c r="G39" s="17" t="s">
        <v>557</v>
      </c>
      <c r="H39" s="17" t="s">
        <v>1244</v>
      </c>
      <c r="I39" s="17" t="s">
        <v>474</v>
      </c>
      <c r="J39" s="17" t="s">
        <v>1499</v>
      </c>
    </row>
    <row r="40" spans="1:10" ht="33.950000000000003" customHeight="1">
      <c r="A40" s="18" t="s">
        <v>187</v>
      </c>
      <c r="B40" s="18" t="s">
        <v>1493</v>
      </c>
      <c r="C40" s="18" t="s">
        <v>724</v>
      </c>
      <c r="D40" s="18" t="s">
        <v>1519</v>
      </c>
      <c r="E40" s="18" t="s">
        <v>1520</v>
      </c>
      <c r="F40" s="18" t="s">
        <v>1522</v>
      </c>
      <c r="G40" s="18" t="s">
        <v>613</v>
      </c>
      <c r="H40" s="18" t="s">
        <v>455</v>
      </c>
      <c r="I40" s="18" t="s">
        <v>423</v>
      </c>
      <c r="J40" s="18" t="s">
        <v>1525</v>
      </c>
    </row>
    <row r="41" spans="1:10" ht="33.950000000000003" customHeight="1">
      <c r="A41" s="17" t="s">
        <v>192</v>
      </c>
      <c r="B41" s="17" t="s">
        <v>1544</v>
      </c>
      <c r="C41" s="17" t="s">
        <v>387</v>
      </c>
      <c r="D41" s="17" t="s">
        <v>1563</v>
      </c>
      <c r="E41" s="17" t="s">
        <v>1564</v>
      </c>
      <c r="F41" s="17" t="s">
        <v>613</v>
      </c>
      <c r="G41" s="17" t="s">
        <v>613</v>
      </c>
      <c r="H41" s="17" t="s">
        <v>416</v>
      </c>
      <c r="I41" s="17" t="s">
        <v>423</v>
      </c>
      <c r="J41" s="17" t="s">
        <v>1566</v>
      </c>
    </row>
    <row r="42" spans="1:10" ht="33.950000000000003" customHeight="1">
      <c r="A42" s="18" t="s">
        <v>195</v>
      </c>
      <c r="B42" s="18" t="s">
        <v>1578</v>
      </c>
      <c r="C42" s="18" t="s">
        <v>387</v>
      </c>
      <c r="D42" s="18" t="s">
        <v>1585</v>
      </c>
      <c r="E42" s="18" t="s">
        <v>1586</v>
      </c>
      <c r="F42" s="18" t="s">
        <v>613</v>
      </c>
      <c r="G42" s="18" t="s">
        <v>613</v>
      </c>
      <c r="H42" s="18" t="s">
        <v>436</v>
      </c>
      <c r="I42" s="18" t="s">
        <v>443</v>
      </c>
      <c r="J42" s="18" t="s">
        <v>1588</v>
      </c>
    </row>
    <row r="43" spans="1:10" ht="33.950000000000003" customHeight="1">
      <c r="A43" s="17" t="s">
        <v>206</v>
      </c>
      <c r="B43" s="17" t="s">
        <v>1578</v>
      </c>
      <c r="C43" s="17" t="s">
        <v>387</v>
      </c>
      <c r="D43" s="17" t="s">
        <v>1677</v>
      </c>
      <c r="E43" s="17" t="s">
        <v>1678</v>
      </c>
      <c r="F43" s="17" t="s">
        <v>1679</v>
      </c>
      <c r="G43" s="17" t="s">
        <v>557</v>
      </c>
      <c r="H43" s="17" t="s">
        <v>436</v>
      </c>
      <c r="I43" s="17" t="s">
        <v>443</v>
      </c>
      <c r="J43" s="17" t="s">
        <v>1683</v>
      </c>
    </row>
    <row r="44" spans="1:10" ht="33.950000000000003" customHeight="1">
      <c r="A44" s="18" t="s">
        <v>212</v>
      </c>
      <c r="B44" s="18" t="s">
        <v>1578</v>
      </c>
      <c r="C44" s="18" t="s">
        <v>724</v>
      </c>
      <c r="D44" s="18" t="s">
        <v>1726</v>
      </c>
      <c r="E44" s="18" t="s">
        <v>23</v>
      </c>
      <c r="F44" s="18" t="s">
        <v>1727</v>
      </c>
      <c r="G44" s="18" t="s">
        <v>557</v>
      </c>
      <c r="H44" s="18" t="s">
        <v>624</v>
      </c>
      <c r="I44" s="18" t="s">
        <v>443</v>
      </c>
      <c r="J44" s="18" t="s">
        <v>1730</v>
      </c>
    </row>
    <row r="45" spans="1:10" ht="33.950000000000003" customHeight="1">
      <c r="A45" s="17" t="s">
        <v>213</v>
      </c>
      <c r="B45" s="17" t="s">
        <v>1578</v>
      </c>
      <c r="C45" s="17" t="s">
        <v>724</v>
      </c>
      <c r="D45" s="17" t="s">
        <v>1732</v>
      </c>
      <c r="E45" s="17" t="s">
        <v>1733</v>
      </c>
      <c r="F45" s="17" t="s">
        <v>613</v>
      </c>
      <c r="G45" s="17" t="s">
        <v>613</v>
      </c>
      <c r="H45" s="17" t="s">
        <v>624</v>
      </c>
      <c r="I45" s="17" t="s">
        <v>443</v>
      </c>
      <c r="J45" s="17" t="s">
        <v>1735</v>
      </c>
    </row>
    <row r="46" spans="1:10" ht="33.950000000000003" customHeight="1">
      <c r="A46" s="18" t="s">
        <v>216</v>
      </c>
      <c r="B46" s="18" t="s">
        <v>1578</v>
      </c>
      <c r="C46" s="18" t="s">
        <v>724</v>
      </c>
      <c r="D46" s="18" t="s">
        <v>1749</v>
      </c>
      <c r="E46" s="18" t="s">
        <v>1750</v>
      </c>
      <c r="F46" s="18" t="s">
        <v>1751</v>
      </c>
      <c r="G46" s="18" t="s">
        <v>557</v>
      </c>
      <c r="H46" s="18" t="s">
        <v>624</v>
      </c>
      <c r="I46" s="18" t="s">
        <v>443</v>
      </c>
      <c r="J46" s="18" t="s">
        <v>1754</v>
      </c>
    </row>
    <row r="47" spans="1:10" ht="33.950000000000003" customHeight="1">
      <c r="A47" s="17" t="s">
        <v>217</v>
      </c>
      <c r="B47" s="17" t="s">
        <v>1578</v>
      </c>
      <c r="C47" s="17" t="s">
        <v>992</v>
      </c>
      <c r="D47" s="17" t="s">
        <v>1755</v>
      </c>
      <c r="E47" s="17" t="s">
        <v>1756</v>
      </c>
      <c r="F47" s="17" t="s">
        <v>613</v>
      </c>
      <c r="G47" s="17" t="s">
        <v>613</v>
      </c>
      <c r="H47" s="17" t="s">
        <v>537</v>
      </c>
      <c r="I47" s="17" t="s">
        <v>443</v>
      </c>
      <c r="J47" s="17" t="s">
        <v>1758</v>
      </c>
    </row>
    <row r="48" spans="1:10" ht="33.950000000000003" customHeight="1">
      <c r="A48" s="18" t="s">
        <v>220</v>
      </c>
      <c r="B48" s="18" t="s">
        <v>1578</v>
      </c>
      <c r="C48" s="18" t="s">
        <v>724</v>
      </c>
      <c r="D48" s="18" t="s">
        <v>1796</v>
      </c>
      <c r="E48" s="18" t="s">
        <v>1797</v>
      </c>
      <c r="F48" s="18" t="s">
        <v>1798</v>
      </c>
      <c r="G48" s="18" t="s">
        <v>557</v>
      </c>
      <c r="H48" s="18" t="s">
        <v>1799</v>
      </c>
      <c r="I48" s="18" t="s">
        <v>1803</v>
      </c>
      <c r="J48" s="18" t="s">
        <v>1804</v>
      </c>
    </row>
    <row r="49" spans="1:10" ht="33.950000000000003" customHeight="1">
      <c r="A49" s="17" t="s">
        <v>221</v>
      </c>
      <c r="B49" s="17" t="s">
        <v>1578</v>
      </c>
      <c r="C49" s="17" t="s">
        <v>724</v>
      </c>
      <c r="D49" s="17" t="s">
        <v>1808</v>
      </c>
      <c r="E49" s="17" t="s">
        <v>1809</v>
      </c>
      <c r="F49" s="17" t="s">
        <v>1810</v>
      </c>
      <c r="G49" s="17" t="s">
        <v>557</v>
      </c>
      <c r="H49" s="17" t="s">
        <v>558</v>
      </c>
      <c r="I49" s="17" t="s">
        <v>1816</v>
      </c>
      <c r="J49" s="17" t="s">
        <v>1817</v>
      </c>
    </row>
    <row r="50" spans="1:10" ht="33.950000000000003" customHeight="1">
      <c r="A50" s="18" t="s">
        <v>227</v>
      </c>
      <c r="B50" s="18" t="s">
        <v>1840</v>
      </c>
      <c r="C50" s="18" t="s">
        <v>724</v>
      </c>
      <c r="D50" s="18" t="s">
        <v>1875</v>
      </c>
      <c r="E50" s="18" t="s">
        <v>1876</v>
      </c>
      <c r="F50" s="18" t="s">
        <v>1877</v>
      </c>
      <c r="G50" s="18" t="s">
        <v>557</v>
      </c>
      <c r="H50" s="18" t="s">
        <v>392</v>
      </c>
      <c r="I50" s="18" t="s">
        <v>695</v>
      </c>
      <c r="J50" s="18" t="s">
        <v>1879</v>
      </c>
    </row>
    <row r="51" spans="1:10" ht="33.950000000000003" customHeight="1">
      <c r="A51" s="17" t="s">
        <v>228</v>
      </c>
      <c r="B51" s="17" t="s">
        <v>1840</v>
      </c>
      <c r="C51" s="17" t="s">
        <v>992</v>
      </c>
      <c r="D51" s="17" t="s">
        <v>1881</v>
      </c>
      <c r="E51" s="17" t="s">
        <v>1882</v>
      </c>
      <c r="F51" s="17" t="s">
        <v>613</v>
      </c>
      <c r="G51" s="17" t="s">
        <v>613</v>
      </c>
      <c r="H51" s="17" t="s">
        <v>455</v>
      </c>
      <c r="I51" s="17" t="s">
        <v>423</v>
      </c>
      <c r="J51" s="17" t="s">
        <v>1884</v>
      </c>
    </row>
    <row r="52" spans="1:10" ht="33.950000000000003" customHeight="1">
      <c r="A52" s="18" t="s">
        <v>231</v>
      </c>
      <c r="B52" s="18" t="s">
        <v>1887</v>
      </c>
      <c r="C52" s="18" t="s">
        <v>992</v>
      </c>
      <c r="D52" s="18" t="s">
        <v>1903</v>
      </c>
      <c r="E52" s="18" t="s">
        <v>1904</v>
      </c>
      <c r="F52" s="18" t="s">
        <v>613</v>
      </c>
      <c r="G52" s="18" t="s">
        <v>613</v>
      </c>
      <c r="H52" s="18" t="s">
        <v>416</v>
      </c>
      <c r="I52" s="18" t="s">
        <v>423</v>
      </c>
      <c r="J52" s="18" t="s">
        <v>1906</v>
      </c>
    </row>
    <row r="53" spans="1:10" ht="33.950000000000003" customHeight="1">
      <c r="A53" s="17" t="s">
        <v>236</v>
      </c>
      <c r="B53" s="17" t="s">
        <v>1917</v>
      </c>
      <c r="C53" s="17" t="s">
        <v>724</v>
      </c>
      <c r="D53" s="17" t="s">
        <v>1940</v>
      </c>
      <c r="E53" s="17" t="s">
        <v>774</v>
      </c>
      <c r="F53" s="17" t="s">
        <v>613</v>
      </c>
      <c r="G53" s="17" t="s">
        <v>613</v>
      </c>
      <c r="H53" s="17" t="s">
        <v>392</v>
      </c>
      <c r="I53" s="17" t="s">
        <v>1941</v>
      </c>
      <c r="J53" s="17" t="s">
        <v>1942</v>
      </c>
    </row>
    <row r="54" spans="1:10" ht="33.950000000000003" customHeight="1">
      <c r="A54" s="18" t="s">
        <v>238</v>
      </c>
      <c r="B54" s="18" t="s">
        <v>1955</v>
      </c>
      <c r="C54" s="18" t="s">
        <v>724</v>
      </c>
      <c r="D54" s="18" t="s">
        <v>1956</v>
      </c>
      <c r="E54" s="18" t="s">
        <v>1957</v>
      </c>
      <c r="F54" s="18" t="s">
        <v>1958</v>
      </c>
      <c r="G54" s="18" t="s">
        <v>613</v>
      </c>
      <c r="H54" s="18" t="s">
        <v>455</v>
      </c>
      <c r="I54" s="18" t="s">
        <v>423</v>
      </c>
      <c r="J54" s="18" t="s">
        <v>1960</v>
      </c>
    </row>
    <row r="55" spans="1:10" ht="33.950000000000003" customHeight="1">
      <c r="A55" s="17" t="s">
        <v>240</v>
      </c>
      <c r="B55" s="17" t="s">
        <v>1962</v>
      </c>
      <c r="C55" s="17" t="s">
        <v>387</v>
      </c>
      <c r="D55" s="17" t="s">
        <v>1971</v>
      </c>
      <c r="E55" s="17" t="s">
        <v>1972</v>
      </c>
      <c r="F55" s="17" t="s">
        <v>1973</v>
      </c>
      <c r="G55" s="17" t="s">
        <v>557</v>
      </c>
      <c r="H55" s="17" t="s">
        <v>499</v>
      </c>
      <c r="I55" s="17" t="s">
        <v>1975</v>
      </c>
      <c r="J55" s="17" t="s">
        <v>1976</v>
      </c>
    </row>
    <row r="56" spans="1:10" ht="33.950000000000003" customHeight="1">
      <c r="A56" s="18" t="s">
        <v>251</v>
      </c>
      <c r="B56" s="18" t="s">
        <v>1962</v>
      </c>
      <c r="C56" s="18" t="s">
        <v>387</v>
      </c>
      <c r="D56" s="18" t="s">
        <v>2061</v>
      </c>
      <c r="E56" s="18" t="s">
        <v>497</v>
      </c>
      <c r="F56" s="18" t="s">
        <v>613</v>
      </c>
      <c r="G56" s="18" t="s">
        <v>613</v>
      </c>
      <c r="H56" s="18" t="s">
        <v>499</v>
      </c>
      <c r="I56" s="18" t="s">
        <v>1975</v>
      </c>
      <c r="J56" s="18" t="s">
        <v>2062</v>
      </c>
    </row>
    <row r="57" spans="1:10" ht="33.950000000000003" customHeight="1">
      <c r="A57" s="17" t="s">
        <v>257</v>
      </c>
      <c r="B57" s="17" t="s">
        <v>1962</v>
      </c>
      <c r="C57" s="17" t="s">
        <v>387</v>
      </c>
      <c r="D57" s="17" t="s">
        <v>2103</v>
      </c>
      <c r="E57" s="17" t="s">
        <v>2104</v>
      </c>
      <c r="F57" s="17" t="s">
        <v>2105</v>
      </c>
      <c r="G57" s="17" t="s">
        <v>557</v>
      </c>
      <c r="H57" s="17" t="s">
        <v>499</v>
      </c>
      <c r="I57" s="17" t="s">
        <v>1975</v>
      </c>
      <c r="J57" s="17" t="s">
        <v>2107</v>
      </c>
    </row>
    <row r="58" spans="1:10" ht="33.950000000000003" customHeight="1">
      <c r="A58" s="18" t="s">
        <v>258</v>
      </c>
      <c r="B58" s="18" t="s">
        <v>1962</v>
      </c>
      <c r="C58" s="18" t="s">
        <v>387</v>
      </c>
      <c r="D58" s="18" t="s">
        <v>2111</v>
      </c>
      <c r="E58" s="18" t="s">
        <v>2112</v>
      </c>
      <c r="F58" s="18" t="s">
        <v>2113</v>
      </c>
      <c r="G58" s="18" t="s">
        <v>557</v>
      </c>
      <c r="H58" s="18" t="s">
        <v>392</v>
      </c>
      <c r="I58" s="18" t="s">
        <v>695</v>
      </c>
      <c r="J58" s="18" t="s">
        <v>2115</v>
      </c>
    </row>
    <row r="59" spans="1:10" ht="33.950000000000003" customHeight="1">
      <c r="A59" s="17" t="s">
        <v>260</v>
      </c>
      <c r="B59" s="17" t="s">
        <v>1962</v>
      </c>
      <c r="C59" s="17" t="s">
        <v>387</v>
      </c>
      <c r="D59" s="17" t="s">
        <v>2125</v>
      </c>
      <c r="E59" s="17" t="s">
        <v>2126</v>
      </c>
      <c r="F59" s="17" t="s">
        <v>613</v>
      </c>
      <c r="G59" s="17" t="s">
        <v>613</v>
      </c>
      <c r="H59" s="17" t="s">
        <v>499</v>
      </c>
      <c r="I59" s="17" t="s">
        <v>1975</v>
      </c>
      <c r="J59" s="17" t="s">
        <v>2127</v>
      </c>
    </row>
    <row r="60" spans="1:10" ht="33.950000000000003" customHeight="1">
      <c r="A60" s="18" t="s">
        <v>264</v>
      </c>
      <c r="B60" s="18" t="s">
        <v>1962</v>
      </c>
      <c r="C60" s="18" t="s">
        <v>387</v>
      </c>
      <c r="D60" s="18" t="s">
        <v>2153</v>
      </c>
      <c r="E60" s="18" t="s">
        <v>2154</v>
      </c>
      <c r="F60" s="18" t="s">
        <v>2155</v>
      </c>
      <c r="G60" s="18" t="s">
        <v>557</v>
      </c>
      <c r="H60" s="18" t="s">
        <v>1190</v>
      </c>
      <c r="I60" s="18" t="s">
        <v>1389</v>
      </c>
      <c r="J60" s="18" t="s">
        <v>2157</v>
      </c>
    </row>
    <row r="61" spans="1:10" ht="33.950000000000003" customHeight="1">
      <c r="A61" s="17" t="s">
        <v>269</v>
      </c>
      <c r="B61" s="17" t="s">
        <v>1962</v>
      </c>
      <c r="C61" s="17" t="s">
        <v>387</v>
      </c>
      <c r="D61" s="17" t="s">
        <v>2193</v>
      </c>
      <c r="E61" s="17" t="s">
        <v>2194</v>
      </c>
      <c r="F61" s="17" t="s">
        <v>2195</v>
      </c>
      <c r="G61" s="17" t="s">
        <v>613</v>
      </c>
      <c r="H61" s="17" t="s">
        <v>1397</v>
      </c>
      <c r="I61" s="17" t="s">
        <v>423</v>
      </c>
      <c r="J61" s="17" t="s">
        <v>2197</v>
      </c>
    </row>
    <row r="62" spans="1:10" ht="33.950000000000003" customHeight="1">
      <c r="A62" s="3" t="s">
        <v>270</v>
      </c>
      <c r="B62" s="3" t="s">
        <v>1962</v>
      </c>
      <c r="C62" s="3" t="s">
        <v>387</v>
      </c>
      <c r="D62" s="3" t="s">
        <v>2199</v>
      </c>
      <c r="E62" s="3" t="s">
        <v>2194</v>
      </c>
      <c r="F62" s="3" t="s">
        <v>613</v>
      </c>
      <c r="G62" s="3" t="s">
        <v>613</v>
      </c>
      <c r="H62" s="3" t="s">
        <v>1397</v>
      </c>
      <c r="I62" s="3" t="s">
        <v>423</v>
      </c>
      <c r="J62" s="3" t="s">
        <v>2201</v>
      </c>
    </row>
    <row r="63" spans="1:10" ht="36">
      <c r="A63" s="17" t="s">
        <v>276</v>
      </c>
      <c r="B63" s="17" t="s">
        <v>1962</v>
      </c>
      <c r="C63" s="17" t="s">
        <v>724</v>
      </c>
      <c r="D63" s="17" t="s">
        <v>2239</v>
      </c>
      <c r="E63" s="17" t="s">
        <v>2240</v>
      </c>
      <c r="F63" s="17" t="s">
        <v>2241</v>
      </c>
      <c r="G63" s="17" t="s">
        <v>557</v>
      </c>
      <c r="H63" s="17" t="s">
        <v>392</v>
      </c>
      <c r="I63" s="17" t="s">
        <v>695</v>
      </c>
      <c r="J63" s="17" t="s">
        <v>2243</v>
      </c>
    </row>
    <row r="64" spans="1:10" ht="36">
      <c r="A64" s="18" t="s">
        <v>277</v>
      </c>
      <c r="B64" s="18" t="s">
        <v>1962</v>
      </c>
      <c r="C64" s="18" t="s">
        <v>724</v>
      </c>
      <c r="D64" s="18" t="s">
        <v>2247</v>
      </c>
      <c r="E64" s="18" t="s">
        <v>2248</v>
      </c>
      <c r="F64" s="18" t="s">
        <v>613</v>
      </c>
      <c r="G64" s="18" t="s">
        <v>613</v>
      </c>
      <c r="H64" s="18" t="s">
        <v>2249</v>
      </c>
      <c r="I64" s="18" t="s">
        <v>474</v>
      </c>
      <c r="J64" s="18" t="s">
        <v>2251</v>
      </c>
    </row>
    <row r="65" spans="1:10" ht="36">
      <c r="A65" s="17" t="s">
        <v>280</v>
      </c>
      <c r="B65" s="17" t="s">
        <v>2257</v>
      </c>
      <c r="C65" s="17" t="s">
        <v>724</v>
      </c>
      <c r="D65" s="17" t="s">
        <v>2292</v>
      </c>
      <c r="E65" s="17" t="s">
        <v>2293</v>
      </c>
      <c r="F65" s="17" t="s">
        <v>2294</v>
      </c>
      <c r="G65" s="17" t="s">
        <v>557</v>
      </c>
      <c r="H65" s="17" t="s">
        <v>2295</v>
      </c>
      <c r="I65" s="17" t="s">
        <v>2299</v>
      </c>
      <c r="J65" s="17" t="s">
        <v>2300</v>
      </c>
    </row>
    <row r="66" spans="1:10" ht="48">
      <c r="A66" s="18" t="s">
        <v>281</v>
      </c>
      <c r="B66" s="18" t="s">
        <v>2257</v>
      </c>
      <c r="C66" s="18" t="s">
        <v>724</v>
      </c>
      <c r="D66" s="18" t="s">
        <v>2306</v>
      </c>
      <c r="E66" s="18" t="s">
        <v>2307</v>
      </c>
      <c r="F66" s="18" t="s">
        <v>613</v>
      </c>
      <c r="G66" s="18" t="s">
        <v>613</v>
      </c>
      <c r="H66" s="18" t="s">
        <v>2308</v>
      </c>
      <c r="I66" s="18" t="s">
        <v>2311</v>
      </c>
      <c r="J66" s="18" t="s">
        <v>2312</v>
      </c>
    </row>
    <row r="67" spans="1:10" ht="48">
      <c r="A67" s="17" t="s">
        <v>284</v>
      </c>
      <c r="B67" s="17" t="s">
        <v>2318</v>
      </c>
      <c r="C67" s="17" t="s">
        <v>724</v>
      </c>
      <c r="D67" s="17" t="s">
        <v>2333</v>
      </c>
      <c r="E67" s="17" t="s">
        <v>684</v>
      </c>
      <c r="F67" s="17" t="s">
        <v>2334</v>
      </c>
      <c r="G67" s="17" t="s">
        <v>557</v>
      </c>
      <c r="H67" s="17" t="s">
        <v>392</v>
      </c>
      <c r="I67" s="17" t="s">
        <v>695</v>
      </c>
      <c r="J67" s="17" t="s">
        <v>2336</v>
      </c>
    </row>
    <row r="68" spans="1:10" ht="36">
      <c r="A68" s="18" t="s">
        <v>291</v>
      </c>
      <c r="B68" s="18" t="s">
        <v>2338</v>
      </c>
      <c r="C68" s="18" t="s">
        <v>387</v>
      </c>
      <c r="D68" s="18" t="s">
        <v>2384</v>
      </c>
      <c r="E68" s="18" t="s">
        <v>2385</v>
      </c>
      <c r="F68" s="18" t="s">
        <v>2386</v>
      </c>
      <c r="G68" s="18" t="s">
        <v>557</v>
      </c>
      <c r="H68" s="18" t="s">
        <v>1190</v>
      </c>
      <c r="I68" s="18" t="s">
        <v>1389</v>
      </c>
      <c r="J68" s="18" t="s">
        <v>2388</v>
      </c>
    </row>
    <row r="69" spans="1:10" ht="36">
      <c r="A69" s="17" t="s">
        <v>298</v>
      </c>
      <c r="B69" s="17" t="s">
        <v>2338</v>
      </c>
      <c r="C69" s="17" t="s">
        <v>724</v>
      </c>
      <c r="D69" s="17" t="s">
        <v>2438</v>
      </c>
      <c r="E69" s="17" t="s">
        <v>2439</v>
      </c>
      <c r="F69" s="17" t="s">
        <v>2440</v>
      </c>
      <c r="G69" s="17" t="s">
        <v>557</v>
      </c>
      <c r="H69" s="17" t="s">
        <v>624</v>
      </c>
      <c r="I69" s="17" t="s">
        <v>443</v>
      </c>
      <c r="J69" s="17" t="s">
        <v>2443</v>
      </c>
    </row>
    <row r="70" spans="1:10" ht="36">
      <c r="A70" s="18" t="s">
        <v>299</v>
      </c>
      <c r="B70" s="18" t="s">
        <v>2338</v>
      </c>
      <c r="C70" s="18" t="s">
        <v>724</v>
      </c>
      <c r="D70" s="18" t="s">
        <v>2447</v>
      </c>
      <c r="E70" s="18" t="s">
        <v>1860</v>
      </c>
      <c r="F70" s="18" t="s">
        <v>2448</v>
      </c>
      <c r="G70" s="18" t="s">
        <v>557</v>
      </c>
      <c r="H70" s="18" t="s">
        <v>392</v>
      </c>
      <c r="I70" s="18" t="s">
        <v>695</v>
      </c>
      <c r="J70" s="18" t="s">
        <v>2450</v>
      </c>
    </row>
    <row r="71" spans="1:10" ht="24">
      <c r="A71" s="17" t="s">
        <v>304</v>
      </c>
      <c r="B71" s="17" t="s">
        <v>2338</v>
      </c>
      <c r="C71" s="17" t="s">
        <v>992</v>
      </c>
      <c r="D71" s="17" t="s">
        <v>2483</v>
      </c>
      <c r="E71" s="17" t="s">
        <v>2484</v>
      </c>
      <c r="F71" s="17" t="s">
        <v>2485</v>
      </c>
      <c r="G71" s="17" t="s">
        <v>557</v>
      </c>
      <c r="H71" s="17" t="s">
        <v>537</v>
      </c>
      <c r="I71" s="17" t="s">
        <v>423</v>
      </c>
      <c r="J71" s="17" t="s">
        <v>2488</v>
      </c>
    </row>
    <row r="72" spans="1:10" ht="24">
      <c r="A72" s="18" t="s">
        <v>305</v>
      </c>
      <c r="B72" s="18" t="s">
        <v>2338</v>
      </c>
      <c r="C72" s="18" t="s">
        <v>992</v>
      </c>
      <c r="D72" s="18" t="s">
        <v>2490</v>
      </c>
      <c r="E72" s="18" t="s">
        <v>2491</v>
      </c>
      <c r="F72" s="18" t="s">
        <v>613</v>
      </c>
      <c r="G72" s="18" t="s">
        <v>613</v>
      </c>
      <c r="H72" s="18" t="s">
        <v>537</v>
      </c>
      <c r="I72" s="18" t="s">
        <v>423</v>
      </c>
      <c r="J72" s="18" t="s">
        <v>2493</v>
      </c>
    </row>
    <row r="73" spans="1:10" ht="48">
      <c r="A73" s="17" t="s">
        <v>309</v>
      </c>
      <c r="B73" s="17" t="s">
        <v>2512</v>
      </c>
      <c r="C73" s="17" t="s">
        <v>387</v>
      </c>
      <c r="D73" s="17" t="s">
        <v>2521</v>
      </c>
      <c r="E73" s="17" t="s">
        <v>2522</v>
      </c>
      <c r="F73" s="17" t="s">
        <v>613</v>
      </c>
      <c r="G73" s="17" t="s">
        <v>613</v>
      </c>
      <c r="H73" s="17" t="s">
        <v>392</v>
      </c>
      <c r="I73" s="17" t="s">
        <v>1941</v>
      </c>
      <c r="J73" s="17" t="s">
        <v>2523</v>
      </c>
    </row>
    <row r="74" spans="1:10" ht="48">
      <c r="A74" s="18" t="s">
        <v>313</v>
      </c>
      <c r="B74" s="18" t="s">
        <v>2512</v>
      </c>
      <c r="C74" s="18" t="s">
        <v>387</v>
      </c>
      <c r="D74" s="18" t="s">
        <v>2555</v>
      </c>
      <c r="E74" s="18" t="s">
        <v>497</v>
      </c>
      <c r="F74" s="18" t="s">
        <v>613</v>
      </c>
      <c r="G74" s="18" t="s">
        <v>613</v>
      </c>
      <c r="H74" s="18" t="s">
        <v>499</v>
      </c>
      <c r="I74" s="18" t="s">
        <v>1975</v>
      </c>
      <c r="J74" s="18" t="s">
        <v>2556</v>
      </c>
    </row>
    <row r="75" spans="1:10" ht="48">
      <c r="A75" s="17" t="s">
        <v>320</v>
      </c>
      <c r="B75" s="17" t="s">
        <v>2512</v>
      </c>
      <c r="C75" s="17" t="s">
        <v>387</v>
      </c>
      <c r="D75" s="17" t="s">
        <v>2600</v>
      </c>
      <c r="E75" s="17" t="s">
        <v>2132</v>
      </c>
      <c r="F75" s="17" t="s">
        <v>2601</v>
      </c>
      <c r="G75" s="17" t="s">
        <v>557</v>
      </c>
      <c r="H75" s="17" t="s">
        <v>1190</v>
      </c>
      <c r="I75" s="17" t="s">
        <v>1389</v>
      </c>
      <c r="J75" s="17" t="s">
        <v>2603</v>
      </c>
    </row>
    <row r="76" spans="1:10" ht="48">
      <c r="A76" s="18" t="s">
        <v>321</v>
      </c>
      <c r="B76" s="18" t="s">
        <v>2512</v>
      </c>
      <c r="C76" s="18" t="s">
        <v>387</v>
      </c>
      <c r="D76" s="18" t="s">
        <v>2607</v>
      </c>
      <c r="E76" s="18" t="s">
        <v>2608</v>
      </c>
      <c r="F76" s="18" t="s">
        <v>613</v>
      </c>
      <c r="G76" s="18" t="s">
        <v>613</v>
      </c>
      <c r="H76" s="18" t="s">
        <v>392</v>
      </c>
      <c r="I76" s="18" t="s">
        <v>1941</v>
      </c>
      <c r="J76" s="18" t="s">
        <v>2609</v>
      </c>
    </row>
    <row r="77" spans="1:10" ht="48">
      <c r="A77" s="17" t="s">
        <v>322</v>
      </c>
      <c r="B77" s="17" t="s">
        <v>2512</v>
      </c>
      <c r="C77" s="17" t="s">
        <v>387</v>
      </c>
      <c r="D77" s="17" t="s">
        <v>2612</v>
      </c>
      <c r="E77" s="17" t="s">
        <v>2613</v>
      </c>
      <c r="F77" s="17" t="s">
        <v>2614</v>
      </c>
      <c r="G77" s="17" t="s">
        <v>557</v>
      </c>
      <c r="H77" s="17" t="s">
        <v>392</v>
      </c>
      <c r="I77" s="17" t="s">
        <v>695</v>
      </c>
      <c r="J77" s="17" t="s">
        <v>2616</v>
      </c>
    </row>
    <row r="78" spans="1:10" ht="48">
      <c r="A78" s="18" t="s">
        <v>324</v>
      </c>
      <c r="B78" s="18" t="s">
        <v>2512</v>
      </c>
      <c r="C78" s="18" t="s">
        <v>387</v>
      </c>
      <c r="D78" s="18" t="s">
        <v>2635</v>
      </c>
      <c r="E78" s="18" t="s">
        <v>2636</v>
      </c>
      <c r="F78" s="18" t="s">
        <v>2637</v>
      </c>
      <c r="G78" s="18" t="s">
        <v>557</v>
      </c>
      <c r="H78" s="18" t="s">
        <v>1190</v>
      </c>
      <c r="I78" s="18" t="s">
        <v>1389</v>
      </c>
      <c r="J78" s="18" t="s">
        <v>2639</v>
      </c>
    </row>
    <row r="79" spans="1:10" ht="48">
      <c r="A79" s="17" t="s">
        <v>326</v>
      </c>
      <c r="B79" s="17" t="s">
        <v>2512</v>
      </c>
      <c r="C79" s="17" t="s">
        <v>387</v>
      </c>
      <c r="D79" s="17" t="s">
        <v>2651</v>
      </c>
      <c r="E79" s="17" t="s">
        <v>2652</v>
      </c>
      <c r="F79" s="17" t="s">
        <v>2653</v>
      </c>
      <c r="G79" s="17" t="s">
        <v>557</v>
      </c>
      <c r="H79" s="17" t="s">
        <v>392</v>
      </c>
      <c r="I79" s="17" t="s">
        <v>695</v>
      </c>
      <c r="J79" s="17" t="s">
        <v>2655</v>
      </c>
    </row>
    <row r="80" spans="1:10" ht="48">
      <c r="A80" s="18" t="s">
        <v>327</v>
      </c>
      <c r="B80" s="18" t="s">
        <v>2512</v>
      </c>
      <c r="C80" s="18" t="s">
        <v>387</v>
      </c>
      <c r="D80" s="18" t="s">
        <v>2658</v>
      </c>
      <c r="E80" s="18" t="s">
        <v>2659</v>
      </c>
      <c r="F80" s="18" t="s">
        <v>2660</v>
      </c>
      <c r="G80" s="18" t="s">
        <v>557</v>
      </c>
      <c r="H80" s="18" t="s">
        <v>2661</v>
      </c>
      <c r="I80" s="18" t="s">
        <v>474</v>
      </c>
      <c r="J80" s="18" t="s">
        <v>2665</v>
      </c>
    </row>
    <row r="81" spans="1:10" ht="60">
      <c r="A81" s="17" t="s">
        <v>328</v>
      </c>
      <c r="B81" s="17" t="s">
        <v>2512</v>
      </c>
      <c r="C81" s="17" t="s">
        <v>387</v>
      </c>
      <c r="D81" s="17" t="s">
        <v>2669</v>
      </c>
      <c r="E81" s="17" t="s">
        <v>774</v>
      </c>
      <c r="F81" s="17" t="s">
        <v>613</v>
      </c>
      <c r="G81" s="17" t="s">
        <v>613</v>
      </c>
      <c r="H81" s="17" t="s">
        <v>392</v>
      </c>
      <c r="I81" s="17" t="s">
        <v>1941</v>
      </c>
      <c r="J81" s="17" t="s">
        <v>2670</v>
      </c>
    </row>
    <row r="82" spans="1:10" ht="24">
      <c r="A82" s="18" t="s">
        <v>329</v>
      </c>
      <c r="B82" s="18" t="s">
        <v>2512</v>
      </c>
      <c r="C82" s="18" t="s">
        <v>387</v>
      </c>
      <c r="D82" s="18" t="s">
        <v>2672</v>
      </c>
      <c r="E82" s="18" t="s">
        <v>2673</v>
      </c>
      <c r="F82" s="18" t="s">
        <v>613</v>
      </c>
      <c r="G82" s="18" t="s">
        <v>613</v>
      </c>
      <c r="H82" s="18" t="s">
        <v>537</v>
      </c>
      <c r="I82" s="18" t="s">
        <v>423</v>
      </c>
      <c r="J82" s="18" t="s">
        <v>2675</v>
      </c>
    </row>
    <row r="83" spans="1:10" ht="48">
      <c r="A83" s="17" t="s">
        <v>332</v>
      </c>
      <c r="B83" s="17" t="s">
        <v>2512</v>
      </c>
      <c r="C83" s="17" t="s">
        <v>724</v>
      </c>
      <c r="D83" s="17" t="s">
        <v>2693</v>
      </c>
      <c r="E83" s="17" t="s">
        <v>2694</v>
      </c>
      <c r="F83" s="17" t="s">
        <v>2695</v>
      </c>
      <c r="G83" s="17" t="s">
        <v>557</v>
      </c>
      <c r="H83" s="17" t="s">
        <v>392</v>
      </c>
      <c r="I83" s="17" t="s">
        <v>695</v>
      </c>
      <c r="J83" s="17" t="s">
        <v>2697</v>
      </c>
    </row>
    <row r="84" spans="1:10" ht="36">
      <c r="A84" s="3" t="s">
        <v>342</v>
      </c>
      <c r="B84" s="3" t="s">
        <v>2512</v>
      </c>
      <c r="C84" s="3" t="s">
        <v>724</v>
      </c>
      <c r="D84" s="3" t="s">
        <v>2760</v>
      </c>
      <c r="E84" s="3" t="s">
        <v>2761</v>
      </c>
      <c r="F84" s="3" t="s">
        <v>2762</v>
      </c>
      <c r="G84" s="3" t="s">
        <v>557</v>
      </c>
      <c r="H84" s="3" t="s">
        <v>392</v>
      </c>
      <c r="I84" s="3" t="s">
        <v>695</v>
      </c>
      <c r="J84" s="3" t="s">
        <v>2764</v>
      </c>
    </row>
    <row r="85" spans="1:10" ht="48">
      <c r="A85" s="18" t="s">
        <v>343</v>
      </c>
      <c r="B85" s="18" t="s">
        <v>2512</v>
      </c>
      <c r="C85" s="18" t="s">
        <v>724</v>
      </c>
      <c r="D85" s="18" t="s">
        <v>2766</v>
      </c>
      <c r="E85" s="18" t="s">
        <v>2240</v>
      </c>
      <c r="F85" s="18" t="s">
        <v>2767</v>
      </c>
      <c r="G85" s="18" t="s">
        <v>557</v>
      </c>
      <c r="H85" s="18" t="s">
        <v>392</v>
      </c>
      <c r="I85" s="18" t="s">
        <v>695</v>
      </c>
      <c r="J85" s="18" t="s">
        <v>2769</v>
      </c>
    </row>
    <row r="86" spans="1:10" ht="36">
      <c r="A86" s="18" t="s">
        <v>344</v>
      </c>
      <c r="B86" s="18" t="s">
        <v>2512</v>
      </c>
      <c r="C86" s="18" t="s">
        <v>724</v>
      </c>
      <c r="D86" s="18" t="s">
        <v>2771</v>
      </c>
      <c r="E86" s="18" t="s">
        <v>2772</v>
      </c>
      <c r="F86" s="18" t="s">
        <v>2773</v>
      </c>
      <c r="G86" s="18" t="s">
        <v>557</v>
      </c>
      <c r="H86" s="18" t="s">
        <v>392</v>
      </c>
      <c r="I86" s="18" t="s">
        <v>695</v>
      </c>
      <c r="J86" s="18" t="s">
        <v>2775</v>
      </c>
    </row>
    <row r="87" spans="1:10" ht="36">
      <c r="A87" s="18" t="s">
        <v>345</v>
      </c>
      <c r="B87" s="18" t="s">
        <v>2512</v>
      </c>
      <c r="C87" s="18" t="s">
        <v>724</v>
      </c>
      <c r="D87" s="18" t="s">
        <v>2777</v>
      </c>
      <c r="E87" s="18" t="s">
        <v>2778</v>
      </c>
      <c r="F87" s="18" t="s">
        <v>2779</v>
      </c>
      <c r="G87" s="18" t="s">
        <v>557</v>
      </c>
      <c r="H87" s="18" t="s">
        <v>392</v>
      </c>
      <c r="I87" s="18" t="s">
        <v>695</v>
      </c>
      <c r="J87" s="18" t="s">
        <v>2781</v>
      </c>
    </row>
    <row r="88" spans="1:10" ht="48">
      <c r="A88" s="18" t="s">
        <v>346</v>
      </c>
      <c r="B88" s="18" t="s">
        <v>2512</v>
      </c>
      <c r="C88" s="18" t="s">
        <v>724</v>
      </c>
      <c r="D88" s="18" t="s">
        <v>2783</v>
      </c>
      <c r="E88" s="18" t="s">
        <v>2772</v>
      </c>
      <c r="F88" s="18" t="s">
        <v>2784</v>
      </c>
      <c r="G88" s="18" t="s">
        <v>557</v>
      </c>
      <c r="H88" s="18" t="s">
        <v>392</v>
      </c>
      <c r="I88" s="18" t="s">
        <v>695</v>
      </c>
      <c r="J88" s="18" t="s">
        <v>2786</v>
      </c>
    </row>
    <row r="89" spans="1:10" ht="36">
      <c r="A89" s="3" t="s">
        <v>347</v>
      </c>
      <c r="B89" s="3" t="s">
        <v>2512</v>
      </c>
      <c r="C89" s="3" t="s">
        <v>724</v>
      </c>
      <c r="D89" s="3" t="s">
        <v>2788</v>
      </c>
      <c r="E89" s="3" t="s">
        <v>2789</v>
      </c>
      <c r="F89" s="3" t="s">
        <v>2790</v>
      </c>
      <c r="G89" s="3" t="s">
        <v>557</v>
      </c>
      <c r="H89" s="3" t="s">
        <v>392</v>
      </c>
      <c r="I89" s="3" t="s">
        <v>695</v>
      </c>
      <c r="J89" s="3" t="s">
        <v>2792</v>
      </c>
    </row>
    <row r="90" spans="1:10" ht="36">
      <c r="A90" s="18" t="s">
        <v>348</v>
      </c>
      <c r="B90" s="18" t="s">
        <v>2512</v>
      </c>
      <c r="C90" s="18" t="s">
        <v>724</v>
      </c>
      <c r="D90" s="18" t="s">
        <v>2794</v>
      </c>
      <c r="E90" s="18" t="s">
        <v>2795</v>
      </c>
      <c r="F90" s="18" t="s">
        <v>2796</v>
      </c>
      <c r="G90" s="18" t="s">
        <v>557</v>
      </c>
      <c r="H90" s="18" t="s">
        <v>548</v>
      </c>
      <c r="I90" s="18" t="s">
        <v>474</v>
      </c>
      <c r="J90" s="18" t="s">
        <v>2799</v>
      </c>
    </row>
    <row r="91" spans="1:10" ht="48">
      <c r="A91" s="18" t="s">
        <v>349</v>
      </c>
      <c r="B91" s="18" t="s">
        <v>2512</v>
      </c>
      <c r="C91" s="18" t="s">
        <v>724</v>
      </c>
      <c r="D91" s="18" t="s">
        <v>2804</v>
      </c>
      <c r="E91" s="18" t="s">
        <v>2805</v>
      </c>
      <c r="F91" s="18" t="s">
        <v>2806</v>
      </c>
      <c r="G91" s="18" t="s">
        <v>557</v>
      </c>
      <c r="H91" s="18" t="s">
        <v>2807</v>
      </c>
      <c r="I91" s="18" t="s">
        <v>474</v>
      </c>
      <c r="J91" s="18" t="s">
        <v>2812</v>
      </c>
    </row>
    <row r="92" spans="1:10" ht="36">
      <c r="A92" s="18" t="s">
        <v>351</v>
      </c>
      <c r="B92" s="18" t="s">
        <v>2512</v>
      </c>
      <c r="C92" s="18" t="s">
        <v>992</v>
      </c>
      <c r="D92" s="18" t="s">
        <v>2823</v>
      </c>
      <c r="E92" s="18" t="s">
        <v>2824</v>
      </c>
      <c r="F92" s="18" t="s">
        <v>2825</v>
      </c>
      <c r="G92" s="18" t="s">
        <v>557</v>
      </c>
      <c r="H92" s="18" t="s">
        <v>2826</v>
      </c>
      <c r="I92" s="18" t="s">
        <v>474</v>
      </c>
      <c r="J92" s="18" t="s">
        <v>2829</v>
      </c>
    </row>
    <row r="93" spans="1:10" ht="36">
      <c r="A93" s="3" t="s">
        <v>352</v>
      </c>
      <c r="B93" s="3" t="s">
        <v>2512</v>
      </c>
      <c r="C93" s="3" t="s">
        <v>992</v>
      </c>
      <c r="D93" s="3" t="s">
        <v>2833</v>
      </c>
      <c r="E93" s="3" t="s">
        <v>2795</v>
      </c>
      <c r="F93" s="3" t="s">
        <v>613</v>
      </c>
      <c r="G93" s="3" t="s">
        <v>613</v>
      </c>
      <c r="H93" s="3" t="s">
        <v>548</v>
      </c>
      <c r="I93" s="3" t="s">
        <v>474</v>
      </c>
      <c r="J93" s="3" t="s">
        <v>2835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baseColWidth="10" defaultColWidth="9" defaultRowHeight="14.25"/>
  <cols>
    <col min="1" max="1" width="28" customWidth="1"/>
    <col min="2" max="2" width="13" customWidth="1"/>
    <col min="3" max="3" width="55" customWidth="1"/>
    <col min="4" max="4" width="70" customWidth="1"/>
  </cols>
  <sheetData>
    <row r="1" spans="1:4" ht="20.25">
      <c r="A1" s="40" t="s">
        <v>4</v>
      </c>
      <c r="B1" s="40"/>
      <c r="C1" s="40"/>
      <c r="D1" s="40"/>
    </row>
    <row r="2" spans="1:4">
      <c r="A2" s="41" t="s">
        <v>5</v>
      </c>
      <c r="B2" s="41"/>
      <c r="C2" s="41"/>
      <c r="D2" s="41"/>
    </row>
    <row r="4" spans="1:4">
      <c r="A4" s="1" t="s">
        <v>6</v>
      </c>
      <c r="B4" s="1" t="s">
        <v>7</v>
      </c>
      <c r="C4" s="1" t="s">
        <v>8</v>
      </c>
      <c r="D4" s="1" t="s">
        <v>9</v>
      </c>
    </row>
    <row r="5" spans="1:4" ht="48" customHeight="1">
      <c r="A5" s="4" t="s">
        <v>10</v>
      </c>
      <c r="B5" s="4" t="s">
        <v>11</v>
      </c>
      <c r="C5" s="4" t="s">
        <v>12</v>
      </c>
      <c r="D5" s="4" t="s">
        <v>13</v>
      </c>
    </row>
    <row r="6" spans="1:4" ht="48" customHeight="1">
      <c r="A6" s="2" t="s">
        <v>14</v>
      </c>
      <c r="B6" s="2" t="s">
        <v>15</v>
      </c>
      <c r="C6" s="2" t="s">
        <v>16</v>
      </c>
      <c r="D6" s="2" t="s">
        <v>17</v>
      </c>
    </row>
    <row r="7" spans="1:4" ht="48" customHeight="1">
      <c r="A7" s="4" t="s">
        <v>18</v>
      </c>
      <c r="B7" s="4" t="s">
        <v>19</v>
      </c>
      <c r="C7" s="4" t="s">
        <v>20</v>
      </c>
      <c r="D7" s="4" t="s">
        <v>21</v>
      </c>
    </row>
    <row r="8" spans="1:4" ht="48" customHeight="1">
      <c r="A8" s="2" t="s">
        <v>22</v>
      </c>
      <c r="B8" s="2">
        <f>COUNTIF(Prospectos!J2:J267,"PRFV y plásticos")</f>
        <v>30</v>
      </c>
      <c r="C8" s="2" t="s">
        <v>2857</v>
      </c>
      <c r="D8" s="2" t="s">
        <v>2858</v>
      </c>
    </row>
    <row r="9" spans="1:4" ht="48" customHeight="1">
      <c r="A9" s="5" t="s">
        <v>23</v>
      </c>
      <c r="B9" s="5">
        <f>COUNTIF(Prospectos!J2:J288,"Maquinaria agrícola")</f>
        <v>98</v>
      </c>
      <c r="C9" s="5" t="s">
        <v>2859</v>
      </c>
      <c r="D9" s="5" t="s">
        <v>2860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baseColWidth="10" defaultColWidth="9" defaultRowHeight="14.25"/>
  <cols>
    <col min="1" max="1" width="25" customWidth="1"/>
    <col min="2" max="2" width="42" customWidth="1"/>
    <col min="3" max="3" width="24" customWidth="1"/>
    <col min="4" max="4" width="68" customWidth="1"/>
  </cols>
  <sheetData>
    <row r="1" spans="1:4" ht="20.25">
      <c r="A1" s="40" t="s">
        <v>24</v>
      </c>
      <c r="B1" s="40"/>
      <c r="C1" s="40"/>
      <c r="D1" s="40"/>
    </row>
    <row r="2" spans="1:4">
      <c r="A2" s="41" t="s">
        <v>25</v>
      </c>
      <c r="B2" s="41"/>
      <c r="C2" s="41"/>
      <c r="D2" s="41"/>
    </row>
    <row r="4" spans="1:4">
      <c r="A4" s="1" t="s">
        <v>26</v>
      </c>
      <c r="B4" s="1" t="s">
        <v>27</v>
      </c>
      <c r="C4" s="1" t="s">
        <v>28</v>
      </c>
      <c r="D4" s="1" t="s">
        <v>29</v>
      </c>
    </row>
    <row r="5" spans="1:4" ht="38.1" customHeight="1">
      <c r="A5" s="4" t="s">
        <v>2861</v>
      </c>
      <c r="B5" s="4" t="s">
        <v>2862</v>
      </c>
      <c r="C5" s="4" t="s">
        <v>2863</v>
      </c>
      <c r="D5" s="4" t="s">
        <v>2864</v>
      </c>
    </row>
    <row r="6" spans="1:4" ht="38.1" customHeight="1">
      <c r="A6" s="2" t="s">
        <v>7</v>
      </c>
      <c r="B6" s="2" t="s">
        <v>30</v>
      </c>
      <c r="C6" s="2" t="s">
        <v>31</v>
      </c>
      <c r="D6" s="2" t="s">
        <v>32</v>
      </c>
    </row>
    <row r="7" spans="1:4" ht="38.1" customHeight="1">
      <c r="A7" s="4" t="s">
        <v>33</v>
      </c>
      <c r="B7" s="4" t="s">
        <v>34</v>
      </c>
      <c r="C7" s="4" t="s">
        <v>35</v>
      </c>
      <c r="D7" s="4" t="s">
        <v>36</v>
      </c>
    </row>
    <row r="8" spans="1:4" ht="38.1" customHeight="1">
      <c r="A8" s="2" t="s">
        <v>37</v>
      </c>
      <c r="B8" s="2" t="s">
        <v>38</v>
      </c>
      <c r="C8" s="2" t="s">
        <v>35</v>
      </c>
      <c r="D8" s="2" t="s">
        <v>39</v>
      </c>
    </row>
    <row r="9" spans="1:4" ht="38.1" customHeight="1">
      <c r="A9" s="4" t="s">
        <v>40</v>
      </c>
      <c r="B9" s="4" t="s">
        <v>41</v>
      </c>
      <c r="C9" s="4" t="s">
        <v>42</v>
      </c>
      <c r="D9" s="4" t="s">
        <v>43</v>
      </c>
    </row>
    <row r="10" spans="1:4" ht="38.1" customHeight="1">
      <c r="A10" s="2" t="s">
        <v>44</v>
      </c>
      <c r="B10" s="2" t="s">
        <v>45</v>
      </c>
      <c r="C10" s="2" t="s">
        <v>46</v>
      </c>
      <c r="D10" s="2" t="s">
        <v>47</v>
      </c>
    </row>
    <row r="11" spans="1:4" ht="38.1" customHeight="1">
      <c r="A11" s="5" t="s">
        <v>59</v>
      </c>
      <c r="B11" s="5" t="s">
        <v>2865</v>
      </c>
      <c r="C11" s="5" t="s">
        <v>2866</v>
      </c>
      <c r="D11" s="5" t="s">
        <v>2867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Prospectos Resumen</vt:lpstr>
      <vt:lpstr>Prospectos</vt:lpstr>
      <vt:lpstr>Indicadores</vt:lpstr>
      <vt:lpstr>Contactos a verificar</vt:lpstr>
      <vt:lpstr>Servicios PRESOL</vt:lpstr>
      <vt:lpstr>Guía de uso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gomariz</dc:creator>
  <cp:lastModifiedBy>usuario</cp:lastModifiedBy>
  <dcterms:created xsi:type="dcterms:W3CDTF">2026-09-08T13:47:16Z</dcterms:created>
  <dcterms:modified xsi:type="dcterms:W3CDTF">2026-09-08T21:00:31Z</dcterms:modified>
</cp:coreProperties>
</file>