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53b7f609b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 Resumen" sheetId="1" r:id="Rd5897e9df1aa4708"/>
    <x:sheet xmlns:r="http://schemas.openxmlformats.org/officeDocument/2006/relationships" name="Prospectos" sheetId="2" r:id="R0044b67595f14a13"/>
    <x:sheet xmlns:r="http://schemas.openxmlformats.org/officeDocument/2006/relationships" name="Indicadores" sheetId="3" r:id="Rce531c488cfd443d"/>
    <x:sheet xmlns:r="http://schemas.openxmlformats.org/officeDocument/2006/relationships" name="Contactos a verificar" sheetId="4" r:id="R3d2751c4006d4efa"/>
    <x:sheet xmlns:r="http://schemas.openxmlformats.org/officeDocument/2006/relationships" name="Servicios PRESOL" sheetId="5" r:id="R550950aba726433e"/>
    <x:sheet xmlns:r="http://schemas.openxmlformats.org/officeDocument/2006/relationships" name="Guía de uso" sheetId="6" r:id="Rbe78bfe485d441f5"/>
  </x:sheets>
</x:workbook>
</file>

<file path=xl/sharedStrings.xml><?xml version="1.0" encoding="utf-8"?>
<x:sst xmlns:x="http://schemas.openxmlformats.org/spreadsheetml/2006/main">
  <x:si>
    <x:t xml:space="preserve">PRESOL — Indicadores Comerciales</x:t>
  </x:si>
  <x:si>
    <x:t xml:space="preserve">Lectura rápida de cobertura, prioridad y calidad de contacto. Los datos se calculan desde la hoja Prospectos.</x:t>
  </x:si>
  <x:si>
    <x:t xml:space="preserve">PRESOL — Cola de Verificación</x:t>
  </x:si>
  <x:si>
    <x:t xml:space="preserve">Vista derivada para preparar llamados/visitas. No editar aquí: registrar cambios en Prospectos.</x:t>
  </x:si>
  <x:si>
    <x:t xml:space="preserve">PRESOL — Servicios y Argumentos Comerciales</x:t>
  </x:si>
  <x:si>
    <x:t xml:space="preserve">Referencia rápida para adaptar la conversación según el tipo de prospecto.</x:t>
  </x:si>
  <x:si>
    <x:t xml:space="preserve">Servicio</x:t>
  </x:si>
  <x:si>
    <x:t xml:space="preserve">Prospectos</x:t>
  </x:si>
  <x:si>
    <x:t xml:space="preserve">Uso comercial</x:t>
  </x:si>
  <x:si>
    <x:t xml:space="preserve">Primeros a llamar</x:t>
  </x:si>
  <x:si>
    <x:t xml:space="preserve">Transporte de áridos/materiales</x:t>
  </x:si>
  <x:si>
    <x:t xml:space="preserve">100</x:t>
  </x:si>
  <x:si>
    <x:t xml:space="preserve">Canteras, corralones, hormigón, premoldeados y obras con movimiento de material.</x:t>
  </x:si>
  <x:si>
    <x:t xml:space="preserve">Hormicor, Metalúrgica Monticelli, NT Construcciones, Sinfix SAS, Suragro - Implementos Agrícolas, Vial del Centro, HORMIWORK S.A., Alpha Construcciones Industriales S.A., D &amp; M ESTRUCTURAS, Duter S.A., ESISA, ISECO Construcción</x:t>
  </x:si>
  <x:si>
    <x:t xml:space="preserve">Barquilla hidrogrúa</x:t>
  </x:si>
  <x:si>
    <x:t xml:space="preserve">43</x:t>
  </x:si>
  <x:si>
    <x:t xml:space="preserve">Cooperativas, plantas, redes y mantenimiento en altura.</x:t>
  </x:si>
  <x:si>
    <x:t xml:space="preserve">Tres Eme S.A., Oleos San José S.R.L., Charrúa Implementos Agrícolas, Atanor / Albaugh, Grupo AVO S.A., AGD — Planta de Acopio Corralito, Trisoil S.A., DIEZTREINTA S.A.S., El Álamo S.R.L. - Tancacha, Alimentos Tancacha, Agroinsumos Tancacha SRL, RG Rodolfo Grosso</x:t>
  </x:si>
  <x:si>
    <x:t xml:space="preserve">Percha para pallets</x:t>
  </x:si>
  <x:si>
    <x:t xml:space="preserve">183</x:t>
  </x:si>
  <x:si>
    <x:t xml:space="preserve">Agroinsumos, fertilizantes, alimentos, repuestos, bolsones y materiales palletizados.</x:t>
  </x:si>
  <x:si>
    <x:t xml:space="preserve">Hormicor, Metalúrgica Monticelli, Metalúrgica Novaretti, Metalúrgica Río Tercero S.A., NT Construcciones, Sinfix SAS, Suragro - Implementos Agrícolas, Tres Eme S.A., Vial del Centro, HORMIWORK S.A., Alpha Construcciones Industriales S.A., Caon - Concesionario Oficial CASE IH</x:t>
  </x:si>
  <x:si>
    <x:t xml:space="preserve">Piletas / PRFV</x:t>
  </x:si>
  <x:si>
    <x:t xml:space="preserve">Maquinaria agrícola</x:t>
  </x:si>
  <x:si>
    <x:t xml:space="preserve">PRESOL — Guía de uso de la base</x:t>
  </x:si>
  <x:si>
    <x:t xml:space="preserve">Una sola fuente de verdad: toda actualización comercial se registra en Prospectos.</x:t>
  </x:si>
  <x:si>
    <x:t xml:space="preserve">Sección</x:t>
  </x:si>
  <x:si>
    <x:t xml:space="preserve">Para qué sirve</x:t>
  </x:si>
  <x:si>
    <x:t xml:space="preserve">Qué se edita</x:t>
  </x:si>
  <x:si>
    <x:t xml:space="preserve">Regla operativa</x:t>
  </x:si>
  <x:si>
    <x:t xml:space="preserve">Base maestra y seguimiento comercial.</x:t>
  </x:si>
  <x:si>
    <x:t xml:space="preserve">Sí.</x:t>
  </x:si>
  <x:si>
    <x:t xml:space="preserve">Registrar estado, responsable, resultado, fecha, próximo paso, notas y Nota Dirección.</x:t>
  </x:si>
  <x:si>
    <x:t xml:space="preserve">Indicadores</x:t>
  </x:si>
  <x:si>
    <x:t xml:space="preserve">Cobertura por clase, corredor y ciudad.</x:t>
  </x:si>
  <x:si>
    <x:t xml:space="preserve">No editar.</x:t>
  </x:si>
  <x:si>
    <x:t xml:space="preserve">Se calcula desde Prospectos.</x:t>
  </x:si>
  <x:si>
    <x:t xml:space="preserve">Contactos a verificar</x:t>
  </x:si>
  <x:si>
    <x:t xml:space="preserve">Cola de contactos con teléfono a confirmar o relevar.</x:t>
  </x:si>
  <x:si>
    <x:t xml:space="preserve">Resolver el dato y actualizar Calidad del teléfono en Prospectos.</x:t>
  </x:si>
  <x:si>
    <x:t xml:space="preserve">Servicios PRESOL</x:t>
  </x:si>
  <x:si>
    <x:t xml:space="preserve">Referencia de servicios y argumentos.</x:t>
  </x:si>
  <x:si>
    <x:t xml:space="preserve">Solo si cambia la oferta.</x:t>
  </x:si>
  <x:si>
    <x:t xml:space="preserve">Adaptar el mensaje al rubro; no cotizar sin un traslado concreto.</x:t>
  </x:si>
  <x:si>
    <x:t xml:space="preserve">Prioridades</x:t>
  </x:si>
  <x:si>
    <x:t xml:space="preserve">Clase A = primera pasada; B = segunda; C = oportunidad puntual.</x:t>
  </x:si>
  <x:si>
    <x:t xml:space="preserve">Clase se edita en Prospectos.</x:t>
  </x:si>
  <x:si>
    <x:t xml:space="preserve">Orden recomendado: corredor → ciudad → clase → puntaje.</x:t>
  </x:si>
</x:sst>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0"/>
      <x:color rgb="FFFFFFFF"/>
      <x:name val="Carlito"/>
    </x:font>
    <x:font>
      <x:sz val="9"/>
      <x:color rgb="FF18212F"/>
      <x:name val="Carlito"/>
    </x:font>
    <x:font>
      <x:b/>
      <x:sz val="16"/>
      <x:color rgb="FFF3B61F"/>
      <x:name val="Carlito"/>
    </x:font>
    <x:font>
      <x:sz val="10"/>
      <x:color rgb="FFE7ECF2"/>
      <x:name val="Carlito"/>
    </x:font>
    <x:font>
      <x:b/>
      <x:sz val="9"/>
      <x:color rgb="FFD9E0E8"/>
      <x:name val="Carlito"/>
    </x:font>
    <x:font>
      <x:b/>
      <x:sz val="18"/>
      <x:color rgb="FF101827"/>
      <x:name val="Carlito"/>
    </x:font>
    <x:font>
      <x:b/>
      <x:sz val="10"/>
      <x:color rgb="FF101827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AF0F7"/>
      </x:patternFill>
    </x:fill>
    <x:fill>
      <x:patternFill patternType="solid">
        <x:fgColor rgb="FF101827"/>
      </x:patternFill>
    </x:fill>
    <x:fill>
      <x:patternFill patternType="solid">
        <x:fgColor rgb="FFF7F7F3"/>
      </x:patternFill>
    </x:fill>
    <x:fill>
      <x:patternFill patternType="solid">
        <x:fgColor rgb="FFF3B61F"/>
      </x:patternFill>
    </x:fill>
    <x:fill>
      <x:patternFill patternType="solid">
        <x:fgColor rgb="FFFFF6D8"/>
      </x:patternFill>
    </x:fill>
    <x:fill>
      <x:patternFill patternType="solid">
        <x:fgColor rgb="FF172033"/>
      </x:patternFill>
    </x:fill>
    <x:fill>
      <x:patternFill patternType="solid">
        <x:fgColor rgb="FFFFFFFF"/>
      </x:patternFill>
    </x:fill>
    <x:fill>
      <x:patternFill patternType="solid">
        <x:fgColor rgb="FFEAF0F7"/>
      </x:patternFill>
    </x:fill>
    <x:fill>
      <x:patternFill patternType="solid">
        <x:fgColor rgb="FF172033"/>
      </x:patternFill>
    </x:fill>
    <x:fill>
      <x:patternFill patternType="solid">
        <x:fgColor rgb="FFFFF6D8"/>
      </x:patternFill>
    </x:fill>
    <x:fill>
      <x:patternFill patternType="solid">
        <x:fgColor rgb="FFEAF0F7"/>
      </x:patternFill>
    </x:fill>
    <x:fill>
      <x:patternFill patternType="solid">
        <x:fgColor rgb="FFF3B61F"/>
      </x:patternFill>
    </x:fill>
    <x:fill>
      <x:patternFill patternType="solid">
        <x:fgColor rgb="FF101827"/>
      </x:patternFill>
    </x:fill>
    <x:fill>
      <x:patternFill patternType="solid">
        <x:fgColor rgb="FF172033"/>
      </x:patternFill>
    </x:fill>
    <x:fill>
      <x:patternFill patternType="solid">
        <x:fgColor rgb="FFFFF6D8"/>
      </x:patternFill>
    </x:fill>
    <x:fill>
      <x:patternFill patternType="solid">
        <x:fgColor rgb="FFF3B61F"/>
      </x:patternFill>
    </x:fill>
    <x:fill>
      <x:patternFill patternType="solid">
        <x:fgColor rgb="FF172033"/>
      </x:patternFill>
    </x:fill>
    <x:fill>
      <x:patternFill patternType="solid">
        <x:fgColor rgb="FFFFF6D8"/>
      </x:patternFill>
    </x:fill>
    <x:fill>
      <x:patternFill patternType="solid">
        <x:fgColor rgb="FFF3B61F"/>
      </x:patternFill>
    </x:fill>
    <x:fill>
      <x:patternFill patternType="solid">
        <x:fgColor rgb="FF101827"/>
      </x:patternFill>
    </x:fill>
    <x:fill>
      <x:patternFill patternType="solid">
        <x:fgColor rgb="FF172033"/>
      </x:patternFill>
    </x:fill>
    <x:fill>
      <x:patternFill patternType="solid">
        <x:fgColor rgb="FFF7F7F3"/>
      </x:patternFill>
    </x:fill>
    <x:fill>
      <x:patternFill patternType="solid">
        <x:fgColor rgb="FFFFF6D8"/>
      </x:patternFill>
    </x:fill>
    <x:fill>
      <x:patternFill patternType="solid">
        <x:fgColor rgb="FFEEF3F8"/>
      </x:patternFill>
    </x:fill>
  </x:fills>
  <x:borders count="14">
    <x:border/>
    <x:border>
      <x:bottom style="thin">
        <x:color rgb="FFF3B61F"/>
      </x:bottom>
    </x:border>
    <x:border>
      <x:bottom style="hair">
        <x:color rgb="FFE4E8EE"/>
      </x:bottom>
    </x:border>
    <x:border>
      <x:top style="medium">
        <x:color rgb="FFF3B61F"/>
      </x:top>
      <x:bottom style="hair">
        <x:color rgb="FFE4E8EE"/>
      </x:bottom>
    </x:border>
    <x:border>
      <x:top style="thin">
        <x:color rgb="FF93A4B8"/>
      </x:top>
      <x:bottom style="hair">
        <x:color rgb="FFE4E8EE"/>
      </x:bottom>
    </x:border>
    <x:border>
      <x:bottom style="medium">
        <x:color rgb="FFF3B61F"/>
      </x:bottom>
    </x:border>
    <x:border>
      <x:bottom style="thin">
        <x:color rgb="FF101827"/>
      </x:bottom>
    </x:border>
    <x:border/>
    <x:border>
      <x:bottom style="thin">
        <x:color rgb="FFF3B61F"/>
      </x:bottom>
    </x:border>
    <x:border>
      <x:bottom style="hair">
        <x:color rgb="FFE4E8EE"/>
      </x:bottom>
    </x:border>
    <x:border>
      <x:top style="medium">
        <x:color rgb="FFF3B61F"/>
      </x:top>
      <x:bottom style="hair">
        <x:color rgb="FFE4E8EE"/>
      </x:bottom>
    </x:border>
    <x:border>
      <x:top style="thin">
        <x:color rgb="FF93A4B8"/>
      </x:top>
      <x:bottom style="hair">
        <x:color rgb="FFE4E8EE"/>
      </x:bottom>
    </x:border>
    <x:border>
      <x:bottom style="thin">
        <x:color rgb="FF101827"/>
      </x:bottom>
    </x:border>
    <x:border>
      <x:bottom style="medium">
        <x:color rgb="FFF3B61F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9" fontId="2" fillId="0" borderId="0" xfId="0" applyNumberFormat="1" applyFont="1" applyFill="1" applyBorder="1" applyAlignment="1">
      <x:alignment vertical="top" wrapText="1"/>
    </x:xf>
    <x:xf numFmtId="9" fontId="2" fillId="0" borderId="2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Alignment="1">
      <x:alignment vertical="top" wrapText="1"/>
    </x:xf>
    <x:xf numFmtId="0" fontId="2" fillId="7" borderId="2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2" fillId="9" borderId="2" xfId="0" applyNumberFormat="1" applyFont="1" applyFill="1" applyBorder="1" applyAlignment="1">
      <x:alignment vertical="top" wrapText="1"/>
    </x:xf>
    <x:xf numFmtId="0" fontId="2" fillId="10" borderId="2" xfId="0" applyNumberFormat="1" applyFont="1" applyFill="1" applyBorder="1" applyAlignment="1">
      <x:alignment vertical="top" wrapText="1"/>
    </x:xf>
    <x:xf numFmtId="9" fontId="2" fillId="9" borderId="2" xfId="0" applyNumberFormat="1" applyFont="1" applyFill="1" applyBorder="1" applyAlignment="1">
      <x:alignment vertical="top" wrapText="1"/>
    </x:xf>
    <x:xf numFmtId="9" fontId="2" fillId="10" borderId="2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5" borderId="5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/>
    <x:xf numFmtId="0" fontId="1" fillId="2" borderId="8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9" fontId="2" fillId="0" borderId="7" xfId="0" applyNumberFormat="1" applyFont="1" applyFill="1" applyBorder="1" applyAlignment="1">
      <x:alignment vertical="top" wrapText="1"/>
    </x:xf>
    <x:xf numFmtId="9" fontId="2" fillId="0" borderId="9" xfId="0" applyNumberFormat="1" applyFont="1" applyFill="1" applyBorder="1" applyAlignment="1">
      <x:alignment vertical="top" wrapText="1"/>
    </x:xf>
    <x:xf numFmtId="0" fontId="7" fillId="6" borderId="12" xfId="0" applyNumberFormat="1" applyFont="1" applyFill="1" applyBorder="1" applyAlignment="1">
      <x:alignment horizontal="center" vertical="center" wrapText="1"/>
    </x:xf>
    <x:xf numFmtId="0" fontId="2" fillId="7" borderId="7" xfId="0" applyNumberFormat="1" applyFont="1" applyFill="1" applyBorder="1" applyAlignment="1">
      <x:alignment vertical="top" wrapText="1"/>
    </x:xf>
    <x:xf numFmtId="0" fontId="2" fillId="7" borderId="9" xfId="0" applyNumberFormat="1" applyFont="1" applyFill="1" applyBorder="1" applyAlignment="1">
      <x:alignment vertical="top" wrapText="1"/>
    </x:xf>
    <x:xf numFmtId="0" fontId="1" fillId="7" borderId="8" xfId="0" applyNumberFormat="1" applyFont="1" applyFill="1" applyBorder="1" applyAlignment="1">
      <x:alignment horizontal="center" vertical="center" wrapText="1"/>
    </x:xf>
    <x:xf numFmtId="0" fontId="2" fillId="9" borderId="9" xfId="0" applyNumberFormat="1" applyFont="1" applyFill="1" applyBorder="1" applyAlignment="1">
      <x:alignment vertical="top" wrapText="1"/>
    </x:xf>
    <x:xf numFmtId="9" fontId="2" fillId="9" borderId="9" xfId="0" applyNumberFormat="1" applyFont="1" applyFill="1" applyBorder="1" applyAlignment="1">
      <x:alignment vertical="top" wrapText="1"/>
    </x:xf>
    <x:xf numFmtId="9" fontId="2" fillId="3" borderId="9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5" fillId="2" borderId="7" xfId="0" applyNumberFormat="1" applyFont="1" applyFill="1" applyBorder="1" applyAlignment="1">
      <x:alignment horizontal="center" vertical="center"/>
    </x:xf>
    <x:xf numFmtId="0" fontId="6" fillId="5" borderId="13" xfId="0" applyNumberFormat="1" applyFont="1" applyFill="1" applyBorder="1" applyAlignment="1">
      <x:alignment horizontal="center" vertical="center"/>
    </x:xf>
    <x:xf numFmtId="0" fontId="1" fillId="11" borderId="1" xfId="0" applyNumberFormat="1" applyFont="1" applyFill="1" applyBorder="1" applyAlignment="1">
      <x:alignment horizontal="center" vertical="center" wrapText="1"/>
    </x:xf>
    <x:xf numFmtId="0" fontId="1" fillId="11" borderId="8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7" xfId="0" applyNumberFormat="1" applyFont="1" applyFill="1" applyBorder="1"/>
    <x:xf numFmtId="0" fontId="2" fillId="0" borderId="9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top" wrapText="1"/>
    </x:xf>
    <x:xf numFmtId="0" fontId="2" fillId="12" borderId="3" xfId="0" applyNumberFormat="1" applyFont="1" applyFill="1" applyBorder="1" applyAlignment="1">
      <x:alignment vertical="top" wrapText="1"/>
    </x:xf>
    <x:xf numFmtId="0" fontId="2" fillId="12" borderId="4" xfId="0" applyNumberFormat="1" applyFont="1" applyFill="1" applyBorder="1" applyAlignment="1">
      <x:alignment vertical="top" wrapText="1"/>
    </x:xf>
    <x:xf numFmtId="0" fontId="2" fillId="12" borderId="2" xfId="0" applyNumberFormat="1" applyFont="1" applyFill="1" applyBorder="1" applyAlignment="1">
      <x:alignment vertical="top" wrapText="1"/>
    </x:xf>
    <x:xf numFmtId="0" fontId="2" fillId="12" borderId="7" xfId="0" applyNumberFormat="1" applyFont="1" applyFill="1" applyBorder="1" applyAlignment="1">
      <x:alignment vertical="top" wrapText="1"/>
    </x:xf>
    <x:xf numFmtId="0" fontId="2" fillId="12" borderId="10" xfId="0" applyNumberFormat="1" applyFont="1" applyFill="1" applyBorder="1" applyAlignment="1">
      <x:alignment vertical="top" wrapText="1"/>
    </x:xf>
    <x:xf numFmtId="0" fontId="2" fillId="12" borderId="11" xfId="0" applyNumberFormat="1" applyFont="1" applyFill="1" applyBorder="1" applyAlignment="1">
      <x:alignment vertical="top" wrapText="1"/>
    </x:xf>
    <x:xf numFmtId="0" fontId="2" fillId="12" borderId="9" xfId="0" applyNumberFormat="1" applyFont="1" applyFill="1" applyBorder="1" applyAlignment="1">
      <x:alignment vertical="top" wrapText="1"/>
    </x:xf>
    <x:xf numFmtId="0" fontId="2" fillId="13" borderId="0" xfId="0" applyNumberFormat="1" applyFont="1" applyFill="1" applyBorder="1" applyAlignment="1">
      <x:alignment vertical="top" wrapText="1"/>
    </x:xf>
    <x:xf numFmtId="0" fontId="2" fillId="13" borderId="7" xfId="0" applyNumberFormat="1" applyFont="1" applyFill="1" applyBorder="1" applyAlignment="1">
      <x:alignment vertical="top" wrapText="1"/>
    </x:xf>
    <x:xf numFmtId="0" fontId="2" fillId="13" borderId="4" xfId="0" applyNumberFormat="1" applyFont="1" applyFill="1" applyBorder="1" applyAlignment="1">
      <x:alignment vertical="top" wrapText="1"/>
    </x:xf>
    <x:xf numFmtId="0" fontId="2" fillId="13" borderId="11" xfId="0" applyNumberFormat="1" applyFont="1" applyFill="1" applyBorder="1" applyAlignment="1">
      <x:alignment vertical="top" wrapText="1"/>
    </x:xf>
    <x:xf numFmtId="0" fontId="2" fillId="13" borderId="3" xfId="0" applyNumberFormat="1" applyFont="1" applyFill="1" applyBorder="1" applyAlignment="1">
      <x:alignment vertical="top" wrapText="1"/>
    </x:xf>
    <x:xf numFmtId="0" fontId="2" fillId="13" borderId="10" xfId="0" applyNumberFormat="1" applyFont="1" applyFill="1" applyBorder="1" applyAlignment="1">
      <x:alignment vertical="top" wrapText="1"/>
    </x:xf>
    <x:xf numFmtId="0" fontId="2" fillId="13" borderId="2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7" fillId="11" borderId="6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6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/>
    <x:xf numFmtId="0" fontId="1" fillId="11" borderId="1" xfId="0" applyNumberFormat="1" applyFont="1" applyFill="1" applyBorder="1"/>
    <x:xf numFmtId="0" fontId="1" fillId="11" borderId="1" xfId="0" applyNumberFormat="1" applyFont="1" applyFill="1" applyBorder="1" applyAlignment="1">
      <x:alignment wrapText="1"/>
    </x:xf>
    <x:xf numFmtId="0" fontId="1" fillId="11" borderId="1" xfId="0" applyNumberFormat="1" applyFont="1" applyFill="1" applyBorder="1" applyAlignment="1">
      <x:alignment horizontal="center" wrapText="1"/>
    </x:xf>
    <x:xf numFmtId="0" fontId="7" fillId="11" borderId="12" xfId="0" applyNumberFormat="1" applyFont="1" applyFill="1" applyBorder="1" applyAlignment="1">
      <x:alignment horizontal="center" vertical="center" wrapText="1"/>
    </x:xf>
    <x:xf numFmtId="0" fontId="0" fillId="11" borderId="7" xfId="0" applyNumberFormat="1" applyFont="1" applyFill="1" applyBorder="1"/>
    <x:xf numFmtId="0" fontId="1" fillId="11" borderId="12" xfId="0" applyNumberFormat="1" applyFont="1" applyFill="1" applyBorder="1" applyAlignment="1">
      <x:alignment horizontal="center" vertical="center" wrapText="1"/>
    </x:xf>
    <x:xf numFmtId="0" fontId="1" fillId="11" borderId="7" xfId="0" applyNumberFormat="1" applyFont="1" applyFill="1" applyBorder="1"/>
    <x:xf numFmtId="0" fontId="1" fillId="11" borderId="8" xfId="0" applyNumberFormat="1" applyFont="1" applyFill="1" applyBorder="1"/>
    <x:xf numFmtId="0" fontId="1" fillId="11" borderId="8" xfId="0" applyNumberFormat="1" applyFont="1" applyFill="1" applyBorder="1" applyAlignment="1">
      <x:alignment wrapText="1"/>
    </x:xf>
    <x:xf numFmtId="0" fontId="1" fillId="11" borderId="8" xfId="0" applyNumberFormat="1" applyFont="1" applyFill="1" applyBorder="1" applyAlignment="1">
      <x:alignment horizontal="center" wrapText="1"/>
    </x:xf>
    <x:xf numFmtId="0" fontId="1" fillId="14" borderId="1" xfId="0" applyNumberFormat="1" applyFont="1" applyFill="1" applyBorder="1" applyAlignment="1">
      <x:alignment horizontal="center" vertical="center" wrapText="1"/>
    </x:xf>
    <x:xf numFmtId="0" fontId="7" fillId="14" borderId="1" xfId="0" applyNumberFormat="1" applyFont="1" applyFill="1" applyBorder="1" applyAlignment="1">
      <x:alignment horizontal="center" vertical="center" wrapText="1"/>
    </x:xf>
    <x:xf numFmtId="0" fontId="7" fillId="14" borderId="6" xfId="0" applyNumberFormat="1" applyFont="1" applyFill="1" applyBorder="1" applyAlignment="1">
      <x:alignment horizontal="center" vertical="center" wrapText="1"/>
    </x:xf>
    <x:xf numFmtId="0" fontId="1" fillId="14" borderId="8" xfId="0" applyNumberFormat="1" applyFont="1" applyFill="1" applyBorder="1" applyAlignment="1">
      <x:alignment horizontal="center" vertical="center" wrapText="1"/>
    </x:xf>
    <x:xf numFmtId="0" fontId="7" fillId="14" borderId="8" xfId="0" applyNumberFormat="1" applyFont="1" applyFill="1" applyBorder="1" applyAlignment="1">
      <x:alignment horizontal="center" vertical="center" wrapText="1"/>
    </x:xf>
    <x:xf numFmtId="0" fontId="7" fillId="14" borderId="12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0" fillId="15" borderId="7" xfId="0" applyNumberFormat="1" applyFont="1" applyFill="1" applyBorder="1"/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2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2" xfId="0" applyNumberFormat="1" applyFont="1" applyFill="1" applyBorder="1" applyAlignment="1">
      <x:alignment wrapText="1"/>
    </x:xf>
    <x:xf numFmtId="0" fontId="0" fillId="12" borderId="7" xfId="0" applyNumberFormat="1" applyFont="1" applyFill="1" applyBorder="1"/>
    <x:xf numFmtId="0" fontId="2" fillId="12" borderId="7" xfId="0" applyNumberFormat="1" applyFont="1" applyFill="1" applyBorder="1"/>
    <x:xf numFmtId="0" fontId="2" fillId="12" borderId="9" xfId="0" applyNumberFormat="1" applyFont="1" applyFill="1" applyBorder="1"/>
    <x:xf numFmtId="0" fontId="2" fillId="12" borderId="7" xfId="0" applyNumberFormat="1" applyFont="1" applyFill="1" applyBorder="1" applyAlignment="1">
      <x:alignment wrapText="1"/>
    </x:xf>
    <x:xf numFmtId="0" fontId="2" fillId="12" borderId="9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7" xfId="0" applyNumberFormat="1" applyFont="1" applyFill="1" applyBorder="1" applyAlignment="1">
      <x:alignment vertical="top" wrapText="1"/>
    </x:xf>
    <x:xf numFmtId="200" fontId="2" fillId="0" borderId="9" xfId="0" applyNumberFormat="1" applyFont="1" applyFill="1" applyBorder="1" applyAlignment="1">
      <x:alignment vertical="top" wrapText="1"/>
    </x:xf>
    <x:xf numFmtId="200" fontId="2" fillId="9" borderId="2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200" fontId="2" fillId="9" borderId="9" xfId="0" applyNumberFormat="1" applyFont="1" applyFill="1" applyBorder="1" applyAlignment="1">
      <x:alignment vertical="top" wrapText="1"/>
    </x:xf>
    <x:xf numFmtId="200" fontId="2" fillId="3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9" fontId="2" fillId="3" borderId="2" xfId="0" applyNumberFormat="1" applyFont="1" applyFill="1" applyBorder="1" applyAlignment="1">
      <x:alignment vertical="top" wrapText="1"/>
    </x:xf>
    <x:xf numFmtId="0" fontId="2" fillId="7" borderId="3" xfId="0" applyNumberFormat="1" applyFont="1" applyFill="1" applyBorder="1" applyAlignment="1">
      <x:alignment vertical="top" wrapText="1"/>
    </x:xf>
    <x:xf numFmtId="0" fontId="2" fillId="7" borderId="4" xfId="0" applyNumberFormat="1" applyFont="1" applyFill="1" applyBorder="1" applyAlignment="1">
      <x:alignment vertical="top" wrapText="1"/>
    </x:xf>
    <x:xf numFmtId="0" fontId="7" fillId="2" borderId="6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2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wrapText="1"/>
    </x:xf>
    <x:xf numFmtId="0" fontId="1" fillId="16" borderId="1" xfId="0" applyNumberFormat="1" applyFont="1" applyFill="1" applyBorder="1" applyAlignment="1">
      <x:alignment horizontal="center" vertical="center" wrapText="1"/>
    </x:xf>
    <x:xf numFmtId="0" fontId="2" fillId="3" xfId="0" applyNumberFormat="1" applyFont="1" applyFill="1" applyBorder="0" applyAlignment="1">
      <x:alignment vertical="top" wrapText="1"/>
    </x:xf>
    <x:xf numFmtId="0" fontId="2" fillId="0" xfId="0" applyNumberFormat="1" applyFont="1" applyFill="1" applyBorder="0" applyAlignment="1">
      <x:alignment vertical="top" wrapText="1"/>
    </x:xf>
    <x:xf numFmtId="0" fontId="2" fillId="7" xfId="0" applyNumberFormat="1" applyFont="1" applyFill="1" applyBorder="0" applyAlignment="1">
      <x:alignment vertical="top" wrapText="1"/>
    </x:xf>
    <x:xf numFmtId="0" fontId="2" fillId="0" xfId="0" applyNumberFormat="1" applyFont="1" applyFill="1" applyBorder="0"/>
    <x:xf numFmtId="0" fontId="2" fillId="0" xfId="0" applyNumberFormat="1" applyFont="1" applyFill="1" applyBorder="0" applyAlignment="1">
      <x:alignment wrapText="1"/>
    </x:xf>
    <x:xf numFmtId="0" fontId="2" fillId="17" xfId="0" applyNumberFormat="1" applyFont="1" applyFill="1" applyBorder="0" applyAlignment="1">
      <x:alignment vertical="top" wrapText="1"/>
    </x:xf>
    <x:xf numFmtId="0" fontId="2" fillId="17" borderId="3" xfId="0" applyNumberFormat="1" applyFont="1" applyFill="1" applyBorder="1" applyAlignment="1">
      <x:alignment vertical="top" wrapText="1"/>
    </x:xf>
    <x:xf numFmtId="0" fontId="2" fillId="17" borderId="4" xfId="0" applyNumberFormat="1" applyFont="1" applyFill="1" applyBorder="1" applyAlignment="1">
      <x:alignment vertical="top" wrapText="1"/>
    </x:xf>
    <x:xf numFmtId="0" fontId="2" fillId="17" borderId="2" xfId="0" applyNumberFormat="1" applyFont="1" applyFill="1" applyBorder="1" applyAlignment="1">
      <x:alignment vertical="top" wrapText="1"/>
    </x:xf>
    <x:xf numFmtId="0" fontId="7" fillId="16" borderId="6" xfId="0" applyNumberFormat="1" applyFont="1" applyFill="1" applyBorder="1" applyAlignment="1">
      <x:alignment horizontal="center" vertical="center" wrapText="1"/>
    </x:xf>
    <x:xf numFmtId="0" fontId="1" fillId="16" borderId="6" xfId="0" applyNumberFormat="1" applyFont="1" applyFill="1" applyBorder="1" applyAlignment="1">
      <x:alignment horizontal="center" vertical="center" wrapText="1"/>
    </x:xf>
    <x:xf numFmtId="0" fontId="1" fillId="18" borderId="1" xfId="0" applyNumberFormat="1" applyFont="1" applyFill="1" applyBorder="1" applyAlignment="1">
      <x:alignment horizontal="center" vertical="center" wrapText="1"/>
    </x:xf>
    <x:xf numFmtId="0" fontId="7" fillId="18" borderId="1" xfId="0" applyNumberFormat="1" applyFont="1" applyFill="1" applyBorder="1" applyAlignment="1">
      <x:alignment horizontal="center" vertical="center" wrapText="1"/>
    </x:xf>
    <x:xf numFmtId="0" fontId="2" fillId="17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xfId="0" applyNumberFormat="1" applyFont="1" applyFill="1" applyBorder="0"/>
    <x:xf numFmtId="0" fontId="2" fillId="17" borderId="2" xfId="0" applyNumberFormat="1" applyFont="1" applyFill="1" applyBorder="1"/>
    <x:xf numFmtId="0" fontId="2" fillId="17" xfId="0" applyNumberFormat="1" applyFont="1" applyFill="1" applyBorder="0" applyAlignment="1">
      <x:alignment wrapText="1"/>
    </x:xf>
    <x:xf numFmtId="0" fontId="2" fillId="17" borderId="2" xfId="0" applyNumberFormat="1" applyFont="1" applyFill="1" applyBorder="1" applyAlignment="1">
      <x:alignment wrapText="1"/>
    </x:xf>
    <x:xf numFmtId="0" fontId="2" fillId="7" xfId="0" applyNumberFormat="1" applyFont="1" applyFill="1" applyBorder="0"/>
    <x:xf numFmtId="0" fontId="2" fillId="7" xfId="0" applyNumberFormat="1" applyFont="1" applyFill="1" applyBorder="0" applyAlignment="1">
      <x:alignment wrapText="1"/>
    </x:xf>
    <x:xf numFmtId="0" fontId="1" fillId="19" borderId="1" xfId="0" applyNumberFormat="1" applyFont="1" applyFill="1" applyBorder="1" applyAlignment="1">
      <x:alignment horizontal="center" vertical="center" wrapText="1"/>
    </x:xf>
    <x:xf numFmtId="0" fontId="2" fillId="20" xfId="0" applyNumberFormat="1" applyFont="1" applyFill="1" applyBorder="0" applyAlignment="1">
      <x:alignment vertical="top" wrapText="1"/>
    </x:xf>
    <x:xf numFmtId="0" fontId="2" fillId="20" borderId="3" xfId="0" applyNumberFormat="1" applyFont="1" applyFill="1" applyBorder="1" applyAlignment="1">
      <x:alignment vertical="top" wrapText="1"/>
    </x:xf>
    <x:xf numFmtId="0" fontId="2" fillId="20" borderId="4" xfId="0" applyNumberFormat="1" applyFont="1" applyFill="1" applyBorder="1" applyAlignment="1">
      <x:alignment vertical="top" wrapText="1"/>
    </x:xf>
    <x:xf numFmtId="0" fontId="2" fillId="20" borderId="2" xfId="0" applyNumberFormat="1" applyFont="1" applyFill="1" applyBorder="1" applyAlignment="1">
      <x:alignment vertical="top" wrapText="1"/>
    </x:xf>
    <x:xf numFmtId="0" fontId="7" fillId="19" borderId="1" xfId="0" applyNumberFormat="1" applyFont="1" applyFill="1" applyBorder="1" applyAlignment="1">
      <x:alignment horizontal="center" vertical="center" wrapText="1"/>
    </x:xf>
    <x:xf numFmtId="0" fontId="1" fillId="21" borderId="1" xfId="0" applyNumberFormat="1" applyFont="1" applyFill="1" applyBorder="1" applyAlignment="1">
      <x:alignment horizontal="center" vertical="center" wrapText="1"/>
    </x:xf>
    <x:xf numFmtId="0" fontId="7" fillId="21" borderId="1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xfId="0" applyNumberFormat="1" applyFont="1" applyFill="1" applyBorder="0"/>
    <x:xf numFmtId="0" fontId="2" fillId="20" borderId="2" xfId="0" applyNumberFormat="1" applyFont="1" applyFill="1" applyBorder="1"/>
    <x:xf numFmtId="0" fontId="2" fillId="20" xfId="0" applyNumberFormat="1" applyFont="1" applyFill="1" applyBorder="0" applyAlignment="1">
      <x:alignment wrapText="1"/>
    </x:xf>
    <x:xf numFmtId="0" fontId="2" fillId="20" borderId="2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3" fillId="22" borderId="0" xfId="0" applyNumberFormat="1" applyFont="1" applyFill="1" applyBorder="1" applyAlignment="1">
      <x:alignment vertical="center"/>
    </x:xf>
    <x:xf numFmtId="0" fontId="3" fillId="22" borderId="0" xfId="0" applyNumberFormat="1" applyFont="1" applyFill="1" applyBorder="1" applyAlignment="1">
      <x:alignment horizontal="center" vertical="center"/>
    </x:xf>
    <x:xf numFmtId="0" fontId="4" fillId="22" borderId="0" xfId="0" applyNumberFormat="1" applyFont="1" applyFill="1" applyBorder="1" applyAlignment="1">
      <x:alignment vertical="center"/>
    </x:xf>
    <x:xf numFmtId="0" fontId="4" fillId="22" borderId="0" xfId="0" applyNumberFormat="1" applyFont="1" applyFill="1" applyBorder="1" applyAlignment="1">
      <x:alignment horizontal="center" vertical="center"/>
    </x:xf>
    <x:xf numFmtId="0" fontId="5" fillId="23" borderId="0" xfId="0" applyNumberFormat="1" applyFont="1" applyFill="1" applyBorder="1" applyAlignment="1">
      <x:alignment horizontal="center" vertical="center"/>
    </x:xf>
    <x:xf numFmtId="0" fontId="6" fillId="24" borderId="5" xfId="0" applyNumberFormat="1" applyFont="1" applyFill="1" applyBorder="1" applyAlignment="1">
      <x:alignment horizontal="center" vertical="center"/>
    </x:xf>
    <x:xf numFmtId="0" fontId="1" fillId="23" borderId="1" xfId="0" applyNumberFormat="1" applyFont="1" applyFill="1" applyBorder="1" applyAlignment="1">
      <x:alignment horizontal="center" vertical="center" wrapText="1"/>
    </x:xf>
    <x:xf numFmtId="0" fontId="2" fillId="25" borderId="2" xfId="0" applyNumberFormat="1" applyFont="1" applyFill="1" applyBorder="1" applyAlignment="1">
      <x:alignment vertical="top" wrapText="1"/>
    </x:xf>
    <x:xf numFmtId="0" fontId="2" fillId="25" borderId="3" xfId="0" applyNumberFormat="1" applyFont="1" applyFill="1" applyBorder="1" applyAlignment="1">
      <x:alignment vertical="top" wrapText="1"/>
    </x:xf>
    <x:xf numFmtId="0" fontId="2" fillId="25" borderId="4" xfId="0" applyNumberFormat="1" applyFont="1" applyFill="1" applyBorder="1" applyAlignment="1">
      <x:alignment vertical="top" wrapText="1"/>
    </x:xf>
    <x:xf numFmtId="0" fontId="2" fillId="25" xfId="0" applyNumberFormat="1" applyFont="1" applyFill="1" applyBorder="0" applyAlignment="1">
      <x:alignment vertical="top" wrapText="1"/>
    </x:xf>
    <x:xf numFmtId="0" fontId="2" fillId="26" borderId="2" xfId="0" applyNumberFormat="1" applyFont="1" applyFill="1" applyBorder="1" applyAlignment="1">
      <x:alignment vertical="top" wrapText="1"/>
    </x:xf>
    <x:xf numFmtId="0" fontId="2" fillId="26" borderId="4" xfId="0" applyNumberFormat="1" applyFont="1" applyFill="1" applyBorder="1" applyAlignment="1">
      <x:alignment vertical="top" wrapText="1"/>
    </x:xf>
    <x:xf numFmtId="0" fontId="2" fillId="26" borderId="3" xfId="0" applyNumberFormat="1" applyFont="1" applyFill="1" applyBorder="1" applyAlignment="1">
      <x:alignment vertical="top" wrapText="1"/>
    </x:xf>
    <x:xf numFmtId="0" fontId="2" fillId="26" xfId="0" applyNumberFormat="1" applyFont="1" applyFill="1" applyBorder="0" applyAlignment="1">
      <x:alignment vertical="top" wrapText="1"/>
    </x:xf>
  </x:cellXfs>
  <x:cellStyles count="1">
    <x:cellStyle name="Normal" xfId="0"/>
  </x:cellStyles>
  <x:dxfs count="32">
    <x:dxf>
      <x:font>
        <x:b/>
        <x:color rgb="FF176B3A"/>
      </x:font>
      <x:fill>
        <x:patternFill>
          <x:bgColor rgb="FFDDF4E4"/>
        </x:patternFill>
      </x:fill>
    </x:dxf>
    <x:dxf>
      <x:font>
        <x:b/>
        <x:color rgb="FF8A5A00"/>
      </x:font>
      <x:fill>
        <x:patternFill>
          <x:bgColor rgb="FFFFF1C7"/>
        </x:patternFill>
      </x:fill>
    </x:dxf>
    <x:dxf>
      <x:font>
        <x:b/>
        <x:color rgb="FF495463"/>
      </x:font>
      <x:fill>
        <x:patternFill>
          <x:bgColor rgb="FFEEF1F4"/>
        </x:patternFill>
      </x:fill>
    </x:dxf>
    <x:dxf>
      <x:font>
        <x:b/>
        <x:color rgb="FF176B3A"/>
      </x:font>
      <x:fill>
        <x:patternFill>
          <x:bgColor rgb="FFDDF4E4"/>
        </x:patternFill>
      </x:fill>
    </x:dxf>
    <x:dxf>
      <x:font>
        <x:b/>
        <x:color rgb="FF8A5A00"/>
      </x:font>
      <x:fill>
        <x:patternFill>
          <x:bgColor rgb="FFFFF1C7"/>
        </x:patternFill>
      </x:fill>
    </x:dxf>
    <x:dxf>
      <x:font>
        <x:b/>
        <x:color rgb="FF9B1C1C"/>
      </x:font>
      <x:fill>
        <x:patternFill>
          <x:bgColor rgb="FFFDE2E2"/>
        </x:patternFill>
      </x:fill>
    </x:dxf>
    <x:dxf>
      <x:font>
        <x:b/>
        <x:color rgb="FF176B3A"/>
      </x:font>
      <x:fill>
        <x:patternFill>
          <x:bgColor rgb="FFDDF4E4"/>
        </x:patternFill>
      </x:fill>
    </x:dxf>
    <x:dxf>
      <x:font>
        <x:b/>
        <x:color rgb="FF8A5A00"/>
      </x:font>
      <x:fill>
        <x:patternFill>
          <x:bgColor rgb="FFFFF1C7"/>
        </x:patternFill>
      </x:fill>
    </x:dxf>
    <x:dxf>
      <x:font>
        <x:b/>
        <x:color rgb="FF495463"/>
      </x:font>
      <x:fill>
        <x:patternFill>
          <x:bgColor rgb="FFEEF1F4"/>
        </x:patternFill>
      </x:fill>
    </x:dxf>
    <x:dxf>
      <x:font>
        <x:b/>
        <x:color rgb="FF176B3A"/>
      </x:font>
      <x:fill>
        <x:patternFill>
          <x:bgColor rgb="FFDDF4E4"/>
        </x:patternFill>
      </x:fill>
    </x:dxf>
    <x:dxf>
      <x:font>
        <x:b/>
        <x:color rgb="FF8A5A00"/>
      </x:font>
      <x:fill>
        <x:patternFill>
          <x:bgColor rgb="FFFFF1C7"/>
        </x:patternFill>
      </x:fill>
    </x:dxf>
    <x:dxf>
      <x:font>
        <x:b/>
        <x:color rgb="FF101827"/>
      </x:font>
      <x:fill>
        <x:patternFill>
          <x:bgColor rgb="FFDCE6F2"/>
        </x:patternFill>
      </x:fill>
    </x:dxf>
    <x:dxf>
      <x:font>
        <x:b/>
        <x:color rgb="FF8A5A00"/>
      </x:font>
      <x:fill>
        <x:patternFill>
          <x:bgColor rgb="FFFFF1C7"/>
        </x:patternFill>
      </x:fill>
    </x:dxf>
    <x:dxf>
      <x:font>
        <x:b/>
        <x:color rgb="FF9B1C1C"/>
      </x:font>
      <x:fill>
        <x:patternFill>
          <x:bgColor rgb="FFFDE2E2"/>
        </x:patternFill>
      </x:fill>
    </x:dxf>
    <x:dxf>
      <x:font>
        <x:b/>
        <x:color rgb="FF176B3A"/>
      </x:font>
      <x:fill>
        <x:patternFill>
          <x:bgColor rgb="FFDDF4E4"/>
        </x:patternFill>
      </x:fill>
    </x:dxf>
    <x:dxf>
      <x:font>
        <x:b/>
        <x:color rgb="FF8A5A00"/>
      </x:font>
      <x:fill>
        <x:patternFill>
          <x:bgColor rgb="FFFFF1C7"/>
        </x:patternFill>
      </x:fill>
    </x:dxf>
    <x:dxf>
      <x:font>
        <x:b/>
        <x:color rgb="FF495463"/>
      </x:font>
      <x:fill>
        <x:patternFill>
          <x:bgColor rgb="FFEEF1F4"/>
        </x:patternFill>
      </x:fill>
    </x:dxf>
    <x:dxf>
      <x:font>
        <x:b/>
        <x:color rgb="FF176B3A"/>
      </x:font>
      <x:fill>
        <x:patternFill>
          <x:bgColor rgb="FFDDF4E4"/>
        </x:patternFill>
      </x:fill>
    </x:dxf>
    <x:dxf>
      <x:font>
        <x:b/>
        <x:color rgb="FF8A5A00"/>
      </x:font>
      <x:fill>
        <x:patternFill>
          <x:bgColor rgb="FFFFF1C7"/>
        </x:patternFill>
      </x:fill>
    </x:dxf>
    <x:dxf>
      <x:font>
        <x:b/>
        <x:color rgb="FF9B1C1C"/>
      </x:font>
      <x:fill>
        <x:patternFill>
          <x:bgColor rgb="FFFDE2E2"/>
        </x:patternFill>
      </x:fill>
    </x:dxf>
    <x:dxf>
      <x:font>
        <x:b/>
        <x:color rgb="FF176B3A"/>
      </x:font>
      <x:fill>
        <x:patternFill>
          <x:bgColor rgb="FFDDF4E4"/>
        </x:patternFill>
      </x:fill>
    </x:dxf>
    <x:dxf>
      <x:font>
        <x:b/>
        <x:color rgb="FF8A5A00"/>
      </x:font>
      <x:fill>
        <x:patternFill>
          <x:bgColor rgb="FFFFF1C7"/>
        </x:patternFill>
      </x:fill>
    </x:dxf>
    <x:dxf>
      <x:font>
        <x:b/>
        <x:color rgb="FF495463"/>
      </x:font>
      <x:fill>
        <x:patternFill>
          <x:bgColor rgb="FFEEF1F4"/>
        </x:patternFill>
      </x:fill>
    </x:dxf>
    <x:dxf>
      <x:font>
        <x:b/>
        <x:color rgb="FF176B3A"/>
      </x:font>
      <x:fill>
        <x:patternFill>
          <x:bgColor rgb="FFDDF4E4"/>
        </x:patternFill>
      </x:fill>
    </x:dxf>
    <x:dxf>
      <x:font>
        <x:b/>
        <x:color rgb="FF8A5A00"/>
      </x:font>
      <x:fill>
        <x:patternFill>
          <x:bgColor rgb="FFFFF1C7"/>
        </x:patternFill>
      </x:fill>
    </x:dxf>
    <x:dxf>
      <x:font>
        <x:b/>
        <x:color rgb="FF9B1C1C"/>
      </x:font>
      <x:fill>
        <x:patternFill>
          <x:bgColor rgb="FFFDE2E2"/>
        </x:patternFill>
      </x:fill>
    </x:dxf>
    <x:dxf>
      <x:font>
        <x:b/>
        <x:color rgb="FF176B3A"/>
      </x:font>
      <x:fill>
        <x:patternFill patternType="solid">
          <x:bgColor rgb="FFDDF4E4"/>
        </x:patternFill>
      </x:fill>
    </x:dxf>
    <x:dxf>
      <x:font>
        <x:b/>
        <x:color rgb="FF8A5A00"/>
      </x:font>
      <x:fill>
        <x:patternFill patternType="solid">
          <x:bgColor rgb="FFFFF1C7"/>
        </x:patternFill>
      </x:fill>
    </x:dxf>
    <x:dxf>
      <x:font>
        <x:b/>
        <x:color rgb="FF495463"/>
      </x:font>
      <x:fill>
        <x:patternFill patternType="solid">
          <x:bgColor rgb="FFEEF1F4"/>
        </x:patternFill>
      </x:fill>
    </x:dxf>
    <x:dxf>
      <x:font>
        <x:b/>
        <x:color rgb="FF176B3A"/>
      </x:font>
      <x:fill>
        <x:patternFill patternType="solid">
          <x:bgColor rgb="FFDDF4E4"/>
        </x:patternFill>
      </x:fill>
    </x:dxf>
    <x:dxf>
      <x:font>
        <x:b/>
        <x:color rgb="FF8A5A00"/>
      </x:font>
      <x:fill>
        <x:patternFill patternType="solid">
          <x:bgColor rgb="FFFFF1C7"/>
        </x:patternFill>
      </x:fill>
    </x:dxf>
    <x:dxf>
      <x:font>
        <x:b/>
        <x:color rgb="FF101827"/>
      </x:font>
      <x:fill>
        <x:patternFill patternType="solid">
          <x:bgColor rgb="FFDCE6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ef84d549644216" /><Relationship Type="http://schemas.openxmlformats.org/officeDocument/2006/relationships/theme" Target="/xl/theme/theme1.xml" Id="R81065529fd734955" /><Relationship Type="http://schemas.openxmlformats.org/officeDocument/2006/relationships/sharedStrings" Target="/xl/sharedStrings.xml" Id="R68ec8cda01474101" /><Relationship Type="http://schemas.openxmlformats.org/officeDocument/2006/relationships/worksheet" Target="/xl/worksheets/sheet1.xml" Id="Rd5897e9df1aa4708" /><Relationship Type="http://schemas.openxmlformats.org/officeDocument/2006/relationships/worksheet" Target="/xl/worksheets/sheet2.xml" Id="R0044b67595f14a13" /><Relationship Type="http://schemas.openxmlformats.org/officeDocument/2006/relationships/worksheet" Target="/xl/worksheets/sheet3.xml" Id="Rce531c488cfd443d" /><Relationship Type="http://schemas.openxmlformats.org/officeDocument/2006/relationships/worksheet" Target="/xl/worksheets/sheet4.xml" Id="R3d2751c4006d4efa" /><Relationship Type="http://schemas.openxmlformats.org/officeDocument/2006/relationships/worksheet" Target="/xl/worksheets/sheet5.xml" Id="R550950aba726433e" /><Relationship Type="http://schemas.openxmlformats.org/officeDocument/2006/relationships/worksheet" Target="/xl/worksheets/sheet6.xml" Id="Rbe78bfe485d441f5" /></Relationships>
</file>

<file path=xl/tables/table1.xml><?xml version="1.0" encoding="utf-8"?>
<x:table xmlns:x="http://schemas.openxmlformats.org/spreadsheetml/2006/main" id="14" name="ResumenEjecutivo" displayName="ResumenEjecutivo" ref="A8:K295" headerRowCount="1" totalsRowCount="0" totalsRowShown="0">
  <x:tableColumns count="11">
    <x:tableColumn id="1" name="ID"/>
    <x:tableColumn id="2" name="Clase"/>
    <x:tableColumn id="3" name="Empresa"/>
    <x:tableColumn id="4" name="Categoría comercial"/>
    <x:tableColumn id="5" name="Corredor"/>
    <x:tableColumn id="6" name="Ciudad"/>
    <x:tableColumn id="7" name="Teléfonos"/>
    <x:tableColumn id="8" name="Preguntar por"/>
    <x:tableColumn id="9" name="Necesidad probable"/>
    <x:tableColumn id="10" name="Prioridad de visita"/>
    <x:tableColumn id="11" name="Nota Direc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ProspectosMaster" displayName="ProspectosMaster" ref="A1:AM288" headerRowCount="1" totalsRowCount="0" totalsRowShown="0">
  <x:tableColumns count="39">
    <x:tableColumn id="1" name="ID"/>
    <x:tableColumn id="2" name="Estado de contacto"/>
    <x:tableColumn id="3" name="Corredor"/>
    <x:tableColumn id="4" name="Microzona"/>
    <x:tableColumn id="5" name="Ciudad"/>
    <x:tableColumn id="6" name="Clase"/>
    <x:tableColumn id="7" name="Puntaje operativo"/>
    <x:tableColumn id="8" name="Empresa"/>
    <x:tableColumn id="9" name="Sector"/>
    <x:tableColumn id="10" name="Categoría comercial"/>
    <x:tableColumn id="11" name="Teléfonos"/>
    <x:tableColumn id="12" name="Calidad del teléfono"/>
    <x:tableColumn id="13" name="Preguntar por"/>
    <x:tableColumn id="14" name="Necesidad probable"/>
    <x:tableColumn id="15" name="Oferta PRESOL"/>
    <x:tableColumn id="16" name="Gancho comercial"/>
    <x:tableColumn id="17" name="Acción sugerida"/>
    <x:tableColumn id="18" name="Responsable"/>
    <x:tableColumn id="19" name="Nota Dirección"/>
    <x:tableColumn id="20" name="Resultado"/>
    <x:tableColumn id="21" name="Fecha de visita"/>
    <x:tableColumn id="22" name="Próximo paso"/>
    <x:tableColumn id="23" name="Notas de campo"/>
    <x:tableColumn id="24" name="Teléfono principal (tel:)"/>
    <x:tableColumn id="25" name="Links telefónicos"/>
    <x:tableColumn id="26" name="Dato pendiente"/>
    <x:tableColumn id="27" name="Google Maps"/>
    <x:tableColumn id="28" name="Fuente"/>
    <x:tableColumn id="29" name="URL fuente"/>
    <x:tableColumn id="30" name="Evidencia"/>
    <x:tableColumn id="31" name="Calidad del dato"/>
    <x:tableColumn id="32" name="Origen del registro"/>
    <x:tableColumn id="33" name="Servicios PRESOL a ofrecer"/>
    <x:tableColumn id="34" name="Rubro foco enriquecimiento"/>
    <x:tableColumn id="35" name="Ciudad foco solicitada"/>
    <x:tableColumn id="36" name="Prioridad visita sugerida"/>
    <x:tableColumn id="37" name="Observación servicio nuevo"/>
    <x:tableColumn id="38" name="Fuente unificación"/>
    <x:tableColumn id="39" name="Notas de unifica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3" name="ColaVerificacion" displayName="ColaVerificacion" ref="A4:J93" headerRowCount="1" totalsRowCount="0" totalsRowShown="0">
  <x:tableColumns count="10">
    <x:tableColumn id="1" name="ID"/>
    <x:tableColumn id="2" name="Ciudad"/>
    <x:tableColumn id="3" name="Clase"/>
    <x:tableColumn id="4" name="Empresa"/>
    <x:tableColumn id="5" name="Sector"/>
    <x:tableColumn id="6" name="Teléfonos"/>
    <x:tableColumn id="7" name="Calidad del teléfono"/>
    <x:tableColumn id="8" name="Preguntar por"/>
    <x:tableColumn id="9" name="Dato pendiente"/>
    <x:tableColumn id="10" name="Google Map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99187fb6e746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7dac2148b348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18f7fea59a4348" /></Relationships>
</file>

<file path=xl/worksheets/sheet1.xml><?xml version="1.0" encoding="utf-8"?>
<x:worksheet xmlns:x="http://schemas.openxmlformats.org/spreadsheetml/2006/main">
  <x:sheetFormatPr defaultRowHeight="14.25"/>
  <x:cols>
    <x:col min="1" max="1" width="10" hidden="0" customWidth="1"/>
    <x:col min="2" max="2" width="7" hidden="0" customWidth="1"/>
    <x:col min="3" max="3" width="29" hidden="0" customWidth="1"/>
    <x:col min="4" max="4" width="26" hidden="0" customWidth="1"/>
    <x:col min="5" max="5" width="21" hidden="0" customWidth="1"/>
    <x:col min="6" max="6" width="17" hidden="0" customWidth="1"/>
    <x:col min="7" max="7" width="24" hidden="0" customWidth="1"/>
    <x:col min="8" max="9" width="42" customWidth="1"/>
    <x:col min="10" max="11" width="38" customWidth="1"/>
    <x:col min="12" max="12" width="38" hidden="0" customWidth="1"/>
    <x:col min="13" max="13" width="18" hidden="0" customWidth="1"/>
    <x:col min="8" max="8" width="22" hidden="0" customWidth="1"/>
    <x:col min="9" max="9" width="40" hidden="0" customWidth="1"/>
    <x:col min="10" max="10" width="17" hidden="0" customWidth="1"/>
    <x:col min="11" max="11" width="36" hidden="0" customWidth="1"/>
    <x:col min="14" max="14" width="38" hidden="0" customWidth="1"/>
  </x:cols>
  <x:sheetData>
    <x:row r="1" ht="30" customHeight="1">
      <x:c r="A1" s="173" t="str">
        <x:v>PRESOL — Prospectos | Resumen Ejecutivo</x:v>
      </x:c>
      <x:c r="B1" s="173"/>
      <x:c r="C1" s="173"/>
      <x:c r="D1" s="173"/>
      <x:c r="E1" s="173"/>
      <x:c r="F1" s="173"/>
      <x:c r="G1" s="173"/>
      <x:c r="H1" s="173"/>
      <x:c r="I1" s="173"/>
      <x:c r="J1" s="173"/>
      <x:c r="K1" s="173"/>
      <x:c r="L1" s="21"/>
      <x:c r="M1" s="94"/>
      <x:c r="N1" s="94"/>
    </x:row>
    <x:row r="2" ht="22" customHeight="1">
      <x:c r="A2" s="175" t="str">
        <x:v>Dirección · Filtrar por Categoría, Corredor o Ciudad · Completar libremente “Nota Dirección”</x:v>
      </x:c>
      <x:c r="B2" s="175"/>
      <x:c r="C2" s="175"/>
      <x:c r="D2" s="175"/>
      <x:c r="E2" s="175"/>
      <x:c r="F2" s="175"/>
      <x:c r="G2" s="175"/>
      <x:c r="H2" s="175"/>
      <x:c r="I2" s="175"/>
      <x:c r="J2" s="175"/>
      <x:c r="K2" s="175"/>
      <x:c r="L2" s="22"/>
      <x:c r="M2" s="94"/>
      <x:c r="N2" s="94"/>
    </x:row>
    <x:row r="4">
      <x:c r="A4" s="176" t="str">
        <x:v>TOTAL</x:v>
      </x:c>
      <x:c r="B4" s="176"/>
      <x:c r="C4" s="176" t="str">
        <x:v>CLASE A</x:v>
      </x:c>
      <x:c r="D4" s="176"/>
      <x:c r="E4" s="176" t="str">
        <x:v>CLASE B</x:v>
      </x:c>
      <x:c r="F4" s="176"/>
      <x:c r="G4" s="176" t="str">
        <x:v>CLASE C</x:v>
      </x:c>
      <x:c r="H4" s="176"/>
      <x:c r="I4" s="176" t="str">
        <x:v>TELÉFONOS OK</x:v>
      </x:c>
      <x:c r="J4" s="176"/>
      <x:c r="K4" s="176" t="str">
        <x:v>A VERIFICAR</x:v>
      </x:c>
      <x:c r="L4" s="23"/>
    </x:row>
    <x:row r="5" ht="23.25">
      <x:c r="A5" s="177" t="n">
        <x:f>COUNTA(Prospectos!A2:A288)</x:f>
        <x:v>287</x:v>
      </x:c>
      <x:c r="B5" s="177"/>
      <x:c r="C5" s="177" t="n">
        <x:f>COUNTIF(Prospectos!F2:F288,"A")</x:f>
        <x:v>162</x:v>
      </x:c>
      <x:c r="D5" s="177"/>
      <x:c r="E5" s="177" t="n">
        <x:f>COUNTIF(Prospectos!F2:F288,"B")</x:f>
        <x:v>110</x:v>
      </x:c>
      <x:c r="F5" s="177"/>
      <x:c r="G5" s="177" t="n">
        <x:f>COUNTIF(Prospectos!F2:F288,"C")</x:f>
        <x:v>15</x:v>
      </x:c>
      <x:c r="H5" s="177"/>
      <x:c r="I5" s="177" t="n">
        <x:f>COUNTIF(Prospectos!L2:L288,"OK")</x:f>
        <x:v>198</x:v>
      </x:c>
      <x:c r="J5" s="177"/>
      <x:c r="K5" s="177" t="n">
        <x:f>COUNTIF(Prospectos!L2:L288,"&lt;&gt;OK")</x:f>
        <x:v>89</x:v>
      </x:c>
      <x:c r="L5" s="24"/>
    </x:row>
    <x:row r="8" ht="32" customHeight="1">
      <x:c r="A8" s="178" t="str">
        <x:v>ID</x:v>
      </x:c>
      <x:c r="B8" s="178" t="str">
        <x:v>Clase</x:v>
      </x:c>
      <x:c r="C8" s="178" t="str">
        <x:v>Empresa</x:v>
      </x:c>
      <x:c r="D8" s="178" t="str">
        <x:v>Categoría comercial</x:v>
      </x:c>
      <x:c r="E8" s="178" t="str">
        <x:v>Corredor</x:v>
      </x:c>
      <x:c r="F8" s="178" t="str">
        <x:v>Ciudad</x:v>
      </x:c>
      <x:c r="G8" s="178" t="str">
        <x:v>Teléfonos</x:v>
      </x:c>
      <x:c r="H8" s="178" t="str">
        <x:v>Preguntar por</x:v>
      </x:c>
      <x:c r="I8" s="178" t="str">
        <x:v>Necesidad probable</x:v>
      </x:c>
      <x:c r="J8" s="178" t="str">
        <x:v>Prioridad de visita</x:v>
      </x:c>
      <x:c r="K8" s="178" t="str">
        <x:v>Nota Dirección</x:v>
      </x:c>
      <x:c r="L8" s="157"/>
      <x:c r="M8" s="157"/>
      <x:c r="N8" s="164"/>
    </x:row>
    <x:row r="9" ht="34" customHeight="1">
      <x:c r="A9" s="183" t="str">
        <x:v>RT-054</x:v>
      </x:c>
      <x:c r="B9" s="183" t="str">
        <x:f>IFERROR(INDEX(Prospectos!$F$2:$F$288,MATCH($A9,Prospectos!$A$2:$A$288,0)),"")</x:f>
        <x:v>A</x:v>
      </x:c>
      <x:c r="C9" s="183" t="str">
        <x:f>IFERROR(INDEX(Prospectos!$H$2:$H$288,MATCH($A9,Prospectos!$A$2:$A$288,0)),"")</x:f>
        <x:v>Ascanelli S.A.</x:v>
      </x:c>
      <x:c r="D9" s="183" t="str">
        <x:f>IFERROR(INDEX(Prospectos!$J$2:$J$288,MATCH($A9,Prospectos!$A$2:$A$288,0)),"")</x:f>
        <x:v>Maquinaria agrícola</x:v>
      </x:c>
      <x:c r="E9" s="183" t="str">
        <x:f>IFERROR(INDEX(Prospectos!$C$2:$C$288,MATCH($A9,Prospectos!$A$2:$A$288,0)),"")</x:f>
        <x:v>Base Río Tercero</x:v>
      </x:c>
      <x:c r="F9" s="183" t="str">
        <x:f>IFERROR(INDEX(Prospectos!$E$2:$E$288,MATCH($A9,Prospectos!$A$2:$A$288,0)),"")</x:f>
        <x:v>Río Tercero</x:v>
      </x:c>
      <x:c r="G9" s="183" t="str">
        <x:f>IFERROR(INDEX(Prospectos!$K$2:$K$288,MATCH($A9,Prospectos!$A$2:$A$288,0)),"")</x:f>
        <x:v>03571 423691</x:v>
      </x:c>
      <x:c r="H9" s="183" t="str">
        <x:f>IFERROR(INDEX(Prospectos!$M$2:$M$288,MATCH($A9,Prospectos!$A$2:$A$288,0)),"")</x:f>
        <x:v>logística / ventas / postventa</x:v>
      </x:c>
      <x:c r="I9" s="183" t="str">
        <x:f>IFERROR(INDEX(Prospectos!$N$2:$N$288,MATCH($A9,Prospectos!$A$2:$A$288,0)),"")</x:f>
        <x:v>Despacho de implementos, tolvas, sembradoras, estructuras, equipos terminados y componentes de gran porte hacia concesionarios, clientes, ferias o campo.</x:v>
      </x:c>
      <x:c r="J9" s="183" t="str">
        <x:f>IFERROR(INDEX(Prospectos!$AJ$2:$AJ$288,MATCH($A9,Prospectos!$A$2:$A$288,0)),"")</x:f>
        <x:v>Muy alta</x:v>
      </x:c>
      <x:c r="K9" s="179"/>
      <x:c r="L9" s="5"/>
      <x:c r="M9" s="135"/>
      <x:c r="N9" s="158"/>
    </x:row>
    <x:row r="10" ht="34" customHeight="1">
      <x:c r="A10" s="3" t="str">
        <x:v>RT-001</x:v>
      </x:c>
      <x:c r="B10" s="3" t="str">
        <x:f>IFERROR(INDEX(Prospectos!$F$2:$F$288,MATCH($A10,Prospectos!$A$2:$A$288,0)),"")</x:f>
        <x:v>A</x:v>
      </x:c>
      <x:c r="C10" s="3" t="str">
        <x:f>IFERROR(INDEX(Prospectos!$H$2:$H$288,MATCH($A10,Prospectos!$A$2:$A$288,0)),"")</x:f>
        <x:v>Hormicor</x:v>
      </x:c>
      <x:c r="D10" s="3" t="str">
        <x:f>IFERROR(INDEX(Prospectos!$J$2:$J$288,MATCH($A10,Prospectos!$A$2:$A$288,0)),"")</x:f>
        <x:v>Hormigón, áridos y materiales</x:v>
      </x:c>
      <x:c r="E10" s="3" t="str">
        <x:f>IFERROR(INDEX(Prospectos!$C$2:$C$288,MATCH($A10,Prospectos!$A$2:$A$288,0)),"")</x:f>
        <x:v>Base Río Tercero</x:v>
      </x:c>
      <x:c r="F10" s="3" t="str">
        <x:f>IFERROR(INDEX(Prospectos!$E$2:$E$288,MATCH($A10,Prospectos!$A$2:$A$288,0)),"")</x:f>
        <x:v>Río Tercero</x:v>
      </x:c>
      <x:c r="G10" s="3" t="str">
        <x:f>IFERROR(INDEX(Prospectos!$K$2:$K$288,MATCH($A10,Prospectos!$A$2:$A$288,0)),"")</x:f>
        <x:v>03571 500888 / 03571 510066</x:v>
      </x:c>
      <x:c r="H10" s="3" t="str">
        <x:f>IFERROR(INDEX(Prospectos!$M$2:$M$288,MATCH($A10,Prospectos!$A$2:$A$288,0)),"")</x:f>
        <x:v>planta / mantenimiento</x:v>
      </x:c>
      <x:c r="I10" s="3" t="str">
        <x:f>IFERROR(INDEX(Prospectos!$N$2:$N$288,MATCH($A10,Prospectos!$A$2:$A$288,0)),"")</x:f>
        <x:v>Movimiento de premoldeados, equipos de planta/cantera, bombas, moldes y cargas pesadas.</x:v>
      </x:c>
      <x:c r="J10" s="3" t="str">
        <x:f>IFERROR(INDEX(Prospectos!$AJ$2:$AJ$288,MATCH($A10,Prospectos!$A$2:$A$288,0)),"")</x:f>
        <x:v>Muy alta</x:v>
      </x:c>
      <x:c r="K10" s="179"/>
      <x:c r="L10" s="3"/>
      <x:c r="M10" s="137"/>
      <x:c r="N10" s="158"/>
    </x:row>
    <x:row r="11" ht="34" customHeight="1">
      <x:c r="A11" s="183" t="str">
        <x:v>RT-002</x:v>
      </x:c>
      <x:c r="B11" s="183" t="str">
        <x:f>IFERROR(INDEX(Prospectos!$F$2:$F$288,MATCH($A11,Prospectos!$A$2:$A$288,0)),"")</x:f>
        <x:v>A</x:v>
      </x:c>
      <x:c r="C11" s="183" t="str">
        <x:f>IFERROR(INDEX(Prospectos!$H$2:$H$288,MATCH($A11,Prospectos!$A$2:$A$288,0)),"")</x:f>
        <x:v>Metalúrgica Monticelli</x:v>
      </x:c>
      <x:c r="D11" s="183" t="str">
        <x:f>IFERROR(INDEX(Prospectos!$J$2:$J$288,MATCH($A11,Prospectos!$A$2:$A$288,0)),"")</x:f>
        <x:v>Maquinaria agrícola</x:v>
      </x:c>
      <x:c r="E11" s="183" t="str">
        <x:f>IFERROR(INDEX(Prospectos!$C$2:$C$288,MATCH($A11,Prospectos!$A$2:$A$288,0)),"")</x:f>
        <x:v>Base Río Tercero</x:v>
      </x:c>
      <x:c r="F11" s="183" t="str">
        <x:f>IFERROR(INDEX(Prospectos!$E$2:$E$288,MATCH($A11,Prospectos!$A$2:$A$288,0)),"")</x:f>
        <x:v>Río Tercero</x:v>
      </x:c>
      <x:c r="G11" s="183" t="str">
        <x:f>IFERROR(INDEX(Prospectos!$K$2:$K$288,MATCH($A11,Prospectos!$A$2:$A$288,0)),"")</x:f>
        <x:v>+54 3571 613058 / +54 3571 613060</x:v>
      </x:c>
      <x:c r="H11" s="183" t="str">
        <x:f>IFERROR(INDEX(Prospectos!$M$2:$M$288,MATCH($A11,Prospectos!$A$2:$A$288,0)),"")</x:f>
        <x:v>logística / despacho / postventa</x:v>
      </x:c>
      <x:c r="I11" s="183" t="str">
        <x:f>IFERROR(INDEX(Prospectos!$N$2:$N$288,MATCH($A11,Prospectos!$A$2:$A$288,0)),"")</x:f>
        <x:v>Traslado de maquinaria, implementos, equipos terminados y componentes de gran porte entre planta, cliente, obra o feria.</x:v>
      </x:c>
      <x:c r="J11" s="183" t="str">
        <x:f>IFERROR(INDEX(Prospectos!$AJ$2:$AJ$288,MATCH($A11,Prospectos!$A$2:$A$288,0)),"")</x:f>
        <x:v>Muy alta</x:v>
      </x:c>
      <x:c r="K11" s="179"/>
      <x:c r="L11" s="5"/>
      <x:c r="M11" s="135"/>
      <x:c r="N11" s="158"/>
    </x:row>
    <x:row r="12" ht="34" customHeight="1">
      <x:c r="A12" s="3" t="str">
        <x:v>RT-003</x:v>
      </x:c>
      <x:c r="B12" s="3" t="str">
        <x:f>IFERROR(INDEX(Prospectos!$F$2:$F$288,MATCH($A12,Prospectos!$A$2:$A$288,0)),"")</x:f>
        <x:v>A</x:v>
      </x:c>
      <x:c r="C12" s="3" t="str">
        <x:f>IFERROR(INDEX(Prospectos!$H$2:$H$288,MATCH($A12,Prospectos!$A$2:$A$288,0)),"")</x:f>
        <x:v>Metalúrgica Novaretti</x:v>
      </x:c>
      <x:c r="D12" s="3" t="str">
        <x:f>IFERROR(INDEX(Prospectos!$J$2:$J$288,MATCH($A12,Prospectos!$A$2:$A$288,0)),"")</x:f>
        <x:v>Metalúrgica y fabricación</x:v>
      </x:c>
      <x:c r="E12" s="3" t="str">
        <x:f>IFERROR(INDEX(Prospectos!$C$2:$C$288,MATCH($A12,Prospectos!$A$2:$A$288,0)),"")</x:f>
        <x:v>Base Río Tercero</x:v>
      </x:c>
      <x:c r="F12" s="3" t="str">
        <x:f>IFERROR(INDEX(Prospectos!$E$2:$E$288,MATCH($A12,Prospectos!$A$2:$A$288,0)),"")</x:f>
        <x:v>Río Tercero</x:v>
      </x:c>
      <x:c r="G12" s="3" t="str">
        <x:f>IFERROR(INDEX(Prospectos!$K$2:$K$288,MATCH($A12,Prospectos!$A$2:$A$288,0)),"")</x:f>
        <x:v>03571 414282 / 03571 606930</x:v>
      </x:c>
      <x:c r="H12" s="3" t="str">
        <x:f>IFERROR(INDEX(Prospectos!$M$2:$M$288,MATCH($A12,Prospectos!$A$2:$A$288,0)),"")</x:f>
        <x:v>despacho / producción</x:v>
      </x:c>
      <x:c r="I12" s="3" t="str">
        <x:f>IFERROR(INDEX(Prospectos!$N$2:$N$288,MATCH($A12,Prospectos!$A$2:$A$288,0)),"")</x:f>
        <x:v>Despacho seguro de estructuras, carrozados, tanques, piezas industriales y equipos sobre plataforma.</x:v>
      </x:c>
      <x:c r="J12" s="3" t="str">
        <x:f>IFERROR(INDEX(Prospectos!$AJ$2:$AJ$288,MATCH($A12,Prospectos!$A$2:$A$288,0)),"")</x:f>
        <x:v>Muy alta</x:v>
      </x:c>
      <x:c r="K12" s="179"/>
      <x:c r="L12" s="3"/>
      <x:c r="M12" s="137"/>
      <x:c r="N12" s="158"/>
    </x:row>
    <x:row r="13" ht="34" customHeight="1">
      <x:c r="A13" s="183" t="str">
        <x:v>RT-004</x:v>
      </x:c>
      <x:c r="B13" s="183" t="str">
        <x:f>IFERROR(INDEX(Prospectos!$F$2:$F$288,MATCH($A13,Prospectos!$A$2:$A$288,0)),"")</x:f>
        <x:v>A</x:v>
      </x:c>
      <x:c r="C13" s="183" t="str">
        <x:f>IFERROR(INDEX(Prospectos!$H$2:$H$288,MATCH($A13,Prospectos!$A$2:$A$288,0)),"")</x:f>
        <x:v>Metalúrgica Río Tercero S.A.</x:v>
      </x:c>
      <x:c r="D13" s="183" t="str">
        <x:f>IFERROR(INDEX(Prospectos!$J$2:$J$288,MATCH($A13,Prospectos!$A$2:$A$288,0)),"")</x:f>
        <x:v>Metalúrgica y fabricación</x:v>
      </x:c>
      <x:c r="E13" s="183" t="str">
        <x:f>IFERROR(INDEX(Prospectos!$C$2:$C$288,MATCH($A13,Prospectos!$A$2:$A$288,0)),"")</x:f>
        <x:v>Base Río Tercero</x:v>
      </x:c>
      <x:c r="F13" s="183" t="str">
        <x:f>IFERROR(INDEX(Prospectos!$E$2:$E$288,MATCH($A13,Prospectos!$A$2:$A$288,0)),"")</x:f>
        <x:v>Río Tercero</x:v>
      </x:c>
      <x:c r="G13" s="183" t="str">
        <x:f>IFERROR(INDEX(Prospectos!$K$2:$K$288,MATCH($A13,Prospectos!$A$2:$A$288,0)),"")</x:f>
        <x:v>03571 430558</x:v>
      </x:c>
      <x:c r="H13" s="183" t="str">
        <x:f>IFERROR(INDEX(Prospectos!$M$2:$M$288,MATCH($A13,Prospectos!$A$2:$A$288,0)),"")</x:f>
        <x:v>despacho / producción</x:v>
      </x:c>
      <x:c r="I13" s="183" t="str">
        <x:f>IFERROR(INDEX(Prospectos!$N$2:$N$288,MATCH($A13,Prospectos!$A$2:$A$288,0)),"")</x:f>
        <x:v>Traslado de equipos de planta, silos, repuestos pesados, balanzas, implementos y cargas especiales.</x:v>
      </x:c>
      <x:c r="J13" s="183" t="str">
        <x:f>IFERROR(INDEX(Prospectos!$AJ$2:$AJ$288,MATCH($A13,Prospectos!$A$2:$A$288,0)),"")</x:f>
        <x:v>Muy alta</x:v>
      </x:c>
      <x:c r="K13" s="179"/>
      <x:c r="L13" s="5"/>
      <x:c r="M13" s="135"/>
      <x:c r="N13" s="158"/>
    </x:row>
    <x:row r="14" ht="34" customHeight="1">
      <x:c r="A14" s="3" t="str">
        <x:v>RT-005</x:v>
      </x:c>
      <x:c r="B14" s="3" t="str">
        <x:f>IFERROR(INDEX(Prospectos!$F$2:$F$288,MATCH($A14,Prospectos!$A$2:$A$288,0)),"")</x:f>
        <x:v>A</x:v>
      </x:c>
      <x:c r="C14" s="3" t="str">
        <x:f>IFERROR(INDEX(Prospectos!$H$2:$H$288,MATCH($A14,Prospectos!$A$2:$A$288,0)),"")</x:f>
        <x:v>NT Construcciones</x:v>
      </x:c>
      <x:c r="D14" s="3" t="str">
        <x:f>IFERROR(INDEX(Prospectos!$J$2:$J$288,MATCH($A14,Prospectos!$A$2:$A$288,0)),"")</x:f>
        <x:v>Construcción y obra vial</x:v>
      </x:c>
      <x:c r="E14" s="3" t="str">
        <x:f>IFERROR(INDEX(Prospectos!$C$2:$C$288,MATCH($A14,Prospectos!$A$2:$A$288,0)),"")</x:f>
        <x:v>Base Río Tercero</x:v>
      </x:c>
      <x:c r="F14" s="3" t="str">
        <x:f>IFERROR(INDEX(Prospectos!$E$2:$E$288,MATCH($A14,Prospectos!$A$2:$A$288,0)),"")</x:f>
        <x:v>Río Tercero</x:v>
      </x:c>
      <x:c r="G14" s="3" t="str">
        <x:f>IFERROR(INDEX(Prospectos!$K$2:$K$288,MATCH($A14,Prospectos!$A$2:$A$288,0)),"")</x:f>
        <x:v>+54 9 3571 597645</x:v>
      </x:c>
      <x:c r="H14" s="3" t="str">
        <x:f>IFERROR(INDEX(Prospectos!$M$2:$M$288,MATCH($A14,Prospectos!$A$2:$A$288,0)),"")</x:f>
        <x:v>operaciones / jefe de obra</x:v>
      </x:c>
      <x:c r="I14" s="3" t="str">
        <x:f>IFERROR(INDEX(Prospectos!$N$2:$N$288,MATCH($A14,Prospectos!$A$2:$A$288,0)),"")</x:f>
        <x:v>Traslado de maquinaria, módulos de obrador, estructuras, equipos y cargas pesadas entre frentes.</x:v>
      </x:c>
      <x:c r="J14" s="3" t="str">
        <x:f>IFERROR(INDEX(Prospectos!$AJ$2:$AJ$288,MATCH($A14,Prospectos!$A$2:$A$288,0)),"")</x:f>
        <x:v>Muy alta</x:v>
      </x:c>
      <x:c r="K14" s="179"/>
      <x:c r="L14" s="3"/>
      <x:c r="M14" s="137"/>
      <x:c r="N14" s="158"/>
    </x:row>
    <x:row r="15" ht="34" customHeight="1">
      <x:c r="A15" s="183" t="str">
        <x:v>RT-064</x:v>
      </x:c>
      <x:c r="B15" s="183" t="str">
        <x:f>IFERROR(INDEX(Prospectos!$F$2:$F$288,MATCH($A15,Prospectos!$A$2:$A$288,0)),"")</x:f>
        <x:v>A</x:v>
      </x:c>
      <x:c r="C15" s="183" t="str">
        <x:f>IFERROR(INDEX(Prospectos!$H$2:$H$288,MATCH($A15,Prospectos!$A$2:$A$288,0)),"")</x:f>
        <x:v>SALA / Agrotecnología Sala — Río Tercero</x:v>
      </x:c>
      <x:c r="D15" s="183" t="str">
        <x:f>IFERROR(INDEX(Prospectos!$J$2:$J$288,MATCH($A15,Prospectos!$A$2:$A$288,0)),"")</x:f>
        <x:v>Maquinaria agrícola</x:v>
      </x:c>
      <x:c r="E15" s="183" t="str">
        <x:f>IFERROR(INDEX(Prospectos!$C$2:$C$288,MATCH($A15,Prospectos!$A$2:$A$288,0)),"")</x:f>
        <x:v>Base Río Tercero</x:v>
      </x:c>
      <x:c r="F15" s="183" t="str">
        <x:f>IFERROR(INDEX(Prospectos!$E$2:$E$288,MATCH($A15,Prospectos!$A$2:$A$288,0)),"")</x:f>
        <x:v>Río Tercero</x:v>
      </x:c>
      <x:c r="G15" s="183" t="str">
        <x:f>IFERROR(INDEX(Prospectos!$K$2:$K$288,MATCH($A15,Prospectos!$A$2:$A$288,0)),"")</x:f>
        <x:v>+54 9 358 4843387</x:v>
      </x:c>
      <x:c r="H15" s="183" t="str">
        <x:f>IFERROR(INDEX(Prospectos!$M$2:$M$288,MATCH($A15,Prospectos!$A$2:$A$288,0)),"")</x:f>
        <x:v>logística / entregas / usados / postventa / gerente comercial</x:v>
      </x:c>
      <x:c r="I15" s="183" t="str">
        <x:f>IFERROR(INDEX(Prospectos!$N$2:$N$288,MATCH($A15,Prospectos!$A$2:$A$288,0)),"")</x:f>
        <x:v>Entrega y retiro de tractores, cosechadoras, pulverizadoras, sembradoras e implementos; movimientos por ventas, canjes, usados, service, demostraciones y ferias.</x:v>
      </x:c>
      <x:c r="J15" s="183" t="str">
        <x:f>IFERROR(INDEX(Prospectos!$AJ$2:$AJ$288,MATCH($A15,Prospectos!$A$2:$A$288,0)),"")</x:f>
        <x:v>Muy alta</x:v>
      </x:c>
      <x:c r="K15" s="179"/>
      <x:c r="L15" s="5"/>
      <x:c r="M15" s="135"/>
      <x:c r="N15" s="158"/>
    </x:row>
    <x:row r="16" ht="34" customHeight="1">
      <x:c r="A16" s="3" t="str">
        <x:v>RT-006</x:v>
      </x:c>
      <x:c r="B16" s="3" t="str">
        <x:f>IFERROR(INDEX(Prospectos!$F$2:$F$288,MATCH($A16,Prospectos!$A$2:$A$288,0)),"")</x:f>
        <x:v>A</x:v>
      </x:c>
      <x:c r="C16" s="3" t="str">
        <x:f>IFERROR(INDEX(Prospectos!$H$2:$H$288,MATCH($A16,Prospectos!$A$2:$A$288,0)),"")</x:f>
        <x:v>Sinfix SAS</x:v>
      </x:c>
      <x:c r="D16" s="3" t="str">
        <x:f>IFERROR(INDEX(Prospectos!$J$2:$J$288,MATCH($A16,Prospectos!$A$2:$A$288,0)),"")</x:f>
        <x:v>Metalúrgica y fabricación</x:v>
      </x:c>
      <x:c r="E16" s="3" t="str">
        <x:f>IFERROR(INDEX(Prospectos!$C$2:$C$288,MATCH($A16,Prospectos!$A$2:$A$288,0)),"")</x:f>
        <x:v>Base Río Tercero</x:v>
      </x:c>
      <x:c r="F16" s="3" t="str">
        <x:f>IFERROR(INDEX(Prospectos!$E$2:$E$288,MATCH($A16,Prospectos!$A$2:$A$288,0)),"")</x:f>
        <x:v>Río Tercero</x:v>
      </x:c>
      <x:c r="G16" s="3" t="str">
        <x:f>IFERROR(INDEX(Prospectos!$K$2:$K$288,MATCH($A16,Prospectos!$A$2:$A$288,0)),"")</x:f>
        <x:v>+54 9 3571 405077</x:v>
      </x:c>
      <x:c r="H16" s="3" t="str">
        <x:f>IFERROR(INDEX(Prospectos!$M$2:$M$288,MATCH($A16,Prospectos!$A$2:$A$288,0)),"")</x:f>
        <x:v>despacho / producción</x:v>
      </x:c>
      <x:c r="I16" s="3" t="str">
        <x:f>IFERROR(INDEX(Prospectos!$N$2:$N$288,MATCH($A16,Prospectos!$A$2:$A$288,0)),"")</x:f>
        <x:v>Despacho de estructuras, piezas, equipos y conjuntos metalmecánicos de gran porte hacia obras o clientes.</x:v>
      </x:c>
      <x:c r="J16" s="3" t="str">
        <x:f>IFERROR(INDEX(Prospectos!$AJ$2:$AJ$288,MATCH($A16,Prospectos!$A$2:$A$288,0)),"")</x:f>
        <x:v>Muy alta</x:v>
      </x:c>
      <x:c r="K16" s="179"/>
      <x:c r="L16" s="3"/>
      <x:c r="M16" s="137"/>
      <x:c r="N16" s="158"/>
    </x:row>
    <x:row r="17" ht="34" customHeight="1">
      <x:c r="A17" s="183" t="str">
        <x:v>RT-007</x:v>
      </x:c>
      <x:c r="B17" s="183" t="str">
        <x:f>IFERROR(INDEX(Prospectos!$F$2:$F$288,MATCH($A17,Prospectos!$A$2:$A$288,0)),"")</x:f>
        <x:v>A</x:v>
      </x:c>
      <x:c r="C17" s="183" t="str">
        <x:f>IFERROR(INDEX(Prospectos!$H$2:$H$288,MATCH($A17,Prospectos!$A$2:$A$288,0)),"")</x:f>
        <x:v>Suragro - Implementos Agrícolas</x:v>
      </x:c>
      <x:c r="D17" s="183" t="str">
        <x:f>IFERROR(INDEX(Prospectos!$J$2:$J$288,MATCH($A17,Prospectos!$A$2:$A$288,0)),"")</x:f>
        <x:v>Maquinaria agrícola</x:v>
      </x:c>
      <x:c r="E17" s="183" t="str">
        <x:f>IFERROR(INDEX(Prospectos!$C$2:$C$288,MATCH($A17,Prospectos!$A$2:$A$288,0)),"")</x:f>
        <x:v>Base Río Tercero</x:v>
      </x:c>
      <x:c r="F17" s="183" t="str">
        <x:f>IFERROR(INDEX(Prospectos!$E$2:$E$288,MATCH($A17,Prospectos!$A$2:$A$288,0)),"")</x:f>
        <x:v>Río Tercero</x:v>
      </x:c>
      <x:c r="G17" s="183" t="str">
        <x:f>IFERROR(INDEX(Prospectos!$K$2:$K$288,MATCH($A17,Prospectos!$A$2:$A$288,0)),"")</x:f>
        <x:v>03571 424574</x:v>
      </x:c>
      <x:c r="H17" s="183" t="str">
        <x:f>IFERROR(INDEX(Prospectos!$M$2:$M$288,MATCH($A17,Prospectos!$A$2:$A$288,0)),"")</x:f>
        <x:v>logística / despacho / postventa</x:v>
      </x:c>
      <x:c r="I17" s="183" t="str">
        <x:f>IFERROR(INDEX(Prospectos!$N$2:$N$288,MATCH($A17,Prospectos!$A$2:$A$288,0)),"")</x:f>
        <x:v>Traslado de maquinaria, implementos, equipos terminados y componentes de gran porte entre planta, cliente, obra o feria.</x:v>
      </x:c>
      <x:c r="J17" s="183" t="str">
        <x:f>IFERROR(INDEX(Prospectos!$AJ$2:$AJ$288,MATCH($A17,Prospectos!$A$2:$A$288,0)),"")</x:f>
        <x:v>Muy alta</x:v>
      </x:c>
      <x:c r="K17" s="179"/>
      <x:c r="L17" s="5"/>
      <x:c r="M17" s="135"/>
      <x:c r="N17" s="158"/>
    </x:row>
    <x:row r="18" ht="34" customHeight="1">
      <x:c r="A18" s="3" t="str">
        <x:v>RT-008</x:v>
      </x:c>
      <x:c r="B18" s="3" t="str">
        <x:f>IFERROR(INDEX(Prospectos!$F$2:$F$288,MATCH($A18,Prospectos!$A$2:$A$288,0)),"")</x:f>
        <x:v>A</x:v>
      </x:c>
      <x:c r="C18" s="3" t="str">
        <x:f>IFERROR(INDEX(Prospectos!$H$2:$H$288,MATCH($A18,Prospectos!$A$2:$A$288,0)),"")</x:f>
        <x:v>Tres Eme S.A.</x:v>
      </x:c>
      <x:c r="D18" s="3" t="str">
        <x:f>IFERROR(INDEX(Prospectos!$J$2:$J$288,MATCH($A18,Prospectos!$A$2:$A$288,0)),"")</x:f>
        <x:v>Agro, acopio y cooperativas</x:v>
      </x:c>
      <x:c r="E18" s="3" t="str">
        <x:f>IFERROR(INDEX(Prospectos!$C$2:$C$288,MATCH($A18,Prospectos!$A$2:$A$288,0)),"")</x:f>
        <x:v>Base Río Tercero</x:v>
      </x:c>
      <x:c r="F18" s="3" t="str">
        <x:f>IFERROR(INDEX(Prospectos!$E$2:$E$288,MATCH($A18,Prospectos!$A$2:$A$288,0)),"")</x:f>
        <x:v>Río Tercero</x:v>
      </x:c>
      <x:c r="G18" s="3" t="str">
        <x:f>IFERROR(INDEX(Prospectos!$K$2:$K$288,MATCH($A18,Prospectos!$A$2:$A$288,0)),"")</x:f>
        <x:v>03571 432190 / 03571 637720</x:v>
      </x:c>
      <x:c r="H18" s="3" t="str">
        <x:f>IFERROR(INDEX(Prospectos!$M$2:$M$288,MATCH($A18,Prospectos!$A$2:$A$288,0)),"")</x:f>
        <x:v>responsable de acopio / mantenimiento</x:v>
      </x:c>
      <x:c r="I18" s="3" t="str">
        <x:f>IFERROR(INDEX(Prospectos!$N$2:$N$288,MATCH($A18,Prospectos!$A$2:$A$288,0)),"")</x:f>
        <x:v>Traslado de equipos de planta, silos, repuestos pesados, balanzas, implementos y cargas especiales.</x:v>
      </x:c>
      <x:c r="J18" s="3" t="str">
        <x:f>IFERROR(INDEX(Prospectos!$AJ$2:$AJ$288,MATCH($A18,Prospectos!$A$2:$A$288,0)),"")</x:f>
        <x:v>Muy alta</x:v>
      </x:c>
      <x:c r="K18" s="179"/>
      <x:c r="L18" s="3"/>
      <x:c r="M18" s="137"/>
      <x:c r="N18" s="158"/>
    </x:row>
    <x:row r="19" ht="34" customHeight="1">
      <x:c r="A19" s="183" t="str">
        <x:v>RT-009</x:v>
      </x:c>
      <x:c r="B19" s="183" t="str">
        <x:f>IFERROR(INDEX(Prospectos!$F$2:$F$288,MATCH($A19,Prospectos!$A$2:$A$288,0)),"")</x:f>
        <x:v>A</x:v>
      </x:c>
      <x:c r="C19" s="183" t="str">
        <x:f>IFERROR(INDEX(Prospectos!$H$2:$H$288,MATCH($A19,Prospectos!$A$2:$A$288,0)),"")</x:f>
        <x:v>Vial del Centro</x:v>
      </x:c>
      <x:c r="D19" s="183" t="str">
        <x:f>IFERROR(INDEX(Prospectos!$J$2:$J$288,MATCH($A19,Prospectos!$A$2:$A$288,0)),"")</x:f>
        <x:v>Construcción y obra vial</x:v>
      </x:c>
      <x:c r="E19" s="183" t="str">
        <x:f>IFERROR(INDEX(Prospectos!$C$2:$C$288,MATCH($A19,Prospectos!$A$2:$A$288,0)),"")</x:f>
        <x:v>Base Río Tercero</x:v>
      </x:c>
      <x:c r="F19" s="183" t="str">
        <x:f>IFERROR(INDEX(Prospectos!$E$2:$E$288,MATCH($A19,Prospectos!$A$2:$A$288,0)),"")</x:f>
        <x:v>Río Tercero</x:v>
      </x:c>
      <x:c r="G19" s="183" t="str">
        <x:f>IFERROR(INDEX(Prospectos!$K$2:$K$288,MATCH($A19,Prospectos!$A$2:$A$288,0)),"")</x:f>
        <x:v>0351 6411413</x:v>
      </x:c>
      <x:c r="H19" s="183" t="str">
        <x:f>IFERROR(INDEX(Prospectos!$M$2:$M$288,MATCH($A19,Prospectos!$A$2:$A$288,0)),"")</x:f>
        <x:v>operaciones / entregas</x:v>
      </x:c>
      <x:c r="I19" s="183" t="str">
        <x:f>IFERROR(INDEX(Prospectos!$N$2:$N$288,MATCH($A19,Prospectos!$A$2:$A$288,0)),"")</x:f>
        <x:v>Traslado de maquinaria, módulos de obrador, estructuras, equipos y cargas pesadas entre frentes.</x:v>
      </x:c>
      <x:c r="J19" s="183" t="str">
        <x:f>IFERROR(INDEX(Prospectos!$AJ$2:$AJ$288,MATCH($A19,Prospectos!$A$2:$A$288,0)),"")</x:f>
        <x:v>Muy alta</x:v>
      </x:c>
      <x:c r="K19" s="179"/>
      <x:c r="L19" s="5"/>
      <x:c r="M19" s="135"/>
      <x:c r="N19" s="158"/>
    </x:row>
    <x:row r="20" ht="34" customHeight="1">
      <x:c r="A20" s="3" t="str">
        <x:v>RT-010</x:v>
      </x:c>
      <x:c r="B20" s="3" t="str">
        <x:f>IFERROR(INDEX(Prospectos!$F$2:$F$288,MATCH($A20,Prospectos!$A$2:$A$288,0)),"")</x:f>
        <x:v>A</x:v>
      </x:c>
      <x:c r="C20" s="3" t="str">
        <x:f>IFERROR(INDEX(Prospectos!$H$2:$H$288,MATCH($A20,Prospectos!$A$2:$A$288,0)),"")</x:f>
        <x:v>HORMIWORK S.A.</x:v>
      </x:c>
      <x:c r="D20" s="3" t="str">
        <x:f>IFERROR(INDEX(Prospectos!$J$2:$J$288,MATCH($A20,Prospectos!$A$2:$A$288,0)),"")</x:f>
        <x:v>Hormigón, áridos y materiales</x:v>
      </x:c>
      <x:c r="E20" s="3" t="str">
        <x:f>IFERROR(INDEX(Prospectos!$C$2:$C$288,MATCH($A20,Prospectos!$A$2:$A$288,0)),"")</x:f>
        <x:v>Base Río Tercero</x:v>
      </x:c>
      <x:c r="F20" s="3" t="str">
        <x:f>IFERROR(INDEX(Prospectos!$E$2:$E$288,MATCH($A20,Prospectos!$A$2:$A$288,0)),"")</x:f>
        <x:v>Río Tercero</x:v>
      </x:c>
      <x:c r="G20" s="3" t="str">
        <x:f>IFERROR(INDEX(Prospectos!$K$2:$K$288,MATCH($A20,Prospectos!$A$2:$A$288,0)),"")</x:f>
        <x:v>03571 565662 (portería parque)</x:v>
      </x:c>
      <x:c r="H20" s="3" t="str">
        <x:f>IFERROR(INDEX(Prospectos!$M$2:$M$288,MATCH($A20,Prospectos!$A$2:$A$288,0)),"")</x:f>
        <x:v>planta / despacho</x:v>
      </x:c>
      <x:c r="I20" s="3" t="str">
        <x:f>IFERROR(INDEX(Prospectos!$N$2:$N$288,MATCH($A20,Prospectos!$A$2:$A$288,0)),"")</x:f>
        <x:v>Movimiento de premoldeados, moldes, equipos de planta y cargas pesadas asociadas a obra.</x:v>
      </x:c>
      <x:c r="J20" s="3" t="str">
        <x:f>IFERROR(INDEX(Prospectos!$AJ$2:$AJ$288,MATCH($A20,Prospectos!$A$2:$A$288,0)),"")</x:f>
        <x:v>Alta</x:v>
      </x:c>
      <x:c r="K20" s="179"/>
      <x:c r="L20" s="3"/>
      <x:c r="M20" s="137"/>
      <x:c r="N20" s="158"/>
    </x:row>
    <x:row r="21" ht="34" customHeight="1">
      <x:c r="A21" s="183" t="str">
        <x:v>RT-062</x:v>
      </x:c>
      <x:c r="B21" s="183" t="str">
        <x:f>IFERROR(INDEX(Prospectos!$F$2:$F$288,MATCH($A21,Prospectos!$A$2:$A$288,0)),"")</x:f>
        <x:v>A</x:v>
      </x:c>
      <x:c r="C21" s="183" t="str">
        <x:f>IFERROR(INDEX(Prospectos!$H$2:$H$288,MATCH($A21,Prospectos!$A$2:$A$288,0)),"")</x:f>
        <x:v>Bartolomé Cerutti SRL — Río Tercero</x:v>
      </x:c>
      <x:c r="D21" s="183" t="str">
        <x:f>IFERROR(INDEX(Prospectos!$J$2:$J$288,MATCH($A21,Prospectos!$A$2:$A$288,0)),"")</x:f>
        <x:v>Maquinaria agrícola</x:v>
      </x:c>
      <x:c r="E21" s="183" t="str">
        <x:f>IFERROR(INDEX(Prospectos!$C$2:$C$288,MATCH($A21,Prospectos!$A$2:$A$288,0)),"")</x:f>
        <x:v>Base Río Tercero</x:v>
      </x:c>
      <x:c r="F21" s="183" t="str">
        <x:f>IFERROR(INDEX(Prospectos!$E$2:$E$288,MATCH($A21,Prospectos!$A$2:$A$288,0)),"")</x:f>
        <x:v>Río Tercero</x:v>
      </x:c>
      <x:c r="G21" s="183" t="str">
        <x:f>IFERROR(INDEX(Prospectos!$K$2:$K$288,MATCH($A21,Prospectos!$A$2:$A$288,0)),"")</x:f>
        <x:v>03571 644022</x:v>
      </x:c>
      <x:c r="H21" s="183" t="str">
        <x:f>IFERROR(INDEX(Prospectos!$M$2:$M$288,MATCH($A21,Prospectos!$A$2:$A$288,0)),"")</x:f>
        <x:v>logística / ventas / postventa</x:v>
      </x:c>
      <x:c r="I21" s="183" t="str">
        <x:f>IFERROR(INDEX(Prospectos!$N$2:$N$288,MATCH($A21,Prospectos!$A$2:$A$288,0)),"")</x:f>
        <x:v>Entrega y retiro de tractores, cosechadoras, pulverizadoras, sembradoras e implementos; movimientos por venta, service, canje, demostraciones o ferias.</x:v>
      </x:c>
      <x:c r="J21" s="183" t="str">
        <x:f>IFERROR(INDEX(Prospectos!$AJ$2:$AJ$288,MATCH($A21,Prospectos!$A$2:$A$288,0)),"")</x:f>
        <x:v>Muy alta</x:v>
      </x:c>
      <x:c r="K21" s="179"/>
      <x:c r="L21" s="5"/>
      <x:c r="M21" s="135"/>
      <x:c r="N21" s="158"/>
    </x:row>
    <x:row r="22" ht="34" customHeight="1">
      <x:c r="A22" s="3" t="str">
        <x:v>RT-055</x:v>
      </x:c>
      <x:c r="B22" s="3" t="str">
        <x:f>IFERROR(INDEX(Prospectos!$F$2:$F$288,MATCH($A22,Prospectos!$A$2:$A$288,0)),"")</x:f>
        <x:v>A</x:v>
      </x:c>
      <x:c r="C22" s="3" t="str">
        <x:f>IFERROR(INDEX(Prospectos!$H$2:$H$288,MATCH($A22,Prospectos!$A$2:$A$288,0)),"")</x:f>
        <x:v>Conax</x:v>
      </x:c>
      <x:c r="D22" s="3" t="str">
        <x:f>IFERROR(INDEX(Prospectos!$J$2:$J$288,MATCH($A22,Prospectos!$A$2:$A$288,0)),"")</x:f>
        <x:v>Maquinaria agrícola</x:v>
      </x:c>
      <x:c r="E22" s="3" t="str">
        <x:f>IFERROR(INDEX(Prospectos!$C$2:$C$288,MATCH($A22,Prospectos!$A$2:$A$288,0)),"")</x:f>
        <x:v>Base Río Tercero</x:v>
      </x:c>
      <x:c r="F22" s="3" t="str">
        <x:f>IFERROR(INDEX(Prospectos!$E$2:$E$288,MATCH($A22,Prospectos!$A$2:$A$288,0)),"")</x:f>
        <x:v>Río Tercero</x:v>
      </x:c>
      <x:c r="G22" s="3" t="str">
        <x:f>IFERROR(INDEX(Prospectos!$K$2:$K$288,MATCH($A22,Prospectos!$A$2:$A$288,0)),"")</x:f>
        <x:v>+54 3571 348077</x:v>
      </x:c>
      <x:c r="H22" s="3" t="str">
        <x:f>IFERROR(INDEX(Prospectos!$M$2:$M$288,MATCH($A22,Prospectos!$A$2:$A$288,0)),"")</x:f>
        <x:v>logística / ventas / postventa</x:v>
      </x:c>
      <x:c r="I22" s="3" t="str">
        <x:f>IFERROR(INDEX(Prospectos!$N$2:$N$288,MATCH($A22,Prospectos!$A$2:$A$288,0)),"")</x:f>
        <x:v>Entrega y retiro de tractores, cosechadoras, pulverizadoras, sembradoras e implementos; movimientos por venta, service, canje, demostraciones o ferias.</x:v>
      </x:c>
      <x:c r="J22" s="3" t="str">
        <x:f>IFERROR(INDEX(Prospectos!$AJ$2:$AJ$288,MATCH($A22,Prospectos!$A$2:$A$288,0)),"")</x:f>
        <x:v>Muy alta</x:v>
      </x:c>
      <x:c r="K22" s="179"/>
      <x:c r="L22" s="3"/>
      <x:c r="M22" s="137"/>
      <x:c r="N22" s="158"/>
    </x:row>
    <x:row r="23" ht="34" customHeight="1">
      <x:c r="A23" s="183" t="str">
        <x:v>RT-056</x:v>
      </x:c>
      <x:c r="B23" s="183" t="str">
        <x:f>IFERROR(INDEX(Prospectos!$F$2:$F$288,MATCH($A23,Prospectos!$A$2:$A$288,0)),"")</x:f>
        <x:v>A</x:v>
      </x:c>
      <x:c r="C23" s="183" t="str">
        <x:f>IFERROR(INDEX(Prospectos!$H$2:$H$288,MATCH($A23,Prospectos!$A$2:$A$288,0)),"")</x:f>
        <x:v>RSA Repuestos y Servicios</x:v>
      </x:c>
      <x:c r="D23" s="183" t="str">
        <x:f>IFERROR(INDEX(Prospectos!$J$2:$J$288,MATCH($A23,Prospectos!$A$2:$A$288,0)),"")</x:f>
        <x:v>Maquinaria agrícola</x:v>
      </x:c>
      <x:c r="E23" s="183" t="str">
        <x:f>IFERROR(INDEX(Prospectos!$C$2:$C$288,MATCH($A23,Prospectos!$A$2:$A$288,0)),"")</x:f>
        <x:v>Base Río Tercero</x:v>
      </x:c>
      <x:c r="F23" s="183" t="str">
        <x:f>IFERROR(INDEX(Prospectos!$E$2:$E$288,MATCH($A23,Prospectos!$A$2:$A$288,0)),"")</x:f>
        <x:v>Río Tercero</x:v>
      </x:c>
      <x:c r="G23" s="183" t="str">
        <x:f>IFERROR(INDEX(Prospectos!$K$2:$K$288,MATCH($A23,Prospectos!$A$2:$A$288,0)),"")</x:f>
        <x:v>+54 9 3571 538080 / +54 9 3571 578870</x:v>
      </x:c>
      <x:c r="H23" s="183" t="str">
        <x:f>IFERROR(INDEX(Prospectos!$M$2:$M$288,MATCH($A23,Prospectos!$A$2:$A$288,0)),"")</x:f>
        <x:v>logística / ventas / postventa</x:v>
      </x:c>
      <x:c r="I23" s="183" t="str">
        <x:f>IFERROR(INDEX(Prospectos!$N$2:$N$288,MATCH($A23,Prospectos!$A$2:$A$288,0)),"")</x:f>
        <x:v>Entrega y retiro de tractores, cosechadoras, pulverizadoras, sembradoras e implementos; movimientos por venta, service, canje, demostraciones o ferias.</x:v>
      </x:c>
      <x:c r="J23" s="183" t="str">
        <x:f>IFERROR(INDEX(Prospectos!$AJ$2:$AJ$288,MATCH($A23,Prospectos!$A$2:$A$288,0)),"")</x:f>
        <x:v>Muy alta</x:v>
      </x:c>
      <x:c r="K23" s="179"/>
      <x:c r="L23" s="5"/>
      <x:c r="M23" s="135"/>
      <x:c r="N23" s="158"/>
    </x:row>
    <x:row r="24" ht="34" customHeight="1">
      <x:c r="A24" s="3" t="str">
        <x:v>RT-057</x:v>
      </x:c>
      <x:c r="B24" s="3" t="str">
        <x:f>IFERROR(INDEX(Prospectos!$F$2:$F$288,MATCH($A24,Prospectos!$A$2:$A$288,0)),"")</x:f>
        <x:v>A</x:v>
      </x:c>
      <x:c r="C24" s="3" t="str">
        <x:f>IFERROR(INDEX(Prospectos!$H$2:$H$288,MATCH($A24,Prospectos!$A$2:$A$288,0)),"")</x:f>
        <x:v>Viejo Tala S.R.L. — Río Tercero</x:v>
      </x:c>
      <x:c r="D24" s="3" t="str">
        <x:f>IFERROR(INDEX(Prospectos!$J$2:$J$288,MATCH($A24,Prospectos!$A$2:$A$288,0)),"")</x:f>
        <x:v>Maquinaria agrícola</x:v>
      </x:c>
      <x:c r="E24" s="3" t="str">
        <x:f>IFERROR(INDEX(Prospectos!$C$2:$C$288,MATCH($A24,Prospectos!$A$2:$A$288,0)),"")</x:f>
        <x:v>Base Río Tercero</x:v>
      </x:c>
      <x:c r="F24" s="3" t="str">
        <x:f>IFERROR(INDEX(Prospectos!$E$2:$E$288,MATCH($A24,Prospectos!$A$2:$A$288,0)),"")</x:f>
        <x:v>Río Tercero</x:v>
      </x:c>
      <x:c r="G24" s="3" t="str">
        <x:f>IFERROR(INDEX(Prospectos!$K$2:$K$288,MATCH($A24,Prospectos!$A$2:$A$288,0)),"")</x:f>
        <x:v>03571 643332 / +54 9 353 4221837</x:v>
      </x:c>
      <x:c r="H24" s="3" t="str">
        <x:f>IFERROR(INDEX(Prospectos!$M$2:$M$288,MATCH($A24,Prospectos!$A$2:$A$288,0)),"")</x:f>
        <x:v>logística / ventas / postventa</x:v>
      </x:c>
      <x:c r="I24" s="3" t="str">
        <x:f>IFERROR(INDEX(Prospectos!$N$2:$N$288,MATCH($A24,Prospectos!$A$2:$A$288,0)),"")</x:f>
        <x:v>Entrega y retiro de tractores, cosechadoras, pulverizadoras, sembradoras e implementos; movimientos por venta, service, canje, demostraciones o ferias.</x:v>
      </x:c>
      <x:c r="J24" s="3" t="str">
        <x:f>IFERROR(INDEX(Prospectos!$AJ$2:$AJ$288,MATCH($A24,Prospectos!$A$2:$A$288,0)),"")</x:f>
        <x:v>Muy alta</x:v>
      </x:c>
      <x:c r="K24" s="179"/>
      <x:c r="L24" s="3"/>
      <x:c r="M24" s="137"/>
      <x:c r="N24" s="158"/>
    </x:row>
    <x:row r="25" ht="34" customHeight="1">
      <x:c r="A25" s="183" t="str">
        <x:v>RT-065</x:v>
      </x:c>
      <x:c r="B25" s="183" t="str">
        <x:f>IFERROR(INDEX(Prospectos!$F$2:$F$288,MATCH($A25,Prospectos!$A$2:$A$288,0)),"")</x:f>
        <x:v>A</x:v>
      </x:c>
      <x:c r="C25" s="183" t="str">
        <x:f>IFERROR(INDEX(Prospectos!$H$2:$H$288,MATCH($A25,Prospectos!$A$2:$A$288,0)),"")</x:f>
        <x:v>Rino Maquinaria</x:v>
      </x:c>
      <x:c r="D25" s="183" t="str">
        <x:f>IFERROR(INDEX(Prospectos!$J$2:$J$288,MATCH($A25,Prospectos!$A$2:$A$288,0)),"")</x:f>
        <x:v>Maquinaria agrícola</x:v>
      </x:c>
      <x:c r="E25" s="183" t="str">
        <x:f>IFERROR(INDEX(Prospectos!$C$2:$C$288,MATCH($A25,Prospectos!$A$2:$A$288,0)),"")</x:f>
        <x:v>Base Río Tercero</x:v>
      </x:c>
      <x:c r="F25" s="183" t="str">
        <x:f>IFERROR(INDEX(Prospectos!$E$2:$E$288,MATCH($A25,Prospectos!$A$2:$A$288,0)),"")</x:f>
        <x:v>Río Tercero</x:v>
      </x:c>
      <x:c r="G25" s="183" t="str">
        <x:f>IFERROR(INDEX(Prospectos!$K$2:$K$288,MATCH($A25,Prospectos!$A$2:$A$288,0)),"")</x:f>
        <x:v>+54 9 3571 681323</x:v>
      </x:c>
      <x:c r="H25" s="183" t="str">
        <x:f>IFERROR(INDEX(Prospectos!$M$2:$M$288,MATCH($A25,Prospectos!$A$2:$A$288,0)),"")</x:f>
        <x:v>logística / entregas / usados / postventa / gerente comercial</x:v>
      </x:c>
      <x:c r="I25" s="183" t="str">
        <x:f>IFERROR(INDEX(Prospectos!$N$2:$N$288,MATCH($A25,Prospectos!$A$2:$A$288,0)),"")</x:f>
        <x:v>Entrega y retiro de tractores, cosechadoras, pulverizadoras, sembradoras e implementos; movimientos por ventas, canjes, usados, service, demostraciones y ferias.</x:v>
      </x:c>
      <x:c r="J25" s="183" t="str">
        <x:f>IFERROR(INDEX(Prospectos!$AJ$2:$AJ$288,MATCH($A25,Prospectos!$A$2:$A$288,0)),"")</x:f>
        <x:v>Alta</x:v>
      </x:c>
      <x:c r="K25" s="179"/>
      <x:c r="L25" s="5"/>
      <x:c r="M25" s="135"/>
      <x:c r="N25" s="158"/>
    </x:row>
    <x:row r="26" ht="34" customHeight="1">
      <x:c r="A26" s="3" t="str">
        <x:v>RT-011</x:v>
      </x:c>
      <x:c r="B26" s="3" t="str">
        <x:f>IFERROR(INDEX(Prospectos!$F$2:$F$288,MATCH($A26,Prospectos!$A$2:$A$288,0)),"")</x:f>
        <x:v>A</x:v>
      </x:c>
      <x:c r="C26" s="3" t="str">
        <x:f>IFERROR(INDEX(Prospectos!$H$2:$H$288,MATCH($A26,Prospectos!$A$2:$A$288,0)),"")</x:f>
        <x:v>Alpha Construcciones Industriales S.A.</x:v>
      </x:c>
      <x:c r="D26" s="3" t="str">
        <x:f>IFERROR(INDEX(Prospectos!$J$2:$J$288,MATCH($A26,Prospectos!$A$2:$A$288,0)),"")</x:f>
        <x:v>Construcción y obra vial</x:v>
      </x:c>
      <x:c r="E26" s="3" t="str">
        <x:f>IFERROR(INDEX(Prospectos!$C$2:$C$288,MATCH($A26,Prospectos!$A$2:$A$288,0)),"")</x:f>
        <x:v>Base Río Tercero</x:v>
      </x:c>
      <x:c r="F26" s="3" t="str">
        <x:f>IFERROR(INDEX(Prospectos!$E$2:$E$288,MATCH($A26,Prospectos!$A$2:$A$288,0)),"")</x:f>
        <x:v>Río Tercero</x:v>
      </x:c>
      <x:c r="G26" s="3" t="str">
        <x:f>IFERROR(INDEX(Prospectos!$K$2:$K$288,MATCH($A26,Prospectos!$A$2:$A$288,0)),"")</x:f>
        <x:v>A relevar</x:v>
      </x:c>
      <x:c r="H26" s="3" t="str">
        <x:f>IFERROR(INDEX(Prospectos!$M$2:$M$288,MATCH($A26,Prospectos!$A$2:$A$288,0)),"")</x:f>
        <x:v>jefe de obra / operaciones</x:v>
      </x:c>
      <x:c r="I26" s="3" t="str">
        <x:f>IFERROR(INDEX(Prospectos!$N$2:$N$288,MATCH($A26,Prospectos!$A$2:$A$288,0)),"")</x:f>
        <x:v>Traslado de maquinaria, módulos de obrador, estructuras y equipos entre depósitos y frentes de obra.</x:v>
      </x:c>
      <x:c r="J26" s="3" t="str">
        <x:f>IFERROR(INDEX(Prospectos!$AJ$2:$AJ$288,MATCH($A26,Prospectos!$A$2:$A$288,0)),"")</x:f>
        <x:v>Alta</x:v>
      </x:c>
      <x:c r="K26" s="179"/>
      <x:c r="L26" s="3"/>
      <x:c r="M26" s="137"/>
      <x:c r="N26" s="158"/>
    </x:row>
    <x:row r="27" ht="34" customHeight="1">
      <x:c r="A27" s="183" t="str">
        <x:v>RT-012</x:v>
      </x:c>
      <x:c r="B27" s="183" t="str">
        <x:f>IFERROR(INDEX(Prospectos!$F$2:$F$288,MATCH($A27,Prospectos!$A$2:$A$288,0)),"")</x:f>
        <x:v>A</x:v>
      </x:c>
      <x:c r="C27" s="183" t="str">
        <x:f>IFERROR(INDEX(Prospectos!$H$2:$H$288,MATCH($A27,Prospectos!$A$2:$A$288,0)),"")</x:f>
        <x:v>Caon - Concesionario Oficial CASE IH</x:v>
      </x:c>
      <x:c r="D27" s="183" t="str">
        <x:f>IFERROR(INDEX(Prospectos!$J$2:$J$288,MATCH($A27,Prospectos!$A$2:$A$288,0)),"")</x:f>
        <x:v>Maquinaria agrícola</x:v>
      </x:c>
      <x:c r="E27" s="183" t="str">
        <x:f>IFERROR(INDEX(Prospectos!$C$2:$C$288,MATCH($A27,Prospectos!$A$2:$A$288,0)),"")</x:f>
        <x:v>Base Río Tercero</x:v>
      </x:c>
      <x:c r="F27" s="183" t="str">
        <x:f>IFERROR(INDEX(Prospectos!$E$2:$E$288,MATCH($A27,Prospectos!$A$2:$A$288,0)),"")</x:f>
        <x:v>Río Tercero</x:v>
      </x:c>
      <x:c r="G27" s="183" t="str">
        <x:f>IFERROR(INDEX(Prospectos!$K$2:$K$288,MATCH($A27,Prospectos!$A$2:$A$288,0)),"")</x:f>
        <x:v>03571 682141</x:v>
      </x:c>
      <x:c r="H27" s="183" t="str">
        <x:f>IFERROR(INDEX(Prospectos!$M$2:$M$288,MATCH($A27,Prospectos!$A$2:$A$288,0)),"")</x:f>
        <x:v>logística / entregas / postventa</x:v>
      </x:c>
      <x:c r="I27" s="183" t="str">
        <x:f>IFERROR(INDEX(Prospectos!$N$2:$N$288,MATCH($A27,Prospectos!$A$2:$A$288,0)),"")</x:f>
        <x:v>Traslado de maquinaria agrícola o vial entre sucursal, cliente, taller, campo y eventos.</x:v>
      </x:c>
      <x:c r="J27" s="183" t="str">
        <x:f>IFERROR(INDEX(Prospectos!$AJ$2:$AJ$288,MATCH($A27,Prospectos!$A$2:$A$288,0)),"")</x:f>
        <x:v>Muy alta</x:v>
      </x:c>
      <x:c r="K27" s="179"/>
      <x:c r="L27" s="5"/>
      <x:c r="M27" s="135"/>
      <x:c r="N27" s="158"/>
    </x:row>
    <x:row r="28" ht="34" customHeight="1">
      <x:c r="A28" s="3" t="str">
        <x:v>RT-013</x:v>
      </x:c>
      <x:c r="B28" s="3" t="str">
        <x:f>IFERROR(INDEX(Prospectos!$F$2:$F$288,MATCH($A28,Prospectos!$A$2:$A$288,0)),"")</x:f>
        <x:v>A</x:v>
      </x:c>
      <x:c r="C28" s="3" t="str">
        <x:f>IFERROR(INDEX(Prospectos!$H$2:$H$288,MATCH($A28,Prospectos!$A$2:$A$288,0)),"")</x:f>
        <x:v>Cimat SRL</x:v>
      </x:c>
      <x:c r="D28" s="3" t="str">
        <x:f>IFERROR(INDEX(Prospectos!$J$2:$J$288,MATCH($A28,Prospectos!$A$2:$A$288,0)),"")</x:f>
        <x:v>Maquinaria agrícola</x:v>
      </x:c>
      <x:c r="E28" s="3" t="str">
        <x:f>IFERROR(INDEX(Prospectos!$C$2:$C$288,MATCH($A28,Prospectos!$A$2:$A$288,0)),"")</x:f>
        <x:v>Base Río Tercero</x:v>
      </x:c>
      <x:c r="F28" s="3" t="str">
        <x:f>IFERROR(INDEX(Prospectos!$E$2:$E$288,MATCH($A28,Prospectos!$A$2:$A$288,0)),"")</x:f>
        <x:v>Río Tercero</x:v>
      </x:c>
      <x:c r="G28" s="3" t="str">
        <x:f>IFERROR(INDEX(Prospectos!$K$2:$K$288,MATCH($A28,Prospectos!$A$2:$A$288,0)),"")</x:f>
        <x:v>03571 422153</x:v>
      </x:c>
      <x:c r="H28" s="3" t="str">
        <x:f>IFERROR(INDEX(Prospectos!$M$2:$M$288,MATCH($A28,Prospectos!$A$2:$A$288,0)),"")</x:f>
        <x:v>logística / entregas / postventa</x:v>
      </x:c>
      <x:c r="I28" s="3" t="str">
        <x:f>IFERROR(INDEX(Prospectos!$N$2:$N$288,MATCH($A28,Prospectos!$A$2:$A$288,0)),"")</x:f>
        <x:v>Traslado de maquinaria agrícola o vial entre sucursal, cliente, taller, campo y eventos.</x:v>
      </x:c>
      <x:c r="J28" s="3" t="str">
        <x:f>IFERROR(INDEX(Prospectos!$AJ$2:$AJ$288,MATCH($A28,Prospectos!$A$2:$A$288,0)),"")</x:f>
        <x:v>Muy alta</x:v>
      </x:c>
      <x:c r="K28" s="179"/>
      <x:c r="L28" s="3"/>
      <x:c r="M28" s="137"/>
      <x:c r="N28" s="158"/>
    </x:row>
    <x:row r="29" ht="34" customHeight="1">
      <x:c r="A29" s="183" t="str">
        <x:v>RT-014</x:v>
      </x:c>
      <x:c r="B29" s="183" t="str">
        <x:f>IFERROR(INDEX(Prospectos!$F$2:$F$288,MATCH($A29,Prospectos!$A$2:$A$288,0)),"")</x:f>
        <x:v>A</x:v>
      </x:c>
      <x:c r="C29" s="183" t="str">
        <x:f>IFERROR(INDEX(Prospectos!$H$2:$H$288,MATCH($A29,Prospectos!$A$2:$A$288,0)),"")</x:f>
        <x:v>D &amp; M ESTRUCTURAS</x:v>
      </x:c>
      <x:c r="D29" s="183" t="str">
        <x:f>IFERROR(INDEX(Prospectos!$J$2:$J$288,MATCH($A29,Prospectos!$A$2:$A$288,0)),"")</x:f>
        <x:v>Metalúrgica y fabricación</x:v>
      </x:c>
      <x:c r="E29" s="183" t="str">
        <x:f>IFERROR(INDEX(Prospectos!$C$2:$C$288,MATCH($A29,Prospectos!$A$2:$A$288,0)),"")</x:f>
        <x:v>Base Río Tercero</x:v>
      </x:c>
      <x:c r="F29" s="183" t="str">
        <x:f>IFERROR(INDEX(Prospectos!$E$2:$E$288,MATCH($A29,Prospectos!$A$2:$A$288,0)),"")</x:f>
        <x:v>Río Tercero</x:v>
      </x:c>
      <x:c r="G29" s="183" t="str">
        <x:f>IFERROR(INDEX(Prospectos!$K$2:$K$288,MATCH($A29,Prospectos!$A$2:$A$288,0)),"")</x:f>
        <x:v>A relevar</x:v>
      </x:c>
      <x:c r="H29" s="183" t="str">
        <x:f>IFERROR(INDEX(Prospectos!$M$2:$M$288,MATCH($A29,Prospectos!$A$2:$A$288,0)),"")</x:f>
        <x:v>despacho / producción</x:v>
      </x:c>
      <x:c r="I29" s="183" t="str">
        <x:f>IFERROR(INDEX(Prospectos!$N$2:$N$288,MATCH($A29,Prospectos!$A$2:$A$288,0)),"")</x:f>
        <x:v>Despacho de estructuras, piezas, equipos y conjuntos metalmecánicos de gran porte hacia obras o clientes.</x:v>
      </x:c>
      <x:c r="J29" s="183" t="str">
        <x:f>IFERROR(INDEX(Prospectos!$AJ$2:$AJ$288,MATCH($A29,Prospectos!$A$2:$A$288,0)),"")</x:f>
        <x:v>Alta</x:v>
      </x:c>
      <x:c r="K29" s="179"/>
      <x:c r="L29" s="5"/>
      <x:c r="M29" s="135"/>
      <x:c r="N29" s="158"/>
    </x:row>
    <x:row r="30" ht="34" customHeight="1">
      <x:c r="A30" s="3" t="str">
        <x:v>RT-015</x:v>
      </x:c>
      <x:c r="B30" s="3" t="str">
        <x:f>IFERROR(INDEX(Prospectos!$F$2:$F$288,MATCH($A30,Prospectos!$A$2:$A$288,0)),"")</x:f>
        <x:v>A</x:v>
      </x:c>
      <x:c r="C30" s="3" t="str">
        <x:f>IFERROR(INDEX(Prospectos!$H$2:$H$288,MATCH($A30,Prospectos!$A$2:$A$288,0)),"")</x:f>
        <x:v>Duter S.A.</x:v>
      </x:c>
      <x:c r="D30" s="3" t="str">
        <x:f>IFERROR(INDEX(Prospectos!$J$2:$J$288,MATCH($A30,Prospectos!$A$2:$A$288,0)),"")</x:f>
        <x:v>Maquinaria agrícola</x:v>
      </x:c>
      <x:c r="E30" s="3" t="str">
        <x:f>IFERROR(INDEX(Prospectos!$C$2:$C$288,MATCH($A30,Prospectos!$A$2:$A$288,0)),"")</x:f>
        <x:v>Base Río Tercero</x:v>
      </x:c>
      <x:c r="F30" s="3" t="str">
        <x:f>IFERROR(INDEX(Prospectos!$E$2:$E$288,MATCH($A30,Prospectos!$A$2:$A$288,0)),"")</x:f>
        <x:v>Río Tercero</x:v>
      </x:c>
      <x:c r="G30" s="3" t="str">
        <x:f>IFERROR(INDEX(Prospectos!$K$2:$K$288,MATCH($A30,Prospectos!$A$2:$A$288,0)),"")</x:f>
        <x:v>03571 565177</x:v>
      </x:c>
      <x:c r="H30" s="3" t="str">
        <x:f>IFERROR(INDEX(Prospectos!$M$2:$M$288,MATCH($A30,Prospectos!$A$2:$A$288,0)),"")</x:f>
        <x:v>logística / despacho / postventa</x:v>
      </x:c>
      <x:c r="I30" s="3" t="str">
        <x:f>IFERROR(INDEX(Prospectos!$N$2:$N$288,MATCH($A30,Prospectos!$A$2:$A$288,0)),"")</x:f>
        <x:v>Traslado de maquinaria, implementos, equipos terminados y componentes de gran porte entre planta, cliente, obra o feria.</x:v>
      </x:c>
      <x:c r="J30" s="3" t="str">
        <x:f>IFERROR(INDEX(Prospectos!$AJ$2:$AJ$288,MATCH($A30,Prospectos!$A$2:$A$288,0)),"")</x:f>
        <x:v>Muy alta</x:v>
      </x:c>
      <x:c r="K30" s="179"/>
      <x:c r="L30" s="3"/>
      <x:c r="M30" s="137"/>
      <x:c r="N30" s="158"/>
    </x:row>
    <x:row r="31" ht="34" customHeight="1">
      <x:c r="A31" s="183" t="str">
        <x:v>RT-016</x:v>
      </x:c>
      <x:c r="B31" s="183" t="str">
        <x:f>IFERROR(INDEX(Prospectos!$F$2:$F$288,MATCH($A31,Prospectos!$A$2:$A$288,0)),"")</x:f>
        <x:v>A</x:v>
      </x:c>
      <x:c r="C31" s="183" t="str">
        <x:f>IFERROR(INDEX(Prospectos!$H$2:$H$288,MATCH($A31,Prospectos!$A$2:$A$288,0)),"")</x:f>
        <x:v>ESISA</x:v>
      </x:c>
      <x:c r="D31" s="183" t="str">
        <x:f>IFERROR(INDEX(Prospectos!$J$2:$J$288,MATCH($A31,Prospectos!$A$2:$A$288,0)),"")</x:f>
        <x:v>Módulos y contenedores</x:v>
      </x:c>
      <x:c r="E31" s="183" t="str">
        <x:f>IFERROR(INDEX(Prospectos!$C$2:$C$288,MATCH($A31,Prospectos!$A$2:$A$288,0)),"")</x:f>
        <x:v>Base Río Tercero</x:v>
      </x:c>
      <x:c r="F31" s="183" t="str">
        <x:f>IFERROR(INDEX(Prospectos!$E$2:$E$288,MATCH($A31,Prospectos!$A$2:$A$288,0)),"")</x:f>
        <x:v>Río Tercero</x:v>
      </x:c>
      <x:c r="G31" s="183" t="str">
        <x:f>IFERROR(INDEX(Prospectos!$K$2:$K$288,MATCH($A31,Prospectos!$A$2:$A$288,0)),"")</x:f>
        <x:v>Portería parque: 03571 565662; mail esisaservicios@gmail.com</x:v>
      </x:c>
      <x:c r="H31" s="183" t="str">
        <x:f>IFERROR(INDEX(Prospectos!$M$2:$M$288,MATCH($A31,Prospectos!$A$2:$A$288,0)),"")</x:f>
        <x:v>operaciones / entregas</x:v>
      </x:c>
      <x:c r="I31" s="183" t="str">
        <x:f>IFERROR(INDEX(Prospectos!$N$2:$N$288,MATCH($A31,Prospectos!$A$2:$A$288,0)),"")</x:f>
        <x:v>Entrega, descarga y posicionamiento de módulos/containers en obra o cliente final.</x:v>
      </x:c>
      <x:c r="J31" s="183" t="str">
        <x:f>IFERROR(INDEX(Prospectos!$AJ$2:$AJ$288,MATCH($A31,Prospectos!$A$2:$A$288,0)),"")</x:f>
        <x:v>Muy alta</x:v>
      </x:c>
      <x:c r="K31" s="179"/>
      <x:c r="L31" s="5"/>
      <x:c r="M31" s="135"/>
      <x:c r="N31" s="158"/>
    </x:row>
    <x:row r="32" ht="34" customHeight="1">
      <x:c r="A32" s="3" t="str">
        <x:v>RT-017</x:v>
      </x:c>
      <x:c r="B32" s="3" t="str">
        <x:f>IFERROR(INDEX(Prospectos!$F$2:$F$288,MATCH($A32,Prospectos!$A$2:$A$288,0)),"")</x:f>
        <x:v>A</x:v>
      </x:c>
      <x:c r="C32" s="3" t="str">
        <x:f>IFERROR(INDEX(Prospectos!$H$2:$H$288,MATCH($A32,Prospectos!$A$2:$A$288,0)),"")</x:f>
        <x:v>ISECO Construcción</x:v>
      </x:c>
      <x:c r="D32" s="3" t="str">
        <x:f>IFERROR(INDEX(Prospectos!$J$2:$J$288,MATCH($A32,Prospectos!$A$2:$A$288,0)),"")</x:f>
        <x:v>Construcción y obra vial</x:v>
      </x:c>
      <x:c r="E32" s="3" t="str">
        <x:f>IFERROR(INDEX(Prospectos!$C$2:$C$288,MATCH($A32,Prospectos!$A$2:$A$288,0)),"")</x:f>
        <x:v>Base Río Tercero</x:v>
      </x:c>
      <x:c r="F32" s="3" t="str">
        <x:f>IFERROR(INDEX(Prospectos!$E$2:$E$288,MATCH($A32,Prospectos!$A$2:$A$288,0)),"")</x:f>
        <x:v>Río Tercero</x:v>
      </x:c>
      <x:c r="G32" s="3" t="str">
        <x:f>IFERROR(INDEX(Prospectos!$K$2:$K$288,MATCH($A32,Prospectos!$A$2:$A$288,0)),"")</x:f>
        <x:v>+54 9 3571 551917</x:v>
      </x:c>
      <x:c r="H32" s="3" t="str">
        <x:f>IFERROR(INDEX(Prospectos!$M$2:$M$288,MATCH($A32,Prospectos!$A$2:$A$288,0)),"")</x:f>
        <x:v>jefe de obra / operaciones</x:v>
      </x:c>
      <x:c r="I32" s="3" t="str">
        <x:f>IFERROR(INDEX(Prospectos!$N$2:$N$288,MATCH($A32,Prospectos!$A$2:$A$288,0)),"")</x:f>
        <x:v>Traslado de maquinaria, módulos de obrador, estructuras y equipos entre depósitos y frentes de obra.</x:v>
      </x:c>
      <x:c r="J32" s="3" t="str">
        <x:f>IFERROR(INDEX(Prospectos!$AJ$2:$AJ$288,MATCH($A32,Prospectos!$A$2:$A$288,0)),"")</x:f>
        <x:v>Muy alta</x:v>
      </x:c>
      <x:c r="K32" s="179"/>
      <x:c r="L32" s="3"/>
      <x:c r="M32" s="137"/>
      <x:c r="N32" s="158"/>
    </x:row>
    <x:row r="33" ht="34" customHeight="1">
      <x:c r="A33" s="183" t="str">
        <x:v>RT-018</x:v>
      </x:c>
      <x:c r="B33" s="183" t="str">
        <x:f>IFERROR(INDEX(Prospectos!$F$2:$F$288,MATCH($A33,Prospectos!$A$2:$A$288,0)),"")</x:f>
        <x:v>A</x:v>
      </x:c>
      <x:c r="C33" s="183" t="str">
        <x:f>IFERROR(INDEX(Prospectos!$H$2:$H$288,MATCH($A33,Prospectos!$A$2:$A$288,0)),"")</x:f>
        <x:v>Luzenti Hnos S.A.</x:v>
      </x:c>
      <x:c r="D33" s="183" t="str">
        <x:f>IFERROR(INDEX(Prospectos!$J$2:$J$288,MATCH($A33,Prospectos!$A$2:$A$288,0)),"")</x:f>
        <x:v>Construcción y obra vial</x:v>
      </x:c>
      <x:c r="E33" s="183" t="str">
        <x:f>IFERROR(INDEX(Prospectos!$C$2:$C$288,MATCH($A33,Prospectos!$A$2:$A$288,0)),"")</x:f>
        <x:v>Base Río Tercero</x:v>
      </x:c>
      <x:c r="F33" s="183" t="str">
        <x:f>IFERROR(INDEX(Prospectos!$E$2:$E$288,MATCH($A33,Prospectos!$A$2:$A$288,0)),"")</x:f>
        <x:v>Río Tercero</x:v>
      </x:c>
      <x:c r="G33" s="183" t="str">
        <x:f>IFERROR(INDEX(Prospectos!$K$2:$K$288,MATCH($A33,Prospectos!$A$2:$A$288,0)),"")</x:f>
        <x:v>03584 860532</x:v>
      </x:c>
      <x:c r="H33" s="183" t="str">
        <x:f>IFERROR(INDEX(Prospectos!$M$2:$M$288,MATCH($A33,Prospectos!$A$2:$A$288,0)),"")</x:f>
        <x:v>jefe de obra / operaciones</x:v>
      </x:c>
      <x:c r="I33" s="183" t="str">
        <x:f>IFERROR(INDEX(Prospectos!$N$2:$N$288,MATCH($A33,Prospectos!$A$2:$A$288,0)),"")</x:f>
        <x:v>Traslado de maquinaria, módulos de obrador, estructuras y equipos entre depósitos y frentes de obra.</x:v>
      </x:c>
      <x:c r="J33" s="183" t="str">
        <x:f>IFERROR(INDEX(Prospectos!$AJ$2:$AJ$288,MATCH($A33,Prospectos!$A$2:$A$288,0)),"")</x:f>
        <x:v>Muy alta</x:v>
      </x:c>
      <x:c r="K33" s="179"/>
      <x:c r="L33" s="5"/>
      <x:c r="M33" s="135"/>
      <x:c r="N33" s="158"/>
    </x:row>
    <x:row r="34" ht="34" customHeight="1">
      <x:c r="A34" s="3" t="str">
        <x:v>RT-019</x:v>
      </x:c>
      <x:c r="B34" s="3" t="str">
        <x:f>IFERROR(INDEX(Prospectos!$F$2:$F$288,MATCH($A34,Prospectos!$A$2:$A$288,0)),"")</x:f>
        <x:v>A</x:v>
      </x:c>
      <x:c r="C34" s="3" t="str">
        <x:f>IFERROR(INDEX(Prospectos!$H$2:$H$288,MATCH($A34,Prospectos!$A$2:$A$288,0)),"")</x:f>
        <x:v>NEMETAL S.A.S</x:v>
      </x:c>
      <x:c r="D34" s="3" t="str">
        <x:f>IFERROR(INDEX(Prospectos!$J$2:$J$288,MATCH($A34,Prospectos!$A$2:$A$288,0)),"")</x:f>
        <x:v>Maquinaria agrícola</x:v>
      </x:c>
      <x:c r="E34" s="3" t="str">
        <x:f>IFERROR(INDEX(Prospectos!$C$2:$C$288,MATCH($A34,Prospectos!$A$2:$A$288,0)),"")</x:f>
        <x:v>Base Río Tercero</x:v>
      </x:c>
      <x:c r="F34" s="3" t="str">
        <x:f>IFERROR(INDEX(Prospectos!$E$2:$E$288,MATCH($A34,Prospectos!$A$2:$A$288,0)),"")</x:f>
        <x:v>Río Tercero</x:v>
      </x:c>
      <x:c r="G34" s="3" t="str">
        <x:f>IFERROR(INDEX(Prospectos!$K$2:$K$288,MATCH($A34,Prospectos!$A$2:$A$288,0)),"")</x:f>
        <x:v>03571 550608</x:v>
      </x:c>
      <x:c r="H34" s="3" t="str">
        <x:f>IFERROR(INDEX(Prospectos!$M$2:$M$288,MATCH($A34,Prospectos!$A$2:$A$288,0)),"")</x:f>
        <x:v>despacho / producción</x:v>
      </x:c>
      <x:c r="I34" s="3" t="str">
        <x:f>IFERROR(INDEX(Prospectos!$N$2:$N$288,MATCH($A34,Prospectos!$A$2:$A$288,0)),"")</x:f>
        <x:v>Despacho de estructuras, piezas, equipos y conjuntos metalmecánicos de gran porte hacia obras o clientes.</x:v>
      </x:c>
      <x:c r="J34" s="3" t="str">
        <x:f>IFERROR(INDEX(Prospectos!$AJ$2:$AJ$288,MATCH($A34,Prospectos!$A$2:$A$288,0)),"")</x:f>
        <x:v>Muy alta</x:v>
      </x:c>
      <x:c r="K34" s="179"/>
      <x:c r="L34" s="3"/>
      <x:c r="M34" s="137"/>
      <x:c r="N34" s="158"/>
    </x:row>
    <x:row r="35" ht="34" customHeight="1">
      <x:c r="A35" s="183" t="str">
        <x:v>RT-058</x:v>
      </x:c>
      <x:c r="B35" s="183" t="str">
        <x:f>IFERROR(INDEX(Prospectos!$F$2:$F$288,MATCH($A35,Prospectos!$A$2:$A$288,0)),"")</x:f>
        <x:v>A</x:v>
      </x:c>
      <x:c r="C35" s="183" t="str">
        <x:f>IFERROR(INDEX(Prospectos!$H$2:$H$288,MATCH($A35,Prospectos!$A$2:$A$288,0)),"")</x:f>
        <x:v>Paulucci Máquinas Agrícolas</x:v>
      </x:c>
      <x:c r="D35" s="183" t="str">
        <x:f>IFERROR(INDEX(Prospectos!$J$2:$J$288,MATCH($A35,Prospectos!$A$2:$A$288,0)),"")</x:f>
        <x:v>Maquinaria agrícola</x:v>
      </x:c>
      <x:c r="E35" s="183" t="str">
        <x:f>IFERROR(INDEX(Prospectos!$C$2:$C$288,MATCH($A35,Prospectos!$A$2:$A$288,0)),"")</x:f>
        <x:v>Base Río Tercero</x:v>
      </x:c>
      <x:c r="F35" s="183" t="str">
        <x:f>IFERROR(INDEX(Prospectos!$E$2:$E$288,MATCH($A35,Prospectos!$A$2:$A$288,0)),"")</x:f>
        <x:v>Río Tercero</x:v>
      </x:c>
      <x:c r="G35" s="183" t="str">
        <x:f>IFERROR(INDEX(Prospectos!$K$2:$K$288,MATCH($A35,Prospectos!$A$2:$A$288,0)),"")</x:f>
        <x:v>03571 424384</x:v>
      </x:c>
      <x:c r="H35" s="183" t="str">
        <x:f>IFERROR(INDEX(Prospectos!$M$2:$M$288,MATCH($A35,Prospectos!$A$2:$A$288,0)),"")</x:f>
        <x:v>logística / ventas / postventa</x:v>
      </x:c>
      <x:c r="I35" s="183" t="str">
        <x:f>IFERROR(INDEX(Prospectos!$N$2:$N$288,MATCH($A35,Prospectos!$A$2:$A$288,0)),"")</x:f>
        <x:v>Entrega y retiro de tractores, cosechadoras, pulverizadoras, sembradoras e implementos; movimientos por venta, service, canje, demostraciones o ferias.</x:v>
      </x:c>
      <x:c r="J35" s="183" t="str">
        <x:f>IFERROR(INDEX(Prospectos!$AJ$2:$AJ$288,MATCH($A35,Prospectos!$A$2:$A$288,0)),"")</x:f>
        <x:v>Alta</x:v>
      </x:c>
      <x:c r="K35" s="179"/>
      <x:c r="L35" s="5"/>
      <x:c r="M35" s="135"/>
      <x:c r="N35" s="158"/>
    </x:row>
    <x:row r="36" ht="34" customHeight="1">
      <x:c r="A36" s="3" t="str">
        <x:v>RT-059</x:v>
      </x:c>
      <x:c r="B36" s="3" t="str">
        <x:f>IFERROR(INDEX(Prospectos!$F$2:$F$288,MATCH($A36,Prospectos!$A$2:$A$288,0)),"")</x:f>
        <x:v>A</x:v>
      </x:c>
      <x:c r="C36" s="3" t="str">
        <x:f>IFERROR(INDEX(Prospectos!$H$2:$H$288,MATCH($A36,Prospectos!$A$2:$A$288,0)),"")</x:f>
        <x:v>SAEMMA</x:v>
      </x:c>
      <x:c r="D36" s="3" t="str">
        <x:f>IFERROR(INDEX(Prospectos!$J$2:$J$288,MATCH($A36,Prospectos!$A$2:$A$288,0)),"")</x:f>
        <x:v>Maquinaria agrícola</x:v>
      </x:c>
      <x:c r="E36" s="3" t="str">
        <x:f>IFERROR(INDEX(Prospectos!$C$2:$C$288,MATCH($A36,Prospectos!$A$2:$A$288,0)),"")</x:f>
        <x:v>Base Río Tercero</x:v>
      </x:c>
      <x:c r="F36" s="3" t="str">
        <x:f>IFERROR(INDEX(Prospectos!$E$2:$E$288,MATCH($A36,Prospectos!$A$2:$A$288,0)),"")</x:f>
        <x:v>Río Tercero</x:v>
      </x:c>
      <x:c r="G36" s="3" t="str">
        <x:f>IFERROR(INDEX(Prospectos!$K$2:$K$288,MATCH($A36,Prospectos!$A$2:$A$288,0)),"")</x:f>
        <x:v>03571 432338</x:v>
      </x:c>
      <x:c r="H36" s="3" t="str">
        <x:f>IFERROR(INDEX(Prospectos!$M$2:$M$288,MATCH($A36,Prospectos!$A$2:$A$288,0)),"")</x:f>
        <x:v>logística / ventas / postventa</x:v>
      </x:c>
      <x:c r="I36" s="3" t="str">
        <x:f>IFERROR(INDEX(Prospectos!$N$2:$N$288,MATCH($A36,Prospectos!$A$2:$A$288,0)),"")</x:f>
        <x:v>Entrega y retiro de tractores, cosechadoras, pulverizadoras, sembradoras e implementos; movimientos por venta, service, canje, demostraciones o ferias.</x:v>
      </x:c>
      <x:c r="J36" s="3" t="str">
        <x:f>IFERROR(INDEX(Prospectos!$AJ$2:$AJ$288,MATCH($A36,Prospectos!$A$2:$A$288,0)),"")</x:f>
        <x:v>Alta</x:v>
      </x:c>
      <x:c r="K36" s="179"/>
      <x:c r="L36" s="3"/>
      <x:c r="M36" s="137"/>
      <x:c r="N36" s="158"/>
    </x:row>
    <x:row r="37" ht="34" customHeight="1">
      <x:c r="A37" s="183" t="str">
        <x:v>RT-020</x:v>
      </x:c>
      <x:c r="B37" s="183" t="str">
        <x:f>IFERROR(INDEX(Prospectos!$F$2:$F$288,MATCH($A37,Prospectos!$A$2:$A$288,0)),"")</x:f>
        <x:v>A</x:v>
      </x:c>
      <x:c r="C37" s="183" t="str">
        <x:f>IFERROR(INDEX(Prospectos!$H$2:$H$288,MATCH($A37,Prospectos!$A$2:$A$288,0)),"")</x:f>
        <x:v>Sclauzero Metalúrgica</x:v>
      </x:c>
      <x:c r="D37" s="183" t="str">
        <x:f>IFERROR(INDEX(Prospectos!$J$2:$J$288,MATCH($A37,Prospectos!$A$2:$A$288,0)),"")</x:f>
        <x:v>Metalúrgica y fabricación</x:v>
      </x:c>
      <x:c r="E37" s="183" t="str">
        <x:f>IFERROR(INDEX(Prospectos!$C$2:$C$288,MATCH($A37,Prospectos!$A$2:$A$288,0)),"")</x:f>
        <x:v>Base Río Tercero</x:v>
      </x:c>
      <x:c r="F37" s="183" t="str">
        <x:f>IFERROR(INDEX(Prospectos!$E$2:$E$288,MATCH($A37,Prospectos!$A$2:$A$288,0)),"")</x:f>
        <x:v>Río Tercero</x:v>
      </x:c>
      <x:c r="G37" s="183" t="str">
        <x:f>IFERROR(INDEX(Prospectos!$K$2:$K$288,MATCH($A37,Prospectos!$A$2:$A$288,0)),"")</x:f>
        <x:v>03571 414014</x:v>
      </x:c>
      <x:c r="H37" s="183" t="str">
        <x:f>IFERROR(INDEX(Prospectos!$M$2:$M$288,MATCH($A37,Prospectos!$A$2:$A$288,0)),"")</x:f>
        <x:v>despacho / producción</x:v>
      </x:c>
      <x:c r="I37" s="183" t="str">
        <x:f>IFERROR(INDEX(Prospectos!$N$2:$N$288,MATCH($A37,Prospectos!$A$2:$A$288,0)),"")</x:f>
        <x:v>Despacho de estructuras, piezas, equipos y conjuntos metalmecánicos de gran porte hacia obras o clientes.</x:v>
      </x:c>
      <x:c r="J37" s="183" t="str">
        <x:f>IFERROR(INDEX(Prospectos!$AJ$2:$AJ$288,MATCH($A37,Prospectos!$A$2:$A$288,0)),"")</x:f>
        <x:v>Muy alta</x:v>
      </x:c>
      <x:c r="K37" s="179"/>
      <x:c r="L37" s="5"/>
      <x:c r="M37" s="135"/>
      <x:c r="N37" s="158"/>
    </x:row>
    <x:row r="38" ht="34" customHeight="1">
      <x:c r="A38" s="3" t="str">
        <x:v>RT-060</x:v>
      </x:c>
      <x:c r="B38" s="3" t="str">
        <x:f>IFERROR(INDEX(Prospectos!$F$2:$F$288,MATCH($A38,Prospectos!$A$2:$A$288,0)),"")</x:f>
        <x:v>A</x:v>
      </x:c>
      <x:c r="C38" s="3" t="str">
        <x:f>IFERROR(INDEX(Prospectos!$H$2:$H$288,MATCH($A38,Prospectos!$A$2:$A$288,0)),"")</x:f>
        <x:v>Barrax Argentina S.A.</x:v>
      </x:c>
      <x:c r="D38" s="3" t="str">
        <x:f>IFERROR(INDEX(Prospectos!$J$2:$J$288,MATCH($A38,Prospectos!$A$2:$A$288,0)),"")</x:f>
        <x:v>Maquinaria agrícola</x:v>
      </x:c>
      <x:c r="E38" s="3" t="str">
        <x:f>IFERROR(INDEX(Prospectos!$C$2:$C$288,MATCH($A38,Prospectos!$A$2:$A$288,0)),"")</x:f>
        <x:v>Base Río Tercero</x:v>
      </x:c>
      <x:c r="F38" s="3" t="str">
        <x:f>IFERROR(INDEX(Prospectos!$E$2:$E$288,MATCH($A38,Prospectos!$A$2:$A$288,0)),"")</x:f>
        <x:v>Río Tercero</x:v>
      </x:c>
      <x:c r="G38" s="3" t="str">
        <x:f>IFERROR(INDEX(Prospectos!$K$2:$K$288,MATCH($A38,Prospectos!$A$2:$A$288,0)),"")</x:f>
        <x:v>03571 421774 / 03571 420576</x:v>
      </x:c>
      <x:c r="H38" s="3" t="str">
        <x:f>IFERROR(INDEX(Prospectos!$M$2:$M$288,MATCH($A38,Prospectos!$A$2:$A$288,0)),"")</x:f>
        <x:v>logística / ventas / postventa</x:v>
      </x:c>
      <x:c r="I38" s="3" t="str">
        <x:f>IFERROR(INDEX(Prospectos!$N$2:$N$288,MATCH($A38,Prospectos!$A$2:$A$288,0)),"")</x:f>
        <x:v>Movimiento de agropartes, repuestos pesados, conjuntos y eventualmente implementos/equipos entre planta, concesionarios y clientes.</x:v>
      </x:c>
      <x:c r="J38" s="3" t="str">
        <x:f>IFERROR(INDEX(Prospectos!$AJ$2:$AJ$288,MATCH($A38,Prospectos!$A$2:$A$288,0)),"")</x:f>
        <x:v>Alta</x:v>
      </x:c>
      <x:c r="K38" s="179"/>
      <x:c r="L38" s="3"/>
      <x:c r="M38" s="137"/>
      <x:c r="N38" s="158"/>
    </x:row>
    <x:row r="39" ht="34" customHeight="1">
      <x:c r="A39" s="183" t="str">
        <x:v>RT-021</x:v>
      </x:c>
      <x:c r="B39" s="183" t="str">
        <x:f>IFERROR(INDEX(Prospectos!$F$2:$F$288,MATCH($A39,Prospectos!$A$2:$A$288,0)),"")</x:f>
        <x:v>A</x:v>
      </x:c>
      <x:c r="C39" s="183" t="str">
        <x:f>IFERROR(INDEX(Prospectos!$H$2:$H$288,MATCH($A39,Prospectos!$A$2:$A$288,0)),"")</x:f>
        <x:v>IMBAL S.A.</x:v>
      </x:c>
      <x:c r="D39" s="183" t="str">
        <x:f>IFERROR(INDEX(Prospectos!$J$2:$J$288,MATCH($A39,Prospectos!$A$2:$A$288,0)),"")</x:f>
        <x:v>Metalúrgica y fabricación</x:v>
      </x:c>
      <x:c r="E39" s="183" t="str">
        <x:f>IFERROR(INDEX(Prospectos!$C$2:$C$288,MATCH($A39,Prospectos!$A$2:$A$288,0)),"")</x:f>
        <x:v>Base Río Tercero</x:v>
      </x:c>
      <x:c r="F39" s="183" t="str">
        <x:f>IFERROR(INDEX(Prospectos!$E$2:$E$288,MATCH($A39,Prospectos!$A$2:$A$288,0)),"")</x:f>
        <x:v>Río Tercero</x:v>
      </x:c>
      <x:c r="G39" s="183" t="str">
        <x:f>IFERROR(INDEX(Prospectos!$K$2:$K$288,MATCH($A39,Prospectos!$A$2:$A$288,0)),"")</x:f>
        <x:v>A relevar en terreno</x:v>
      </x:c>
      <x:c r="H39" s="183" t="str">
        <x:f>IFERROR(INDEX(Prospectos!$M$2:$M$288,MATCH($A39,Prospectos!$A$2:$A$288,0)),"")</x:f>
        <x:v>despacho / producción</x:v>
      </x:c>
      <x:c r="I39" s="183" t="str">
        <x:f>IFERROR(INDEX(Prospectos!$N$2:$N$288,MATCH($A39,Prospectos!$A$2:$A$288,0)),"")</x:f>
        <x:v>Despacho seguro de estructuras, carrozados, tanques, piezas industriales y equipos sobre plataforma.</x:v>
      </x:c>
      <x:c r="J39" s="183" t="str">
        <x:f>IFERROR(INDEX(Prospectos!$AJ$2:$AJ$288,MATCH($A39,Prospectos!$A$2:$A$288,0)),"")</x:f>
        <x:v>Alta</x:v>
      </x:c>
      <x:c r="K39" s="179"/>
      <x:c r="L39" s="5"/>
      <x:c r="M39" s="135"/>
      <x:c r="N39" s="158"/>
    </x:row>
    <x:row r="40" ht="34" customHeight="1">
      <x:c r="A40" s="3" t="str">
        <x:v>RT-022</x:v>
      </x:c>
      <x:c r="B40" s="3" t="str">
        <x:f>IFERROR(INDEX(Prospectos!$F$2:$F$288,MATCH($A40,Prospectos!$A$2:$A$288,0)),"")</x:f>
        <x:v>B</x:v>
      </x:c>
      <x:c r="C40" s="3" t="str">
        <x:f>IFERROR(INDEX(Prospectos!$H$2:$H$288,MATCH($A40,Prospectos!$A$2:$A$288,0)),"")</x:f>
        <x:v>J.A.F. Plásticos Reforzados</x:v>
      </x:c>
      <x:c r="D40" s="3" t="str">
        <x:f>IFERROR(INDEX(Prospectos!$J$2:$J$288,MATCH($A40,Prospectos!$A$2:$A$288,0)),"")</x:f>
        <x:v>PRFV y plásticos</x:v>
      </x:c>
      <x:c r="E40" s="3" t="str">
        <x:f>IFERROR(INDEX(Prospectos!$C$2:$C$288,MATCH($A40,Prospectos!$A$2:$A$288,0)),"")</x:f>
        <x:v>Base Río Tercero</x:v>
      </x:c>
      <x:c r="F40" s="3" t="str">
        <x:f>IFERROR(INDEX(Prospectos!$E$2:$E$288,MATCH($A40,Prospectos!$A$2:$A$288,0)),"")</x:f>
        <x:v>Río Tercero</x:v>
      </x:c>
      <x:c r="G40" s="3" t="str">
        <x:f>IFERROR(INDEX(Prospectos!$K$2:$K$288,MATCH($A40,Prospectos!$A$2:$A$288,0)),"")</x:f>
        <x:v>3571 533624 / 3571 579801 / portería parque 03571 565662</x:v>
      </x:c>
      <x:c r="H40" s="3" t="str">
        <x:f>IFERROR(INDEX(Prospectos!$M$2:$M$288,MATCH($A40,Prospectos!$A$2:$A$288,0)),"")</x:f>
        <x:v>producción / logística</x:v>
      </x:c>
      <x:c r="I40" s="3" t="str">
        <x:f>IFERROR(INDEX(Prospectos!$N$2:$N$288,MATCH($A40,Prospectos!$A$2:$A$288,0)),"")</x:f>
        <x:v>Retiro, traslado y descarga de piletas/fibra o piezas voluminosas livianas, con cuidado de maniobra.</x:v>
      </x:c>
      <x:c r="J40" s="3" t="str">
        <x:f>IFERROR(INDEX(Prospectos!$AJ$2:$AJ$288,MATCH($A40,Prospectos!$A$2:$A$288,0)),"")</x:f>
        <x:v>Alta</x:v>
      </x:c>
      <x:c r="K40" s="179"/>
      <x:c r="L40" s="3"/>
      <x:c r="M40" s="137"/>
      <x:c r="N40" s="158"/>
    </x:row>
    <x:row r="41" ht="34" customHeight="1">
      <x:c r="A41" s="183" t="str">
        <x:v>RT-023</x:v>
      </x:c>
      <x:c r="B41" s="183" t="str">
        <x:f>IFERROR(INDEX(Prospectos!$F$2:$F$288,MATCH($A41,Prospectos!$A$2:$A$288,0)),"")</x:f>
        <x:v>B</x:v>
      </x:c>
      <x:c r="C41" s="183" t="str">
        <x:f>IFERROR(INDEX(Prospectos!$H$2:$H$288,MATCH($A41,Prospectos!$A$2:$A$288,0)),"")</x:f>
        <x:v>Tecnipiscinas</x:v>
      </x:c>
      <x:c r="D41" s="183" t="str">
        <x:f>IFERROR(INDEX(Prospectos!$J$2:$J$288,MATCH($A41,Prospectos!$A$2:$A$288,0)),"")</x:f>
        <x:v>PRFV y plásticos</x:v>
      </x:c>
      <x:c r="E41" s="183" t="str">
        <x:f>IFERROR(INDEX(Prospectos!$C$2:$C$288,MATCH($A41,Prospectos!$A$2:$A$288,0)),"")</x:f>
        <x:v>Base Río Tercero</x:v>
      </x:c>
      <x:c r="F41" s="183" t="str">
        <x:f>IFERROR(INDEX(Prospectos!$E$2:$E$288,MATCH($A41,Prospectos!$A$2:$A$288,0)),"")</x:f>
        <x:v>Río Tercero</x:v>
      </x:c>
      <x:c r="G41" s="183" t="str">
        <x:f>IFERROR(INDEX(Prospectos!$K$2:$K$288,MATCH($A41,Prospectos!$A$2:$A$288,0)),"")</x:f>
        <x:v>+54 3571 412563</x:v>
      </x:c>
      <x:c r="H41" s="183" t="str">
        <x:f>IFERROR(INDEX(Prospectos!$M$2:$M$288,MATCH($A41,Prospectos!$A$2:$A$288,0)),"")</x:f>
        <x:v>ventas / logística / dueño</x:v>
      </x:c>
      <x:c r="I41" s="183" t="str">
        <x:f>IFERROR(INDEX(Prospectos!$N$2:$N$288,MATCH($A41,Prospectos!$A$2:$A$288,0)),"")</x:f>
        <x:v>Retiro, traslado y descarga de piletas/fibra o piezas voluminosas livianas, con cuidado de maniobra.</x:v>
      </x:c>
      <x:c r="J41" s="183" t="str">
        <x:f>IFERROR(INDEX(Prospectos!$AJ$2:$AJ$288,MATCH($A41,Prospectos!$A$2:$A$288,0)),"")</x:f>
        <x:v>Alta</x:v>
      </x:c>
      <x:c r="K41" s="179"/>
      <x:c r="L41" s="5"/>
      <x:c r="M41" s="135"/>
      <x:c r="N41" s="158"/>
    </x:row>
    <x:row r="42" ht="34" customHeight="1">
      <x:c r="A42" s="3" t="str">
        <x:v>RT-024</x:v>
      </x:c>
      <x:c r="B42" s="3" t="str">
        <x:f>IFERROR(INDEX(Prospectos!$F$2:$F$288,MATCH($A42,Prospectos!$A$2:$A$288,0)),"")</x:f>
        <x:v>B</x:v>
      </x:c>
      <x:c r="C42" s="3" t="str">
        <x:f>IFERROR(INDEX(Prospectos!$H$2:$H$288,MATCH($A42,Prospectos!$A$2:$A$288,0)),"")</x:f>
        <x:v>Indusplast Río Tercero</x:v>
      </x:c>
      <x:c r="D42" s="3" t="str">
        <x:f>IFERROR(INDEX(Prospectos!$J$2:$J$288,MATCH($A42,Prospectos!$A$2:$A$288,0)),"")</x:f>
        <x:v>PRFV y plásticos</x:v>
      </x:c>
      <x:c r="E42" s="3" t="str">
        <x:f>IFERROR(INDEX(Prospectos!$C$2:$C$288,MATCH($A42,Prospectos!$A$2:$A$288,0)),"")</x:f>
        <x:v>Base Río Tercero</x:v>
      </x:c>
      <x:c r="F42" s="3" t="str">
        <x:f>IFERROR(INDEX(Prospectos!$E$2:$E$288,MATCH($A42,Prospectos!$A$2:$A$288,0)),"")</x:f>
        <x:v>Río Tercero</x:v>
      </x:c>
      <x:c r="G42" s="3" t="str">
        <x:f>IFERROR(INDEX(Prospectos!$K$2:$K$288,MATCH($A42,Prospectos!$A$2:$A$288,0)),"")</x:f>
        <x:v>+54 3571 57-5556</x:v>
      </x:c>
      <x:c r="H42" s="3" t="str">
        <x:f>IFERROR(INDEX(Prospectos!$M$2:$M$288,MATCH($A42,Prospectos!$A$2:$A$288,0)),"")</x:f>
        <x:v>ventas / dueño</x:v>
      </x:c>
      <x:c r="I42" s="3" t="str">
        <x:f>IFERROR(INDEX(Prospectos!$N$2:$N$288,MATCH($A42,Prospectos!$A$2:$A$288,0)),"")</x:f>
        <x:v>Retiro, traslado y descarga de piletas/fibra o piezas voluminosas livianas, con cuidado de maniobra.</x:v>
      </x:c>
      <x:c r="J42" s="3" t="str">
        <x:f>IFERROR(INDEX(Prospectos!$AJ$2:$AJ$288,MATCH($A42,Prospectos!$A$2:$A$288,0)),"")</x:f>
        <x:v>Alta</x:v>
      </x:c>
      <x:c r="K42" s="179"/>
      <x:c r="L42" s="3"/>
      <x:c r="M42" s="137"/>
      <x:c r="N42" s="158"/>
    </x:row>
    <x:row r="43" ht="34" customHeight="1">
      <x:c r="A43" s="183" t="str">
        <x:v>RT-025</x:v>
      </x:c>
      <x:c r="B43" s="183" t="str">
        <x:f>IFERROR(INDEX(Prospectos!$F$2:$F$288,MATCH($A43,Prospectos!$A$2:$A$288,0)),"")</x:f>
        <x:v>B</x:v>
      </x:c>
      <x:c r="C43" s="183" t="str">
        <x:f>IFERROR(INDEX(Prospectos!$H$2:$H$288,MATCH($A43,Prospectos!$A$2:$A$288,0)),"")</x:f>
        <x:v>AGROTRAZIONE S.A.S</x:v>
      </x:c>
      <x:c r="D43" s="183" t="str">
        <x:f>IFERROR(INDEX(Prospectos!$J$2:$J$288,MATCH($A43,Prospectos!$A$2:$A$288,0)),"")</x:f>
        <x:v>Maquinaria agrícola</x:v>
      </x:c>
      <x:c r="E43" s="183" t="str">
        <x:f>IFERROR(INDEX(Prospectos!$C$2:$C$288,MATCH($A43,Prospectos!$A$2:$A$288,0)),"")</x:f>
        <x:v>Base Río Tercero</x:v>
      </x:c>
      <x:c r="F43" s="183" t="str">
        <x:f>IFERROR(INDEX(Prospectos!$E$2:$E$288,MATCH($A43,Prospectos!$A$2:$A$288,0)),"")</x:f>
        <x:v>Río Tercero</x:v>
      </x:c>
      <x:c r="G43" s="183" t="str">
        <x:f>IFERROR(INDEX(Prospectos!$K$2:$K$288,MATCH($A43,Prospectos!$A$2:$A$288,0)),"")</x:f>
        <x:v>03571 528350</x:v>
      </x:c>
      <x:c r="H43" s="183" t="str">
        <x:f>IFERROR(INDEX(Prospectos!$M$2:$M$288,MATCH($A43,Prospectos!$A$2:$A$288,0)),"")</x:f>
        <x:v>logística / entregas / postventa</x:v>
      </x:c>
      <x:c r="I43" s="183" t="str">
        <x:f>IFERROR(INDEX(Prospectos!$N$2:$N$288,MATCH($A43,Prospectos!$A$2:$A$288,0)),"")</x:f>
        <x:v>Traslado de maquinaria agrícola o vial entre sucursal, cliente, taller, campo y eventos.</x:v>
      </x:c>
      <x:c r="J43" s="183" t="str">
        <x:f>IFERROR(INDEX(Prospectos!$AJ$2:$AJ$288,MATCH($A43,Prospectos!$A$2:$A$288,0)),"")</x:f>
        <x:v>Alta</x:v>
      </x:c>
      <x:c r="K43" s="179"/>
      <x:c r="L43" s="5"/>
      <x:c r="M43" s="135"/>
      <x:c r="N43" s="158"/>
    </x:row>
    <x:row r="44" ht="34" customHeight="1">
      <x:c r="A44" s="3" t="str">
        <x:v>RT-026</x:v>
      </x:c>
      <x:c r="B44" s="3" t="str">
        <x:f>IFERROR(INDEX(Prospectos!$F$2:$F$288,MATCH($A44,Prospectos!$A$2:$A$288,0)),"")</x:f>
        <x:v>B</x:v>
      </x:c>
      <x:c r="C44" s="3" t="str">
        <x:f>IFERROR(INDEX(Prospectos!$H$2:$H$288,MATCH($A44,Prospectos!$A$2:$A$288,0)),"")</x:f>
        <x:v>Cementados Juan Nadalin e Hijos S.A.</x:v>
      </x:c>
      <x:c r="D44" s="3" t="str">
        <x:f>IFERROR(INDEX(Prospectos!$J$2:$J$288,MATCH($A44,Prospectos!$A$2:$A$288,0)),"")</x:f>
        <x:v>Agroindustria y alimentos</x:v>
      </x:c>
      <x:c r="E44" s="3" t="str">
        <x:f>IFERROR(INDEX(Prospectos!$C$2:$C$288,MATCH($A44,Prospectos!$A$2:$A$288,0)),"")</x:f>
        <x:v>Base Río Tercero</x:v>
      </x:c>
      <x:c r="F44" s="3" t="str">
        <x:f>IFERROR(INDEX(Prospectos!$E$2:$E$288,MATCH($A44,Prospectos!$A$2:$A$288,0)),"")</x:f>
        <x:v>Río Tercero</x:v>
      </x:c>
      <x:c r="G44" s="3" t="str">
        <x:f>IFERROR(INDEX(Prospectos!$K$2:$K$288,MATCH($A44,Prospectos!$A$2:$A$288,0)),"")</x:f>
        <x:v>03571 420931</x:v>
      </x:c>
      <x:c r="H44" s="3" t="str">
        <x:f>IFERROR(INDEX(Prospectos!$M$2:$M$288,MATCH($A44,Prospectos!$A$2:$A$288,0)),"")</x:f>
        <x:v>logística / despacho / postventa</x:v>
      </x:c>
      <x:c r="I44" s="3" t="str">
        <x:f>IFERROR(INDEX(Prospectos!$N$2:$N$288,MATCH($A44,Prospectos!$A$2:$A$288,0)),"")</x:f>
        <x:v>Traslado de maquinaria, implementos, equipos terminados y componentes de gran porte entre planta, cliente, obra o feria.</x:v>
      </x:c>
      <x:c r="J44" s="3" t="str">
        <x:f>IFERROR(INDEX(Prospectos!$AJ$2:$AJ$288,MATCH($A44,Prospectos!$A$2:$A$288,0)),"")</x:f>
        <x:v>Alta</x:v>
      </x:c>
      <x:c r="K44" s="179"/>
      <x:c r="L44" s="3"/>
      <x:c r="M44" s="137"/>
      <x:c r="N44" s="158"/>
    </x:row>
    <x:row r="45" ht="34" customHeight="1">
      <x:c r="A45" s="183" t="str">
        <x:v>RT-027</x:v>
      </x:c>
      <x:c r="B45" s="183" t="str">
        <x:f>IFERROR(INDEX(Prospectos!$F$2:$F$288,MATCH($A45,Prospectos!$A$2:$A$288,0)),"")</x:f>
        <x:v>B</x:v>
      </x:c>
      <x:c r="C45" s="183" t="str">
        <x:f>IFERROR(INDEX(Prospectos!$H$2:$H$288,MATCH($A45,Prospectos!$A$2:$A$288,0)),"")</x:f>
        <x:v>Cementados Río Tercero</x:v>
      </x:c>
      <x:c r="D45" s="183" t="str">
        <x:f>IFERROR(INDEX(Prospectos!$J$2:$J$288,MATCH($A45,Prospectos!$A$2:$A$288,0)),"")</x:f>
        <x:v>Agroindustria y alimentos</x:v>
      </x:c>
      <x:c r="E45" s="183" t="str">
        <x:f>IFERROR(INDEX(Prospectos!$C$2:$C$288,MATCH($A45,Prospectos!$A$2:$A$288,0)),"")</x:f>
        <x:v>Base Río Tercero</x:v>
      </x:c>
      <x:c r="F45" s="183" t="str">
        <x:f>IFERROR(INDEX(Prospectos!$E$2:$E$288,MATCH($A45,Prospectos!$A$2:$A$288,0)),"")</x:f>
        <x:v>Río Tercero</x:v>
      </x:c>
      <x:c r="G45" s="183" t="str">
        <x:f>IFERROR(INDEX(Prospectos!$K$2:$K$288,MATCH($A45,Prospectos!$A$2:$A$288,0)),"")</x:f>
        <x:v>03571 319490</x:v>
      </x:c>
      <x:c r="H45" s="183" t="str">
        <x:f>IFERROR(INDEX(Prospectos!$M$2:$M$288,MATCH($A45,Prospectos!$A$2:$A$288,0)),"")</x:f>
        <x:v>logística / despacho / postventa</x:v>
      </x:c>
      <x:c r="I45" s="183" t="str">
        <x:f>IFERROR(INDEX(Prospectos!$N$2:$N$288,MATCH($A45,Prospectos!$A$2:$A$288,0)),"")</x:f>
        <x:v>Traslado de maquinaria, implementos, equipos terminados y componentes de gran porte entre planta, cliente, obra o feria.</x:v>
      </x:c>
      <x:c r="J45" s="183" t="str">
        <x:f>IFERROR(INDEX(Prospectos!$AJ$2:$AJ$288,MATCH($A45,Prospectos!$A$2:$A$288,0)),"")</x:f>
        <x:v>Alta</x:v>
      </x:c>
      <x:c r="K45" s="179"/>
      <x:c r="L45" s="5"/>
      <x:c r="M45" s="135"/>
      <x:c r="N45" s="158"/>
    </x:row>
    <x:row r="46" ht="34" customHeight="1">
      <x:c r="A46" s="3" t="str">
        <x:v>RT-028</x:v>
      </x:c>
      <x:c r="B46" s="3" t="str">
        <x:f>IFERROR(INDEX(Prospectos!$F$2:$F$288,MATCH($A46,Prospectos!$A$2:$A$288,0)),"")</x:f>
        <x:v>B</x:v>
      </x:c>
      <x:c r="C46" s="3" t="str">
        <x:f>IFERROR(INDEX(Prospectos!$H$2:$H$288,MATCH($A46,Prospectos!$A$2:$A$288,0)),"")</x:f>
        <x:v>Hidrobull</x:v>
      </x:c>
      <x:c r="D46" s="3" t="str">
        <x:f>IFERROR(INDEX(Prospectos!$J$2:$J$288,MATCH($A46,Prospectos!$A$2:$A$288,0)),"")</x:f>
        <x:v>Industria y mantenimiento</x:v>
      </x:c>
      <x:c r="E46" s="3" t="str">
        <x:f>IFERROR(INDEX(Prospectos!$C$2:$C$288,MATCH($A46,Prospectos!$A$2:$A$288,0)),"")</x:f>
        <x:v>Base Río Tercero</x:v>
      </x:c>
      <x:c r="F46" s="3" t="str">
        <x:f>IFERROR(INDEX(Prospectos!$E$2:$E$288,MATCH($A46,Prospectos!$A$2:$A$288,0)),"")</x:f>
        <x:v>Río Tercero</x:v>
      </x:c>
      <x:c r="G46" s="3" t="str">
        <x:f>IFERROR(INDEX(Prospectos!$K$2:$K$288,MATCH($A46,Prospectos!$A$2:$A$288,0)),"")</x:f>
        <x:v>03571 549612</x:v>
      </x:c>
      <x:c r="H46" s="3" t="str">
        <x:f>IFERROR(INDEX(Prospectos!$M$2:$M$288,MATCH($A46,Prospectos!$A$2:$A$288,0)),"")</x:f>
        <x:v>responsable de logística/compras</x:v>
      </x:c>
      <x:c r="I46" s="3" t="str">
        <x:f>IFERROR(INDEX(Prospectos!$N$2:$N$288,MATCH($A46,Prospectos!$A$2:$A$288,0)),"")</x:f>
        <x:v>Movimientos especiales de mantenimiento, repuestos pesados y mudanzas internas de equipos.</x:v>
      </x:c>
      <x:c r="J46" s="3" t="str">
        <x:f>IFERROR(INDEX(Prospectos!$AJ$2:$AJ$288,MATCH($A46,Prospectos!$A$2:$A$288,0)),"")</x:f>
        <x:v>Alta</x:v>
      </x:c>
      <x:c r="K46" s="179"/>
      <x:c r="L46" s="3"/>
      <x:c r="M46" s="137"/>
      <x:c r="N46" s="158"/>
    </x:row>
    <x:row r="47" ht="34" customHeight="1">
      <x:c r="A47" s="183" t="str">
        <x:v>RT-029</x:v>
      </x:c>
      <x:c r="B47" s="183" t="str">
        <x:f>IFERROR(INDEX(Prospectos!$F$2:$F$288,MATCH($A47,Prospectos!$A$2:$A$288,0)),"")</x:f>
        <x:v>B</x:v>
      </x:c>
      <x:c r="C47" s="183" t="str">
        <x:f>IFERROR(INDEX(Prospectos!$H$2:$H$288,MATCH($A47,Prospectos!$A$2:$A$288,0)),"")</x:f>
        <x:v>MetalMec S.R.L.</x:v>
      </x:c>
      <x:c r="D47" s="183" t="str">
        <x:f>IFERROR(INDEX(Prospectos!$J$2:$J$288,MATCH($A47,Prospectos!$A$2:$A$288,0)),"")</x:f>
        <x:v>Industria y mantenimiento</x:v>
      </x:c>
      <x:c r="E47" s="183" t="str">
        <x:f>IFERROR(INDEX(Prospectos!$C$2:$C$288,MATCH($A47,Prospectos!$A$2:$A$288,0)),"")</x:f>
        <x:v>Base Río Tercero</x:v>
      </x:c>
      <x:c r="F47" s="183" t="str">
        <x:f>IFERROR(INDEX(Prospectos!$E$2:$E$288,MATCH($A47,Prospectos!$A$2:$A$288,0)),"")</x:f>
        <x:v>Río Tercero</x:v>
      </x:c>
      <x:c r="G47" s="183" t="str">
        <x:f>IFERROR(INDEX(Prospectos!$K$2:$K$288,MATCH($A47,Prospectos!$A$2:$A$288,0)),"")</x:f>
        <x:v>03571 681577 / 03571 506656</x:v>
      </x:c>
      <x:c r="H47" s="183" t="str">
        <x:f>IFERROR(INDEX(Prospectos!$M$2:$M$288,MATCH($A47,Prospectos!$A$2:$A$288,0)),"")</x:f>
        <x:v>despacho / producción</x:v>
      </x:c>
      <x:c r="I47" s="183" t="str">
        <x:f>IFERROR(INDEX(Prospectos!$N$2:$N$288,MATCH($A47,Prospectos!$A$2:$A$288,0)),"")</x:f>
        <x:v>Movimientos especiales de mantenimiento, repuestos pesados y mudanzas internas de equipos.</x:v>
      </x:c>
      <x:c r="J47" s="183" t="str">
        <x:f>IFERROR(INDEX(Prospectos!$AJ$2:$AJ$288,MATCH($A47,Prospectos!$A$2:$A$288,0)),"")</x:f>
        <x:v>Alta</x:v>
      </x:c>
      <x:c r="K47" s="179"/>
      <x:c r="L47" s="5"/>
      <x:c r="M47" s="135"/>
      <x:c r="N47" s="158"/>
    </x:row>
    <x:row r="48" ht="34" customHeight="1">
      <x:c r="A48" s="3" t="str">
        <x:v>RT-030</x:v>
      </x:c>
      <x:c r="B48" s="3" t="str">
        <x:f>IFERROR(INDEX(Prospectos!$F$2:$F$288,MATCH($A48,Prospectos!$A$2:$A$288,0)),"")</x:f>
        <x:v>B</x:v>
      </x:c>
      <x:c r="C48" s="3" t="str">
        <x:f>IFERROR(INDEX(Prospectos!$H$2:$H$288,MATCH($A48,Prospectos!$A$2:$A$288,0)),"")</x:f>
        <x:v>Oleos San José S.R.L.</x:v>
      </x:c>
      <x:c r="D48" s="3" t="str">
        <x:f>IFERROR(INDEX(Prospectos!$J$2:$J$288,MATCH($A48,Prospectos!$A$2:$A$288,0)),"")</x:f>
        <x:v>Agroindustria y alimentos</x:v>
      </x:c>
      <x:c r="E48" s="3" t="str">
        <x:f>IFERROR(INDEX(Prospectos!$C$2:$C$288,MATCH($A48,Prospectos!$A$2:$A$288,0)),"")</x:f>
        <x:v>Base Río Tercero</x:v>
      </x:c>
      <x:c r="F48" s="3" t="str">
        <x:f>IFERROR(INDEX(Prospectos!$E$2:$E$288,MATCH($A48,Prospectos!$A$2:$A$288,0)),"")</x:f>
        <x:v>Río Tercero</x:v>
      </x:c>
      <x:c r="G48" s="3" t="str">
        <x:f>IFERROR(INDEX(Prospectos!$K$2:$K$288,MATCH($A48,Prospectos!$A$2:$A$288,0)),"")</x:f>
        <x:v>03571 692471 / 03571 640630</x:v>
      </x:c>
      <x:c r="H48" s="3" t="str">
        <x:f>IFERROR(INDEX(Prospectos!$M$2:$M$288,MATCH($A48,Prospectos!$A$2:$A$288,0)),"")</x:f>
        <x:v>responsable de acopio / mantenimiento</x:v>
      </x:c>
      <x:c r="I48" s="3" t="str">
        <x:f>IFERROR(INDEX(Prospectos!$N$2:$N$288,MATCH($A48,Prospectos!$A$2:$A$288,0)),"")</x:f>
        <x:v>Movimientos especiales de mantenimiento, repuestos pesados y mudanzas internas de equipos.</x:v>
      </x:c>
      <x:c r="J48" s="3" t="str">
        <x:f>IFERROR(INDEX(Prospectos!$AJ$2:$AJ$288,MATCH($A48,Prospectos!$A$2:$A$288,0)),"")</x:f>
        <x:v>Alta</x:v>
      </x:c>
      <x:c r="K48" s="179"/>
      <x:c r="L48" s="3"/>
      <x:c r="M48" s="137"/>
      <x:c r="N48" s="158"/>
    </x:row>
    <x:row r="49" ht="34" customHeight="1">
      <x:c r="A49" s="183" t="str">
        <x:v>RT-031</x:v>
      </x:c>
      <x:c r="B49" s="183" t="str">
        <x:f>IFERROR(INDEX(Prospectos!$F$2:$F$288,MATCH($A49,Prospectos!$A$2:$A$288,0)),"")</x:f>
        <x:v>B</x:v>
      </x:c>
      <x:c r="C49" s="183" t="str">
        <x:f>IFERROR(INDEX(Prospectos!$H$2:$H$288,MATCH($A49,Prospectos!$A$2:$A$288,0)),"")</x:f>
        <x:v>Premolfran Premoldeados by d'Eco</x:v>
      </x:c>
      <x:c r="D49" s="183" t="str">
        <x:f>IFERROR(INDEX(Prospectos!$J$2:$J$288,MATCH($A49,Prospectos!$A$2:$A$288,0)),"")</x:f>
        <x:v>Hormigón, áridos y materiales</x:v>
      </x:c>
      <x:c r="E49" s="183" t="str">
        <x:f>IFERROR(INDEX(Prospectos!$C$2:$C$288,MATCH($A49,Prospectos!$A$2:$A$288,0)),"")</x:f>
        <x:v>Base Río Tercero</x:v>
      </x:c>
      <x:c r="F49" s="183" t="str">
        <x:f>IFERROR(INDEX(Prospectos!$E$2:$E$288,MATCH($A49,Prospectos!$A$2:$A$288,0)),"")</x:f>
        <x:v>Río Tercero</x:v>
      </x:c>
      <x:c r="G49" s="183" t="str">
        <x:f>IFERROR(INDEX(Prospectos!$K$2:$K$288,MATCH($A49,Prospectos!$A$2:$A$288,0)),"")</x:f>
        <x:v>03571 327594</x:v>
      </x:c>
      <x:c r="H49" s="183" t="str">
        <x:f>IFERROR(INDEX(Prospectos!$M$2:$M$288,MATCH($A49,Prospectos!$A$2:$A$288,0)),"")</x:f>
        <x:v>planta / despacho</x:v>
      </x:c>
      <x:c r="I49" s="183" t="str">
        <x:f>IFERROR(INDEX(Prospectos!$N$2:$N$288,MATCH($A49,Prospectos!$A$2:$A$288,0)),"")</x:f>
        <x:v>Movimiento de premoldeados, moldes, equipos de planta y cargas pesadas asociadas a obra.</x:v>
      </x:c>
      <x:c r="J49" s="183" t="str">
        <x:f>IFERROR(INDEX(Prospectos!$AJ$2:$AJ$288,MATCH($A49,Prospectos!$A$2:$A$288,0)),"")</x:f>
        <x:v>Alta</x:v>
      </x:c>
      <x:c r="K49" s="179"/>
      <x:c r="L49" s="5"/>
      <x:c r="M49" s="135"/>
      <x:c r="N49" s="158"/>
    </x:row>
    <x:row r="50" ht="34" customHeight="1">
      <x:c r="A50" s="3" t="str">
        <x:v>RT-032</x:v>
      </x:c>
      <x:c r="B50" s="3" t="str">
        <x:f>IFERROR(INDEX(Prospectos!$F$2:$F$288,MATCH($A50,Prospectos!$A$2:$A$288,0)),"")</x:f>
        <x:v>B</x:v>
      </x:c>
      <x:c r="C50" s="3" t="str">
        <x:f>IFERROR(INDEX(Prospectos!$H$2:$H$288,MATCH($A50,Prospectos!$A$2:$A$288,0)),"")</x:f>
        <x:v>Río Metal</x:v>
      </x:c>
      <x:c r="D50" s="3" t="str">
        <x:f>IFERROR(INDEX(Prospectos!$J$2:$J$288,MATCH($A50,Prospectos!$A$2:$A$288,0)),"")</x:f>
        <x:v>Metalúrgica y fabricación</x:v>
      </x:c>
      <x:c r="E50" s="3" t="str">
        <x:f>IFERROR(INDEX(Prospectos!$C$2:$C$288,MATCH($A50,Prospectos!$A$2:$A$288,0)),"")</x:f>
        <x:v>Base Río Tercero</x:v>
      </x:c>
      <x:c r="F50" s="3" t="str">
        <x:f>IFERROR(INDEX(Prospectos!$E$2:$E$288,MATCH($A50,Prospectos!$A$2:$A$288,0)),"")</x:f>
        <x:v>Río Tercero</x:v>
      </x:c>
      <x:c r="G50" s="3" t="str">
        <x:f>IFERROR(INDEX(Prospectos!$K$2:$K$288,MATCH($A50,Prospectos!$A$2:$A$288,0)),"")</x:f>
        <x:v>+54 9 3571 52-9444</x:v>
      </x:c>
      <x:c r="H50" s="3" t="str">
        <x:f>IFERROR(INDEX(Prospectos!$M$2:$M$288,MATCH($A50,Prospectos!$A$2:$A$288,0)),"")</x:f>
        <x:v>despacho / producción</x:v>
      </x:c>
      <x:c r="I50" s="3" t="str">
        <x:f>IFERROR(INDEX(Prospectos!$N$2:$N$288,MATCH($A50,Prospectos!$A$2:$A$288,0)),"")</x:f>
        <x:v>Despacho seguro de estructuras, carrozados, tanques, piezas industriales y equipos sobre plataforma.</x:v>
      </x:c>
      <x:c r="J50" s="3" t="str">
        <x:f>IFERROR(INDEX(Prospectos!$AJ$2:$AJ$288,MATCH($A50,Prospectos!$A$2:$A$288,0)),"")</x:f>
        <x:v>Alta</x:v>
      </x:c>
      <x:c r="K50" s="179"/>
      <x:c r="L50" s="3"/>
      <x:c r="M50" s="137"/>
      <x:c r="N50" s="158"/>
    </x:row>
    <x:row r="51" ht="34" customHeight="1">
      <x:c r="A51" s="183" t="str">
        <x:v>RT-033</x:v>
      </x:c>
      <x:c r="B51" s="183" t="str">
        <x:f>IFERROR(INDEX(Prospectos!$F$2:$F$288,MATCH($A51,Prospectos!$A$2:$A$288,0)),"")</x:f>
        <x:v>B</x:v>
      </x:c>
      <x:c r="C51" s="183" t="str">
        <x:f>IFERROR(INDEX(Prospectos!$H$2:$H$288,MATCH($A51,Prospectos!$A$2:$A$288,0)),"")</x:f>
        <x:v>SILMAR Industrial</x:v>
      </x:c>
      <x:c r="D51" s="183" t="str">
        <x:f>IFERROR(INDEX(Prospectos!$J$2:$J$288,MATCH($A51,Prospectos!$A$2:$A$288,0)),"")</x:f>
        <x:v>Metalúrgica y fabricación</x:v>
      </x:c>
      <x:c r="E51" s="183" t="str">
        <x:f>IFERROR(INDEX(Prospectos!$C$2:$C$288,MATCH($A51,Prospectos!$A$2:$A$288,0)),"")</x:f>
        <x:v>Base Río Tercero</x:v>
      </x:c>
      <x:c r="F51" s="183" t="str">
        <x:f>IFERROR(INDEX(Prospectos!$E$2:$E$288,MATCH($A51,Prospectos!$A$2:$A$288,0)),"")</x:f>
        <x:v>Río Tercero</x:v>
      </x:c>
      <x:c r="G51" s="183" t="str">
        <x:f>IFERROR(INDEX(Prospectos!$K$2:$K$288,MATCH($A51,Prospectos!$A$2:$A$288,0)),"")</x:f>
        <x:v>03571 411073</x:v>
      </x:c>
      <x:c r="H51" s="183" t="str">
        <x:f>IFERROR(INDEX(Prospectos!$M$2:$M$288,MATCH($A51,Prospectos!$A$2:$A$288,0)),"")</x:f>
        <x:v>mantenimiento / despacho</x:v>
      </x:c>
      <x:c r="I51" s="183" t="str">
        <x:f>IFERROR(INDEX(Prospectos!$N$2:$N$288,MATCH($A51,Prospectos!$A$2:$A$288,0)),"")</x:f>
        <x:v>Movimientos especiales de mantenimiento, repuestos pesados, equipos y mudanzas internas o entre plantas.</x:v>
      </x:c>
      <x:c r="J51" s="183" t="str">
        <x:f>IFERROR(INDEX(Prospectos!$AJ$2:$AJ$288,MATCH($A51,Prospectos!$A$2:$A$288,0)),"")</x:f>
        <x:v>Alta</x:v>
      </x:c>
      <x:c r="K51" s="179"/>
      <x:c r="L51" s="5"/>
      <x:c r="M51" s="135"/>
      <x:c r="N51" s="158"/>
    </x:row>
    <x:row r="52" ht="34" customHeight="1">
      <x:c r="A52" s="3" t="str">
        <x:v>RT-034</x:v>
      </x:c>
      <x:c r="B52" s="3" t="str">
        <x:f>IFERROR(INDEX(Prospectos!$F$2:$F$288,MATCH($A52,Prospectos!$A$2:$A$288,0)),"")</x:f>
        <x:v>B</x:v>
      </x:c>
      <x:c r="C52" s="3" t="str">
        <x:f>IFERROR(INDEX(Prospectos!$H$2:$H$288,MATCH($A52,Prospectos!$A$2:$A$288,0)),"")</x:f>
        <x:v>TALFUND S.A.</x:v>
      </x:c>
      <x:c r="D52" s="3" t="str">
        <x:f>IFERROR(INDEX(Prospectos!$J$2:$J$288,MATCH($A52,Prospectos!$A$2:$A$288,0)),"")</x:f>
        <x:v>Metalúrgica y fabricación</x:v>
      </x:c>
      <x:c r="E52" s="3" t="str">
        <x:f>IFERROR(INDEX(Prospectos!$C$2:$C$288,MATCH($A52,Prospectos!$A$2:$A$288,0)),"")</x:f>
        <x:v>Base Río Tercero</x:v>
      </x:c>
      <x:c r="F52" s="3" t="str">
        <x:f>IFERROR(INDEX(Prospectos!$E$2:$E$288,MATCH($A52,Prospectos!$A$2:$A$288,0)),"")</x:f>
        <x:v>Río Tercero</x:v>
      </x:c>
      <x:c r="G52" s="3" t="str">
        <x:f>IFERROR(INDEX(Prospectos!$K$2:$K$288,MATCH($A52,Prospectos!$A$2:$A$288,0)),"")</x:f>
        <x:v>03571 690418 / 03571 642555</x:v>
      </x:c>
      <x:c r="H52" s="3" t="str">
        <x:f>IFERROR(INDEX(Prospectos!$M$2:$M$288,MATCH($A52,Prospectos!$A$2:$A$288,0)),"")</x:f>
        <x:v>despacho / producción</x:v>
      </x:c>
      <x:c r="I52" s="3" t="str">
        <x:f>IFERROR(INDEX(Prospectos!$N$2:$N$288,MATCH($A52,Prospectos!$A$2:$A$288,0)),"")</x:f>
        <x:v>Despacho de estructuras, piezas, equipos y conjuntos metalmecánicos de gran porte hacia obras o clientes.</x:v>
      </x:c>
      <x:c r="J52" s="3" t="str">
        <x:f>IFERROR(INDEX(Prospectos!$AJ$2:$AJ$288,MATCH($A52,Prospectos!$A$2:$A$288,0)),"")</x:f>
        <x:v>Alta</x:v>
      </x:c>
      <x:c r="K52" s="179"/>
      <x:c r="L52" s="3"/>
      <x:c r="M52" s="137"/>
      <x:c r="N52" s="158"/>
    </x:row>
    <x:row r="53" ht="34" customHeight="1">
      <x:c r="A53" s="183" t="str">
        <x:v>RT-035</x:v>
      </x:c>
      <x:c r="B53" s="183" t="str">
        <x:f>IFERROR(INDEX(Prospectos!$F$2:$F$288,MATCH($A53,Prospectos!$A$2:$A$288,0)),"")</x:f>
        <x:v>B</x:v>
      </x:c>
      <x:c r="C53" s="183" t="str">
        <x:f>IFERROR(INDEX(Prospectos!$H$2:$H$288,MATCH($A53,Prospectos!$A$2:$A$288,0)),"")</x:f>
        <x:v>Tello SRL Premoldeados de Hormigón</x:v>
      </x:c>
      <x:c r="D53" s="183" t="str">
        <x:f>IFERROR(INDEX(Prospectos!$J$2:$J$288,MATCH($A53,Prospectos!$A$2:$A$288,0)),"")</x:f>
        <x:v>Hormigón, áridos y materiales</x:v>
      </x:c>
      <x:c r="E53" s="183" t="str">
        <x:f>IFERROR(INDEX(Prospectos!$C$2:$C$288,MATCH($A53,Prospectos!$A$2:$A$288,0)),"")</x:f>
        <x:v>Base Río Tercero</x:v>
      </x:c>
      <x:c r="F53" s="183" t="str">
        <x:f>IFERROR(INDEX(Prospectos!$E$2:$E$288,MATCH($A53,Prospectos!$A$2:$A$288,0)),"")</x:f>
        <x:v>Río Tercero</x:v>
      </x:c>
      <x:c r="G53" s="183" t="str">
        <x:f>IFERROR(INDEX(Prospectos!$K$2:$K$288,MATCH($A53,Prospectos!$A$2:$A$288,0)),"")</x:f>
        <x:v>0351 4576859</x:v>
      </x:c>
      <x:c r="H53" s="183" t="str">
        <x:f>IFERROR(INDEX(Prospectos!$M$2:$M$288,MATCH($A53,Prospectos!$A$2:$A$288,0)),"")</x:f>
        <x:v>planta / despacho</x:v>
      </x:c>
      <x:c r="I53" s="183" t="str">
        <x:f>IFERROR(INDEX(Prospectos!$N$2:$N$288,MATCH($A53,Prospectos!$A$2:$A$288,0)),"")</x:f>
        <x:v>Movimiento de premoldeados, moldes, equipos de planta y cargas pesadas asociadas a obra.</x:v>
      </x:c>
      <x:c r="J53" s="183" t="str">
        <x:f>IFERROR(INDEX(Prospectos!$AJ$2:$AJ$288,MATCH($A53,Prospectos!$A$2:$A$288,0)),"")</x:f>
        <x:v>Alta</x:v>
      </x:c>
      <x:c r="K53" s="179"/>
      <x:c r="L53" s="5"/>
      <x:c r="M53" s="135"/>
      <x:c r="N53" s="158"/>
    </x:row>
    <x:row r="54" ht="34" customHeight="1">
      <x:c r="A54" s="3" t="str">
        <x:v>RT-061</x:v>
      </x:c>
      <x:c r="B54" s="3" t="str">
        <x:f>IFERROR(INDEX(Prospectos!$F$2:$F$288,MATCH($A54,Prospectos!$A$2:$A$288,0)),"")</x:f>
        <x:v>B</x:v>
      </x:c>
      <x:c r="C54" s="3" t="str">
        <x:f>IFERROR(INDEX(Prospectos!$H$2:$H$288,MATCH($A54,Prospectos!$A$2:$A$288,0)),"")</x:f>
        <x:v>Formia Repuestos</x:v>
      </x:c>
      <x:c r="D54" s="3" t="str">
        <x:f>IFERROR(INDEX(Prospectos!$J$2:$J$288,MATCH($A54,Prospectos!$A$2:$A$288,0)),"")</x:f>
        <x:v>Maquinaria agrícola</x:v>
      </x:c>
      <x:c r="E54" s="3" t="str">
        <x:f>IFERROR(INDEX(Prospectos!$C$2:$C$288,MATCH($A54,Prospectos!$A$2:$A$288,0)),"")</x:f>
        <x:v>Base Río Tercero</x:v>
      </x:c>
      <x:c r="F54" s="3" t="str">
        <x:f>IFERROR(INDEX(Prospectos!$E$2:$E$288,MATCH($A54,Prospectos!$A$2:$A$288,0)),"")</x:f>
        <x:v>Río Tercero</x:v>
      </x:c>
      <x:c r="G54" s="3" t="str">
        <x:f>IFERROR(INDEX(Prospectos!$K$2:$K$288,MATCH($A54,Prospectos!$A$2:$A$288,0)),"")</x:f>
        <x:v>03571 422102</x:v>
      </x:c>
      <x:c r="H54" s="3" t="str">
        <x:f>IFERROR(INDEX(Prospectos!$M$2:$M$288,MATCH($A54,Prospectos!$A$2:$A$288,0)),"")</x:f>
        <x:v>logística / ventas / postventa</x:v>
      </x:c>
      <x:c r="I54" s="3" t="str">
        <x:f>IFERROR(INDEX(Prospectos!$N$2:$N$288,MATCH($A54,Prospectos!$A$2:$A$288,0)),"")</x:f>
        <x:v>Movimiento de agropartes, repuestos pesados, conjuntos y eventualmente implementos/equipos entre planta, concesionarios y clientes.</x:v>
      </x:c>
      <x:c r="J54" s="3" t="str">
        <x:f>IFERROR(INDEX(Prospectos!$AJ$2:$AJ$288,MATCH($A54,Prospectos!$A$2:$A$288,0)),"")</x:f>
        <x:v>Media</x:v>
      </x:c>
      <x:c r="K54" s="179"/>
      <x:c r="L54" s="3"/>
      <x:c r="M54" s="137"/>
      <x:c r="N54" s="158"/>
    </x:row>
    <x:row r="55" ht="34" customHeight="1">
      <x:c r="A55" s="183" t="str">
        <x:v>RT-063</x:v>
      </x:c>
      <x:c r="B55" s="183" t="str">
        <x:f>IFERROR(INDEX(Prospectos!$F$2:$F$288,MATCH($A55,Prospectos!$A$2:$A$288,0)),"")</x:f>
        <x:v>B</x:v>
      </x:c>
      <x:c r="C55" s="183" t="str">
        <x:f>IFERROR(INDEX(Prospectos!$H$2:$H$288,MATCH($A55,Prospectos!$A$2:$A$288,0)),"")</x:f>
        <x:v>Hidráulica Río Tercero</x:v>
      </x:c>
      <x:c r="D55" s="183" t="str">
        <x:f>IFERROR(INDEX(Prospectos!$J$2:$J$288,MATCH($A55,Prospectos!$A$2:$A$288,0)),"")</x:f>
        <x:v>Maquinaria agrícola</x:v>
      </x:c>
      <x:c r="E55" s="183" t="str">
        <x:f>IFERROR(INDEX(Prospectos!$C$2:$C$288,MATCH($A55,Prospectos!$A$2:$A$288,0)),"")</x:f>
        <x:v>Base Río Tercero</x:v>
      </x:c>
      <x:c r="F55" s="183" t="str">
        <x:f>IFERROR(INDEX(Prospectos!$E$2:$E$288,MATCH($A55,Prospectos!$A$2:$A$288,0)),"")</x:f>
        <x:v>Río Tercero</x:v>
      </x:c>
      <x:c r="G55" s="183" t="str">
        <x:f>IFERROR(INDEX(Prospectos!$K$2:$K$288,MATCH($A55,Prospectos!$A$2:$A$288,0)),"")</x:f>
        <x:v>03571 432041</x:v>
      </x:c>
      <x:c r="H55" s="183" t="str">
        <x:f>IFERROR(INDEX(Prospectos!$M$2:$M$288,MATCH($A55,Prospectos!$A$2:$A$288,0)),"")</x:f>
        <x:v>logística / ventas / postventa</x:v>
      </x:c>
      <x:c r="I55" s="183" t="str">
        <x:f>IFERROR(INDEX(Prospectos!$N$2:$N$288,MATCH($A55,Prospectos!$A$2:$A$288,0)),"")</x:f>
        <x:v>Movimiento de agropartes, repuestos pesados, conjuntos y eventualmente implementos/equipos entre planta, concesionarios y clientes.</x:v>
      </x:c>
      <x:c r="J55" s="183" t="str">
        <x:f>IFERROR(INDEX(Prospectos!$AJ$2:$AJ$288,MATCH($A55,Prospectos!$A$2:$A$288,0)),"")</x:f>
        <x:v>Media</x:v>
      </x:c>
      <x:c r="K55" s="179"/>
      <x:c r="L55" s="5"/>
      <x:c r="M55" s="135"/>
      <x:c r="N55" s="158"/>
    </x:row>
    <x:row r="56" ht="34" customHeight="1">
      <x:c r="A56" s="3" t="str">
        <x:v>RT-036</x:v>
      </x:c>
      <x:c r="B56" s="3" t="str">
        <x:f>IFERROR(INDEX(Prospectos!$F$2:$F$288,MATCH($A56,Prospectos!$A$2:$A$288,0)),"")</x:f>
        <x:v>B</x:v>
      </x:c>
      <x:c r="C56" s="3" t="str">
        <x:f>IFERROR(INDEX(Prospectos!$H$2:$H$288,MATCH($A56,Prospectos!$A$2:$A$288,0)),"")</x:f>
        <x:v>Baudino Hnos.</x:v>
      </x:c>
      <x:c r="D56" s="3" t="str">
        <x:f>IFERROR(INDEX(Prospectos!$J$2:$J$288,MATCH($A56,Prospectos!$A$2:$A$288,0)),"")</x:f>
        <x:v>Metalúrgica y fabricación</x:v>
      </x:c>
      <x:c r="E56" s="3" t="str">
        <x:f>IFERROR(INDEX(Prospectos!$C$2:$C$288,MATCH($A56,Prospectos!$A$2:$A$288,0)),"")</x:f>
        <x:v>Base Río Tercero</x:v>
      </x:c>
      <x:c r="F56" s="3" t="str">
        <x:f>IFERROR(INDEX(Prospectos!$E$2:$E$288,MATCH($A56,Prospectos!$A$2:$A$288,0)),"")</x:f>
        <x:v>Río Tercero</x:v>
      </x:c>
      <x:c r="G56" s="3" t="str">
        <x:f>IFERROR(INDEX(Prospectos!$K$2:$K$288,MATCH($A56,Prospectos!$A$2:$A$288,0)),"")</x:f>
        <x:v>03571 15600693 / 3571 457279 / 3571 458732</x:v>
      </x:c>
      <x:c r="H56" s="3" t="str">
        <x:f>IFERROR(INDEX(Prospectos!$M$2:$M$288,MATCH($A56,Prospectos!$A$2:$A$288,0)),"")</x:f>
        <x:v>despacho / producción</x:v>
      </x:c>
      <x:c r="I56" s="3" t="str">
        <x:f>IFERROR(INDEX(Prospectos!$N$2:$N$288,MATCH($A56,Prospectos!$A$2:$A$288,0)),"")</x:f>
        <x:v>Despacho seguro de estructuras, carrozados, tanques, piezas industriales y equipos sobre plataforma.</x:v>
      </x:c>
      <x:c r="J56" s="3" t="str">
        <x:f>IFERROR(INDEX(Prospectos!$AJ$2:$AJ$288,MATCH($A56,Prospectos!$A$2:$A$288,0)),"")</x:f>
        <x:v>Media</x:v>
      </x:c>
      <x:c r="K56" s="179"/>
      <x:c r="L56" s="3"/>
      <x:c r="M56" s="137"/>
      <x:c r="N56" s="158"/>
    </x:row>
    <x:row r="57" ht="34" customHeight="1">
      <x:c r="A57" s="183" t="str">
        <x:v>RT-037</x:v>
      </x:c>
      <x:c r="B57" s="183" t="str">
        <x:f>IFERROR(INDEX(Prospectos!$F$2:$F$288,MATCH($A57,Prospectos!$A$2:$A$288,0)),"")</x:f>
        <x:v>B</x:v>
      </x:c>
      <x:c r="C57" s="183" t="str">
        <x:f>IFERROR(INDEX(Prospectos!$H$2:$H$288,MATCH($A57,Prospectos!$A$2:$A$288,0)),"")</x:f>
        <x:v>Charrúa Implementos Agrícolas</x:v>
      </x:c>
      <x:c r="D57" s="183" t="str">
        <x:f>IFERROR(INDEX(Prospectos!$J$2:$J$288,MATCH($A57,Prospectos!$A$2:$A$288,0)),"")</x:f>
        <x:v>Maquinaria agrícola</x:v>
      </x:c>
      <x:c r="E57" s="183" t="str">
        <x:f>IFERROR(INDEX(Prospectos!$C$2:$C$288,MATCH($A57,Prospectos!$A$2:$A$288,0)),"")</x:f>
        <x:v>Base Río Tercero</x:v>
      </x:c>
      <x:c r="F57" s="183" t="str">
        <x:f>IFERROR(INDEX(Prospectos!$E$2:$E$288,MATCH($A57,Prospectos!$A$2:$A$288,0)),"")</x:f>
        <x:v>Río Tercero</x:v>
      </x:c>
      <x:c r="G57" s="183" t="str">
        <x:f>IFERROR(INDEX(Prospectos!$K$2:$K$288,MATCH($A57,Prospectos!$A$2:$A$288,0)),"")</x:f>
        <x:v>03571 619149 / 03571 503663 (a confirmar) / +54 9 3571 61 9149 / +54 9 3571 31 0086</x:v>
      </x:c>
      <x:c r="H57" s="183" t="str">
        <x:f>IFERROR(INDEX(Prospectos!$M$2:$M$288,MATCH($A57,Prospectos!$A$2:$A$288,0)),"")</x:f>
        <x:v>responsable de acopio / mantenimiento</x:v>
      </x:c>
      <x:c r="I57" s="183" t="str">
        <x:f>IFERROR(INDEX(Prospectos!$N$2:$N$288,MATCH($A57,Prospectos!$A$2:$A$288,0)),"")</x:f>
        <x:v>Movimientos especiales de mantenimiento, repuestos pesados y mudanzas internas de equipos.</x:v>
      </x:c>
      <x:c r="J57" s="183" t="str">
        <x:f>IFERROR(INDEX(Prospectos!$AJ$2:$AJ$288,MATCH($A57,Prospectos!$A$2:$A$288,0)),"")</x:f>
        <x:v>Media</x:v>
      </x:c>
      <x:c r="K57" s="179"/>
      <x:c r="L57" s="5"/>
      <x:c r="M57" s="135"/>
      <x:c r="N57" s="158"/>
    </x:row>
    <x:row r="58" ht="34" customHeight="1">
      <x:c r="A58" s="3" t="str">
        <x:v>RT-038</x:v>
      </x:c>
      <x:c r="B58" s="3" t="str">
        <x:f>IFERROR(INDEX(Prospectos!$F$2:$F$288,MATCH($A58,Prospectos!$A$2:$A$288,0)),"")</x:f>
        <x:v>B</x:v>
      </x:c>
      <x:c r="C58" s="3" t="str">
        <x:f>IFERROR(INDEX(Prospectos!$H$2:$H$288,MATCH($A58,Prospectos!$A$2:$A$288,0)),"")</x:f>
        <x:v>HIDROSERVIS</x:v>
      </x:c>
      <x:c r="D58" s="3" t="str">
        <x:f>IFERROR(INDEX(Prospectos!$J$2:$J$288,MATCH($A58,Prospectos!$A$2:$A$288,0)),"")</x:f>
        <x:v>Metalúrgica y fabricación</x:v>
      </x:c>
      <x:c r="E58" s="3" t="str">
        <x:f>IFERROR(INDEX(Prospectos!$C$2:$C$288,MATCH($A58,Prospectos!$A$2:$A$288,0)),"")</x:f>
        <x:v>Base Río Tercero</x:v>
      </x:c>
      <x:c r="F58" s="3" t="str">
        <x:f>IFERROR(INDEX(Prospectos!$E$2:$E$288,MATCH($A58,Prospectos!$A$2:$A$288,0)),"")</x:f>
        <x:v>Río Tercero</x:v>
      </x:c>
      <x:c r="G58" s="3" t="str">
        <x:f>IFERROR(INDEX(Prospectos!$K$2:$K$288,MATCH($A58,Prospectos!$A$2:$A$288,0)),"")</x:f>
        <x:v>Portería parque: 03571 565662</x:v>
      </x:c>
      <x:c r="H58" s="3" t="str">
        <x:f>IFERROR(INDEX(Prospectos!$M$2:$M$288,MATCH($A58,Prospectos!$A$2:$A$288,0)),"")</x:f>
        <x:v>responsable de logística/compras</x:v>
      </x:c>
      <x:c r="I58" s="3" t="str">
        <x:f>IFERROR(INDEX(Prospectos!$N$2:$N$288,MATCH($A58,Prospectos!$A$2:$A$288,0)),"")</x:f>
        <x:v>Movimientos especiales de mantenimiento, repuestos pesados y mudanzas internas de equipos.</x:v>
      </x:c>
      <x:c r="J58" s="3" t="str">
        <x:f>IFERROR(INDEX(Prospectos!$AJ$2:$AJ$288,MATCH($A58,Prospectos!$A$2:$A$288,0)),"")</x:f>
        <x:v>Media</x:v>
      </x:c>
      <x:c r="K58" s="179"/>
      <x:c r="L58" s="3"/>
      <x:c r="M58" s="137"/>
      <x:c r="N58" s="158"/>
    </x:row>
    <x:row r="59" ht="34" customHeight="1">
      <x:c r="A59" s="183" t="str">
        <x:v>RT-039</x:v>
      </x:c>
      <x:c r="B59" s="183" t="str">
        <x:f>IFERROR(INDEX(Prospectos!$F$2:$F$288,MATCH($A59,Prospectos!$A$2:$A$288,0)),"")</x:f>
        <x:v>B</x:v>
      </x:c>
      <x:c r="C59" s="183" t="str">
        <x:f>IFERROR(INDEX(Prospectos!$H$2:$H$288,MATCH($A59,Prospectos!$A$2:$A$288,0)),"")</x:f>
        <x:v>Hormilas S.A.</x:v>
      </x:c>
      <x:c r="D59" s="183" t="str">
        <x:f>IFERROR(INDEX(Prospectos!$J$2:$J$288,MATCH($A59,Prospectos!$A$2:$A$288,0)),"")</x:f>
        <x:v>Hormigón, áridos y materiales</x:v>
      </x:c>
      <x:c r="E59" s="183" t="str">
        <x:f>IFERROR(INDEX(Prospectos!$C$2:$C$288,MATCH($A59,Prospectos!$A$2:$A$288,0)),"")</x:f>
        <x:v>Base Río Tercero</x:v>
      </x:c>
      <x:c r="F59" s="183" t="str">
        <x:f>IFERROR(INDEX(Prospectos!$E$2:$E$288,MATCH($A59,Prospectos!$A$2:$A$288,0)),"")</x:f>
        <x:v>Río Tercero</x:v>
      </x:c>
      <x:c r="G59" s="183" t="str">
        <x:f>IFERROR(INDEX(Prospectos!$K$2:$K$288,MATCH($A59,Prospectos!$A$2:$A$288,0)),"")</x:f>
        <x:v>03571 573231 (a confirmar)</x:v>
      </x:c>
      <x:c r="H59" s="183" t="str">
        <x:f>IFERROR(INDEX(Prospectos!$M$2:$M$288,MATCH($A59,Prospectos!$A$2:$A$288,0)),"")</x:f>
        <x:v>operaciones / planta</x:v>
      </x:c>
      <x:c r="I59" s="183" t="str">
        <x:f>IFERROR(INDEX(Prospectos!$N$2:$N$288,MATCH($A59,Prospectos!$A$2:$A$288,0)),"")</x:f>
        <x:v>Movimiento de premoldeados, equipos de planta/cantera, bombas, moldes y cargas pesadas.</x:v>
      </x:c>
      <x:c r="J59" s="183" t="str">
        <x:f>IFERROR(INDEX(Prospectos!$AJ$2:$AJ$288,MATCH($A59,Prospectos!$A$2:$A$288,0)),"")</x:f>
        <x:v>Media</x:v>
      </x:c>
      <x:c r="K59" s="179"/>
      <x:c r="L59" s="5"/>
      <x:c r="M59" s="135"/>
      <x:c r="N59" s="158"/>
    </x:row>
    <x:row r="60" ht="34" customHeight="1">
      <x:c r="A60" s="3" t="str">
        <x:v>RT-040</x:v>
      </x:c>
      <x:c r="B60" s="3" t="str">
        <x:f>IFERROR(INDEX(Prospectos!$F$2:$F$288,MATCH($A60,Prospectos!$A$2:$A$288,0)),"")</x:f>
        <x:v>B</x:v>
      </x:c>
      <x:c r="C60" s="3" t="str">
        <x:f>IFERROR(INDEX(Prospectos!$H$2:$H$288,MATCH($A60,Prospectos!$A$2:$A$288,0)),"")</x:f>
        <x:v>MoliCor</x:v>
      </x:c>
      <x:c r="D60" s="3" t="str">
        <x:f>IFERROR(INDEX(Prospectos!$J$2:$J$288,MATCH($A60,Prospectos!$A$2:$A$288,0)),"")</x:f>
        <x:v>Metalúrgica y fabricación</x:v>
      </x:c>
      <x:c r="E60" s="3" t="str">
        <x:f>IFERROR(INDEX(Prospectos!$C$2:$C$288,MATCH($A60,Prospectos!$A$2:$A$288,0)),"")</x:f>
        <x:v>Base Río Tercero</x:v>
      </x:c>
      <x:c r="F60" s="3" t="str">
        <x:f>IFERROR(INDEX(Prospectos!$E$2:$E$288,MATCH($A60,Prospectos!$A$2:$A$288,0)),"")</x:f>
        <x:v>Río Tercero</x:v>
      </x:c>
      <x:c r="G60" s="3" t="str">
        <x:f>IFERROR(INDEX(Prospectos!$K$2:$K$288,MATCH($A60,Prospectos!$A$2:$A$288,0)),"")</x:f>
        <x:v>A relevar vía parque</x:v>
      </x:c>
      <x:c r="H60" s="3" t="str">
        <x:f>IFERROR(INDEX(Prospectos!$M$2:$M$288,MATCH($A60,Prospectos!$A$2:$A$288,0)),"")</x:f>
        <x:v>despacho / producción</x:v>
      </x:c>
      <x:c r="I60" s="3" t="str">
        <x:f>IFERROR(INDEX(Prospectos!$N$2:$N$288,MATCH($A60,Prospectos!$A$2:$A$288,0)),"")</x:f>
        <x:v>Despacho de estructuras, piezas, equipos y conjuntos metalmecánicos de gran porte hacia obras o clientes.</x:v>
      </x:c>
      <x:c r="J60" s="3" t="str">
        <x:f>IFERROR(INDEX(Prospectos!$AJ$2:$AJ$288,MATCH($A60,Prospectos!$A$2:$A$288,0)),"")</x:f>
        <x:v>Media</x:v>
      </x:c>
      <x:c r="K60" s="179"/>
      <x:c r="L60" s="3"/>
      <x:c r="M60" s="137"/>
      <x:c r="N60" s="158"/>
    </x:row>
    <x:row r="61" ht="34" customHeight="1">
      <x:c r="A61" s="183" t="str">
        <x:v>RT-041</x:v>
      </x:c>
      <x:c r="B61" s="183" t="str">
        <x:f>IFERROR(INDEX(Prospectos!$F$2:$F$288,MATCH($A61,Prospectos!$A$2:$A$288,0)),"")</x:f>
        <x:v>B</x:v>
      </x:c>
      <x:c r="C61" s="183" t="str">
        <x:f>IFERROR(INDEX(Prospectos!$H$2:$H$288,MATCH($A61,Prospectos!$A$2:$A$288,0)),"")</x:f>
        <x:v>Taller RS S.A.</x:v>
      </x:c>
      <x:c r="D61" s="183" t="str">
        <x:f>IFERROR(INDEX(Prospectos!$J$2:$J$288,MATCH($A61,Prospectos!$A$2:$A$288,0)),"")</x:f>
        <x:v>Industria y mantenimiento</x:v>
      </x:c>
      <x:c r="E61" s="183" t="str">
        <x:f>IFERROR(INDEX(Prospectos!$C$2:$C$288,MATCH($A61,Prospectos!$A$2:$A$288,0)),"")</x:f>
        <x:v>Base Río Tercero</x:v>
      </x:c>
      <x:c r="F61" s="183" t="str">
        <x:f>IFERROR(INDEX(Prospectos!$E$2:$E$288,MATCH($A61,Prospectos!$A$2:$A$288,0)),"")</x:f>
        <x:v>Río Tercero</x:v>
      </x:c>
      <x:c r="G61" s="183" t="str">
        <x:f>IFERROR(INDEX(Prospectos!$K$2:$K$288,MATCH($A61,Prospectos!$A$2:$A$288,0)),"")</x:f>
        <x:v>03571 422065</x:v>
      </x:c>
      <x:c r="H61" s="183" t="str">
        <x:f>IFERROR(INDEX(Prospectos!$M$2:$M$288,MATCH($A61,Prospectos!$A$2:$A$288,0)),"")</x:f>
        <x:v>mantenimiento / despacho</x:v>
      </x:c>
      <x:c r="I61" s="183" t="str">
        <x:f>IFERROR(INDEX(Prospectos!$N$2:$N$288,MATCH($A61,Prospectos!$A$2:$A$288,0)),"")</x:f>
        <x:v>Movimientos especiales de mantenimiento, repuestos pesados, equipos y mudanzas internas o entre plantas.</x:v>
      </x:c>
      <x:c r="J61" s="183" t="str">
        <x:f>IFERROR(INDEX(Prospectos!$AJ$2:$AJ$288,MATCH($A61,Prospectos!$A$2:$A$288,0)),"")</x:f>
        <x:v>Alta</x:v>
      </x:c>
      <x:c r="K61" s="179"/>
      <x:c r="L61" s="5"/>
      <x:c r="M61" s="135"/>
      <x:c r="N61" s="158"/>
    </x:row>
    <x:row r="62" ht="34" customHeight="1">
      <x:c r="A62" s="6" t="str">
        <x:v>RT-042</x:v>
      </x:c>
      <x:c r="B62" s="6" t="str">
        <x:f>IFERROR(INDEX(Prospectos!$F$2:$F$288,MATCH($A62,Prospectos!$A$2:$A$288,0)),"")</x:f>
        <x:v>B</x:v>
      </x:c>
      <x:c r="C62" s="6" t="str">
        <x:f>IFERROR(INDEX(Prospectos!$H$2:$H$288,MATCH($A62,Prospectos!$A$2:$A$288,0)),"")</x:f>
        <x:v>Atanor / Albaugh</x:v>
      </x:c>
      <x:c r="D62" s="6" t="str">
        <x:f>IFERROR(INDEX(Prospectos!$J$2:$J$288,MATCH($A62,Prospectos!$A$2:$A$288,0)),"")</x:f>
        <x:v>Agro, acopio y cooperativas</x:v>
      </x:c>
      <x:c r="E62" s="6" t="str">
        <x:f>IFERROR(INDEX(Prospectos!$C$2:$C$288,MATCH($A62,Prospectos!$A$2:$A$288,0)),"")</x:f>
        <x:v>Base Río Tercero</x:v>
      </x:c>
      <x:c r="F62" s="6" t="str">
        <x:f>IFERROR(INDEX(Prospectos!$E$2:$E$288,MATCH($A62,Prospectos!$A$2:$A$288,0)),"")</x:f>
        <x:v>Río Tercero</x:v>
      </x:c>
      <x:c r="G62" s="6" t="str">
        <x:f>IFERROR(INDEX(Prospectos!$K$2:$K$288,MATCH($A62,Prospectos!$A$2:$A$288,0)),"")</x:f>
        <x:v>A relevar</x:v>
      </x:c>
      <x:c r="H62" s="6" t="str">
        <x:f>IFERROR(INDEX(Prospectos!$M$2:$M$288,MATCH($A62,Prospectos!$A$2:$A$288,0)),"")</x:f>
        <x:v>responsable de acopio / mantenimiento</x:v>
      </x:c>
      <x:c r="I62" s="6" t="str">
        <x:f>IFERROR(INDEX(Prospectos!$N$2:$N$288,MATCH($A62,Prospectos!$A$2:$A$288,0)),"")</x:f>
        <x:v>Traslado de equipos de planta, silos, repuestos pesados, balanzas, implementos y cargas especiales.</x:v>
      </x:c>
      <x:c r="J62" s="6" t="str">
        <x:f>IFERROR(INDEX(Prospectos!$AJ$2:$AJ$288,MATCH($A62,Prospectos!$A$2:$A$288,0)),"")</x:f>
        <x:v>Media</x:v>
      </x:c>
      <x:c r="K62" s="180"/>
      <x:c r="L62" s="6"/>
      <x:c r="M62" s="137"/>
      <x:c r="N62" s="158"/>
    </x:row>
    <x:row r="63" ht="34" customHeight="1">
      <x:c r="A63" s="183" t="str">
        <x:v>RT-043</x:v>
      </x:c>
      <x:c r="B63" s="183" t="str">
        <x:f>IFERROR(INDEX(Prospectos!$F$2:$F$288,MATCH($A63,Prospectos!$A$2:$A$288,0)),"")</x:f>
        <x:v>B</x:v>
      </x:c>
      <x:c r="C63" s="183" t="str">
        <x:f>IFERROR(INDEX(Prospectos!$H$2:$H$288,MATCH($A63,Prospectos!$A$2:$A$288,0)),"")</x:f>
        <x:v>Bravo Gustavo y Guillermo</x:v>
      </x:c>
      <x:c r="D63" s="183" t="str">
        <x:f>IFERROR(INDEX(Prospectos!$J$2:$J$288,MATCH($A63,Prospectos!$A$2:$A$288,0)),"")</x:f>
        <x:v>Hormigón, áridos y materiales</x:v>
      </x:c>
      <x:c r="E63" s="183" t="str">
        <x:f>IFERROR(INDEX(Prospectos!$C$2:$C$288,MATCH($A63,Prospectos!$A$2:$A$288,0)),"")</x:f>
        <x:v>Base Río Tercero</x:v>
      </x:c>
      <x:c r="F63" s="183" t="str">
        <x:f>IFERROR(INDEX(Prospectos!$E$2:$E$288,MATCH($A63,Prospectos!$A$2:$A$288,0)),"")</x:f>
        <x:v>Río Tercero</x:v>
      </x:c>
      <x:c r="G63" s="183" t="str">
        <x:f>IFERROR(INDEX(Prospectos!$K$2:$K$288,MATCH($A63,Prospectos!$A$2:$A$288,0)),"")</x:f>
        <x:v>A relevar vía parque</x:v>
      </x:c>
      <x:c r="H63" s="183" t="str">
        <x:f>IFERROR(INDEX(Prospectos!$M$2:$M$288,MATCH($A63,Prospectos!$A$2:$A$288,0)),"")</x:f>
        <x:v>planta / despacho</x:v>
      </x:c>
      <x:c r="I63" s="183" t="str">
        <x:f>IFERROR(INDEX(Prospectos!$N$2:$N$288,MATCH($A63,Prospectos!$A$2:$A$288,0)),"")</x:f>
        <x:v>Movimiento de premoldeados, equipos de planta/cantera, bombas, moldes y cargas pesadas.</x:v>
      </x:c>
      <x:c r="J63" s="183" t="str">
        <x:f>IFERROR(INDEX(Prospectos!$AJ$2:$AJ$288,MATCH($A63,Prospectos!$A$2:$A$288,0)),"")</x:f>
        <x:v>Media</x:v>
      </x:c>
      <x:c r="K63" s="179"/>
      <x:c r="L63" s="5"/>
      <x:c r="M63" s="135"/>
      <x:c r="N63" s="158"/>
    </x:row>
    <x:row r="64" ht="34" customHeight="1">
      <x:c r="A64" s="7" t="str">
        <x:v>RT-044</x:v>
      </x:c>
      <x:c r="B64" s="7" t="str">
        <x:f>IFERROR(INDEX(Prospectos!$F$2:$F$288,MATCH($A64,Prospectos!$A$2:$A$288,0)),"")</x:f>
        <x:v>B</x:v>
      </x:c>
      <x:c r="C64" s="7" t="str">
        <x:f>IFERROR(INDEX(Prospectos!$H$2:$H$288,MATCH($A64,Prospectos!$A$2:$A$288,0)),"")</x:f>
        <x:v>Construcciones Sermanter S.R.L.</x:v>
      </x:c>
      <x:c r="D64" s="7" t="str">
        <x:f>IFERROR(INDEX(Prospectos!$J$2:$J$288,MATCH($A64,Prospectos!$A$2:$A$288,0)),"")</x:f>
        <x:v>Metalúrgica y fabricación</x:v>
      </x:c>
      <x:c r="E64" s="7" t="str">
        <x:f>IFERROR(INDEX(Prospectos!$C$2:$C$288,MATCH($A64,Prospectos!$A$2:$A$288,0)),"")</x:f>
        <x:v>Base Río Tercero</x:v>
      </x:c>
      <x:c r="F64" s="7" t="str">
        <x:f>IFERROR(INDEX(Prospectos!$E$2:$E$288,MATCH($A64,Prospectos!$A$2:$A$288,0)),"")</x:f>
        <x:v>Río Tercero</x:v>
      </x:c>
      <x:c r="G64" s="7" t="str">
        <x:f>IFERROR(INDEX(Prospectos!$K$2:$K$288,MATCH($A64,Prospectos!$A$2:$A$288,0)),"")</x:f>
        <x:v>A relevar vía parque</x:v>
      </x:c>
      <x:c r="H64" s="7" t="str">
        <x:f>IFERROR(INDEX(Prospectos!$M$2:$M$288,MATCH($A64,Prospectos!$A$2:$A$288,0)),"")</x:f>
        <x:v>jefe de obra / mantenimiento</x:v>
      </x:c>
      <x:c r="I64" s="7" t="str">
        <x:f>IFERROR(INDEX(Prospectos!$N$2:$N$288,MATCH($A64,Prospectos!$A$2:$A$288,0)),"")</x:f>
        <x:v>Despacho seguro de estructuras, carrozados, tanques, piezas industriales y equipos sobre plataforma.</x:v>
      </x:c>
      <x:c r="J64" s="7" t="str">
        <x:f>IFERROR(INDEX(Prospectos!$AJ$2:$AJ$288,MATCH($A64,Prospectos!$A$2:$A$288,0)),"")</x:f>
        <x:v>Media</x:v>
      </x:c>
      <x:c r="K64" s="181"/>
      <x:c r="L64" s="7"/>
      <x:c r="M64" s="137"/>
      <x:c r="N64" s="158"/>
    </x:row>
    <x:row r="65" ht="34" customHeight="1">
      <x:c r="A65" s="183" t="str">
        <x:v>RT-045</x:v>
      </x:c>
      <x:c r="B65" s="183" t="str">
        <x:f>IFERROR(INDEX(Prospectos!$F$2:$F$288,MATCH($A65,Prospectos!$A$2:$A$288,0)),"")</x:f>
        <x:v>B</x:v>
      </x:c>
      <x:c r="C65" s="183" t="str">
        <x:f>IFERROR(INDEX(Prospectos!$H$2:$H$288,MATCH($A65,Prospectos!$A$2:$A$288,0)),"")</x:f>
        <x:v>Fabri-Mec</x:v>
      </x:c>
      <x:c r="D65" s="183" t="str">
        <x:f>IFERROR(INDEX(Prospectos!$J$2:$J$288,MATCH($A65,Prospectos!$A$2:$A$288,0)),"")</x:f>
        <x:v>Metalúrgica y fabricación</x:v>
      </x:c>
      <x:c r="E65" s="183" t="str">
        <x:f>IFERROR(INDEX(Prospectos!$C$2:$C$288,MATCH($A65,Prospectos!$A$2:$A$288,0)),"")</x:f>
        <x:v>Base Río Tercero</x:v>
      </x:c>
      <x:c r="F65" s="183" t="str">
        <x:f>IFERROR(INDEX(Prospectos!$E$2:$E$288,MATCH($A65,Prospectos!$A$2:$A$288,0)),"")</x:f>
        <x:v>Río Tercero</x:v>
      </x:c>
      <x:c r="G65" s="183" t="str">
        <x:f>IFERROR(INDEX(Prospectos!$K$2:$K$288,MATCH($A65,Prospectos!$A$2:$A$288,0)),"")</x:f>
        <x:v>03571 412302 / 03571 579685</x:v>
      </x:c>
      <x:c r="H65" s="183" t="str">
        <x:f>IFERROR(INDEX(Prospectos!$M$2:$M$288,MATCH($A65,Prospectos!$A$2:$A$288,0)),"")</x:f>
        <x:v>despacho / producción</x:v>
      </x:c>
      <x:c r="I65" s="183" t="str">
        <x:f>IFERROR(INDEX(Prospectos!$N$2:$N$288,MATCH($A65,Prospectos!$A$2:$A$288,0)),"")</x:f>
        <x:v>Movimientos especiales de mantenimiento, repuestos pesados y mudanzas internas de equipos.</x:v>
      </x:c>
      <x:c r="J65" s="183" t="str">
        <x:f>IFERROR(INDEX(Prospectos!$AJ$2:$AJ$288,MATCH($A65,Prospectos!$A$2:$A$288,0)),"")</x:f>
        <x:v>Media</x:v>
      </x:c>
      <x:c r="K65" s="179"/>
      <x:c r="L65" s="5"/>
      <x:c r="M65" s="135"/>
      <x:c r="N65" s="158"/>
    </x:row>
    <x:row r="66" ht="34" customHeight="1">
      <x:c r="A66" s="3" t="str">
        <x:v>RT-046</x:v>
      </x:c>
      <x:c r="B66" s="3" t="str">
        <x:f>IFERROR(INDEX(Prospectos!$F$2:$F$288,MATCH($A66,Prospectos!$A$2:$A$288,0)),"")</x:f>
        <x:v>B</x:v>
      </x:c>
      <x:c r="C66" s="3" t="str">
        <x:f>IFERROR(INDEX(Prospectos!$H$2:$H$288,MATCH($A66,Prospectos!$A$2:$A$288,0)),"")</x:f>
        <x:v>Fábrica Militar Río Tercero</x:v>
      </x:c>
      <x:c r="D66" s="3" t="str">
        <x:f>IFERROR(INDEX(Prospectos!$J$2:$J$288,MATCH($A66,Prospectos!$A$2:$A$288,0)),"")</x:f>
        <x:v>Metalúrgica y fabricación</x:v>
      </x:c>
      <x:c r="E66" s="3" t="str">
        <x:f>IFERROR(INDEX(Prospectos!$C$2:$C$288,MATCH($A66,Prospectos!$A$2:$A$288,0)),"")</x:f>
        <x:v>Base Río Tercero</x:v>
      </x:c>
      <x:c r="F66" s="3" t="str">
        <x:f>IFERROR(INDEX(Prospectos!$E$2:$E$288,MATCH($A66,Prospectos!$A$2:$A$288,0)),"")</x:f>
        <x:v>Río Tercero</x:v>
      </x:c>
      <x:c r="G66" s="3" t="str">
        <x:f>IFERROR(INDEX(Prospectos!$K$2:$K$288,MATCH($A66,Prospectos!$A$2:$A$288,0)),"")</x:f>
        <x:v>A relevar</x:v>
      </x:c>
      <x:c r="H66" s="3" t="str">
        <x:f>IFERROR(INDEX(Prospectos!$M$2:$M$288,MATCH($A66,Prospectos!$A$2:$A$288,0)),"")</x:f>
        <x:v>despacho / producción</x:v>
      </x:c>
      <x:c r="I66" s="3" t="str">
        <x:f>IFERROR(INDEX(Prospectos!$N$2:$N$288,MATCH($A66,Prospectos!$A$2:$A$288,0)),"")</x:f>
        <x:v>Despacho seguro de estructuras, carrozados, tanques, piezas industriales y equipos sobre plataforma.</x:v>
      </x:c>
      <x:c r="J66" s="3" t="str">
        <x:f>IFERROR(INDEX(Prospectos!$AJ$2:$AJ$288,MATCH($A66,Prospectos!$A$2:$A$288,0)),"")</x:f>
        <x:v>Media</x:v>
      </x:c>
      <x:c r="K66" s="179"/>
      <x:c r="L66" s="3"/>
      <x:c r="M66" s="137"/>
      <x:c r="N66" s="158"/>
    </x:row>
    <x:row r="67" ht="34" customHeight="1">
      <x:c r="A67" s="183" t="str">
        <x:v>RT-047</x:v>
      </x:c>
      <x:c r="B67" s="183" t="str">
        <x:f>IFERROR(INDEX(Prospectos!$F$2:$F$288,MATCH($A67,Prospectos!$A$2:$A$288,0)),"")</x:f>
        <x:v>B</x:v>
      </x:c>
      <x:c r="C67" s="183" t="str">
        <x:f>IFERROR(INDEX(Prospectos!$H$2:$H$288,MATCH($A67,Prospectos!$A$2:$A$288,0)),"")</x:f>
        <x:v>LiftingMach S.A.</x:v>
      </x:c>
      <x:c r="D67" s="183" t="str">
        <x:f>IFERROR(INDEX(Prospectos!$J$2:$J$288,MATCH($A67,Prospectos!$A$2:$A$288,0)),"")</x:f>
        <x:v>Industria y mantenimiento</x:v>
      </x:c>
      <x:c r="E67" s="183" t="str">
        <x:f>IFERROR(INDEX(Prospectos!$C$2:$C$288,MATCH($A67,Prospectos!$A$2:$A$288,0)),"")</x:f>
        <x:v>Base Río Tercero</x:v>
      </x:c>
      <x:c r="F67" s="183" t="str">
        <x:f>IFERROR(INDEX(Prospectos!$E$2:$E$288,MATCH($A67,Prospectos!$A$2:$A$288,0)),"")</x:f>
        <x:v>Río Tercero</x:v>
      </x:c>
      <x:c r="G67" s="183" t="str">
        <x:f>IFERROR(INDEX(Prospectos!$K$2:$K$288,MATCH($A67,Prospectos!$A$2:$A$288,0)),"")</x:f>
        <x:v>A relevar vía parque</x:v>
      </x:c>
      <x:c r="H67" s="183" t="str">
        <x:f>IFERROR(INDEX(Prospectos!$M$2:$M$288,MATCH($A67,Prospectos!$A$2:$A$288,0)),"")</x:f>
        <x:v>despacho / producción</x:v>
      </x:c>
      <x:c r="I67" s="183" t="str">
        <x:f>IFERROR(INDEX(Prospectos!$N$2:$N$288,MATCH($A67,Prospectos!$A$2:$A$288,0)),"")</x:f>
        <x:v>Movimientos especiales de mantenimiento, repuestos pesados y mudanzas internas de equipos.</x:v>
      </x:c>
      <x:c r="J67" s="183" t="str">
        <x:f>IFERROR(INDEX(Prospectos!$AJ$2:$AJ$288,MATCH($A67,Prospectos!$A$2:$A$288,0)),"")</x:f>
        <x:v>Media</x:v>
      </x:c>
      <x:c r="K67" s="179"/>
      <x:c r="L67" s="5"/>
      <x:c r="M67" s="135"/>
      <x:c r="N67" s="158"/>
    </x:row>
    <x:row r="68" ht="34" customHeight="1">
      <x:c r="A68" s="3" t="str">
        <x:v>RT-048</x:v>
      </x:c>
      <x:c r="B68" s="3" t="str">
        <x:f>IFERROR(INDEX(Prospectos!$F$2:$F$288,MATCH($A68,Prospectos!$A$2:$A$288,0)),"")</x:f>
        <x:v>B</x:v>
      </x:c>
      <x:c r="C68" s="3" t="str">
        <x:f>IFERROR(INDEX(Prospectos!$H$2:$H$288,MATCH($A68,Prospectos!$A$2:$A$288,0)),"")</x:f>
        <x:v>PROMETVA S.R.L.</x:v>
      </x:c>
      <x:c r="D68" s="3" t="str">
        <x:f>IFERROR(INDEX(Prospectos!$J$2:$J$288,MATCH($A68,Prospectos!$A$2:$A$288,0)),"")</x:f>
        <x:v>Metalúrgica y fabricación</x:v>
      </x:c>
      <x:c r="E68" s="3" t="str">
        <x:f>IFERROR(INDEX(Prospectos!$C$2:$C$288,MATCH($A68,Prospectos!$A$2:$A$288,0)),"")</x:f>
        <x:v>Base Río Tercero</x:v>
      </x:c>
      <x:c r="F68" s="3" t="str">
        <x:f>IFERROR(INDEX(Prospectos!$E$2:$E$288,MATCH($A68,Prospectos!$A$2:$A$288,0)),"")</x:f>
        <x:v>Río Tercero</x:v>
      </x:c>
      <x:c r="G68" s="3" t="str">
        <x:f>IFERROR(INDEX(Prospectos!$K$2:$K$288,MATCH($A68,Prospectos!$A$2:$A$288,0)),"")</x:f>
        <x:v>A relevar vía parque</x:v>
      </x:c>
      <x:c r="H68" s="3" t="str">
        <x:f>IFERROR(INDEX(Prospectos!$M$2:$M$288,MATCH($A68,Prospectos!$A$2:$A$288,0)),"")</x:f>
        <x:v>despacho / producción</x:v>
      </x:c>
      <x:c r="I68" s="3" t="str">
        <x:f>IFERROR(INDEX(Prospectos!$N$2:$N$288,MATCH($A68,Prospectos!$A$2:$A$288,0)),"")</x:f>
        <x:v>Movimientos especiales de mantenimiento, repuestos pesados y mudanzas internas de equipos.</x:v>
      </x:c>
      <x:c r="J68" s="3" t="str">
        <x:f>IFERROR(INDEX(Prospectos!$AJ$2:$AJ$288,MATCH($A68,Prospectos!$A$2:$A$288,0)),"")</x:f>
        <x:v>Media</x:v>
      </x:c>
      <x:c r="K68" s="179"/>
      <x:c r="L68" s="3"/>
      <x:c r="M68" s="137"/>
      <x:c r="N68" s="158"/>
    </x:row>
    <x:row r="69" ht="34" customHeight="1">
      <x:c r="A69" s="183" t="str">
        <x:v>RT-049</x:v>
      </x:c>
      <x:c r="B69" s="183" t="str">
        <x:f>IFERROR(INDEX(Prospectos!$F$2:$F$288,MATCH($A69,Prospectos!$A$2:$A$288,0)),"")</x:f>
        <x:v>B</x:v>
      </x:c>
      <x:c r="C69" s="183" t="str">
        <x:f>IFERROR(INDEX(Prospectos!$H$2:$H$288,MATCH($A69,Prospectos!$A$2:$A$288,0)),"")</x:f>
        <x:v>Taller Sarmiento</x:v>
      </x:c>
      <x:c r="D69" s="183" t="str">
        <x:f>IFERROR(INDEX(Prospectos!$J$2:$J$288,MATCH($A69,Prospectos!$A$2:$A$288,0)),"")</x:f>
        <x:v>Industria y mantenimiento</x:v>
      </x:c>
      <x:c r="E69" s="183" t="str">
        <x:f>IFERROR(INDEX(Prospectos!$C$2:$C$288,MATCH($A69,Prospectos!$A$2:$A$288,0)),"")</x:f>
        <x:v>Base Río Tercero</x:v>
      </x:c>
      <x:c r="F69" s="183" t="str">
        <x:f>IFERROR(INDEX(Prospectos!$E$2:$E$288,MATCH($A69,Prospectos!$A$2:$A$288,0)),"")</x:f>
        <x:v>Río Tercero</x:v>
      </x:c>
      <x:c r="G69" s="183" t="str">
        <x:f>IFERROR(INDEX(Prospectos!$K$2:$K$288,MATCH($A69,Prospectos!$A$2:$A$288,0)),"")</x:f>
        <x:v>A relevar vía parque</x:v>
      </x:c>
      <x:c r="H69" s="183" t="str">
        <x:f>IFERROR(INDEX(Prospectos!$M$2:$M$288,MATCH($A69,Prospectos!$A$2:$A$288,0)),"")</x:f>
        <x:v>mantenimiento / compras</x:v>
      </x:c>
      <x:c r="I69" s="183" t="str">
        <x:f>IFERROR(INDEX(Prospectos!$N$2:$N$288,MATCH($A69,Prospectos!$A$2:$A$288,0)),"")</x:f>
        <x:v>Movimientos especiales de mantenimiento, repuestos pesados y mudanzas internas de equipos.</x:v>
      </x:c>
      <x:c r="J69" s="183" t="str">
        <x:f>IFERROR(INDEX(Prospectos!$AJ$2:$AJ$288,MATCH($A69,Prospectos!$A$2:$A$288,0)),"")</x:f>
        <x:v>Media</x:v>
      </x:c>
      <x:c r="K69" s="179"/>
      <x:c r="L69" s="5"/>
      <x:c r="M69" s="135"/>
      <x:c r="N69" s="158"/>
    </x:row>
    <x:row r="70" ht="34" customHeight="1">
      <x:c r="A70" s="3" t="str">
        <x:v>RT-050</x:v>
      </x:c>
      <x:c r="B70" s="3" t="str">
        <x:f>IFERROR(INDEX(Prospectos!$F$2:$F$288,MATCH($A70,Prospectos!$A$2:$A$288,0)),"")</x:f>
        <x:v>C</x:v>
      </x:c>
      <x:c r="C70" s="3" t="str">
        <x:f>IFERROR(INDEX(Prospectos!$H$2:$H$288,MATCH($A70,Prospectos!$A$2:$A$288,0)),"")</x:f>
        <x:v>Grupo AVO S.A.</x:v>
      </x:c>
      <x:c r="D70" s="3" t="str">
        <x:f>IFERROR(INDEX(Prospectos!$J$2:$J$288,MATCH($A70,Prospectos!$A$2:$A$288,0)),"")</x:f>
        <x:v>Agroindustria y alimentos</x:v>
      </x:c>
      <x:c r="E70" s="3" t="str">
        <x:f>IFERROR(INDEX(Prospectos!$C$2:$C$288,MATCH($A70,Prospectos!$A$2:$A$288,0)),"")</x:f>
        <x:v>Base Río Tercero</x:v>
      </x:c>
      <x:c r="F70" s="3" t="str">
        <x:f>IFERROR(INDEX(Prospectos!$E$2:$E$288,MATCH($A70,Prospectos!$A$2:$A$288,0)),"")</x:f>
        <x:v>Río Tercero</x:v>
      </x:c>
      <x:c r="G70" s="3" t="str">
        <x:f>IFERROR(INDEX(Prospectos!$K$2:$K$288,MATCH($A70,Prospectos!$A$2:$A$288,0)),"")</x:f>
        <x:v>Portería parque: 03571 565662</x:v>
      </x:c>
      <x:c r="H70" s="3" t="str">
        <x:f>IFERROR(INDEX(Prospectos!$M$2:$M$288,MATCH($A70,Prospectos!$A$2:$A$288,0)),"")</x:f>
        <x:v>responsable de acopio / mantenimiento</x:v>
      </x:c>
      <x:c r="I70" s="3" t="str">
        <x:f>IFERROR(INDEX(Prospectos!$N$2:$N$288,MATCH($A70,Prospectos!$A$2:$A$288,0)),"")</x:f>
        <x:v>Movimientos especiales de mantenimiento, repuestos pesados y mudanzas internas de equipos.</x:v>
      </x:c>
      <x:c r="J70" s="3" t="str">
        <x:f>IFERROR(INDEX(Prospectos!$AJ$2:$AJ$288,MATCH($A70,Prospectos!$A$2:$A$288,0)),"")</x:f>
        <x:v>Baja / visitar solo por cercanía</x:v>
      </x:c>
      <x:c r="K70" s="179"/>
      <x:c r="L70" s="3"/>
      <x:c r="M70" s="137"/>
      <x:c r="N70" s="158"/>
    </x:row>
    <x:row r="71" ht="34" customHeight="1">
      <x:c r="A71" s="183" t="str">
        <x:v>RT-051</x:v>
      </x:c>
      <x:c r="B71" s="183" t="str">
        <x:f>IFERROR(INDEX(Prospectos!$F$2:$F$288,MATCH($A71,Prospectos!$A$2:$A$288,0)),"")</x:f>
        <x:v>C</x:v>
      </x:c>
      <x:c r="C71" s="183" t="str">
        <x:f>IFERROR(INDEX(Prospectos!$H$2:$H$288,MATCH($A71,Prospectos!$A$2:$A$288,0)),"")</x:f>
        <x:v>Transporte Sosa</x:v>
      </x:c>
      <x:c r="D71" s="183" t="str">
        <x:f>IFERROR(INDEX(Prospectos!$J$2:$J$288,MATCH($A71,Prospectos!$A$2:$A$288,0)),"")</x:f>
        <x:v>Metalúrgica y fabricación</x:v>
      </x:c>
      <x:c r="E71" s="183" t="str">
        <x:f>IFERROR(INDEX(Prospectos!$C$2:$C$288,MATCH($A71,Prospectos!$A$2:$A$288,0)),"")</x:f>
        <x:v>Base Río Tercero</x:v>
      </x:c>
      <x:c r="F71" s="183" t="str">
        <x:f>IFERROR(INDEX(Prospectos!$E$2:$E$288,MATCH($A71,Prospectos!$A$2:$A$288,0)),"")</x:f>
        <x:v>Río Tercero</x:v>
      </x:c>
      <x:c r="G71" s="183" t="str">
        <x:f>IFERROR(INDEX(Prospectos!$K$2:$K$288,MATCH($A71,Prospectos!$A$2:$A$288,0)),"")</x:f>
        <x:v>A relevar vía parque</x:v>
      </x:c>
      <x:c r="H71" s="183" t="str">
        <x:f>IFERROR(INDEX(Prospectos!$M$2:$M$288,MATCH($A71,Prospectos!$A$2:$A$288,0)),"")</x:f>
        <x:v>dueño / taller</x:v>
      </x:c>
      <x:c r="I71" s="183" t="str">
        <x:f>IFERROR(INDEX(Prospectos!$N$2:$N$288,MATCH($A71,Prospectos!$A$2:$A$288,0)),"")</x:f>
        <x:v>Movimientos especiales de mantenimiento, repuestos pesados y mudanzas internas de equipos.</x:v>
      </x:c>
      <x:c r="J71" s="183" t="str">
        <x:f>IFERROR(INDEX(Prospectos!$AJ$2:$AJ$288,MATCH($A71,Prospectos!$A$2:$A$288,0)),"")</x:f>
        <x:v>Baja / visitar solo por cercanía</x:v>
      </x:c>
      <x:c r="K71" s="179"/>
      <x:c r="L71" s="5"/>
      <x:c r="M71" s="135"/>
      <x:c r="N71" s="158"/>
    </x:row>
    <x:row r="72" ht="34" customHeight="1">
      <x:c r="A72" s="3" t="str">
        <x:v>RT-052</x:v>
      </x:c>
      <x:c r="B72" s="3" t="str">
        <x:f>IFERROR(INDEX(Prospectos!$F$2:$F$288,MATCH($A72,Prospectos!$A$2:$A$288,0)),"")</x:f>
        <x:v>C</x:v>
      </x:c>
      <x:c r="C72" s="3" t="str">
        <x:f>IFERROR(INDEX(Prospectos!$H$2:$H$288,MATCH($A72,Prospectos!$A$2:$A$288,0)),"")</x:f>
        <x:v>Volonte Marcelo</x:v>
      </x:c>
      <x:c r="D72" s="3" t="str">
        <x:f>IFERROR(INDEX(Prospectos!$J$2:$J$288,MATCH($A72,Prospectos!$A$2:$A$288,0)),"")</x:f>
        <x:v>Industria y mantenimiento</x:v>
      </x:c>
      <x:c r="E72" s="3" t="str">
        <x:f>IFERROR(INDEX(Prospectos!$C$2:$C$288,MATCH($A72,Prospectos!$A$2:$A$288,0)),"")</x:f>
        <x:v>Base Río Tercero</x:v>
      </x:c>
      <x:c r="F72" s="3" t="str">
        <x:f>IFERROR(INDEX(Prospectos!$E$2:$E$288,MATCH($A72,Prospectos!$A$2:$A$288,0)),"")</x:f>
        <x:v>Río Tercero</x:v>
      </x:c>
      <x:c r="G72" s="3" t="str">
        <x:f>IFERROR(INDEX(Prospectos!$K$2:$K$288,MATCH($A72,Prospectos!$A$2:$A$288,0)),"")</x:f>
        <x:v>A relevar vía parque</x:v>
      </x:c>
      <x:c r="H72" s="3" t="str">
        <x:f>IFERROR(INDEX(Prospectos!$M$2:$M$288,MATCH($A72,Prospectos!$A$2:$A$288,0)),"")</x:f>
        <x:v>operaciones / taller</x:v>
      </x:c>
      <x:c r="I72" s="3" t="str">
        <x:f>IFERROR(INDEX(Prospectos!$N$2:$N$288,MATCH($A72,Prospectos!$A$2:$A$288,0)),"")</x:f>
        <x:v>Movimientos especiales de mantenimiento, repuestos pesados y mudanzas internas de equipos.</x:v>
      </x:c>
      <x:c r="J72" s="3" t="str">
        <x:f>IFERROR(INDEX(Prospectos!$AJ$2:$AJ$288,MATCH($A72,Prospectos!$A$2:$A$288,0)),"")</x:f>
        <x:v>Baja / visitar solo por cercanía</x:v>
      </x:c>
      <x:c r="K72" s="179"/>
      <x:c r="L72" s="3"/>
      <x:c r="M72" s="137"/>
      <x:c r="N72" s="158"/>
    </x:row>
    <x:row r="73" ht="34" customHeight="1">
      <x:c r="A73" s="183" t="str">
        <x:v>RT-053</x:v>
      </x:c>
      <x:c r="B73" s="183" t="str">
        <x:f>IFERROR(INDEX(Prospectos!$F$2:$F$288,MATCH($A73,Prospectos!$A$2:$A$288,0)),"")</x:f>
        <x:v>C</x:v>
      </x:c>
      <x:c r="C73" s="183" t="str">
        <x:f>IFERROR(INDEX(Prospectos!$H$2:$H$288,MATCH($A73,Prospectos!$A$2:$A$288,0)),"")</x:f>
        <x:v>Áridos S.A.</x:v>
      </x:c>
      <x:c r="D73" s="183" t="str">
        <x:f>IFERROR(INDEX(Prospectos!$J$2:$J$288,MATCH($A73,Prospectos!$A$2:$A$288,0)),"")</x:f>
        <x:v>Hormigón, áridos y materiales</x:v>
      </x:c>
      <x:c r="E73" s="183" t="str">
        <x:f>IFERROR(INDEX(Prospectos!$C$2:$C$288,MATCH($A73,Prospectos!$A$2:$A$288,0)),"")</x:f>
        <x:v>Base Río Tercero</x:v>
      </x:c>
      <x:c r="F73" s="183" t="str">
        <x:f>IFERROR(INDEX(Prospectos!$E$2:$E$288,MATCH($A73,Prospectos!$A$2:$A$288,0)),"")</x:f>
        <x:v>Río Tercero</x:v>
      </x:c>
      <x:c r="G73" s="183" t="str">
        <x:f>IFERROR(INDEX(Prospectos!$K$2:$K$288,MATCH($A73,Prospectos!$A$2:$A$288,0)),"")</x:f>
        <x:v>A relevar</x:v>
      </x:c>
      <x:c r="H73" s="183" t="str">
        <x:f>IFERROR(INDEX(Prospectos!$M$2:$M$288,MATCH($A73,Prospectos!$A$2:$A$288,0)),"")</x:f>
        <x:v>planta / mantenimiento</x:v>
      </x:c>
      <x:c r="I73" s="183" t="str">
        <x:f>IFERROR(INDEX(Prospectos!$N$2:$N$288,MATCH($A73,Prospectos!$A$2:$A$288,0)),"")</x:f>
        <x:v>Movimiento de premoldeados, equipos de planta/cantera, bombas, moldes y cargas pesadas.</x:v>
      </x:c>
      <x:c r="J73" s="183" t="str">
        <x:f>IFERROR(INDEX(Prospectos!$AJ$2:$AJ$288,MATCH($A73,Prospectos!$A$2:$A$288,0)),"")</x:f>
        <x:v>Baja / visitar solo por cercanía</x:v>
      </x:c>
      <x:c r="K73" s="179"/>
      <x:c r="L73" s="5"/>
      <x:c r="M73" s="135"/>
      <x:c r="N73" s="158"/>
    </x:row>
    <x:row r="74" ht="34" customHeight="1">
      <x:c r="A74" s="3" t="str">
        <x:v>COR-001</x:v>
      </x:c>
      <x:c r="B74" s="3" t="str">
        <x:f>IFERROR(INDEX(Prospectos!$F$2:$F$288,MATCH($A74,Prospectos!$A$2:$A$288,0)),"")</x:f>
        <x:v>A</x:v>
      </x:c>
      <x:c r="C74" s="3" t="str">
        <x:f>IFERROR(INDEX(Prospectos!$H$2:$H$288,MATCH($A74,Prospectos!$A$2:$A$288,0)),"")</x:f>
        <x:v>AGD — Planta de Acopio Corralito</x:v>
      </x:c>
      <x:c r="D74" s="3" t="str">
        <x:f>IFERROR(INDEX(Prospectos!$J$2:$J$288,MATCH($A74,Prospectos!$A$2:$A$288,0)),"")</x:f>
        <x:v>Agroindustria y alimentos</x:v>
      </x:c>
      <x:c r="E74" s="3" t="str">
        <x:f>IFERROR(INDEX(Prospectos!$C$2:$C$288,MATCH($A74,Prospectos!$A$2:$A$288,0)),"")</x:f>
        <x:v>Corralito / acceso secundario RN36</x:v>
      </x:c>
      <x:c r="F74" s="3" t="str">
        <x:f>IFERROR(INDEX(Prospectos!$E$2:$E$288,MATCH($A74,Prospectos!$A$2:$A$288,0)),"")</x:f>
        <x:v>Corralito</x:v>
      </x:c>
      <x:c r="G74" s="3" t="str">
        <x:f>IFERROR(INDEX(Prospectos!$K$2:$K$288,MATCH($A74,Prospectos!$A$2:$A$288,0)),"")</x:f>
        <x:v>03571 492144 / 492172 / 492228</x:v>
      </x:c>
      <x:c r="H74" s="3" t="str">
        <x:f>IFERROR(INDEX(Prospectos!$M$2:$M$288,MATCH($A74,Prospectos!$A$2:$A$288,0)),"")</x:f>
        <x:v>responsable de acopio / mantenimiento</x:v>
      </x:c>
      <x:c r="I74" s="3" t="str">
        <x:f>IFERROR(INDEX(Prospectos!$N$2:$N$288,MATCH($A74,Prospectos!$A$2:$A$288,0)),"")</x:f>
        <x:v>Traslado de equipos de planta, silos, repuestos pesados, balanzas, implementos y cargas especiales.</x:v>
      </x:c>
      <x:c r="J74" s="3" t="str">
        <x:f>IFERROR(INDEX(Prospectos!$AJ$2:$AJ$288,MATCH($A74,Prospectos!$A$2:$A$288,0)),"")</x:f>
        <x:v>Muy alta</x:v>
      </x:c>
      <x:c r="K74" s="179"/>
      <x:c r="L74" s="3"/>
      <x:c r="M74" s="137"/>
      <x:c r="N74" s="158"/>
    </x:row>
    <x:row r="75" ht="34" customHeight="1">
      <x:c r="A75" s="183" t="str">
        <x:v>COR-002</x:v>
      </x:c>
      <x:c r="B75" s="183" t="str">
        <x:f>IFERROR(INDEX(Prospectos!$F$2:$F$288,MATCH($A75,Prospectos!$A$2:$A$288,0)),"")</x:f>
        <x:v>B</x:v>
      </x:c>
      <x:c r="C75" s="183" t="str">
        <x:f>IFERROR(INDEX(Prospectos!$H$2:$H$288,MATCH($A75,Prospectos!$A$2:$A$288,0)),"")</x:f>
        <x:v>Trisoil S.A.</x:v>
      </x:c>
      <x:c r="D75" s="183" t="str">
        <x:f>IFERROR(INDEX(Prospectos!$J$2:$J$288,MATCH($A75,Prospectos!$A$2:$A$288,0)),"")</x:f>
        <x:v>Agroindustria y alimentos</x:v>
      </x:c>
      <x:c r="E75" s="183" t="str">
        <x:f>IFERROR(INDEX(Prospectos!$C$2:$C$288,MATCH($A75,Prospectos!$A$2:$A$288,0)),"")</x:f>
        <x:v>Corralito / acceso secundario RN36</x:v>
      </x:c>
      <x:c r="F75" s="183" t="str">
        <x:f>IFERROR(INDEX(Prospectos!$E$2:$E$288,MATCH($A75,Prospectos!$A$2:$A$288,0)),"")</x:f>
        <x:v>Corralito</x:v>
      </x:c>
      <x:c r="G75" s="183" t="str">
        <x:f>IFERROR(INDEX(Prospectos!$K$2:$K$288,MATCH($A75,Prospectos!$A$2:$A$288,0)),"")</x:f>
        <x:v>03571 502525 / 502526</x:v>
      </x:c>
      <x:c r="H75" s="183" t="str">
        <x:f>IFERROR(INDEX(Prospectos!$M$2:$M$288,MATCH($A75,Prospectos!$A$2:$A$288,0)),"")</x:f>
        <x:v>mantenimiento / compras</x:v>
      </x:c>
      <x:c r="I75" s="183" t="str">
        <x:f>IFERROR(INDEX(Prospectos!$N$2:$N$288,MATCH($A75,Prospectos!$A$2:$A$288,0)),"")</x:f>
        <x:v>Traslado de equipos de planta, silos, repuestos pesados, balanzas, implementos y cargas especiales.</x:v>
      </x:c>
      <x:c r="J75" s="183" t="str">
        <x:f>IFERROR(INDEX(Prospectos!$AJ$2:$AJ$288,MATCH($A75,Prospectos!$A$2:$A$288,0)),"")</x:f>
        <x:v>Alta</x:v>
      </x:c>
      <x:c r="K75" s="179"/>
      <x:c r="L75" s="5"/>
      <x:c r="M75" s="135"/>
      <x:c r="N75" s="158"/>
    </x:row>
    <x:row r="76" ht="34" customHeight="1">
      <x:c r="A76" s="6" t="str">
        <x:v>TAN-001</x:v>
      </x:c>
      <x:c r="B76" s="6" t="str">
        <x:f>IFERROR(INDEX(Prospectos!$F$2:$F$288,MATCH($A76,Prospectos!$A$2:$A$288,0)),"")</x:f>
        <x:v>A</x:v>
      </x:c>
      <x:c r="C76" s="6" t="str">
        <x:f>IFERROR(INDEX(Prospectos!$H$2:$H$288,MATCH($A76,Prospectos!$A$2:$A$288,0)),"")</x:f>
        <x:v>A&amp;F / BRUNI Implementos Agrícolas</x:v>
      </x:c>
      <x:c r="D76" s="6" t="str">
        <x:f>IFERROR(INDEX(Prospectos!$J$2:$J$288,MATCH($A76,Prospectos!$A$2:$A$288,0)),"")</x:f>
        <x:v>Maquinaria agrícola</x:v>
      </x:c>
      <x:c r="E76" s="6" t="str">
        <x:f>IFERROR(INDEX(Prospectos!$C$2:$C$288,MATCH($A76,Prospectos!$A$2:$A$288,0)),"")</x:f>
        <x:v>Corralito / acceso secundario RN36</x:v>
      </x:c>
      <x:c r="F76" s="6" t="str">
        <x:f>IFERROR(INDEX(Prospectos!$E$2:$E$288,MATCH($A76,Prospectos!$A$2:$A$288,0)),"")</x:f>
        <x:v>Tancacha</x:v>
      </x:c>
      <x:c r="G76" s="6" t="str">
        <x:f>IFERROR(INDEX(Prospectos!$K$2:$K$288,MATCH($A76,Prospectos!$A$2:$A$288,0)),"")</x:f>
        <x:v>+54 3571 576545 / +54 9 3571 314413</x:v>
      </x:c>
      <x:c r="H76" s="6" t="str">
        <x:f>IFERROR(INDEX(Prospectos!$M$2:$M$288,MATCH($A76,Prospectos!$A$2:$A$288,0)),"")</x:f>
        <x:v>logística / despacho / postventa</x:v>
      </x:c>
      <x:c r="I76" s="6" t="str">
        <x:f>IFERROR(INDEX(Prospectos!$N$2:$N$288,MATCH($A76,Prospectos!$A$2:$A$288,0)),"")</x:f>
        <x:v>Traslado de maquinaria, implementos, equipos terminados y componentes de gran porte entre planta, cliente, obra o feria.</x:v>
      </x:c>
      <x:c r="J76" s="6" t="str">
        <x:f>IFERROR(INDEX(Prospectos!$AJ$2:$AJ$288,MATCH($A76,Prospectos!$A$2:$A$288,0)),"")</x:f>
        <x:v>Muy alta</x:v>
      </x:c>
      <x:c r="K76" s="180"/>
      <x:c r="L76" s="6"/>
      <x:c r="M76" s="137"/>
      <x:c r="N76" s="158"/>
    </x:row>
    <x:row r="77" ht="34" customHeight="1">
      <x:c r="A77" s="183" t="str">
        <x:v>TAN-002</x:v>
      </x:c>
      <x:c r="B77" s="183" t="str">
        <x:f>IFERROR(INDEX(Prospectos!$F$2:$F$288,MATCH($A77,Prospectos!$A$2:$A$288,0)),"")</x:f>
        <x:v>A</x:v>
      </x:c>
      <x:c r="C77" s="183" t="str">
        <x:f>IFERROR(INDEX(Prospectos!$H$2:$H$288,MATCH($A77,Prospectos!$A$2:$A$288,0)),"")</x:f>
        <x:v>DIEZTREINTA S.A.S.</x:v>
      </x:c>
      <x:c r="D77" s="183" t="str">
        <x:f>IFERROR(INDEX(Prospectos!$J$2:$J$288,MATCH($A77,Prospectos!$A$2:$A$288,0)),"")</x:f>
        <x:v>Construcción y obra vial</x:v>
      </x:c>
      <x:c r="E77" s="183" t="str">
        <x:f>IFERROR(INDEX(Prospectos!$C$2:$C$288,MATCH($A77,Prospectos!$A$2:$A$288,0)),"")</x:f>
        <x:v>Corralito / acceso secundario RN36</x:v>
      </x:c>
      <x:c r="F77" s="183" t="str">
        <x:f>IFERROR(INDEX(Prospectos!$E$2:$E$288,MATCH($A77,Prospectos!$A$2:$A$288,0)),"")</x:f>
        <x:v>Tancacha</x:v>
      </x:c>
      <x:c r="G77" s="183" t="str">
        <x:f>IFERROR(INDEX(Prospectos!$K$2:$K$288,MATCH($A77,Prospectos!$A$2:$A$288,0)),"")</x:f>
        <x:v>03571 460582 / 03571 15 545575 / 03571 15 514877</x:v>
      </x:c>
      <x:c r="H77" s="183" t="str">
        <x:f>IFERROR(INDEX(Prospectos!$M$2:$M$288,MATCH($A77,Prospectos!$A$2:$A$288,0)),"")</x:f>
        <x:v>jefe de obra / operaciones</x:v>
      </x:c>
      <x:c r="I77" s="183" t="str">
        <x:f>IFERROR(INDEX(Prospectos!$N$2:$N$288,MATCH($A77,Prospectos!$A$2:$A$288,0)),"")</x:f>
        <x:v>Traslado de maquinaria, módulos de obrador, estructuras y equipos entre depósitos y frentes de obra.</x:v>
      </x:c>
      <x:c r="J77" s="183" t="str">
        <x:f>IFERROR(INDEX(Prospectos!$AJ$2:$AJ$288,MATCH($A77,Prospectos!$A$2:$A$288,0)),"")</x:f>
        <x:v>Muy alta</x:v>
      </x:c>
      <x:c r="K77" s="179"/>
      <x:c r="L77" s="5"/>
      <x:c r="M77" s="135"/>
      <x:c r="N77" s="158"/>
    </x:row>
    <x:row r="78" ht="34" customHeight="1">
      <x:c r="A78" s="3" t="str">
        <x:v>TAN-003</x:v>
      </x:c>
      <x:c r="B78" s="3" t="str">
        <x:f>IFERROR(INDEX(Prospectos!$F$2:$F$288,MATCH($A78,Prospectos!$A$2:$A$288,0)),"")</x:f>
        <x:v>A</x:v>
      </x:c>
      <x:c r="C78" s="3" t="str">
        <x:f>IFERROR(INDEX(Prospectos!$H$2:$H$288,MATCH($A78,Prospectos!$A$2:$A$288,0)),"")</x:f>
        <x:v>El Álamo S.R.L. - Tancacha</x:v>
      </x:c>
      <x:c r="D78" s="3" t="str">
        <x:f>IFERROR(INDEX(Prospectos!$J$2:$J$288,MATCH($A78,Prospectos!$A$2:$A$288,0)),"")</x:f>
        <x:v>Agro, acopio y cooperativas</x:v>
      </x:c>
      <x:c r="E78" s="3" t="str">
        <x:f>IFERROR(INDEX(Prospectos!$C$2:$C$288,MATCH($A78,Prospectos!$A$2:$A$288,0)),"")</x:f>
        <x:v>Corralito / acceso secundario RN36</x:v>
      </x:c>
      <x:c r="F78" s="3" t="str">
        <x:f>IFERROR(INDEX(Prospectos!$E$2:$E$288,MATCH($A78,Prospectos!$A$2:$A$288,0)),"")</x:f>
        <x:v>Tancacha</x:v>
      </x:c>
      <x:c r="G78" s="3" t="str">
        <x:f>IFERROR(INDEX(Prospectos!$K$2:$K$288,MATCH($A78,Prospectos!$A$2:$A$288,0)),"")</x:f>
        <x:v>03571 460730</x:v>
      </x:c>
      <x:c r="H78" s="3" t="str">
        <x:f>IFERROR(INDEX(Prospectos!$M$2:$M$288,MATCH($A78,Prospectos!$A$2:$A$288,0)),"")</x:f>
        <x:v>responsable de acopio / mantenimiento</x:v>
      </x:c>
      <x:c r="I78" s="3" t="str">
        <x:f>IFERROR(INDEX(Prospectos!$N$2:$N$288,MATCH($A78,Prospectos!$A$2:$A$288,0)),"")</x:f>
        <x:v>Traslado de equipos de planta, silos, repuestos pesados, balanzas, implementos y cargas especiales.</x:v>
      </x:c>
      <x:c r="J78" s="3" t="str">
        <x:f>IFERROR(INDEX(Prospectos!$AJ$2:$AJ$288,MATCH($A78,Prospectos!$A$2:$A$288,0)),"")</x:f>
        <x:v>Muy alta</x:v>
      </x:c>
      <x:c r="K78" s="179"/>
      <x:c r="L78" s="3"/>
      <x:c r="M78" s="137"/>
      <x:c r="N78" s="158"/>
    </x:row>
    <x:row r="79" ht="34" customHeight="1">
      <x:c r="A79" s="183" t="str">
        <x:v>TAN-004</x:v>
      </x:c>
      <x:c r="B79" s="183" t="str">
        <x:f>IFERROR(INDEX(Prospectos!$F$2:$F$288,MATCH($A79,Prospectos!$A$2:$A$288,0)),"")</x:f>
        <x:v>A</x:v>
      </x:c>
      <x:c r="C79" s="183" t="str">
        <x:f>IFERROR(INDEX(Prospectos!$H$2:$H$288,MATCH($A79,Prospectos!$A$2:$A$288,0)),"")</x:f>
        <x:v>Metalúrgica Gentilini</x:v>
      </x:c>
      <x:c r="D79" s="183" t="str">
        <x:f>IFERROR(INDEX(Prospectos!$J$2:$J$288,MATCH($A79,Prospectos!$A$2:$A$288,0)),"")</x:f>
        <x:v>Metalúrgica y fabricación</x:v>
      </x:c>
      <x:c r="E79" s="183" t="str">
        <x:f>IFERROR(INDEX(Prospectos!$C$2:$C$288,MATCH($A79,Prospectos!$A$2:$A$288,0)),"")</x:f>
        <x:v>Corralito / acceso secundario RN36</x:v>
      </x:c>
      <x:c r="F79" s="183" t="str">
        <x:f>IFERROR(INDEX(Prospectos!$E$2:$E$288,MATCH($A79,Prospectos!$A$2:$A$288,0)),"")</x:f>
        <x:v>Tancacha</x:v>
      </x:c>
      <x:c r="G79" s="183" t="str">
        <x:f>IFERROR(INDEX(Prospectos!$K$2:$K$288,MATCH($A79,Prospectos!$A$2:$A$288,0)),"")</x:f>
        <x:v>03571 550083</x:v>
      </x:c>
      <x:c r="H79" s="183" t="str">
        <x:f>IFERROR(INDEX(Prospectos!$M$2:$M$288,MATCH($A79,Prospectos!$A$2:$A$288,0)),"")</x:f>
        <x:v>despacho / producción</x:v>
      </x:c>
      <x:c r="I79" s="183" t="str">
        <x:f>IFERROR(INDEX(Prospectos!$N$2:$N$288,MATCH($A79,Prospectos!$A$2:$A$288,0)),"")</x:f>
        <x:v>Despacho de estructuras, piezas, equipos y conjuntos metalmecánicos de gran porte hacia obras o clientes.</x:v>
      </x:c>
      <x:c r="J79" s="183" t="str">
        <x:f>IFERROR(INDEX(Prospectos!$AJ$2:$AJ$288,MATCH($A79,Prospectos!$A$2:$A$288,0)),"")</x:f>
        <x:v>Muy alta</x:v>
      </x:c>
      <x:c r="K79" s="179"/>
      <x:c r="L79" s="5"/>
      <x:c r="M79" s="135"/>
      <x:c r="N79" s="158"/>
    </x:row>
    <x:row r="80" ht="34" customHeight="1">
      <x:c r="A80" s="3" t="str">
        <x:v>TAN-005</x:v>
      </x:c>
      <x:c r="B80" s="3" t="str">
        <x:f>IFERROR(INDEX(Prospectos!$F$2:$F$288,MATCH($A80,Prospectos!$A$2:$A$288,0)),"")</x:f>
        <x:v>B</x:v>
      </x:c>
      <x:c r="C80" s="3" t="str">
        <x:f>IFERROR(INDEX(Prospectos!$H$2:$H$288,MATCH($A80,Prospectos!$A$2:$A$288,0)),"")</x:f>
        <x:v>IMEGEN</x:v>
      </x:c>
      <x:c r="D80" s="3" t="str">
        <x:f>IFERROR(INDEX(Prospectos!$J$2:$J$288,MATCH($A80,Prospectos!$A$2:$A$288,0)),"")</x:f>
        <x:v>Metalúrgica y fabricación</x:v>
      </x:c>
      <x:c r="E80" s="3" t="str">
        <x:f>IFERROR(INDEX(Prospectos!$C$2:$C$288,MATCH($A80,Prospectos!$A$2:$A$288,0)),"")</x:f>
        <x:v>Corralito / acceso secundario RN36</x:v>
      </x:c>
      <x:c r="F80" s="3" t="str">
        <x:f>IFERROR(INDEX(Prospectos!$E$2:$E$288,MATCH($A80,Prospectos!$A$2:$A$288,0)),"")</x:f>
        <x:v>Tancacha</x:v>
      </x:c>
      <x:c r="G80" s="3" t="str">
        <x:f>IFERROR(INDEX(Prospectos!$K$2:$K$288,MATCH($A80,Prospectos!$A$2:$A$288,0)),"")</x:f>
        <x:v>03571 460242 / +54 3571 460242</x:v>
      </x:c>
      <x:c r="H80" s="3" t="str">
        <x:f>IFERROR(INDEX(Prospectos!$M$2:$M$288,MATCH($A80,Prospectos!$A$2:$A$288,0)),"")</x:f>
        <x:v>despacho / producción</x:v>
      </x:c>
      <x:c r="I80" s="3" t="str">
        <x:f>IFERROR(INDEX(Prospectos!$N$2:$N$288,MATCH($A80,Prospectos!$A$2:$A$288,0)),"")</x:f>
        <x:v>Despacho de estructuras, piezas, equipos y conjuntos metalmecánicos de gran porte hacia obras o clientes.</x:v>
      </x:c>
      <x:c r="J80" s="3" t="str">
        <x:f>IFERROR(INDEX(Prospectos!$AJ$2:$AJ$288,MATCH($A80,Prospectos!$A$2:$A$288,0)),"")</x:f>
        <x:v>Alta</x:v>
      </x:c>
      <x:c r="K80" s="179"/>
      <x:c r="L80" s="3"/>
      <x:c r="M80" s="137"/>
      <x:c r="N80" s="158"/>
    </x:row>
    <x:row r="81" ht="34" customHeight="1">
      <x:c r="A81" s="183" t="str">
        <x:v>TAN-006</x:v>
      </x:c>
      <x:c r="B81" s="183" t="str">
        <x:f>IFERROR(INDEX(Prospectos!$F$2:$F$288,MATCH($A81,Prospectos!$A$2:$A$288,0)),"")</x:f>
        <x:v>B</x:v>
      </x:c>
      <x:c r="C81" s="183" t="str">
        <x:f>IFERROR(INDEX(Prospectos!$H$2:$H$288,MATCH($A81,Prospectos!$A$2:$A$288,0)),"")</x:f>
        <x:v>Alimentos Tancacha</x:v>
      </x:c>
      <x:c r="D81" s="183" t="str">
        <x:f>IFERROR(INDEX(Prospectos!$J$2:$J$288,MATCH($A81,Prospectos!$A$2:$A$288,0)),"")</x:f>
        <x:v>Agroindustria y alimentos</x:v>
      </x:c>
      <x:c r="E81" s="183" t="str">
        <x:f>IFERROR(INDEX(Prospectos!$C$2:$C$288,MATCH($A81,Prospectos!$A$2:$A$288,0)),"")</x:f>
        <x:v>Corralito / acceso secundario RN36</x:v>
      </x:c>
      <x:c r="F81" s="183" t="str">
        <x:f>IFERROR(INDEX(Prospectos!$E$2:$E$288,MATCH($A81,Prospectos!$A$2:$A$288,0)),"")</x:f>
        <x:v>Tancacha</x:v>
      </x:c>
      <x:c r="G81" s="183" t="str">
        <x:f>IFERROR(INDEX(Prospectos!$K$2:$K$288,MATCH($A81,Prospectos!$A$2:$A$288,0)),"")</x:f>
        <x:v>+54 3571 50-2272</x:v>
      </x:c>
      <x:c r="H81" s="183" t="str">
        <x:f>IFERROR(INDEX(Prospectos!$M$2:$M$288,MATCH($A81,Prospectos!$A$2:$A$288,0)),"")</x:f>
        <x:v>mantenimiento / logística</x:v>
      </x:c>
      <x:c r="I81" s="183" t="str">
        <x:f>IFERROR(INDEX(Prospectos!$N$2:$N$288,MATCH($A81,Prospectos!$A$2:$A$288,0)),"")</x:f>
        <x:v>Traslado de equipos de planta, silos, repuestos pesados, balanzas, implementos y cargas especiales.</x:v>
      </x:c>
      <x:c r="J81" s="183" t="str">
        <x:f>IFERROR(INDEX(Prospectos!$AJ$2:$AJ$288,MATCH($A81,Prospectos!$A$2:$A$288,0)),"")</x:f>
        <x:v>Alta</x:v>
      </x:c>
      <x:c r="K81" s="179"/>
      <x:c r="L81" s="5"/>
      <x:c r="M81" s="135"/>
      <x:c r="N81" s="158"/>
    </x:row>
    <x:row r="82" ht="34" customHeight="1">
      <x:c r="A82" s="3" t="str">
        <x:v>TAN-007</x:v>
      </x:c>
      <x:c r="B82" s="3" t="str">
        <x:f>IFERROR(INDEX(Prospectos!$F$2:$F$288,MATCH($A82,Prospectos!$A$2:$A$288,0)),"")</x:f>
        <x:v>B</x:v>
      </x:c>
      <x:c r="C82" s="3" t="str">
        <x:f>IFERROR(INDEX(Prospectos!$H$2:$H$288,MATCH($A82,Prospectos!$A$2:$A$288,0)),"")</x:f>
        <x:v>Agroinsumos Tancacha SRL</x:v>
      </x:c>
      <x:c r="D82" s="3" t="str">
        <x:f>IFERROR(INDEX(Prospectos!$J$2:$J$288,MATCH($A82,Prospectos!$A$2:$A$288,0)),"")</x:f>
        <x:v>Agro, acopio y cooperativas</x:v>
      </x:c>
      <x:c r="E82" s="3" t="str">
        <x:f>IFERROR(INDEX(Prospectos!$C$2:$C$288,MATCH($A82,Prospectos!$A$2:$A$288,0)),"")</x:f>
        <x:v>Corralito / acceso secundario RN36</x:v>
      </x:c>
      <x:c r="F82" s="3" t="str">
        <x:f>IFERROR(INDEX(Prospectos!$E$2:$E$288,MATCH($A82,Prospectos!$A$2:$A$288,0)),"")</x:f>
        <x:v>Tancacha</x:v>
      </x:c>
      <x:c r="G82" s="3" t="str">
        <x:f>IFERROR(INDEX(Prospectos!$K$2:$K$288,MATCH($A82,Prospectos!$A$2:$A$288,0)),"")</x:f>
        <x:v>03571 461128</x:v>
      </x:c>
      <x:c r="H82" s="3" t="str">
        <x:f>IFERROR(INDEX(Prospectos!$M$2:$M$288,MATCH($A82,Prospectos!$A$2:$A$288,0)),"")</x:f>
        <x:v>responsable de acopio / mantenimiento</x:v>
      </x:c>
      <x:c r="I82" s="3" t="str">
        <x:f>IFERROR(INDEX(Prospectos!$N$2:$N$288,MATCH($A82,Prospectos!$A$2:$A$288,0)),"")</x:f>
        <x:v>Traslado de equipos de planta, silos, repuestos pesados, balanzas, implementos y cargas especiales.</x:v>
      </x:c>
      <x:c r="J82" s="3" t="str">
        <x:f>IFERROR(INDEX(Prospectos!$AJ$2:$AJ$288,MATCH($A82,Prospectos!$A$2:$A$288,0)),"")</x:f>
        <x:v>Alta</x:v>
      </x:c>
      <x:c r="K82" s="179"/>
      <x:c r="L82" s="3"/>
      <x:c r="M82" s="137"/>
      <x:c r="N82" s="158"/>
    </x:row>
    <x:row r="83" ht="34" customHeight="1">
      <x:c r="A83" s="184" t="str">
        <x:v>TAN-008</x:v>
      </x:c>
      <x:c r="B83" s="184" t="str">
        <x:f>IFERROR(INDEX(Prospectos!$F$2:$F$288,MATCH($A83,Prospectos!$A$2:$A$288,0)),"")</x:f>
        <x:v>B</x:v>
      </x:c>
      <x:c r="C83" s="184" t="str">
        <x:f>IFERROR(INDEX(Prospectos!$H$2:$H$288,MATCH($A83,Prospectos!$A$2:$A$288,0)),"")</x:f>
        <x:v>RG Rodolfo Grosso</x:v>
      </x:c>
      <x:c r="D83" s="184" t="str">
        <x:f>IFERROR(INDEX(Prospectos!$J$2:$J$288,MATCH($A83,Prospectos!$A$2:$A$288,0)),"")</x:f>
        <x:v>Agroindustria y alimentos</x:v>
      </x:c>
      <x:c r="E83" s="184" t="str">
        <x:f>IFERROR(INDEX(Prospectos!$C$2:$C$288,MATCH($A83,Prospectos!$A$2:$A$288,0)),"")</x:f>
        <x:v>Corralito / acceso secundario RN36</x:v>
      </x:c>
      <x:c r="F83" s="184" t="str">
        <x:f>IFERROR(INDEX(Prospectos!$E$2:$E$288,MATCH($A83,Prospectos!$A$2:$A$288,0)),"")</x:f>
        <x:v>Tancacha</x:v>
      </x:c>
      <x:c r="G83" s="184" t="str">
        <x:f>IFERROR(INDEX(Prospectos!$K$2:$K$288,MATCH($A83,Prospectos!$A$2:$A$288,0)),"")</x:f>
        <x:v>3571 521091</x:v>
      </x:c>
      <x:c r="H83" s="184" t="str">
        <x:f>IFERROR(INDEX(Prospectos!$M$2:$M$288,MATCH($A83,Prospectos!$A$2:$A$288,0)),"")</x:f>
        <x:v>dueño / operaciones</x:v>
      </x:c>
      <x:c r="I83" s="184" t="str">
        <x:f>IFERROR(INDEX(Prospectos!$N$2:$N$288,MATCH($A83,Prospectos!$A$2:$A$288,0)),"")</x:f>
        <x:v>Traslado de equipos de planta, silos, repuestos pesados, balanzas, implementos y cargas especiales.</x:v>
      </x:c>
      <x:c r="J83" s="184" t="str">
        <x:f>IFERROR(INDEX(Prospectos!$AJ$2:$AJ$288,MATCH($A83,Prospectos!$A$2:$A$288,0)),"")</x:f>
        <x:v>Media</x:v>
      </x:c>
      <x:c r="K83" s="181"/>
      <x:c r="L83" s="8"/>
      <x:c r="M83" s="135"/>
      <x:c r="N83" s="158"/>
    </x:row>
    <x:row r="84" ht="34" customHeight="1">
      <x:c r="A84" s="7" t="str">
        <x:v>TAN-009</x:v>
      </x:c>
      <x:c r="B84" s="7" t="str">
        <x:f>IFERROR(INDEX(Prospectos!$F$2:$F$288,MATCH($A84,Prospectos!$A$2:$A$288,0)),"")</x:f>
        <x:v>B</x:v>
      </x:c>
      <x:c r="C84" s="7" t="str">
        <x:f>IFERROR(INDEX(Prospectos!$H$2:$H$288,MATCH($A84,Prospectos!$A$2:$A$288,0)),"")</x:f>
        <x:v>ACOGRA</x:v>
      </x:c>
      <x:c r="D84" s="7" t="str">
        <x:f>IFERROR(INDEX(Prospectos!$J$2:$J$288,MATCH($A84,Prospectos!$A$2:$A$288,0)),"")</x:f>
        <x:v>Agroindustria y alimentos</x:v>
      </x:c>
      <x:c r="E84" s="7" t="str">
        <x:f>IFERROR(INDEX(Prospectos!$C$2:$C$288,MATCH($A84,Prospectos!$A$2:$A$288,0)),"")</x:f>
        <x:v>Corralito / acceso secundario RN36</x:v>
      </x:c>
      <x:c r="F84" s="7" t="str">
        <x:f>IFERROR(INDEX(Prospectos!$E$2:$E$288,MATCH($A84,Prospectos!$A$2:$A$288,0)),"")</x:f>
        <x:v>Tancacha</x:v>
      </x:c>
      <x:c r="G84" s="7" t="str">
        <x:f>IFERROR(INDEX(Prospectos!$K$2:$K$288,MATCH($A84,Prospectos!$A$2:$A$288,0)),"")</x:f>
        <x:v>A relevar</x:v>
      </x:c>
      <x:c r="H84" s="7" t="str">
        <x:f>IFERROR(INDEX(Prospectos!$M$2:$M$288,MATCH($A84,Prospectos!$A$2:$A$288,0)),"")</x:f>
        <x:v>planta / logística</x:v>
      </x:c>
      <x:c r="I84" s="7" t="str">
        <x:f>IFERROR(INDEX(Prospectos!$N$2:$N$288,MATCH($A84,Prospectos!$A$2:$A$288,0)),"")</x:f>
        <x:v>Traslado de equipos de planta, silos, repuestos pesados, balanzas, implementos y cargas especiales.</x:v>
      </x:c>
      <x:c r="J84" s="7" t="str">
        <x:f>IFERROR(INDEX(Prospectos!$AJ$2:$AJ$288,MATCH($A84,Prospectos!$A$2:$A$288,0)),"")</x:f>
        <x:v>Media</x:v>
      </x:c>
      <x:c r="K84" s="181"/>
      <x:c r="L84" s="7"/>
      <x:c r="M84" s="137"/>
      <x:c r="N84" s="158"/>
    </x:row>
    <x:row r="85" ht="34" customHeight="1">
      <x:c r="A85" s="183" t="str">
        <x:v>TAN-010</x:v>
      </x:c>
      <x:c r="B85" s="183" t="str">
        <x:f>IFERROR(INDEX(Prospectos!$F$2:$F$288,MATCH($A85,Prospectos!$A$2:$A$288,0)),"")</x:f>
        <x:v>B</x:v>
      </x:c>
      <x:c r="C85" s="183" t="str">
        <x:f>IFERROR(INDEX(Prospectos!$H$2:$H$288,MATCH($A85,Prospectos!$A$2:$A$288,0)),"")</x:f>
        <x:v>Agricultores Unidos de Tancacha Coop. Agrícola Ltda.</x:v>
      </x:c>
      <x:c r="D85" s="183" t="str">
        <x:f>IFERROR(INDEX(Prospectos!$J$2:$J$288,MATCH($A85,Prospectos!$A$2:$A$288,0)),"")</x:f>
        <x:v>Agro, acopio y cooperativas</x:v>
      </x:c>
      <x:c r="E85" s="183" t="str">
        <x:f>IFERROR(INDEX(Prospectos!$C$2:$C$288,MATCH($A85,Prospectos!$A$2:$A$288,0)),"")</x:f>
        <x:v>Corralito / acceso secundario RN36</x:v>
      </x:c>
      <x:c r="F85" s="183" t="str">
        <x:f>IFERROR(INDEX(Prospectos!$E$2:$E$288,MATCH($A85,Prospectos!$A$2:$A$288,0)),"")</x:f>
        <x:v>Tancacha</x:v>
      </x:c>
      <x:c r="G85" s="183" t="str">
        <x:f>IFERROR(INDEX(Prospectos!$K$2:$K$288,MATCH($A85,Prospectos!$A$2:$A$288,0)),"")</x:f>
        <x:v>03571 460109 / 03571 460298 / 03571 460112</x:v>
      </x:c>
      <x:c r="H85" s="183" t="str">
        <x:f>IFERROR(INDEX(Prospectos!$M$2:$M$288,MATCH($A85,Prospectos!$A$2:$A$288,0)),"")</x:f>
        <x:v>compra de insumos / acopio</x:v>
      </x:c>
      <x:c r="I85" s="183" t="str">
        <x:f>IFERROR(INDEX(Prospectos!$N$2:$N$288,MATCH($A85,Prospectos!$A$2:$A$288,0)),"")</x:f>
        <x:v>Traslado de equipos de planta, silos, repuestos pesados, balanzas, implementos y cargas especiales.</x:v>
      </x:c>
      <x:c r="J85" s="183" t="str">
        <x:f>IFERROR(INDEX(Prospectos!$AJ$2:$AJ$288,MATCH($A85,Prospectos!$A$2:$A$288,0)),"")</x:f>
        <x:v>Media</x:v>
      </x:c>
      <x:c r="K85" s="179"/>
      <x:c r="L85" s="5"/>
      <x:c r="M85" s="135"/>
      <x:c r="N85" s="158"/>
    </x:row>
    <x:row r="86" ht="34" customHeight="1">
      <x:c r="A86" s="3" t="str">
        <x:v>TAN-011</x:v>
      </x:c>
      <x:c r="B86" s="3" t="str">
        <x:f>IFERROR(INDEX(Prospectos!$F$2:$F$288,MATCH($A86,Prospectos!$A$2:$A$288,0)),"")</x:f>
        <x:v>C</x:v>
      </x:c>
      <x:c r="C86" s="3" t="str">
        <x:f>IFERROR(INDEX(Prospectos!$H$2:$H$288,MATCH($A86,Prospectos!$A$2:$A$288,0)),"")</x:f>
        <x:v>La Lomita de Oro</x:v>
      </x:c>
      <x:c r="D86" s="3" t="str">
        <x:f>IFERROR(INDEX(Prospectos!$J$2:$J$288,MATCH($A86,Prospectos!$A$2:$A$288,0)),"")</x:f>
        <x:v>Construcción y obra vial</x:v>
      </x:c>
      <x:c r="E86" s="3" t="str">
        <x:f>IFERROR(INDEX(Prospectos!$C$2:$C$288,MATCH($A86,Prospectos!$A$2:$A$288,0)),"")</x:f>
        <x:v>Corralito / acceso secundario RN36</x:v>
      </x:c>
      <x:c r="F86" s="3" t="str">
        <x:f>IFERROR(INDEX(Prospectos!$E$2:$E$288,MATCH($A86,Prospectos!$A$2:$A$288,0)),"")</x:f>
        <x:v>Tancacha</x:v>
      </x:c>
      <x:c r="G86" s="3" t="str">
        <x:f>IFERROR(INDEX(Prospectos!$K$2:$K$288,MATCH($A86,Prospectos!$A$2:$A$288,0)),"")</x:f>
        <x:v>+54 9 3571 558020</x:v>
      </x:c>
      <x:c r="H86" s="3" t="str">
        <x:f>IFERROR(INDEX(Prospectos!$M$2:$M$288,MATCH($A86,Prospectos!$A$2:$A$288,0)),"")</x:f>
        <x:v>jefe de obra / operaciones</x:v>
      </x:c>
      <x:c r="I86" s="3" t="str">
        <x:f>IFERROR(INDEX(Prospectos!$N$2:$N$288,MATCH($A86,Prospectos!$A$2:$A$288,0)),"")</x:f>
        <x:v>Traslado de maquinaria, módulos de obrador, estructuras y equipos entre depósitos y frentes de obra.</x:v>
      </x:c>
      <x:c r="J86" s="3" t="str">
        <x:f>IFERROR(INDEX(Prospectos!$AJ$2:$AJ$288,MATCH($A86,Prospectos!$A$2:$A$288,0)),"")</x:f>
        <x:v>Baja / visitar solo por cercanía</x:v>
      </x:c>
      <x:c r="K86" s="179"/>
      <x:c r="L86" s="3"/>
      <x:c r="M86" s="137"/>
      <x:c r="N86" s="158"/>
    </x:row>
    <x:row r="87" ht="34" customHeight="1">
      <x:c r="A87" s="183" t="str">
        <x:v>TAN-012</x:v>
      </x:c>
      <x:c r="B87" s="183" t="str">
        <x:f>IFERROR(INDEX(Prospectos!$F$2:$F$288,MATCH($A87,Prospectos!$A$2:$A$288,0)),"")</x:f>
        <x:v>C</x:v>
      </x:c>
      <x:c r="C87" s="183" t="str">
        <x:f>IFERROR(INDEX(Prospectos!$H$2:$H$288,MATCH($A87,Prospectos!$A$2:$A$288,0)),"")</x:f>
        <x:v>Repuestos Actis</x:v>
      </x:c>
      <x:c r="D87" s="183" t="str">
        <x:f>IFERROR(INDEX(Prospectos!$J$2:$J$288,MATCH($A87,Prospectos!$A$2:$A$288,0)),"")</x:f>
        <x:v>Maquinaria agrícola</x:v>
      </x:c>
      <x:c r="E87" s="183" t="str">
        <x:f>IFERROR(INDEX(Prospectos!$C$2:$C$288,MATCH($A87,Prospectos!$A$2:$A$288,0)),"")</x:f>
        <x:v>Corralito / acceso secundario RN36</x:v>
      </x:c>
      <x:c r="F87" s="183" t="str">
        <x:f>IFERROR(INDEX(Prospectos!$E$2:$E$288,MATCH($A87,Prospectos!$A$2:$A$288,0)),"")</x:f>
        <x:v>Tancacha</x:v>
      </x:c>
      <x:c r="G87" s="183" t="str">
        <x:f>IFERROR(INDEX(Prospectos!$K$2:$K$288,MATCH($A87,Prospectos!$A$2:$A$288,0)),"")</x:f>
        <x:v>03571 537360</x:v>
      </x:c>
      <x:c r="H87" s="183" t="str">
        <x:f>IFERROR(INDEX(Prospectos!$M$2:$M$288,MATCH($A87,Prospectos!$A$2:$A$288,0)),"")</x:f>
        <x:v>logística / entregas / postventa</x:v>
      </x:c>
      <x:c r="I87" s="183" t="str">
        <x:f>IFERROR(INDEX(Prospectos!$N$2:$N$288,MATCH($A87,Prospectos!$A$2:$A$288,0)),"")</x:f>
        <x:v>Traslado de maquinaria agrícola o vial entre sucursal, cliente, taller, campo y eventos.</x:v>
      </x:c>
      <x:c r="J87" s="183" t="str">
        <x:f>IFERROR(INDEX(Prospectos!$AJ$2:$AJ$288,MATCH($A87,Prospectos!$A$2:$A$288,0)),"")</x:f>
        <x:v>Baja / visitar solo por cercanía</x:v>
      </x:c>
      <x:c r="K87" s="179"/>
      <x:c r="L87" s="5"/>
      <x:c r="M87" s="135"/>
      <x:c r="N87" s="158"/>
    </x:row>
    <x:row r="88" ht="34" customHeight="1">
      <x:c r="A88" s="7" t="str">
        <x:v>AG-001</x:v>
      </x:c>
      <x:c r="B88" s="7" t="str">
        <x:f>IFERROR(INDEX(Prospectos!$F$2:$F$288,MATCH($A88,Prospectos!$A$2:$A$288,0)),"")</x:f>
        <x:v>A</x:v>
      </x:c>
      <x:c r="C88" s="7" t="str">
        <x:f>IFERROR(INDEX(Prospectos!$H$2:$H$288,MATCH($A88,Prospectos!$A$2:$A$288,0)),"")</x:f>
        <x:v>AG Viviendas Industrializadas</x:v>
      </x:c>
      <x:c r="D88" s="7" t="str">
        <x:f>IFERROR(INDEX(Prospectos!$J$2:$J$288,MATCH($A88,Prospectos!$A$2:$A$288,0)),"")</x:f>
        <x:v>Módulos y contenedores</x:v>
      </x:c>
      <x:c r="E88" s="7" t="str">
        <x:f>IFERROR(INDEX(Prospectos!$C$2:$C$288,MATCH($A88,Prospectos!$A$2:$A$288,0)),"")</x:f>
        <x:v>Córdoba / RN36 norte</x:v>
      </x:c>
      <x:c r="F88" s="7" t="str">
        <x:f>IFERROR(INDEX(Prospectos!$E$2:$E$288,MATCH($A88,Prospectos!$A$2:$A$288,0)),"")</x:f>
        <x:v>Alta Gracia</x:v>
      </x:c>
      <x:c r="G88" s="7" t="str">
        <x:f>IFERROR(INDEX(Prospectos!$K$2:$K$288,MATCH($A88,Prospectos!$A$2:$A$288,0)),"")</x:f>
        <x:v>3547 672399 / 3547 420854</x:v>
      </x:c>
      <x:c r="H88" s="7" t="str">
        <x:f>IFERROR(INDEX(Prospectos!$M$2:$M$288,MATCH($A88,Prospectos!$A$2:$A$288,0)),"")</x:f>
        <x:v>operaciones / entregas</x:v>
      </x:c>
      <x:c r="I88" s="7" t="str">
        <x:f>IFERROR(INDEX(Prospectos!$N$2:$N$288,MATCH($A88,Prospectos!$A$2:$A$288,0)),"")</x:f>
        <x:v>Entrega, descarga y posicionamiento de módulos/containers en obra o cliente final.</x:v>
      </x:c>
      <x:c r="J88" s="7" t="str">
        <x:f>IFERROR(INDEX(Prospectos!$AJ$2:$AJ$288,MATCH($A88,Prospectos!$A$2:$A$288,0)),"")</x:f>
        <x:v>Muy alta</x:v>
      </x:c>
      <x:c r="K88" s="181"/>
      <x:c r="L88" s="7"/>
      <x:c r="M88" s="137"/>
      <x:c r="N88" s="158"/>
    </x:row>
    <x:row r="89" ht="34" customHeight="1">
      <x:c r="A89" s="183" t="str">
        <x:v>AG-002</x:v>
      </x:c>
      <x:c r="B89" s="183" t="str">
        <x:f>IFERROR(INDEX(Prospectos!$F$2:$F$288,MATCH($A89,Prospectos!$A$2:$A$288,0)),"")</x:f>
        <x:v>A</x:v>
      </x:c>
      <x:c r="C89" s="183" t="str">
        <x:f>IFERROR(INDEX(Prospectos!$H$2:$H$288,MATCH($A89,Prospectos!$A$2:$A$288,0)),"")</x:f>
        <x:v>Miguel Ángel Premoldeados</x:v>
      </x:c>
      <x:c r="D89" s="183" t="str">
        <x:f>IFERROR(INDEX(Prospectos!$J$2:$J$288,MATCH($A89,Prospectos!$A$2:$A$288,0)),"")</x:f>
        <x:v>Hormigón, áridos y materiales</x:v>
      </x:c>
      <x:c r="E89" s="183" t="str">
        <x:f>IFERROR(INDEX(Prospectos!$C$2:$C$288,MATCH($A89,Prospectos!$A$2:$A$288,0)),"")</x:f>
        <x:v>Córdoba / RN36 norte</x:v>
      </x:c>
      <x:c r="F89" s="183" t="str">
        <x:f>IFERROR(INDEX(Prospectos!$E$2:$E$288,MATCH($A89,Prospectos!$A$2:$A$288,0)),"")</x:f>
        <x:v>Alta Gracia</x:v>
      </x:c>
      <x:c r="G89" s="183" t="str">
        <x:f>IFERROR(INDEX(Prospectos!$K$2:$K$288,MATCH($A89,Prospectos!$A$2:$A$288,0)),"")</x:f>
        <x:v>03547 430962 / 03547 15501860</x:v>
      </x:c>
      <x:c r="H89" s="183" t="str">
        <x:f>IFERROR(INDEX(Prospectos!$M$2:$M$288,MATCH($A89,Prospectos!$A$2:$A$288,0)),"")</x:f>
        <x:v>despacho / producción</x:v>
      </x:c>
      <x:c r="I89" s="183" t="str">
        <x:f>IFERROR(INDEX(Prospectos!$N$2:$N$288,MATCH($A89,Prospectos!$A$2:$A$288,0)),"")</x:f>
        <x:v>Movimiento de premoldeados, equipos de planta/cantera, bombas, moldes y cargas pesadas.</x:v>
      </x:c>
      <x:c r="J89" s="183" t="str">
        <x:f>IFERROR(INDEX(Prospectos!$AJ$2:$AJ$288,MATCH($A89,Prospectos!$A$2:$A$288,0)),"")</x:f>
        <x:v>Muy alta</x:v>
      </x:c>
      <x:c r="K89" s="179"/>
      <x:c r="L89" s="5"/>
      <x:c r="M89" s="135"/>
      <x:c r="N89" s="158"/>
    </x:row>
    <x:row r="90" ht="34" customHeight="1">
      <x:c r="A90" s="3" t="str">
        <x:v>AG-003</x:v>
      </x:c>
      <x:c r="B90" s="3" t="str">
        <x:f>IFERROR(INDEX(Prospectos!$F$2:$F$288,MATCH($A90,Prospectos!$A$2:$A$288,0)),"")</x:f>
        <x:v>A</x:v>
      </x:c>
      <x:c r="C90" s="3" t="str">
        <x:f>IFERROR(INDEX(Prospectos!$H$2:$H$288,MATCH($A90,Prospectos!$A$2:$A$288,0)),"")</x:f>
        <x:v>Precons S.R.L.</x:v>
      </x:c>
      <x:c r="D90" s="3" t="str">
        <x:f>IFERROR(INDEX(Prospectos!$J$2:$J$288,MATCH($A90,Prospectos!$A$2:$A$288,0)),"")</x:f>
        <x:v>Hormigón, áridos y materiales</x:v>
      </x:c>
      <x:c r="E90" s="3" t="str">
        <x:f>IFERROR(INDEX(Prospectos!$C$2:$C$288,MATCH($A90,Prospectos!$A$2:$A$288,0)),"")</x:f>
        <x:v>Córdoba / RN36 norte</x:v>
      </x:c>
      <x:c r="F90" s="3" t="str">
        <x:f>IFERROR(INDEX(Prospectos!$E$2:$E$288,MATCH($A90,Prospectos!$A$2:$A$288,0)),"")</x:f>
        <x:v>Alta Gracia</x:v>
      </x:c>
      <x:c r="G90" s="3" t="str">
        <x:f>IFERROR(INDEX(Prospectos!$K$2:$K$288,MATCH($A90,Prospectos!$A$2:$A$288,0)),"")</x:f>
        <x:v>3547 430993</x:v>
      </x:c>
      <x:c r="H90" s="3" t="str">
        <x:f>IFERROR(INDEX(Prospectos!$M$2:$M$288,MATCH($A90,Prospectos!$A$2:$A$288,0)),"")</x:f>
        <x:v>despacho / producción</x:v>
      </x:c>
      <x:c r="I90" s="3" t="str">
        <x:f>IFERROR(INDEX(Prospectos!$N$2:$N$288,MATCH($A90,Prospectos!$A$2:$A$288,0)),"")</x:f>
        <x:v>Movimiento de premoldeados, equipos de planta/cantera, bombas, moldes y cargas pesadas.</x:v>
      </x:c>
      <x:c r="J90" s="3" t="str">
        <x:f>IFERROR(INDEX(Prospectos!$AJ$2:$AJ$288,MATCH($A90,Prospectos!$A$2:$A$288,0)),"")</x:f>
        <x:v>Muy alta</x:v>
      </x:c>
      <x:c r="K90" s="179"/>
      <x:c r="L90" s="3"/>
      <x:c r="M90" s="137"/>
      <x:c r="N90" s="158"/>
    </x:row>
    <x:row r="91" ht="34" customHeight="1">
      <x:c r="A91" s="183" t="str">
        <x:v>AG-010</x:v>
      </x:c>
      <x:c r="B91" s="183" t="str">
        <x:f>IFERROR(INDEX(Prospectos!$F$2:$F$288,MATCH($A91,Prospectos!$A$2:$A$288,0)),"")</x:f>
        <x:v>A</x:v>
      </x:c>
      <x:c r="C91" s="183" t="str">
        <x:f>IFERROR(INDEX(Prospectos!$H$2:$H$288,MATCH($A91,Prospectos!$A$2:$A$288,0)),"")</x:f>
        <x:v>HidroAg — Piscinas Marea</x:v>
      </x:c>
      <x:c r="D91" s="183" t="str">
        <x:f>IFERROR(INDEX(Prospectos!$J$2:$J$288,MATCH($A91,Prospectos!$A$2:$A$288,0)),"")</x:f>
        <x:v>PRFV y plásticos</x:v>
      </x:c>
      <x:c r="E91" s="183" t="str">
        <x:f>IFERROR(INDEX(Prospectos!$C$2:$C$288,MATCH($A91,Prospectos!$A$2:$A$288,0)),"")</x:f>
        <x:v>Córdoba / RN36 norte</x:v>
      </x:c>
      <x:c r="F91" s="183" t="str">
        <x:f>IFERROR(INDEX(Prospectos!$E$2:$E$288,MATCH($A91,Prospectos!$A$2:$A$288,0)),"")</x:f>
        <x:v>Alta Gracia</x:v>
      </x:c>
      <x:c r="G91" s="183" t="str">
        <x:f>IFERROR(INDEX(Prospectos!$K$2:$K$288,MATCH($A91,Prospectos!$A$2:$A$288,0)),"")</x:f>
        <x:v>+54 9 3547 342646</x:v>
      </x:c>
      <x:c r="H91" s="183" t="str">
        <x:f>IFERROR(INDEX(Prospectos!$M$2:$M$288,MATCH($A91,Prospectos!$A$2:$A$288,0)),"")</x:f>
        <x:v>logística / instalaciones / obras / ventas</x:v>
      </x:c>
      <x:c r="I91" s="183" t="str">
        <x:f>IFERROR(INDEX(Prospectos!$N$2:$N$288,MATCH($A91,Prospectos!$A$2:$A$288,0)),"")</x:f>
        <x:v>Traslado del casco PRFV hasta la obra y maniobra de descarga/posicionamiento dentro del lote, muchas veces sobre medianeras o con acceso limitado.</x:v>
      </x:c>
      <x:c r="J91" s="183" t="str">
        <x:f>IFERROR(INDEX(Prospectos!$AJ$2:$AJ$288,MATCH($A91,Prospectos!$A$2:$A$288,0)),"")</x:f>
        <x:v>Muy alta</x:v>
      </x:c>
      <x:c r="K91" s="179"/>
      <x:c r="L91" s="5"/>
      <x:c r="M91" s="135"/>
      <x:c r="N91" s="158"/>
    </x:row>
    <x:row r="92" ht="34" customHeight="1">
      <x:c r="A92" s="3" t="str">
        <x:v>AG-009</x:v>
      </x:c>
      <x:c r="B92" s="3" t="str">
        <x:f>IFERROR(INDEX(Prospectos!$F$2:$F$288,MATCH($A92,Prospectos!$A$2:$A$288,0)),"")</x:f>
        <x:v>A</x:v>
      </x:c>
      <x:c r="C92" s="3" t="str">
        <x:f>IFERROR(INDEX(Prospectos!$H$2:$H$288,MATCH($A92,Prospectos!$A$2:$A$288,0)),"")</x:f>
        <x:v>Punto Piscina Multimarca</x:v>
      </x:c>
      <x:c r="D92" s="3" t="str">
        <x:f>IFERROR(INDEX(Prospectos!$J$2:$J$288,MATCH($A92,Prospectos!$A$2:$A$288,0)),"")</x:f>
        <x:v>PRFV y plásticos</x:v>
      </x:c>
      <x:c r="E92" s="3" t="str">
        <x:f>IFERROR(INDEX(Prospectos!$C$2:$C$288,MATCH($A92,Prospectos!$A$2:$A$288,0)),"")</x:f>
        <x:v>Córdoba / RN36 norte</x:v>
      </x:c>
      <x:c r="F92" s="3" t="str">
        <x:f>IFERROR(INDEX(Prospectos!$E$2:$E$288,MATCH($A92,Prospectos!$A$2:$A$288,0)),"")</x:f>
        <x:v>Alta Gracia</x:v>
      </x:c>
      <x:c r="G92" s="3" t="str">
        <x:f>IFERROR(INDEX(Prospectos!$K$2:$K$288,MATCH($A92,Prospectos!$A$2:$A$288,0)),"")</x:f>
        <x:v>351 5146150 / 3547 423389</x:v>
      </x:c>
      <x:c r="H92" s="3" t="str">
        <x:f>IFERROR(INDEX(Prospectos!$M$2:$M$288,MATCH($A92,Prospectos!$A$2:$A$288,0)),"")</x:f>
        <x:v>logística / instalaciones / obras / ventas</x:v>
      </x:c>
      <x:c r="I92" s="3" t="str">
        <x:f>IFERROR(INDEX(Prospectos!$N$2:$N$288,MATCH($A92,Prospectos!$A$2:$A$288,0)),"")</x:f>
        <x:v>Traslado del casco PRFV hasta la obra y maniobra de descarga/posicionamiento dentro del lote, muchas veces sobre medianeras o con acceso limitado.</x:v>
      </x:c>
      <x:c r="J92" s="3" t="str">
        <x:f>IFERROR(INDEX(Prospectos!$AJ$2:$AJ$288,MATCH($A92,Prospectos!$A$2:$A$288,0)),"")</x:f>
        <x:v>Muy alta</x:v>
      </x:c>
      <x:c r="K92" s="179"/>
      <x:c r="L92" s="3"/>
      <x:c r="M92" s="137"/>
      <x:c r="N92" s="158"/>
    </x:row>
    <x:row r="93" ht="34" customHeight="1">
      <x:c r="A93" s="183" t="str">
        <x:v>AG-008</x:v>
      </x:c>
      <x:c r="B93" s="183" t="str">
        <x:f>IFERROR(INDEX(Prospectos!$F$2:$F$288,MATCH($A93,Prospectos!$A$2:$A$288,0)),"")</x:f>
        <x:v>A</x:v>
      </x:c>
      <x:c r="C93" s="183" t="str">
        <x:f>IFERROR(INDEX(Prospectos!$H$2:$H$288,MATCH($A93,Prospectos!$A$2:$A$288,0)),"")</x:f>
        <x:v>Lombardi Maquinarias</x:v>
      </x:c>
      <x:c r="D93" s="183" t="str">
        <x:f>IFERROR(INDEX(Prospectos!$J$2:$J$288,MATCH($A93,Prospectos!$A$2:$A$288,0)),"")</x:f>
        <x:v>Maquinaria agrícola</x:v>
      </x:c>
      <x:c r="E93" s="183" t="str">
        <x:f>IFERROR(INDEX(Prospectos!$C$2:$C$288,MATCH($A93,Prospectos!$A$2:$A$288,0)),"")</x:f>
        <x:v>Córdoba / RN36 norte</x:v>
      </x:c>
      <x:c r="F93" s="183" t="str">
        <x:f>IFERROR(INDEX(Prospectos!$E$2:$E$288,MATCH($A93,Prospectos!$A$2:$A$288,0)),"")</x:f>
        <x:v>Alta Gracia</x:v>
      </x:c>
      <x:c r="G93" s="183" t="str">
        <x:f>IFERROR(INDEX(Prospectos!$K$2:$K$288,MATCH($A93,Prospectos!$A$2:$A$288,0)),"")</x:f>
        <x:v>+54 9 3541 555549 / +54 9 3541 555553</x:v>
      </x:c>
      <x:c r="H93" s="183" t="str">
        <x:f>IFERROR(INDEX(Prospectos!$M$2:$M$288,MATCH($A93,Prospectos!$A$2:$A$288,0)),"")</x:f>
        <x:v>logística / ventas / postventa</x:v>
      </x:c>
      <x:c r="I93" s="183" t="str">
        <x:f>IFERROR(INDEX(Prospectos!$N$2:$N$288,MATCH($A93,Prospectos!$A$2:$A$288,0)),"")</x:f>
        <x:v>Entrega y retiro de tractores, cosechadoras, pulverizadoras, sembradoras e implementos; movimientos por venta, service, canje, demostraciones o ferias.</x:v>
      </x:c>
      <x:c r="J93" s="183" t="str">
        <x:f>IFERROR(INDEX(Prospectos!$AJ$2:$AJ$288,MATCH($A93,Prospectos!$A$2:$A$288,0)),"")</x:f>
        <x:v>Muy alta</x:v>
      </x:c>
      <x:c r="K93" s="179"/>
      <x:c r="L93" s="5"/>
      <x:c r="M93" s="135"/>
      <x:c r="N93" s="158"/>
    </x:row>
    <x:row r="94" ht="34" customHeight="1">
      <x:c r="A94" s="3" t="str">
        <x:v>AG-004</x:v>
      </x:c>
      <x:c r="B94" s="3" t="str">
        <x:f>IFERROR(INDEX(Prospectos!$F$2:$F$288,MATCH($A94,Prospectos!$A$2:$A$288,0)),"")</x:f>
        <x:v>B</x:v>
      </x:c>
      <x:c r="C94" s="3" t="str">
        <x:f>IFERROR(INDEX(Prospectos!$H$2:$H$288,MATCH($A94,Prospectos!$A$2:$A$288,0)),"")</x:f>
        <x:v>Grupo Buglione</x:v>
      </x:c>
      <x:c r="D94" s="3" t="str">
        <x:f>IFERROR(INDEX(Prospectos!$J$2:$J$288,MATCH($A94,Prospectos!$A$2:$A$288,0)),"")</x:f>
        <x:v>Industria y mantenimiento</x:v>
      </x:c>
      <x:c r="E94" s="3" t="str">
        <x:f>IFERROR(INDEX(Prospectos!$C$2:$C$288,MATCH($A94,Prospectos!$A$2:$A$288,0)),"")</x:f>
        <x:v>Córdoba / RN36 norte</x:v>
      </x:c>
      <x:c r="F94" s="3" t="str">
        <x:f>IFERROR(INDEX(Prospectos!$E$2:$E$288,MATCH($A94,Prospectos!$A$2:$A$288,0)),"")</x:f>
        <x:v>Alta Gracia</x:v>
      </x:c>
      <x:c r="G94" s="3" t="str">
        <x:f>IFERROR(INDEX(Prospectos!$K$2:$K$288,MATCH($A94,Prospectos!$A$2:$A$288,0)),"")</x:f>
        <x:v>0351 6512408 / 0351 3271171 / 03547 432121</x:v>
      </x:c>
      <x:c r="H94" s="3" t="str">
        <x:f>IFERROR(INDEX(Prospectos!$M$2:$M$288,MATCH($A94,Prospectos!$A$2:$A$288,0)),"")</x:f>
        <x:v>mantenimiento / compras</x:v>
      </x:c>
      <x:c r="I94" s="3" t="str">
        <x:f>IFERROR(INDEX(Prospectos!$N$2:$N$288,MATCH($A94,Prospectos!$A$2:$A$288,0)),"")</x:f>
        <x:v>Movimientos especiales de mantenimiento, repuestos pesados y mudanzas internas de equipos.</x:v>
      </x:c>
      <x:c r="J94" s="3" t="str">
        <x:f>IFERROR(INDEX(Prospectos!$AJ$2:$AJ$288,MATCH($A94,Prospectos!$A$2:$A$288,0)),"")</x:f>
        <x:v>Alta</x:v>
      </x:c>
      <x:c r="K94" s="179"/>
      <x:c r="L94" s="3"/>
      <x:c r="M94" s="137"/>
      <x:c r="N94" s="158"/>
    </x:row>
    <x:row r="95" ht="34" customHeight="1">
      <x:c r="A95" s="183" t="str">
        <x:v>AG-005</x:v>
      </x:c>
      <x:c r="B95" s="183" t="str">
        <x:f>IFERROR(INDEX(Prospectos!$F$2:$F$288,MATCH($A95,Prospectos!$A$2:$A$288,0)),"")</x:f>
        <x:v>B</x:v>
      </x:c>
      <x:c r="C95" s="183" t="str">
        <x:f>IFERROR(INDEX(Prospectos!$H$2:$H$288,MATCH($A95,Prospectos!$A$2:$A$288,0)),"")</x:f>
        <x:v>Mattsay Steel Frame</x:v>
      </x:c>
      <x:c r="D95" s="183" t="str">
        <x:f>IFERROR(INDEX(Prospectos!$J$2:$J$288,MATCH($A95,Prospectos!$A$2:$A$288,0)),"")</x:f>
        <x:v>Industria y mantenimiento</x:v>
      </x:c>
      <x:c r="E95" s="183" t="str">
        <x:f>IFERROR(INDEX(Prospectos!$C$2:$C$288,MATCH($A95,Prospectos!$A$2:$A$288,0)),"")</x:f>
        <x:v>Córdoba / RN36 norte</x:v>
      </x:c>
      <x:c r="F95" s="183" t="str">
        <x:f>IFERROR(INDEX(Prospectos!$E$2:$E$288,MATCH($A95,Prospectos!$A$2:$A$288,0)),"")</x:f>
        <x:v>Alta Gracia</x:v>
      </x:c>
      <x:c r="G95" s="183" t="str">
        <x:f>IFERROR(INDEX(Prospectos!$K$2:$K$288,MATCH($A95,Prospectos!$A$2:$A$288,0)),"")</x:f>
        <x:v>3547 477530</x:v>
      </x:c>
      <x:c r="H95" s="183" t="str">
        <x:f>IFERROR(INDEX(Prospectos!$M$2:$M$288,MATCH($A95,Prospectos!$A$2:$A$288,0)),"")</x:f>
        <x:v>operaciones / entregas</x:v>
      </x:c>
      <x:c r="I95" s="183" t="str">
        <x:f>IFERROR(INDEX(Prospectos!$N$2:$N$288,MATCH($A95,Prospectos!$A$2:$A$288,0)),"")</x:f>
        <x:v>Movimientos especiales de mantenimiento, repuestos pesados y mudanzas internas de equipos.</x:v>
      </x:c>
      <x:c r="J95" s="183" t="str">
        <x:f>IFERROR(INDEX(Prospectos!$AJ$2:$AJ$288,MATCH($A95,Prospectos!$A$2:$A$288,0)),"")</x:f>
        <x:v>Alta</x:v>
      </x:c>
      <x:c r="K95" s="179"/>
      <x:c r="L95" s="5"/>
      <x:c r="M95" s="135"/>
      <x:c r="N95" s="158"/>
    </x:row>
    <x:row r="96" ht="34" customHeight="1">
      <x:c r="A96" s="3" t="str">
        <x:v>AG-006</x:v>
      </x:c>
      <x:c r="B96" s="3" t="str">
        <x:f>IFERROR(INDEX(Prospectos!$F$2:$F$288,MATCH($A96,Prospectos!$A$2:$A$288,0)),"")</x:f>
        <x:v>B</x:v>
      </x:c>
      <x:c r="C96" s="3" t="str">
        <x:f>IFERROR(INDEX(Prospectos!$H$2:$H$288,MATCH($A96,Prospectos!$A$2:$A$288,0)),"")</x:f>
        <x:v>Habitaciones Calificadas</x:v>
      </x:c>
      <x:c r="D96" s="3" t="str">
        <x:f>IFERROR(INDEX(Prospectos!$J$2:$J$288,MATCH($A96,Prospectos!$A$2:$A$288,0)),"")</x:f>
        <x:v>Módulos y contenedores</x:v>
      </x:c>
      <x:c r="E96" s="3" t="str">
        <x:f>IFERROR(INDEX(Prospectos!$C$2:$C$288,MATCH($A96,Prospectos!$A$2:$A$288,0)),"")</x:f>
        <x:v>Córdoba / RN36 norte</x:v>
      </x:c>
      <x:c r="F96" s="3" t="str">
        <x:f>IFERROR(INDEX(Prospectos!$E$2:$E$288,MATCH($A96,Prospectos!$A$2:$A$288,0)),"")</x:f>
        <x:v>Alta Gracia</x:v>
      </x:c>
      <x:c r="G96" s="3" t="str">
        <x:f>IFERROR(INDEX(Prospectos!$K$2:$K$288,MATCH($A96,Prospectos!$A$2:$A$288,0)),"")</x:f>
        <x:v>A relevar</x:v>
      </x:c>
      <x:c r="H96" s="3" t="str">
        <x:f>IFERROR(INDEX(Prospectos!$M$2:$M$288,MATCH($A96,Prospectos!$A$2:$A$288,0)),"")</x:f>
        <x:v>operaciones / entregas</x:v>
      </x:c>
      <x:c r="I96" s="3" t="str">
        <x:f>IFERROR(INDEX(Prospectos!$N$2:$N$288,MATCH($A96,Prospectos!$A$2:$A$288,0)),"")</x:f>
        <x:v>Entrega, descarga y posicionamiento de módulos/containers en obra o cliente final.</x:v>
      </x:c>
      <x:c r="J96" s="3" t="str">
        <x:f>IFERROR(INDEX(Prospectos!$AJ$2:$AJ$288,MATCH($A96,Prospectos!$A$2:$A$288,0)),"")</x:f>
        <x:v>Media</x:v>
      </x:c>
      <x:c r="K96" s="179"/>
      <x:c r="L96" s="3"/>
      <x:c r="M96" s="137"/>
      <x:c r="N96" s="158"/>
    </x:row>
    <x:row r="97" ht="34" customHeight="1">
      <x:c r="A97" s="184" t="str">
        <x:v>AG-007</x:v>
      </x:c>
      <x:c r="B97" s="184" t="str">
        <x:f>IFERROR(INDEX(Prospectos!$F$2:$F$288,MATCH($A97,Prospectos!$A$2:$A$288,0)),"")</x:f>
        <x:v>B</x:v>
      </x:c>
      <x:c r="C97" s="184" t="str">
        <x:f>IFERROR(INDEX(Prospectos!$H$2:$H$288,MATCH($A97,Prospectos!$A$2:$A$288,0)),"")</x:f>
        <x:v>R5 Premoldeados</x:v>
      </x:c>
      <x:c r="D97" s="184" t="str">
        <x:f>IFERROR(INDEX(Prospectos!$J$2:$J$288,MATCH($A97,Prospectos!$A$2:$A$288,0)),"")</x:f>
        <x:v>Hormigón, áridos y materiales</x:v>
      </x:c>
      <x:c r="E97" s="184" t="str">
        <x:f>IFERROR(INDEX(Prospectos!$C$2:$C$288,MATCH($A97,Prospectos!$A$2:$A$288,0)),"")</x:f>
        <x:v>Córdoba / RN36 norte</x:v>
      </x:c>
      <x:c r="F97" s="184" t="str">
        <x:f>IFERROR(INDEX(Prospectos!$E$2:$E$288,MATCH($A97,Prospectos!$A$2:$A$288,0)),"")</x:f>
        <x:v>Alta Gracia</x:v>
      </x:c>
      <x:c r="G97" s="184" t="str">
        <x:f>IFERROR(INDEX(Prospectos!$K$2:$K$288,MATCH($A97,Prospectos!$A$2:$A$288,0)),"")</x:f>
        <x:v>A relevar</x:v>
      </x:c>
      <x:c r="H97" s="184" t="str">
        <x:f>IFERROR(INDEX(Prospectos!$M$2:$M$288,MATCH($A97,Prospectos!$A$2:$A$288,0)),"")</x:f>
        <x:v>despacho / colocación</x:v>
      </x:c>
      <x:c r="I97" s="184" t="str">
        <x:f>IFERROR(INDEX(Prospectos!$N$2:$N$288,MATCH($A97,Prospectos!$A$2:$A$288,0)),"")</x:f>
        <x:v>Movimiento de premoldeados, equipos de planta/cantera, bombas, moldes y cargas pesadas.</x:v>
      </x:c>
      <x:c r="J97" s="184" t="str">
        <x:f>IFERROR(INDEX(Prospectos!$AJ$2:$AJ$288,MATCH($A97,Prospectos!$A$2:$A$288,0)),"")</x:f>
        <x:v>Media</x:v>
      </x:c>
      <x:c r="K97" s="181"/>
      <x:c r="L97" s="8"/>
      <x:c r="M97" s="135"/>
      <x:c r="N97" s="158"/>
    </x:row>
    <x:row r="98" ht="34" customHeight="1">
      <x:c r="A98" s="3" t="str">
        <x:v>ANI-002</x:v>
      </x:c>
      <x:c r="B98" s="3" t="str">
        <x:f>IFERROR(INDEX(Prospectos!$F$2:$F$288,MATCH($A98,Prospectos!$A$2:$A$288,0)),"")</x:f>
        <x:v>A</x:v>
      </x:c>
      <x:c r="C98" s="3" t="str">
        <x:f>IFERROR(INDEX(Prospectos!$H$2:$H$288,MATCH($A98,Prospectos!$A$2:$A$288,0)),"")</x:f>
        <x:v>MPS Piscinas</x:v>
      </x:c>
      <x:c r="D98" s="3" t="str">
        <x:f>IFERROR(INDEX(Prospectos!$J$2:$J$288,MATCH($A98,Prospectos!$A$2:$A$288,0)),"")</x:f>
        <x:v>PRFV y plásticos</x:v>
      </x:c>
      <x:c r="E98" s="3" t="str">
        <x:f>IFERROR(INDEX(Prospectos!$C$2:$C$288,MATCH($A98,Prospectos!$A$2:$A$288,0)),"")</x:f>
        <x:v>Córdoba / RN36 norte</x:v>
      </x:c>
      <x:c r="F98" s="3" t="str">
        <x:f>IFERROR(INDEX(Prospectos!$E$2:$E$288,MATCH($A98,Prospectos!$A$2:$A$288,0)),"")</x:f>
        <x:v>Anisacate</x:v>
      </x:c>
      <x:c r="G98" s="3" t="str">
        <x:f>IFERROR(INDEX(Prospectos!$K$2:$K$288,MATCH($A98,Prospectos!$A$2:$A$288,0)),"")</x:f>
        <x:v>+54 9 3547 564603</x:v>
      </x:c>
      <x:c r="H98" s="3" t="str">
        <x:f>IFERROR(INDEX(Prospectos!$M$2:$M$288,MATCH($A98,Prospectos!$A$2:$A$288,0)),"")</x:f>
        <x:v>logística / instalaciones / obras / ventas</x:v>
      </x:c>
      <x:c r="I98" s="3" t="str">
        <x:f>IFERROR(INDEX(Prospectos!$N$2:$N$288,MATCH($A98,Prospectos!$A$2:$A$288,0)),"")</x:f>
        <x:v>Traslado del casco PRFV hasta la obra y maniobra de descarga/posicionamiento dentro del lote, muchas veces sobre medianeras o con acceso limitado.</x:v>
      </x:c>
      <x:c r="J98" s="3" t="str">
        <x:f>IFERROR(INDEX(Prospectos!$AJ$2:$AJ$288,MATCH($A98,Prospectos!$A$2:$A$288,0)),"")</x:f>
        <x:v>Muy alta</x:v>
      </x:c>
      <x:c r="K98" s="179"/>
      <x:c r="L98" s="3"/>
      <x:c r="M98" s="137"/>
      <x:c r="N98" s="158"/>
    </x:row>
    <x:row r="99" ht="34" customHeight="1">
      <x:c r="A99" s="183" t="str">
        <x:v>ANI-001</x:v>
      </x:c>
      <x:c r="B99" s="183" t="str">
        <x:f>IFERROR(INDEX(Prospectos!$F$2:$F$288,MATCH($A99,Prospectos!$A$2:$A$288,0)),"")</x:f>
        <x:v>A</x:v>
      </x:c>
      <x:c r="C99" s="183" t="str">
        <x:f>IFERROR(INDEX(Prospectos!$H$2:$H$288,MATCH($A99,Prospectos!$A$2:$A$288,0)),"")</x:f>
        <x:v>Mar de Fondo — Anisacate</x:v>
      </x:c>
      <x:c r="D99" s="183" t="str">
        <x:f>IFERROR(INDEX(Prospectos!$J$2:$J$288,MATCH($A99,Prospectos!$A$2:$A$288,0)),"")</x:f>
        <x:v>PRFV y plásticos</x:v>
      </x:c>
      <x:c r="E99" s="183" t="str">
        <x:f>IFERROR(INDEX(Prospectos!$C$2:$C$288,MATCH($A99,Prospectos!$A$2:$A$288,0)),"")</x:f>
        <x:v>Córdoba / RN36 norte</x:v>
      </x:c>
      <x:c r="F99" s="183" t="str">
        <x:f>IFERROR(INDEX(Prospectos!$E$2:$E$288,MATCH($A99,Prospectos!$A$2:$A$288,0)),"")</x:f>
        <x:v>Anisacate</x:v>
      </x:c>
      <x:c r="G99" s="183" t="str">
        <x:f>IFERROR(INDEX(Prospectos!$K$2:$K$288,MATCH($A99,Prospectos!$A$2:$A$288,0)),"")</x:f>
        <x:v>+54 9 3547 634032</x:v>
      </x:c>
      <x:c r="H99" s="183" t="str">
        <x:f>IFERROR(INDEX(Prospectos!$M$2:$M$288,MATCH($A99,Prospectos!$A$2:$A$288,0)),"")</x:f>
        <x:v>logística / instalaciones / obras / ventas</x:v>
      </x:c>
      <x:c r="I99" s="183" t="str">
        <x:f>IFERROR(INDEX(Prospectos!$N$2:$N$288,MATCH($A99,Prospectos!$A$2:$A$288,0)),"")</x:f>
        <x:v>Entrega de piscinas de fibra desde depósito/franquicia hasta domicilio y apoyo de grúa cuando el casco debe superar medianeras, techos o accesos angostos.</x:v>
      </x:c>
      <x:c r="J99" s="183" t="str">
        <x:f>IFERROR(INDEX(Prospectos!$AJ$2:$AJ$288,MATCH($A99,Prospectos!$A$2:$A$288,0)),"")</x:f>
        <x:v>Muy alta</x:v>
      </x:c>
      <x:c r="K99" s="179"/>
      <x:c r="L99" s="5"/>
      <x:c r="M99" s="135"/>
      <x:c r="N99" s="158"/>
    </x:row>
    <x:row r="100" ht="34" customHeight="1">
      <x:c r="A100" s="7" t="str">
        <x:v>SIE-001</x:v>
      </x:c>
      <x:c r="B100" s="7" t="str">
        <x:f>IFERROR(INDEX(Prospectos!$F$2:$F$288,MATCH($A100,Prospectos!$A$2:$A$288,0)),"")</x:f>
        <x:v>B</x:v>
      </x:c>
      <x:c r="C100" s="7" t="str">
        <x:f>IFERROR(INDEX(Prospectos!$H$2:$H$288,MATCH($A100,Prospectos!$A$2:$A$288,0)),"")</x:f>
        <x:v>El Alto Áridos, Hormigón y Desarrollos</x:v>
      </x:c>
      <x:c r="D100" s="7" t="str">
        <x:f>IFERROR(INDEX(Prospectos!$J$2:$J$288,MATCH($A100,Prospectos!$A$2:$A$288,0)),"")</x:f>
        <x:v>Hormigón, áridos y materiales</x:v>
      </x:c>
      <x:c r="E100" s="7" t="str">
        <x:f>IFERROR(INDEX(Prospectos!$C$2:$C$288,MATCH($A100,Prospectos!$A$2:$A$288,0)),"")</x:f>
        <x:v>Córdoba / RN36 norte</x:v>
      </x:c>
      <x:c r="F100" s="7" t="str">
        <x:f>IFERROR(INDEX(Prospectos!$E$2:$E$288,MATCH($A100,Prospectos!$A$2:$A$288,0)),"")</x:f>
        <x:v>Córdoba / Sierras</x:v>
      </x:c>
      <x:c r="G100" s="7" t="str">
        <x:f>IFERROR(INDEX(Prospectos!$K$2:$K$288,MATCH($A100,Prospectos!$A$2:$A$288,0)),"")</x:f>
        <x:v>A relevar</x:v>
      </x:c>
      <x:c r="H100" s="7" t="str">
        <x:f>IFERROR(INDEX(Prospectos!$M$2:$M$288,MATCH($A100,Prospectos!$A$2:$A$288,0)),"")</x:f>
        <x:v>planta / mantenimiento</x:v>
      </x:c>
      <x:c r="I100" s="7" t="str">
        <x:f>IFERROR(INDEX(Prospectos!$N$2:$N$288,MATCH($A100,Prospectos!$A$2:$A$288,0)),"")</x:f>
        <x:v>Movimiento de premoldeados, equipos de planta/cantera, bombas, moldes y cargas pesadas.</x:v>
      </x:c>
      <x:c r="J100" s="7" t="str">
        <x:f>IFERROR(INDEX(Prospectos!$AJ$2:$AJ$288,MATCH($A100,Prospectos!$A$2:$A$288,0)),"")</x:f>
        <x:v>Media</x:v>
      </x:c>
      <x:c r="K100" s="181"/>
      <x:c r="L100" s="7"/>
      <x:c r="M100" s="137"/>
      <x:c r="N100" s="158"/>
    </x:row>
    <x:row r="101" ht="34" customHeight="1">
      <x:c r="A101" s="183" t="str">
        <x:v>CBA-017</x:v>
      </x:c>
      <x:c r="B101" s="183" t="str">
        <x:f>IFERROR(INDEX(Prospectos!$F$2:$F$288,MATCH($A101,Prospectos!$A$2:$A$288,0)),"")</x:f>
        <x:v>A</x:v>
      </x:c>
      <x:c r="C101" s="183" t="str">
        <x:f>IFERROR(INDEX(Prospectos!$H$2:$H$288,MATCH($A101,Prospectos!$A$2:$A$288,0)),"")</x:f>
        <x:v>AquaFibra</x:v>
      </x:c>
      <x:c r="D101" s="183" t="str">
        <x:f>IFERROR(INDEX(Prospectos!$J$2:$J$288,MATCH($A101,Prospectos!$A$2:$A$288,0)),"")</x:f>
        <x:v>PRFV y plásticos</x:v>
      </x:c>
      <x:c r="E101" s="183" t="str">
        <x:f>IFERROR(INDEX(Prospectos!$C$2:$C$288,MATCH($A101,Prospectos!$A$2:$A$288,0)),"")</x:f>
        <x:v>Córdoba / RN36 norte</x:v>
      </x:c>
      <x:c r="F101" s="183" t="str">
        <x:f>IFERROR(INDEX(Prospectos!$E$2:$E$288,MATCH($A101,Prospectos!$A$2:$A$288,0)),"")</x:f>
        <x:v>Córdoba capital</x:v>
      </x:c>
      <x:c r="G101" s="183" t="str">
        <x:f>IFERROR(INDEX(Prospectos!$K$2:$K$288,MATCH($A101,Prospectos!$A$2:$A$288,0)),"")</x:f>
        <x:v>+54 9 351 3000650</x:v>
      </x:c>
      <x:c r="H101" s="183" t="str">
        <x:f>IFERROR(INDEX(Prospectos!$M$2:$M$288,MATCH($A101,Prospectos!$A$2:$A$288,0)),"")</x:f>
        <x:v>logística / instalaciones / obras / ventas</x:v>
      </x:c>
      <x:c r="I101" s="183" t="str">
        <x:f>IFERROR(INDEX(Prospectos!$N$2:$N$288,MATCH($A101,Prospectos!$A$2:$A$288,0)),"")</x:f>
        <x:v>Despacho recurrente de cascos PRFV de gran volumen desde fábrica hacia obras, franquicias o domicilios; coordinación de descarga y posicionamiento en patios con accesos restringidos.</x:v>
      </x:c>
      <x:c r="J101" s="183" t="str">
        <x:f>IFERROR(INDEX(Prospectos!$AJ$2:$AJ$288,MATCH($A101,Prospectos!$A$2:$A$288,0)),"")</x:f>
        <x:v>Muy alta</x:v>
      </x:c>
      <x:c r="K101" s="179"/>
      <x:c r="L101" s="5"/>
      <x:c r="M101" s="135"/>
      <x:c r="N101" s="158"/>
    </x:row>
    <x:row r="102" ht="34" customHeight="1">
      <x:c r="A102" s="7" t="str">
        <x:v>CBA-023</x:v>
      </x:c>
      <x:c r="B102" s="7" t="str">
        <x:f>IFERROR(INDEX(Prospectos!$F$2:$F$288,MATCH($A102,Prospectos!$A$2:$A$288,0)),"")</x:f>
        <x:v>A</x:v>
      </x:c>
      <x:c r="C102" s="7" t="str">
        <x:f>IFERROR(INDEX(Prospectos!$H$2:$H$288,MATCH($A102,Prospectos!$A$2:$A$288,0)),"")</x:f>
        <x:v>CONCI — Córdoba</x:v>
      </x:c>
      <x:c r="D102" s="7" t="str">
        <x:f>IFERROR(INDEX(Prospectos!$J$2:$J$288,MATCH($A102,Prospectos!$A$2:$A$288,0)),"")</x:f>
        <x:v>Maquinaria agrícola</x:v>
      </x:c>
      <x:c r="E102" s="7" t="str">
        <x:f>IFERROR(INDEX(Prospectos!$C$2:$C$288,MATCH($A102,Prospectos!$A$2:$A$288,0)),"")</x:f>
        <x:v>Córdoba / RN36 norte</x:v>
      </x:c>
      <x:c r="F102" s="7" t="str">
        <x:f>IFERROR(INDEX(Prospectos!$E$2:$E$288,MATCH($A102,Prospectos!$A$2:$A$288,0)),"")</x:f>
        <x:v>Córdoba capital</x:v>
      </x:c>
      <x:c r="G102" s="7" t="str">
        <x:f>IFERROR(INDEX(Prospectos!$K$2:$K$288,MATCH($A102,Prospectos!$A$2:$A$288,0)),"")</x:f>
        <x:v>0810 777 6666 / +54 9 351 2175220</x:v>
      </x:c>
      <x:c r="H102" s="7" t="str">
        <x:f>IFERROR(INDEX(Prospectos!$M$2:$M$288,MATCH($A102,Prospectos!$A$2:$A$288,0)),"")</x:f>
        <x:v>logística / entregas / usados / postventa / gerente comercial</x:v>
      </x:c>
      <x:c r="I102" s="7" t="str">
        <x:f>IFERROR(INDEX(Prospectos!$N$2:$N$288,MATCH($A102,Prospectos!$A$2:$A$288,0)),"")</x:f>
        <x:v>Entrega y retiro de tractores, cosechadoras, pulverizadoras, sembradoras e implementos; movimientos por ventas, canjes, usados, service, demostraciones y ferias.</x:v>
      </x:c>
      <x:c r="J102" s="7" t="str">
        <x:f>IFERROR(INDEX(Prospectos!$AJ$2:$AJ$288,MATCH($A102,Prospectos!$A$2:$A$288,0)),"")</x:f>
        <x:v>Muy alta</x:v>
      </x:c>
      <x:c r="K102" s="181"/>
      <x:c r="L102" s="7"/>
      <x:c r="M102" s="137"/>
      <x:c r="N102" s="158"/>
    </x:row>
    <x:row r="103" ht="34" customHeight="1">
      <x:c r="A103" s="183" t="str">
        <x:v>CBA-015</x:v>
      </x:c>
      <x:c r="B103" s="183" t="str">
        <x:f>IFERROR(INDEX(Prospectos!$F$2:$F$288,MATCH($A103,Prospectos!$A$2:$A$288,0)),"")</x:f>
        <x:v>A</x:v>
      </x:c>
      <x:c r="C103" s="183" t="str">
        <x:f>IFERROR(INDEX(Prospectos!$H$2:$H$288,MATCH($A103,Prospectos!$A$2:$A$288,0)),"")</x:f>
        <x:v>Moldear Piscinas</x:v>
      </x:c>
      <x:c r="D103" s="183" t="str">
        <x:f>IFERROR(INDEX(Prospectos!$J$2:$J$288,MATCH($A103,Prospectos!$A$2:$A$288,0)),"")</x:f>
        <x:v>PRFV y plásticos</x:v>
      </x:c>
      <x:c r="E103" s="183" t="str">
        <x:f>IFERROR(INDEX(Prospectos!$C$2:$C$288,MATCH($A103,Prospectos!$A$2:$A$288,0)),"")</x:f>
        <x:v>Córdoba / RN36 norte</x:v>
      </x:c>
      <x:c r="F103" s="183" t="str">
        <x:f>IFERROR(INDEX(Prospectos!$E$2:$E$288,MATCH($A103,Prospectos!$A$2:$A$288,0)),"")</x:f>
        <x:v>Córdoba capital</x:v>
      </x:c>
      <x:c r="G103" s="183" t="str">
        <x:f>IFERROR(INDEX(Prospectos!$K$2:$K$288,MATCH($A103,Prospectos!$A$2:$A$288,0)),"")</x:f>
        <x:v>0351 4864217 / 0351 5892541</x:v>
      </x:c>
      <x:c r="H103" s="183" t="str">
        <x:f>IFERROR(INDEX(Prospectos!$M$2:$M$288,MATCH($A103,Prospectos!$A$2:$A$288,0)),"")</x:f>
        <x:v>logística / instalaciones / obras / ventas</x:v>
      </x:c>
      <x:c r="I103" s="183" t="str">
        <x:f>IFERROR(INDEX(Prospectos!$N$2:$N$288,MATCH($A103,Prospectos!$A$2:$A$288,0)),"")</x:f>
        <x:v>Despacho recurrente de cascos PRFV de gran volumen desde fábrica hacia obras, franquicias o domicilios; coordinación de descarga y posicionamiento en patios con accesos restringidos.</x:v>
      </x:c>
      <x:c r="J103" s="183" t="str">
        <x:f>IFERROR(INDEX(Prospectos!$AJ$2:$AJ$288,MATCH($A103,Prospectos!$A$2:$A$288,0)),"")</x:f>
        <x:v>Muy alta</x:v>
      </x:c>
      <x:c r="K103" s="179"/>
      <x:c r="L103" s="5"/>
      <x:c r="M103" s="135"/>
      <x:c r="N103" s="158"/>
    </x:row>
    <x:row r="104" ht="34" customHeight="1">
      <x:c r="A104" s="3" t="str">
        <x:v>CBA-024</x:v>
      </x:c>
      <x:c r="B104" s="3" t="str">
        <x:f>IFERROR(INDEX(Prospectos!$F$2:$F$288,MATCH($A104,Prospectos!$A$2:$A$288,0)),"")</x:f>
        <x:v>A</x:v>
      </x:c>
      <x:c r="C104" s="3" t="str">
        <x:f>IFERROR(INDEX(Prospectos!$H$2:$H$288,MATCH($A104,Prospectos!$A$2:$A$288,0)),"")</x:f>
        <x:v>Máquinas del Centro — Córdoba</x:v>
      </x:c>
      <x:c r="D104" s="3" t="str">
        <x:f>IFERROR(INDEX(Prospectos!$J$2:$J$288,MATCH($A104,Prospectos!$A$2:$A$288,0)),"")</x:f>
        <x:v>Maquinaria agrícola</x:v>
      </x:c>
      <x:c r="E104" s="3" t="str">
        <x:f>IFERROR(INDEX(Prospectos!$C$2:$C$288,MATCH($A104,Prospectos!$A$2:$A$288,0)),"")</x:f>
        <x:v>Córdoba / RN36 norte</x:v>
      </x:c>
      <x:c r="F104" s="3" t="str">
        <x:f>IFERROR(INDEX(Prospectos!$E$2:$E$288,MATCH($A104,Prospectos!$A$2:$A$288,0)),"")</x:f>
        <x:v>Córdoba capital</x:v>
      </x:c>
      <x:c r="G104" s="3" t="str">
        <x:f>IFERROR(INDEX(Prospectos!$K$2:$K$288,MATCH($A104,Prospectos!$A$2:$A$288,0)),"")</x:f>
        <x:v>0351 7015555 / 0351 8722584</x:v>
      </x:c>
      <x:c r="H104" s="3" t="str">
        <x:f>IFERROR(INDEX(Prospectos!$M$2:$M$288,MATCH($A104,Prospectos!$A$2:$A$288,0)),"")</x:f>
        <x:v>logística / entregas / usados / postventa / gerente comercial</x:v>
      </x:c>
      <x:c r="I104" s="3" t="str">
        <x:f>IFERROR(INDEX(Prospectos!$N$2:$N$288,MATCH($A104,Prospectos!$A$2:$A$288,0)),"")</x:f>
        <x:v>Entrega y retiro de tractores, cosechadoras, pulverizadoras, sembradoras e implementos; movimientos por ventas, canjes, usados, service, demostraciones y ferias.</x:v>
      </x:c>
      <x:c r="J104" s="3" t="str">
        <x:f>IFERROR(INDEX(Prospectos!$AJ$2:$AJ$288,MATCH($A104,Prospectos!$A$2:$A$288,0)),"")</x:f>
        <x:v>Muy alta</x:v>
      </x:c>
      <x:c r="K104" s="179"/>
      <x:c r="L104" s="3"/>
      <x:c r="M104" s="137"/>
      <x:c r="N104" s="158"/>
    </x:row>
    <x:row r="105" ht="34" customHeight="1">
      <x:c r="A105" s="185" t="str">
        <x:v>CBA-016</x:v>
      </x:c>
      <x:c r="B105" s="185" t="str">
        <x:f>IFERROR(INDEX(Prospectos!$F$2:$F$288,MATCH($A105,Prospectos!$A$2:$A$288,0)),"")</x:f>
        <x:v>A</x:v>
      </x:c>
      <x:c r="C105" s="185" t="str">
        <x:f>IFERROR(INDEX(Prospectos!$H$2:$H$288,MATCH($A105,Prospectos!$A$2:$A$288,0)),"")</x:f>
        <x:v>Porto Piscinas</x:v>
      </x:c>
      <x:c r="D105" s="185" t="str">
        <x:f>IFERROR(INDEX(Prospectos!$J$2:$J$288,MATCH($A105,Prospectos!$A$2:$A$288,0)),"")</x:f>
        <x:v>PRFV y plásticos</x:v>
      </x:c>
      <x:c r="E105" s="185" t="str">
        <x:f>IFERROR(INDEX(Prospectos!$C$2:$C$288,MATCH($A105,Prospectos!$A$2:$A$288,0)),"")</x:f>
        <x:v>Córdoba / RN36 norte</x:v>
      </x:c>
      <x:c r="F105" s="185" t="str">
        <x:f>IFERROR(INDEX(Prospectos!$E$2:$E$288,MATCH($A105,Prospectos!$A$2:$A$288,0)),"")</x:f>
        <x:v>Córdoba capital</x:v>
      </x:c>
      <x:c r="G105" s="185" t="str">
        <x:f>IFERROR(INDEX(Prospectos!$K$2:$K$288,MATCH($A105,Prospectos!$A$2:$A$288,0)),"")</x:f>
        <x:v>0351 8786914</x:v>
      </x:c>
      <x:c r="H105" s="185" t="str">
        <x:f>IFERROR(INDEX(Prospectos!$M$2:$M$288,MATCH($A105,Prospectos!$A$2:$A$288,0)),"")</x:f>
        <x:v>logística / instalaciones / obras / ventas</x:v>
      </x:c>
      <x:c r="I105" s="185" t="str">
        <x:f>IFERROR(INDEX(Prospectos!$N$2:$N$288,MATCH($A105,Prospectos!$A$2:$A$288,0)),"")</x:f>
        <x:v>Despacho recurrente de cascos PRFV de gran volumen desde fábrica hacia obras, franquicias o domicilios; coordinación de descarga y posicionamiento en patios con accesos restringidos.</x:v>
      </x:c>
      <x:c r="J105" s="185" t="str">
        <x:f>IFERROR(INDEX(Prospectos!$AJ$2:$AJ$288,MATCH($A105,Prospectos!$A$2:$A$288,0)),"")</x:f>
        <x:v>Muy alta</x:v>
      </x:c>
      <x:c r="K105" s="180"/>
      <x:c r="L105" s="9"/>
      <x:c r="M105" s="135"/>
      <x:c r="N105" s="158"/>
    </x:row>
    <x:row r="106" ht="34" customHeight="1">
      <x:c r="A106" s="3" t="str">
        <x:v>CBA-001</x:v>
      </x:c>
      <x:c r="B106" s="3" t="str">
        <x:f>IFERROR(INDEX(Prospectos!$F$2:$F$288,MATCH($A106,Prospectos!$A$2:$A$288,0)),"")</x:f>
        <x:v>A</x:v>
      </x:c>
      <x:c r="C106" s="3" t="str">
        <x:f>IFERROR(INDEX(Prospectos!$H$2:$H$288,MATCH($A106,Prospectos!$A$2:$A$288,0)),"")</x:f>
        <x:v>Pretencord S.R.L.</x:v>
      </x:c>
      <x:c r="D106" s="3" t="str">
        <x:f>IFERROR(INDEX(Prospectos!$J$2:$J$288,MATCH($A106,Prospectos!$A$2:$A$288,0)),"")</x:f>
        <x:v>Hormigón, áridos y materiales</x:v>
      </x:c>
      <x:c r="E106" s="3" t="str">
        <x:f>IFERROR(INDEX(Prospectos!$C$2:$C$288,MATCH($A106,Prospectos!$A$2:$A$288,0)),"")</x:f>
        <x:v>Córdoba / RN36 norte</x:v>
      </x:c>
      <x:c r="F106" s="3" t="str">
        <x:f>IFERROR(INDEX(Prospectos!$E$2:$E$288,MATCH($A106,Prospectos!$A$2:$A$288,0)),"")</x:f>
        <x:v>Córdoba capital</x:v>
      </x:c>
      <x:c r="G106" s="3" t="str">
        <x:f>IFERROR(INDEX(Prospectos!$K$2:$K$288,MATCH($A106,Prospectos!$A$2:$A$288,0)),"")</x:f>
        <x:v>+54 351 2422363 / +54 351 2454059</x:v>
      </x:c>
      <x:c r="H106" s="3" t="str">
        <x:f>IFERROR(INDEX(Prospectos!$M$2:$M$288,MATCH($A106,Prospectos!$A$2:$A$288,0)),"")</x:f>
        <x:v>despacho / logística</x:v>
      </x:c>
      <x:c r="I106" s="3" t="str">
        <x:f>IFERROR(INDEX(Prospectos!$N$2:$N$288,MATCH($A106,Prospectos!$A$2:$A$288,0)),"")</x:f>
        <x:v>Movimiento de premoldeados, equipos de planta/cantera, bombas, moldes y cargas pesadas.</x:v>
      </x:c>
      <x:c r="J106" s="3" t="str">
        <x:f>IFERROR(INDEX(Prospectos!$AJ$2:$AJ$288,MATCH($A106,Prospectos!$A$2:$A$288,0)),"")</x:f>
        <x:v>Muy alta</x:v>
      </x:c>
      <x:c r="K106" s="179"/>
      <x:c r="L106" s="3"/>
      <x:c r="M106" s="137"/>
      <x:c r="N106" s="158"/>
    </x:row>
    <x:row r="107" ht="34" customHeight="1">
      <x:c r="A107" s="183" t="str">
        <x:v>CBA-018</x:v>
      </x:c>
      <x:c r="B107" s="183" t="str">
        <x:f>IFERROR(INDEX(Prospectos!$F$2:$F$288,MATCH($A107,Prospectos!$A$2:$A$288,0)),"")</x:f>
        <x:v>A</x:v>
      </x:c>
      <x:c r="C107" s="183" t="str">
        <x:f>IFERROR(INDEX(Prospectos!$H$2:$H$288,MATCH($A107,Prospectos!$A$2:$A$288,0)),"")</x:f>
        <x:v>Arizona Piscinas</x:v>
      </x:c>
      <x:c r="D107" s="183" t="str">
        <x:f>IFERROR(INDEX(Prospectos!$J$2:$J$288,MATCH($A107,Prospectos!$A$2:$A$288,0)),"")</x:f>
        <x:v>PRFV y plásticos</x:v>
      </x:c>
      <x:c r="E107" s="183" t="str">
        <x:f>IFERROR(INDEX(Prospectos!$C$2:$C$288,MATCH($A107,Prospectos!$A$2:$A$288,0)),"")</x:f>
        <x:v>Córdoba / RN36 norte</x:v>
      </x:c>
      <x:c r="F107" s="183" t="str">
        <x:f>IFERROR(INDEX(Prospectos!$E$2:$E$288,MATCH($A107,Prospectos!$A$2:$A$288,0)),"")</x:f>
        <x:v>Córdoba capital</x:v>
      </x:c>
      <x:c r="G107" s="183" t="str">
        <x:f>IFERROR(INDEX(Prospectos!$K$2:$K$288,MATCH($A107,Prospectos!$A$2:$A$288,0)),"")</x:f>
        <x:v>+54 9 3541 683449</x:v>
      </x:c>
      <x:c r="H107" s="183" t="str">
        <x:f>IFERROR(INDEX(Prospectos!$M$2:$M$288,MATCH($A107,Prospectos!$A$2:$A$288,0)),"")</x:f>
        <x:v>logística / instalaciones / obras / ventas</x:v>
      </x:c>
      <x:c r="I107" s="183" t="str">
        <x:f>IFERROR(INDEX(Prospectos!$N$2:$N$288,MATCH($A107,Prospectos!$A$2:$A$288,0)),"")</x:f>
        <x:v>Despacho recurrente de cascos PRFV de gran volumen desde fábrica hacia obras, franquicias o domicilios; coordinación de descarga y posicionamiento en patios con accesos restringidos.</x:v>
      </x:c>
      <x:c r="J107" s="183" t="str">
        <x:f>IFERROR(INDEX(Prospectos!$AJ$2:$AJ$288,MATCH($A107,Prospectos!$A$2:$A$288,0)),"")</x:f>
        <x:v>Muy alta</x:v>
      </x:c>
      <x:c r="K107" s="179"/>
      <x:c r="L107" s="5"/>
      <x:c r="M107" s="135"/>
      <x:c r="N107" s="158"/>
    </x:row>
    <x:row r="108" ht="34" customHeight="1">
      <x:c r="A108" s="3" t="str">
        <x:v>CBA-019</x:v>
      </x:c>
      <x:c r="B108" s="3" t="str">
        <x:f>IFERROR(INDEX(Prospectos!$F$2:$F$288,MATCH($A108,Prospectos!$A$2:$A$288,0)),"")</x:f>
        <x:v>A</x:v>
      </x:c>
      <x:c r="C108" s="3" t="str">
        <x:f>IFERROR(INDEX(Prospectos!$H$2:$H$288,MATCH($A108,Prospectos!$A$2:$A$288,0)),"")</x:f>
        <x:v>Klor Piletas</x:v>
      </x:c>
      <x:c r="D108" s="3" t="str">
        <x:f>IFERROR(INDEX(Prospectos!$J$2:$J$288,MATCH($A108,Prospectos!$A$2:$A$288,0)),"")</x:f>
        <x:v>PRFV y plásticos</x:v>
      </x:c>
      <x:c r="E108" s="3" t="str">
        <x:f>IFERROR(INDEX(Prospectos!$C$2:$C$288,MATCH($A108,Prospectos!$A$2:$A$288,0)),"")</x:f>
        <x:v>Córdoba / RN36 norte</x:v>
      </x:c>
      <x:c r="F108" s="3" t="str">
        <x:f>IFERROR(INDEX(Prospectos!$E$2:$E$288,MATCH($A108,Prospectos!$A$2:$A$288,0)),"")</x:f>
        <x:v>Córdoba capital</x:v>
      </x:c>
      <x:c r="G108" s="3" t="str">
        <x:f>IFERROR(INDEX(Prospectos!$K$2:$K$288,MATCH($A108,Prospectos!$A$2:$A$288,0)),"")</x:f>
        <x:v>351 8868899 / 351 8601829</x:v>
      </x:c>
      <x:c r="H108" s="3" t="str">
        <x:f>IFERROR(INDEX(Prospectos!$M$2:$M$288,MATCH($A108,Prospectos!$A$2:$A$288,0)),"")</x:f>
        <x:v>logística / instalaciones / obras / ventas</x:v>
      </x:c>
      <x:c r="I108" s="3" t="str">
        <x:f>IFERROR(INDEX(Prospectos!$N$2:$N$288,MATCH($A108,Prospectos!$A$2:$A$288,0)),"")</x:f>
        <x:v>Traslado del casco PRFV hasta la obra y maniobra de descarga/posicionamiento dentro del lote, muchas veces sobre medianeras o con acceso limitado.</x:v>
      </x:c>
      <x:c r="J108" s="3" t="str">
        <x:f>IFERROR(INDEX(Prospectos!$AJ$2:$AJ$288,MATCH($A108,Prospectos!$A$2:$A$288,0)),"")</x:f>
        <x:v>Muy alta</x:v>
      </x:c>
      <x:c r="K108" s="179"/>
      <x:c r="L108" s="3"/>
      <x:c r="M108" s="137"/>
      <x:c r="N108" s="158"/>
    </x:row>
    <x:row r="109" ht="34" customHeight="1">
      <x:c r="A109" s="183" t="str">
        <x:v>CBA-020</x:v>
      </x:c>
      <x:c r="B109" s="183" t="str">
        <x:f>IFERROR(INDEX(Prospectos!$F$2:$F$288,MATCH($A109,Prospectos!$A$2:$A$288,0)),"")</x:f>
        <x:v>A</x:v>
      </x:c>
      <x:c r="C109" s="183" t="str">
        <x:f>IFERROR(INDEX(Prospectos!$H$2:$H$288,MATCH($A109,Prospectos!$A$2:$A$288,0)),"")</x:f>
        <x:v>Piletas Córdoba</x:v>
      </x:c>
      <x:c r="D109" s="183" t="str">
        <x:f>IFERROR(INDEX(Prospectos!$J$2:$J$288,MATCH($A109,Prospectos!$A$2:$A$288,0)),"")</x:f>
        <x:v>PRFV y plásticos</x:v>
      </x:c>
      <x:c r="E109" s="183" t="str">
        <x:f>IFERROR(INDEX(Prospectos!$C$2:$C$288,MATCH($A109,Prospectos!$A$2:$A$288,0)),"")</x:f>
        <x:v>Córdoba / RN36 norte</x:v>
      </x:c>
      <x:c r="F109" s="183" t="str">
        <x:f>IFERROR(INDEX(Prospectos!$E$2:$E$288,MATCH($A109,Prospectos!$A$2:$A$288,0)),"")</x:f>
        <x:v>Córdoba capital</x:v>
      </x:c>
      <x:c r="G109" s="183" t="str">
        <x:f>IFERROR(INDEX(Prospectos!$K$2:$K$288,MATCH($A109,Prospectos!$A$2:$A$288,0)),"")</x:f>
        <x:v>+54 9 351 6425474 / 3462 303611</x:v>
      </x:c>
      <x:c r="H109" s="183" t="str">
        <x:f>IFERROR(INDEX(Prospectos!$M$2:$M$288,MATCH($A109,Prospectos!$A$2:$A$288,0)),"")</x:f>
        <x:v>logística / instalaciones / obras / ventas</x:v>
      </x:c>
      <x:c r="I109" s="183" t="str">
        <x:f>IFERROR(INDEX(Prospectos!$N$2:$N$288,MATCH($A109,Prospectos!$A$2:$A$288,0)),"")</x:f>
        <x:v>Traslado del casco PRFV hasta la obra y maniobra de descarga/posicionamiento dentro del lote, muchas veces sobre medianeras o con acceso limitado.</x:v>
      </x:c>
      <x:c r="J109" s="183" t="str">
        <x:f>IFERROR(INDEX(Prospectos!$AJ$2:$AJ$288,MATCH($A109,Prospectos!$A$2:$A$288,0)),"")</x:f>
        <x:v>Muy alta</x:v>
      </x:c>
      <x:c r="K109" s="179"/>
      <x:c r="L109" s="5"/>
      <x:c r="M109" s="135"/>
      <x:c r="N109" s="158"/>
    </x:row>
    <x:row r="110" ht="34" customHeight="1">
      <x:c r="A110" s="3" t="str">
        <x:v>CBA-025</x:v>
      </x:c>
      <x:c r="B110" s="3" t="str">
        <x:f>IFERROR(INDEX(Prospectos!$F$2:$F$288,MATCH($A110,Prospectos!$A$2:$A$288,0)),"")</x:f>
        <x:v>A</x:v>
      </x:c>
      <x:c r="C110" s="3" t="str">
        <x:f>IFERROR(INDEX(Prospectos!$H$2:$H$288,MATCH($A110,Prospectos!$A$2:$A$288,0)),"")</x:f>
        <x:v>Agronorte — Córdoba</x:v>
      </x:c>
      <x:c r="D110" s="3" t="str">
        <x:f>IFERROR(INDEX(Prospectos!$J$2:$J$288,MATCH($A110,Prospectos!$A$2:$A$288,0)),"")</x:f>
        <x:v>Maquinaria agrícola</x:v>
      </x:c>
      <x:c r="E110" s="3" t="str">
        <x:f>IFERROR(INDEX(Prospectos!$C$2:$C$288,MATCH($A110,Prospectos!$A$2:$A$288,0)),"")</x:f>
        <x:v>Córdoba / RN36 norte</x:v>
      </x:c>
      <x:c r="F110" s="3" t="str">
        <x:f>IFERROR(INDEX(Prospectos!$E$2:$E$288,MATCH($A110,Prospectos!$A$2:$A$288,0)),"")</x:f>
        <x:v>Córdoba capital</x:v>
      </x:c>
      <x:c r="G110" s="3" t="str">
        <x:f>IFERROR(INDEX(Prospectos!$K$2:$K$288,MATCH($A110,Prospectos!$A$2:$A$288,0)),"")</x:f>
        <x:v>0351 5890240</x:v>
      </x:c>
      <x:c r="H110" s="3" t="str">
        <x:f>IFERROR(INDEX(Prospectos!$M$2:$M$288,MATCH($A110,Prospectos!$A$2:$A$288,0)),"")</x:f>
        <x:v>logística / entregas / usados / postventa / gerente comercial</x:v>
      </x:c>
      <x:c r="I110" s="3" t="str">
        <x:f>IFERROR(INDEX(Prospectos!$N$2:$N$288,MATCH($A110,Prospectos!$A$2:$A$288,0)),"")</x:f>
        <x:v>Entrega y retiro de tractores, cosechadoras, pulverizadoras, sembradoras e implementos; movimientos por ventas, canjes, usados, service, demostraciones y ferias.</x:v>
      </x:c>
      <x:c r="J110" s="3" t="str">
        <x:f>IFERROR(INDEX(Prospectos!$AJ$2:$AJ$288,MATCH($A110,Prospectos!$A$2:$A$288,0)),"")</x:f>
        <x:v>Muy alta</x:v>
      </x:c>
      <x:c r="K110" s="179"/>
      <x:c r="L110" s="3"/>
      <x:c r="M110" s="137"/>
      <x:c r="N110" s="158"/>
    </x:row>
    <x:row r="111" ht="34" customHeight="1">
      <x:c r="A111" s="183" t="str">
        <x:v>CBA-021</x:v>
      </x:c>
      <x:c r="B111" s="183" t="str">
        <x:f>IFERROR(INDEX(Prospectos!$F$2:$F$288,MATCH($A111,Prospectos!$A$2:$A$288,0)),"")</x:f>
        <x:v>A</x:v>
      </x:c>
      <x:c r="C111" s="183" t="str">
        <x:f>IFERROR(INDEX(Prospectos!$H$2:$H$288,MATCH($A111,Prospectos!$A$2:$A$288,0)),"")</x:f>
        <x:v>Aquapool Piscinas Córdoba</x:v>
      </x:c>
      <x:c r="D111" s="183" t="str">
        <x:f>IFERROR(INDEX(Prospectos!$J$2:$J$288,MATCH($A111,Prospectos!$A$2:$A$288,0)),"")</x:f>
        <x:v>PRFV y plásticos</x:v>
      </x:c>
      <x:c r="E111" s="183" t="str">
        <x:f>IFERROR(INDEX(Prospectos!$C$2:$C$288,MATCH($A111,Prospectos!$A$2:$A$288,0)),"")</x:f>
        <x:v>Córdoba / RN36 norte</x:v>
      </x:c>
      <x:c r="F111" s="183" t="str">
        <x:f>IFERROR(INDEX(Prospectos!$E$2:$E$288,MATCH($A111,Prospectos!$A$2:$A$288,0)),"")</x:f>
        <x:v>Córdoba capital</x:v>
      </x:c>
      <x:c r="G111" s="183" t="str">
        <x:f>IFERROR(INDEX(Prospectos!$K$2:$K$288,MATCH($A111,Prospectos!$A$2:$A$288,0)),"")</x:f>
        <x:v>351 3039080</x:v>
      </x:c>
      <x:c r="H111" s="183" t="str">
        <x:f>IFERROR(INDEX(Prospectos!$M$2:$M$288,MATCH($A111,Prospectos!$A$2:$A$288,0)),"")</x:f>
        <x:v>logística / instalaciones / obras / ventas</x:v>
      </x:c>
      <x:c r="I111" s="183" t="str">
        <x:f>IFERROR(INDEX(Prospectos!$N$2:$N$288,MATCH($A111,Prospectos!$A$2:$A$288,0)),"")</x:f>
        <x:v>Traslado del casco PRFV hasta la obra y maniobra de descarga/posicionamiento dentro del lote, muchas veces sobre medianeras o con acceso limitado.</x:v>
      </x:c>
      <x:c r="J111" s="183" t="str">
        <x:f>IFERROR(INDEX(Prospectos!$AJ$2:$AJ$288,MATCH($A111,Prospectos!$A$2:$A$288,0)),"")</x:f>
        <x:v>Muy alta</x:v>
      </x:c>
      <x:c r="K111" s="179"/>
      <x:c r="L111" s="5"/>
      <x:c r="M111" s="135"/>
      <x:c r="N111" s="158"/>
    </x:row>
    <x:row r="112" ht="34" customHeight="1">
      <x:c r="A112" s="3" t="str">
        <x:v>CBA-014</x:v>
      </x:c>
      <x:c r="B112" s="3" t="str">
        <x:f>IFERROR(INDEX(Prospectos!$F$2:$F$288,MATCH($A112,Prospectos!$A$2:$A$288,0)),"")</x:f>
        <x:v>A</x:v>
      </x:c>
      <x:c r="C112" s="3" t="str">
        <x:f>IFERROR(INDEX(Prospectos!$H$2:$H$288,MATCH($A112,Prospectos!$A$2:$A$288,0)),"")</x:f>
        <x:v>Semtraco — Córdoba</x:v>
      </x:c>
      <x:c r="D112" s="3" t="str">
        <x:f>IFERROR(INDEX(Prospectos!$J$2:$J$288,MATCH($A112,Prospectos!$A$2:$A$288,0)),"")</x:f>
        <x:v>Maquinaria agrícola</x:v>
      </x:c>
      <x:c r="E112" s="3" t="str">
        <x:f>IFERROR(INDEX(Prospectos!$C$2:$C$288,MATCH($A112,Prospectos!$A$2:$A$288,0)),"")</x:f>
        <x:v>Córdoba / RN36 norte</x:v>
      </x:c>
      <x:c r="F112" s="3" t="str">
        <x:f>IFERROR(INDEX(Prospectos!$E$2:$E$288,MATCH($A112,Prospectos!$A$2:$A$288,0)),"")</x:f>
        <x:v>Córdoba capital</x:v>
      </x:c>
      <x:c r="G112" s="3" t="str">
        <x:f>IFERROR(INDEX(Prospectos!$K$2:$K$288,MATCH($A112,Prospectos!$A$2:$A$288,0)),"")</x:f>
        <x:v>+54 9 351 8504937</x:v>
      </x:c>
      <x:c r="H112" s="3" t="str">
        <x:f>IFERROR(INDEX(Prospectos!$M$2:$M$288,MATCH($A112,Prospectos!$A$2:$A$288,0)),"")</x:f>
        <x:v>logística / ventas / postventa</x:v>
      </x:c>
      <x:c r="I112" s="3" t="str">
        <x:f>IFERROR(INDEX(Prospectos!$N$2:$N$288,MATCH($A112,Prospectos!$A$2:$A$288,0)),"")</x:f>
        <x:v>Entrega y retiro de tractores, cosechadoras, pulverizadoras, sembradoras e implementos; movimientos por venta, service, canje, demostraciones o ferias.</x:v>
      </x:c>
      <x:c r="J112" s="3" t="str">
        <x:f>IFERROR(INDEX(Prospectos!$AJ$2:$AJ$288,MATCH($A112,Prospectos!$A$2:$A$288,0)),"")</x:f>
        <x:v>Muy alta</x:v>
      </x:c>
      <x:c r="K112" s="179"/>
      <x:c r="L112" s="3"/>
      <x:c r="M112" s="137"/>
      <x:c r="N112" s="158"/>
    </x:row>
    <x:row r="113" ht="34" customHeight="1">
      <x:c r="A113" s="183" t="str">
        <x:v>CBA-022</x:v>
      </x:c>
      <x:c r="B113" s="183" t="str">
        <x:f>IFERROR(INDEX(Prospectos!$F$2:$F$288,MATCH($A113,Prospectos!$A$2:$A$288,0)),"")</x:f>
        <x:v>A</x:v>
      </x:c>
      <x:c r="C113" s="183" t="str">
        <x:f>IFERROR(INDEX(Prospectos!$H$2:$H$288,MATCH($A113,Prospectos!$A$2:$A$288,0)),"")</x:f>
        <x:v>Vitro Piscinas Córdoba</x:v>
      </x:c>
      <x:c r="D113" s="183" t="str">
        <x:f>IFERROR(INDEX(Prospectos!$J$2:$J$288,MATCH($A113,Prospectos!$A$2:$A$288,0)),"")</x:f>
        <x:v>PRFV y plásticos</x:v>
      </x:c>
      <x:c r="E113" s="183" t="str">
        <x:f>IFERROR(INDEX(Prospectos!$C$2:$C$288,MATCH($A113,Prospectos!$A$2:$A$288,0)),"")</x:f>
        <x:v>Córdoba / RN36 norte</x:v>
      </x:c>
      <x:c r="F113" s="183" t="str">
        <x:f>IFERROR(INDEX(Prospectos!$E$2:$E$288,MATCH($A113,Prospectos!$A$2:$A$288,0)),"")</x:f>
        <x:v>Córdoba capital</x:v>
      </x:c>
      <x:c r="G113" s="183" t="str">
        <x:f>IFERROR(INDEX(Prospectos!$K$2:$K$288,MATCH($A113,Prospectos!$A$2:$A$288,0)),"")</x:f>
        <x:v>3541 652624</x:v>
      </x:c>
      <x:c r="H113" s="183" t="str">
        <x:f>IFERROR(INDEX(Prospectos!$M$2:$M$288,MATCH($A113,Prospectos!$A$2:$A$288,0)),"")</x:f>
        <x:v>logística / instalaciones / obras / ventas</x:v>
      </x:c>
      <x:c r="I113" s="183" t="str">
        <x:f>IFERROR(INDEX(Prospectos!$N$2:$N$288,MATCH($A113,Prospectos!$A$2:$A$288,0)),"")</x:f>
        <x:v>Traslado del casco PRFV hasta la obra y maniobra de descarga/posicionamiento dentro del lote, muchas veces sobre medianeras o con acceso limitado.</x:v>
      </x:c>
      <x:c r="J113" s="183" t="str">
        <x:f>IFERROR(INDEX(Prospectos!$AJ$2:$AJ$288,MATCH($A113,Prospectos!$A$2:$A$288,0)),"")</x:f>
        <x:v>Alta</x:v>
      </x:c>
      <x:c r="K113" s="179"/>
      <x:c r="L113" s="5"/>
      <x:c r="M113" s="135"/>
      <x:c r="N113" s="158"/>
    </x:row>
    <x:row r="114" ht="34" customHeight="1">
      <x:c r="A114" s="3" t="str">
        <x:v>CBA-002</x:v>
      </x:c>
      <x:c r="B114" s="3" t="str">
        <x:f>IFERROR(INDEX(Prospectos!$F$2:$F$288,MATCH($A114,Prospectos!$A$2:$A$288,0)),"")</x:f>
        <x:v>B</x:v>
      </x:c>
      <x:c r="C114" s="3" t="str">
        <x:f>IFERROR(INDEX(Prospectos!$H$2:$H$288,MATCH($A114,Prospectos!$A$2:$A$288,0)),"")</x:f>
        <x:v>Boetto y Buttigliengo S.A.</x:v>
      </x:c>
      <x:c r="D114" s="3" t="str">
        <x:f>IFERROR(INDEX(Prospectos!$J$2:$J$288,MATCH($A114,Prospectos!$A$2:$A$288,0)),"")</x:f>
        <x:v>Construcción y obra vial</x:v>
      </x:c>
      <x:c r="E114" s="3" t="str">
        <x:f>IFERROR(INDEX(Prospectos!$C$2:$C$288,MATCH($A114,Prospectos!$A$2:$A$288,0)),"")</x:f>
        <x:v>Córdoba / RN36 norte</x:v>
      </x:c>
      <x:c r="F114" s="3" t="str">
        <x:f>IFERROR(INDEX(Prospectos!$E$2:$E$288,MATCH($A114,Prospectos!$A$2:$A$288,0)),"")</x:f>
        <x:v>Córdoba capital</x:v>
      </x:c>
      <x:c r="G114" s="3" t="str">
        <x:f>IFERROR(INDEX(Prospectos!$K$2:$K$288,MATCH($A114,Prospectos!$A$2:$A$288,0)),"")</x:f>
        <x:v>0351 4653272</x:v>
      </x:c>
      <x:c r="H114" s="3" t="str">
        <x:f>IFERROR(INDEX(Prospectos!$M$2:$M$288,MATCH($A114,Prospectos!$A$2:$A$288,0)),"")</x:f>
        <x:v>jefe de obra / logística</x:v>
      </x:c>
      <x:c r="I114" s="3" t="str">
        <x:f>IFERROR(INDEX(Prospectos!$N$2:$N$288,MATCH($A114,Prospectos!$A$2:$A$288,0)),"")</x:f>
        <x:v>Traslado de maquinaria, módulos de obrador, estructuras, equipos y cargas pesadas entre frentes.</x:v>
      </x:c>
      <x:c r="J114" s="3" t="str">
        <x:f>IFERROR(INDEX(Prospectos!$AJ$2:$AJ$288,MATCH($A114,Prospectos!$A$2:$A$288,0)),"")</x:f>
        <x:v>Alta</x:v>
      </x:c>
      <x:c r="K114" s="179"/>
      <x:c r="L114" s="3"/>
      <x:c r="M114" s="137"/>
      <x:c r="N114" s="158"/>
    </x:row>
    <x:row r="115" ht="34" customHeight="1">
      <x:c r="A115" s="183" t="str">
        <x:v>CBA-003</x:v>
      </x:c>
      <x:c r="B115" s="183" t="str">
        <x:f>IFERROR(INDEX(Prospectos!$F$2:$F$288,MATCH($A115,Prospectos!$A$2:$A$288,0)),"")</x:f>
        <x:v>B</x:v>
      </x:c>
      <x:c r="C115" s="183" t="str">
        <x:f>IFERROR(INDEX(Prospectos!$H$2:$H$288,MATCH($A115,Prospectos!$A$2:$A$288,0)),"")</x:f>
        <x:v>CABIAL Empresa Constructora</x:v>
      </x:c>
      <x:c r="D115" s="183" t="str">
        <x:f>IFERROR(INDEX(Prospectos!$J$2:$J$288,MATCH($A115,Prospectos!$A$2:$A$288,0)),"")</x:f>
        <x:v>Construcción y obra vial</x:v>
      </x:c>
      <x:c r="E115" s="183" t="str">
        <x:f>IFERROR(INDEX(Prospectos!$C$2:$C$288,MATCH($A115,Prospectos!$A$2:$A$288,0)),"")</x:f>
        <x:v>Córdoba / RN36 norte</x:v>
      </x:c>
      <x:c r="F115" s="183" t="str">
        <x:f>IFERROR(INDEX(Prospectos!$E$2:$E$288,MATCH($A115,Prospectos!$A$2:$A$288,0)),"")</x:f>
        <x:v>Córdoba capital</x:v>
      </x:c>
      <x:c r="G115" s="183" t="str">
        <x:f>IFERROR(INDEX(Prospectos!$K$2:$K$288,MATCH($A115,Prospectos!$A$2:$A$288,0)),"")</x:f>
        <x:v>0351 4822855 / 0351 4658599</x:v>
      </x:c>
      <x:c r="H115" s="183" t="str">
        <x:f>IFERROR(INDEX(Prospectos!$M$2:$M$288,MATCH($A115,Prospectos!$A$2:$A$288,0)),"")</x:f>
        <x:v>jefe de obra / logística</x:v>
      </x:c>
      <x:c r="I115" s="183" t="str">
        <x:f>IFERROR(INDEX(Prospectos!$N$2:$N$288,MATCH($A115,Prospectos!$A$2:$A$288,0)),"")</x:f>
        <x:v>Traslado de maquinaria, módulos de obrador, estructuras, equipos y cargas pesadas entre frentes.</x:v>
      </x:c>
      <x:c r="J115" s="183" t="str">
        <x:f>IFERROR(INDEX(Prospectos!$AJ$2:$AJ$288,MATCH($A115,Prospectos!$A$2:$A$288,0)),"")</x:f>
        <x:v>Alta</x:v>
      </x:c>
      <x:c r="K115" s="179"/>
      <x:c r="L115" s="5"/>
      <x:c r="M115" s="135"/>
      <x:c r="N115" s="158"/>
    </x:row>
    <x:row r="116" ht="34" customHeight="1">
      <x:c r="A116" s="3" t="str">
        <x:v>CBA-004</x:v>
      </x:c>
      <x:c r="B116" s="3" t="str">
        <x:f>IFERROR(INDEX(Prospectos!$F$2:$F$288,MATCH($A116,Prospectos!$A$2:$A$288,0)),"")</x:f>
        <x:v>B</x:v>
      </x:c>
      <x:c r="C116" s="3" t="str">
        <x:f>IFERROR(INDEX(Prospectos!$H$2:$H$288,MATCH($A116,Prospectos!$A$2:$A$288,0)),"")</x:f>
        <x:v>IngaV Constructora</x:v>
      </x:c>
      <x:c r="D116" s="3" t="str">
        <x:f>IFERROR(INDEX(Prospectos!$J$2:$J$288,MATCH($A116,Prospectos!$A$2:$A$288,0)),"")</x:f>
        <x:v>Construcción y obra vial</x:v>
      </x:c>
      <x:c r="E116" s="3" t="str">
        <x:f>IFERROR(INDEX(Prospectos!$C$2:$C$288,MATCH($A116,Prospectos!$A$2:$A$288,0)),"")</x:f>
        <x:v>Córdoba / RN36 norte</x:v>
      </x:c>
      <x:c r="F116" s="3" t="str">
        <x:f>IFERROR(INDEX(Prospectos!$E$2:$E$288,MATCH($A116,Prospectos!$A$2:$A$288,0)),"")</x:f>
        <x:v>Córdoba capital</x:v>
      </x:c>
      <x:c r="G116" s="3" t="str">
        <x:f>IFERROR(INDEX(Prospectos!$K$2:$K$288,MATCH($A116,Prospectos!$A$2:$A$288,0)),"")</x:f>
        <x:v>0351 5890684 / 0351 5579222 (verificar)</x:v>
      </x:c>
      <x:c r="H116" s="3" t="str">
        <x:f>IFERROR(INDEX(Prospectos!$M$2:$M$288,MATCH($A116,Prospectos!$A$2:$A$288,0)),"")</x:f>
        <x:v>jefe de obra / logística</x:v>
      </x:c>
      <x:c r="I116" s="3" t="str">
        <x:f>IFERROR(INDEX(Prospectos!$N$2:$N$288,MATCH($A116,Prospectos!$A$2:$A$288,0)),"")</x:f>
        <x:v>Traslado de maquinaria, módulos de obrador, estructuras, equipos y cargas pesadas entre frentes.</x:v>
      </x:c>
      <x:c r="J116" s="3" t="str">
        <x:f>IFERROR(INDEX(Prospectos!$AJ$2:$AJ$288,MATCH($A116,Prospectos!$A$2:$A$288,0)),"")</x:f>
        <x:v>Media</x:v>
      </x:c>
      <x:c r="K116" s="179"/>
      <x:c r="L116" s="3"/>
      <x:c r="M116" s="137"/>
      <x:c r="N116" s="158"/>
    </x:row>
    <x:row r="117" ht="34" customHeight="1">
      <x:c r="A117" s="183" t="str">
        <x:v>CBA-005</x:v>
      </x:c>
      <x:c r="B117" s="183" t="str">
        <x:f>IFERROR(INDEX(Prospectos!$F$2:$F$288,MATCH($A117,Prospectos!$A$2:$A$288,0)),"")</x:f>
        <x:v>A</x:v>
      </x:c>
      <x:c r="C117" s="183" t="str">
        <x:f>IFERROR(INDEX(Prospectos!$H$2:$H$288,MATCH($A117,Prospectos!$A$2:$A$288,0)),"")</x:f>
        <x:v>AG GROUP Industria</x:v>
      </x:c>
      <x:c r="D117" s="183" t="str">
        <x:f>IFERROR(INDEX(Prospectos!$J$2:$J$288,MATCH($A117,Prospectos!$A$2:$A$288,0)),"")</x:f>
        <x:v>Módulos y contenedores</x:v>
      </x:c>
      <x:c r="E117" s="183" t="str">
        <x:f>IFERROR(INDEX(Prospectos!$C$2:$C$288,MATCH($A117,Prospectos!$A$2:$A$288,0)),"")</x:f>
        <x:v>Córdoba / RN36 norte</x:v>
      </x:c>
      <x:c r="F117" s="183" t="str">
        <x:f>IFERROR(INDEX(Prospectos!$E$2:$E$288,MATCH($A117,Prospectos!$A$2:$A$288,0)),"")</x:f>
        <x:v>Córdoba capital zona sur</x:v>
      </x:c>
      <x:c r="G117" s="183" t="str">
        <x:f>IFERROR(INDEX(Prospectos!$K$2:$K$288,MATCH($A117,Prospectos!$A$2:$A$288,0)),"")</x:f>
        <x:v>3525 513210</x:v>
      </x:c>
      <x:c r="H117" s="183" t="str">
        <x:f>IFERROR(INDEX(Prospectos!$M$2:$M$288,MATCH($A117,Prospectos!$A$2:$A$288,0)),"")</x:f>
        <x:v>operaciones / entregas</x:v>
      </x:c>
      <x:c r="I117" s="183" t="str">
        <x:f>IFERROR(INDEX(Prospectos!$N$2:$N$288,MATCH($A117,Prospectos!$A$2:$A$288,0)),"")</x:f>
        <x:v>Entrega, descarga y posicionamiento de módulos/containers en obra o cliente final.</x:v>
      </x:c>
      <x:c r="J117" s="183" t="str">
        <x:f>IFERROR(INDEX(Prospectos!$AJ$2:$AJ$288,MATCH($A117,Prospectos!$A$2:$A$288,0)),"")</x:f>
        <x:v>Muy alta</x:v>
      </x:c>
      <x:c r="K117" s="179"/>
      <x:c r="L117" s="5"/>
      <x:c r="M117" s="135"/>
      <x:c r="N117" s="158"/>
    </x:row>
    <x:row r="118" ht="34" customHeight="1">
      <x:c r="A118" s="3" t="str">
        <x:v>CBA-006</x:v>
      </x:c>
      <x:c r="B118" s="3" t="str">
        <x:f>IFERROR(INDEX(Prospectos!$F$2:$F$288,MATCH($A118,Prospectos!$A$2:$A$288,0)),"")</x:f>
        <x:v>A</x:v>
      </x:c>
      <x:c r="C118" s="3" t="str">
        <x:f>IFERROR(INDEX(Prospectos!$H$2:$H$288,MATCH($A118,Prospectos!$A$2:$A$288,0)),"")</x:f>
        <x:v>Canteras Ruiz</x:v>
      </x:c>
      <x:c r="D118" s="3" t="str">
        <x:f>IFERROR(INDEX(Prospectos!$J$2:$J$288,MATCH($A118,Prospectos!$A$2:$A$288,0)),"")</x:f>
        <x:v>Hormigón, áridos y materiales</x:v>
      </x:c>
      <x:c r="E118" s="3" t="str">
        <x:f>IFERROR(INDEX(Prospectos!$C$2:$C$288,MATCH($A118,Prospectos!$A$2:$A$288,0)),"")</x:f>
        <x:v>Córdoba / RN36 norte</x:v>
      </x:c>
      <x:c r="F118" s="3" t="str">
        <x:f>IFERROR(INDEX(Prospectos!$E$2:$E$288,MATCH($A118,Prospectos!$A$2:$A$288,0)),"")</x:f>
        <x:v>Córdoba capital zona sur</x:v>
      </x:c>
      <x:c r="G118" s="3" t="str">
        <x:f>IFERROR(INDEX(Prospectos!$K$2:$K$288,MATCH($A118,Prospectos!$A$2:$A$288,0)),"")</x:f>
        <x:v>0351 5570618 / 0351 4524228 / 0351 155508346</x:v>
      </x:c>
      <x:c r="H118" s="3" t="str">
        <x:f>IFERROR(INDEX(Prospectos!$M$2:$M$288,MATCH($A118,Prospectos!$A$2:$A$288,0)),"")</x:f>
        <x:v>planta / mantenimiento</x:v>
      </x:c>
      <x:c r="I118" s="3" t="str">
        <x:f>IFERROR(INDEX(Prospectos!$N$2:$N$288,MATCH($A118,Prospectos!$A$2:$A$288,0)),"")</x:f>
        <x:v>Movimiento de premoldeados, equipos de planta/cantera, bombas, moldes y cargas pesadas.</x:v>
      </x:c>
      <x:c r="J118" s="3" t="str">
        <x:f>IFERROR(INDEX(Prospectos!$AJ$2:$AJ$288,MATCH($A118,Prospectos!$A$2:$A$288,0)),"")</x:f>
        <x:v>Muy alta</x:v>
      </x:c>
      <x:c r="K118" s="179"/>
      <x:c r="L118" s="3"/>
      <x:c r="M118" s="137"/>
      <x:c r="N118" s="158"/>
    </x:row>
    <x:row r="119" ht="34" customHeight="1">
      <x:c r="A119" s="183" t="str">
        <x:v>CBA-007</x:v>
      </x:c>
      <x:c r="B119" s="183" t="str">
        <x:f>IFERROR(INDEX(Prospectos!$F$2:$F$288,MATCH($A119,Prospectos!$A$2:$A$288,0)),"")</x:f>
        <x:v>A</x:v>
      </x:c>
      <x:c r="C119" s="183" t="str">
        <x:f>IFERROR(INDEX(Prospectos!$H$2:$H$288,MATCH($A119,Prospectos!$A$2:$A$288,0)),"")</x:f>
        <x:v>Corralón Mis Ladrillos</x:v>
      </x:c>
      <x:c r="D119" s="183" t="str">
        <x:f>IFERROR(INDEX(Prospectos!$J$2:$J$288,MATCH($A119,Prospectos!$A$2:$A$288,0)),"")</x:f>
        <x:v>Hormigón, áridos y materiales</x:v>
      </x:c>
      <x:c r="E119" s="183" t="str">
        <x:f>IFERROR(INDEX(Prospectos!$C$2:$C$288,MATCH($A119,Prospectos!$A$2:$A$288,0)),"")</x:f>
        <x:v>Córdoba / RN36 norte</x:v>
      </x:c>
      <x:c r="F119" s="183" t="str">
        <x:f>IFERROR(INDEX(Prospectos!$E$2:$E$288,MATCH($A119,Prospectos!$A$2:$A$288,0)),"")</x:f>
        <x:v>Córdoba capital zona sur</x:v>
      </x:c>
      <x:c r="G119" s="183" t="str">
        <x:f>IFERROR(INDEX(Prospectos!$K$2:$K$288,MATCH($A119,Prospectos!$A$2:$A$288,0)),"")</x:f>
        <x:v>0351 3705858</x:v>
      </x:c>
      <x:c r="H119" s="183" t="str">
        <x:f>IFERROR(INDEX(Prospectos!$M$2:$M$288,MATCH($A119,Prospectos!$A$2:$A$288,0)),"")</x:f>
        <x:v>responsable de logística/compras</x:v>
      </x:c>
      <x:c r="I119" s="183" t="str">
        <x:f>IFERROR(INDEX(Prospectos!$N$2:$N$288,MATCH($A119,Prospectos!$A$2:$A$288,0)),"")</x:f>
        <x:v>Movimiento de premoldeados, equipos de planta/cantera, bombas, moldes y cargas pesadas.</x:v>
      </x:c>
      <x:c r="J119" s="183" t="str">
        <x:f>IFERROR(INDEX(Prospectos!$AJ$2:$AJ$288,MATCH($A119,Prospectos!$A$2:$A$288,0)),"")</x:f>
        <x:v>Muy alta</x:v>
      </x:c>
      <x:c r="K119" s="179"/>
      <x:c r="L119" s="5"/>
      <x:c r="M119" s="135"/>
      <x:c r="N119" s="158"/>
    </x:row>
    <x:row r="120" ht="34" customHeight="1">
      <x:c r="A120" s="3" t="str">
        <x:v>CBA-008</x:v>
      </x:c>
      <x:c r="B120" s="3" t="str">
        <x:f>IFERROR(INDEX(Prospectos!$F$2:$F$288,MATCH($A120,Prospectos!$A$2:$A$288,0)),"")</x:f>
        <x:v>A</x:v>
      </x:c>
      <x:c r="C120" s="3" t="str">
        <x:f>IFERROR(INDEX(Prospectos!$H$2:$H$288,MATCH($A120,Prospectos!$A$2:$A$288,0)),"")</x:f>
        <x:v>Hormi Block S.A.</x:v>
      </x:c>
      <x:c r="D120" s="3" t="str">
        <x:f>IFERROR(INDEX(Prospectos!$J$2:$J$288,MATCH($A120,Prospectos!$A$2:$A$288,0)),"")</x:f>
        <x:v>Hormigón, áridos y materiales</x:v>
      </x:c>
      <x:c r="E120" s="3" t="str">
        <x:f>IFERROR(INDEX(Prospectos!$C$2:$C$288,MATCH($A120,Prospectos!$A$2:$A$288,0)),"")</x:f>
        <x:v>Córdoba / RN36 norte</x:v>
      </x:c>
      <x:c r="F120" s="3" t="str">
        <x:f>IFERROR(INDEX(Prospectos!$E$2:$E$288,MATCH($A120,Prospectos!$A$2:$A$288,0)),"")</x:f>
        <x:v>Córdoba capital zona sur</x:v>
      </x:c>
      <x:c r="G120" s="3" t="str">
        <x:f>IFERROR(INDEX(Prospectos!$K$2:$K$288,MATCH($A120,Prospectos!$A$2:$A$288,0)),"")</x:f>
        <x:v>0351 4939510 / 0351 4945800</x:v>
      </x:c>
      <x:c r="H120" s="3" t="str">
        <x:f>IFERROR(INDEX(Prospectos!$M$2:$M$288,MATCH($A120,Prospectos!$A$2:$A$288,0)),"")</x:f>
        <x:v>operaciones / planta</x:v>
      </x:c>
      <x:c r="I120" s="3" t="str">
        <x:f>IFERROR(INDEX(Prospectos!$N$2:$N$288,MATCH($A120,Prospectos!$A$2:$A$288,0)),"")</x:f>
        <x:v>Movimiento de premoldeados, equipos de planta/cantera, bombas, moldes y cargas pesadas.</x:v>
      </x:c>
      <x:c r="J120" s="3" t="str">
        <x:f>IFERROR(INDEX(Prospectos!$AJ$2:$AJ$288,MATCH($A120,Prospectos!$A$2:$A$288,0)),"")</x:f>
        <x:v>Muy alta</x:v>
      </x:c>
      <x:c r="K120" s="179"/>
      <x:c r="L120" s="3"/>
      <x:c r="M120" s="137"/>
      <x:c r="N120" s="158"/>
    </x:row>
    <x:row r="121" ht="34" customHeight="1">
      <x:c r="A121" s="183" t="str">
        <x:v>CBA-009</x:v>
      </x:c>
      <x:c r="B121" s="183" t="str">
        <x:f>IFERROR(INDEX(Prospectos!$F$2:$F$288,MATCH($A121,Prospectos!$A$2:$A$288,0)),"")</x:f>
        <x:v>A</x:v>
      </x:c>
      <x:c r="C121" s="183" t="str">
        <x:f>IFERROR(INDEX(Prospectos!$H$2:$H$288,MATCH($A121,Prospectos!$A$2:$A$288,0)),"")</x:f>
        <x:v>Lucy’s House / Rental</x:v>
      </x:c>
      <x:c r="D121" s="183" t="str">
        <x:f>IFERROR(INDEX(Prospectos!$J$2:$J$288,MATCH($A121,Prospectos!$A$2:$A$288,0)),"")</x:f>
        <x:v>Módulos y contenedores</x:v>
      </x:c>
      <x:c r="E121" s="183" t="str">
        <x:f>IFERROR(INDEX(Prospectos!$C$2:$C$288,MATCH($A121,Prospectos!$A$2:$A$288,0)),"")</x:f>
        <x:v>Córdoba / RN36 norte</x:v>
      </x:c>
      <x:c r="F121" s="183" t="str">
        <x:f>IFERROR(INDEX(Prospectos!$E$2:$E$288,MATCH($A121,Prospectos!$A$2:$A$288,0)),"")</x:f>
        <x:v>Córdoba capital zona sur</x:v>
      </x:c>
      <x:c r="G121" s="183" t="str">
        <x:f>IFERROR(INDEX(Prospectos!$K$2:$K$288,MATCH($A121,Prospectos!$A$2:$A$288,0)),"")</x:f>
        <x:v>0351 2077113</x:v>
      </x:c>
      <x:c r="H121" s="183" t="str">
        <x:f>IFERROR(INDEX(Prospectos!$M$2:$M$288,MATCH($A121,Prospectos!$A$2:$A$288,0)),"")</x:f>
        <x:v>operaciones / entregas</x:v>
      </x:c>
      <x:c r="I121" s="183" t="str">
        <x:f>IFERROR(INDEX(Prospectos!$N$2:$N$288,MATCH($A121,Prospectos!$A$2:$A$288,0)),"")</x:f>
        <x:v>Entrega, descarga y posicionamiento de módulos/containers en obra o cliente final.</x:v>
      </x:c>
      <x:c r="J121" s="183" t="str">
        <x:f>IFERROR(INDEX(Prospectos!$AJ$2:$AJ$288,MATCH($A121,Prospectos!$A$2:$A$288,0)),"")</x:f>
        <x:v>Muy alta</x:v>
      </x:c>
      <x:c r="K121" s="179"/>
      <x:c r="L121" s="5"/>
      <x:c r="M121" s="135"/>
      <x:c r="N121" s="158"/>
    </x:row>
    <x:row r="122" ht="34" customHeight="1">
      <x:c r="A122" s="6" t="str">
        <x:v>CBA-010</x:v>
      </x:c>
      <x:c r="B122" s="6" t="str">
        <x:f>IFERROR(INDEX(Prospectos!$F$2:$F$288,MATCH($A122,Prospectos!$A$2:$A$288,0)),"")</x:f>
        <x:v>A</x:v>
      </x:c>
      <x:c r="C122" s="6" t="str">
        <x:f>IFERROR(INDEX(Prospectos!$H$2:$H$288,MATCH($A122,Prospectos!$A$2:$A$288,0)),"")</x:f>
        <x:v>MegaContainers</x:v>
      </x:c>
      <x:c r="D122" s="6" t="str">
        <x:f>IFERROR(INDEX(Prospectos!$J$2:$J$288,MATCH($A122,Prospectos!$A$2:$A$288,0)),"")</x:f>
        <x:v>Módulos y contenedores</x:v>
      </x:c>
      <x:c r="E122" s="6" t="str">
        <x:f>IFERROR(INDEX(Prospectos!$C$2:$C$288,MATCH($A122,Prospectos!$A$2:$A$288,0)),"")</x:f>
        <x:v>Córdoba / RN36 norte</x:v>
      </x:c>
      <x:c r="F122" s="6" t="str">
        <x:f>IFERROR(INDEX(Prospectos!$E$2:$E$288,MATCH($A122,Prospectos!$A$2:$A$288,0)),"")</x:f>
        <x:v>Córdoba capital zona sur</x:v>
      </x:c>
      <x:c r="G122" s="6" t="str">
        <x:f>IFERROR(INDEX(Prospectos!$K$2:$K$288,MATCH($A122,Prospectos!$A$2:$A$288,0)),"")</x:f>
        <x:v>0351 5179179</x:v>
      </x:c>
      <x:c r="H122" s="6" t="str">
        <x:f>IFERROR(INDEX(Prospectos!$M$2:$M$288,MATCH($A122,Prospectos!$A$2:$A$288,0)),"")</x:f>
        <x:v>operaciones / entregas</x:v>
      </x:c>
      <x:c r="I122" s="6" t="str">
        <x:f>IFERROR(INDEX(Prospectos!$N$2:$N$288,MATCH($A122,Prospectos!$A$2:$A$288,0)),"")</x:f>
        <x:v>Entrega, descarga y posicionamiento de módulos/containers en obra o cliente final.</x:v>
      </x:c>
      <x:c r="J122" s="6" t="str">
        <x:f>IFERROR(INDEX(Prospectos!$AJ$2:$AJ$288,MATCH($A122,Prospectos!$A$2:$A$288,0)),"")</x:f>
        <x:v>Muy alta</x:v>
      </x:c>
      <x:c r="K122" s="180"/>
      <x:c r="L122" s="6"/>
      <x:c r="M122" s="137"/>
      <x:c r="N122" s="158"/>
    </x:row>
    <x:row r="123" ht="34" customHeight="1">
      <x:c r="A123" s="183" t="str">
        <x:v>CBA-011</x:v>
      </x:c>
      <x:c r="B123" s="183" t="str">
        <x:f>IFERROR(INDEX(Prospectos!$F$2:$F$288,MATCH($A123,Prospectos!$A$2:$A$288,0)),"")</x:f>
        <x:v>B</x:v>
      </x:c>
      <x:c r="C123" s="183" t="str">
        <x:f>IFERROR(INDEX(Prospectos!$H$2:$H$288,MATCH($A123,Prospectos!$A$2:$A$288,0)),"")</x:f>
        <x:v>Porta Hnos.</x:v>
      </x:c>
      <x:c r="D123" s="183" t="str">
        <x:f>IFERROR(INDEX(Prospectos!$J$2:$J$288,MATCH($A123,Prospectos!$A$2:$A$288,0)),"")</x:f>
        <x:v>Agroindustria y alimentos</x:v>
      </x:c>
      <x:c r="E123" s="183" t="str">
        <x:f>IFERROR(INDEX(Prospectos!$C$2:$C$288,MATCH($A123,Prospectos!$A$2:$A$288,0)),"")</x:f>
        <x:v>Córdoba / RN36 norte</x:v>
      </x:c>
      <x:c r="F123" s="183" t="str">
        <x:f>IFERROR(INDEX(Prospectos!$E$2:$E$288,MATCH($A123,Prospectos!$A$2:$A$288,0)),"")</x:f>
        <x:v>Córdoba capital zona sur</x:v>
      </x:c>
      <x:c r="G123" s="183" t="str">
        <x:f>IFERROR(INDEX(Prospectos!$K$2:$K$288,MATCH($A123,Prospectos!$A$2:$A$288,0)),"")</x:f>
        <x:v>0351 4938400</x:v>
      </x:c>
      <x:c r="H123" s="183" t="str">
        <x:f>IFERROR(INDEX(Prospectos!$M$2:$M$288,MATCH($A123,Prospectos!$A$2:$A$288,0)),"")</x:f>
        <x:v>mantenimiento / compras</x:v>
      </x:c>
      <x:c r="I123" s="183" t="str">
        <x:f>IFERROR(INDEX(Prospectos!$N$2:$N$288,MATCH($A123,Prospectos!$A$2:$A$288,0)),"")</x:f>
        <x:v>Movimientos especiales de mantenimiento, repuestos pesados y mudanzas internas de equipos.</x:v>
      </x:c>
      <x:c r="J123" s="183" t="str">
        <x:f>IFERROR(INDEX(Prospectos!$AJ$2:$AJ$288,MATCH($A123,Prospectos!$A$2:$A$288,0)),"")</x:f>
        <x:v>Alta</x:v>
      </x:c>
      <x:c r="K123" s="179"/>
      <x:c r="L123" s="5"/>
      <x:c r="M123" s="135"/>
      <x:c r="N123" s="158"/>
    </x:row>
    <x:row r="124" ht="34" customHeight="1">
      <x:c r="A124" s="3" t="str">
        <x:v>CBA-012</x:v>
      </x:c>
      <x:c r="B124" s="3" t="str">
        <x:f>IFERROR(INDEX(Prospectos!$F$2:$F$288,MATCH($A124,Prospectos!$A$2:$A$288,0)),"")</x:f>
        <x:v>B</x:v>
      </x:c>
      <x:c r="C124" s="3" t="str">
        <x:f>IFERROR(INDEX(Prospectos!$H$2:$H$288,MATCH($A124,Prospectos!$A$2:$A$288,0)),"")</x:f>
        <x:v>Bendito Corralón Mayorista</x:v>
      </x:c>
      <x:c r="D124" s="3" t="str">
        <x:f>IFERROR(INDEX(Prospectos!$J$2:$J$288,MATCH($A124,Prospectos!$A$2:$A$288,0)),"")</x:f>
        <x:v>Hormigón, áridos y materiales</x:v>
      </x:c>
      <x:c r="E124" s="3" t="str">
        <x:f>IFERROR(INDEX(Prospectos!$C$2:$C$288,MATCH($A124,Prospectos!$A$2:$A$288,0)),"")</x:f>
        <x:v>Córdoba / RN36 norte</x:v>
      </x:c>
      <x:c r="F124" s="3" t="str">
        <x:f>IFERROR(INDEX(Prospectos!$E$2:$E$288,MATCH($A124,Prospectos!$A$2:$A$288,0)),"")</x:f>
        <x:v>Córdoba capital zona sur</x:v>
      </x:c>
      <x:c r="G124" s="3" t="str">
        <x:f>IFERROR(INDEX(Prospectos!$K$2:$K$288,MATCH($A124,Prospectos!$A$2:$A$288,0)),"")</x:f>
        <x:v>0351 8741592 (a confirmar)</x:v>
      </x:c>
      <x:c r="H124" s="3" t="str">
        <x:f>IFERROR(INDEX(Prospectos!$M$2:$M$288,MATCH($A124,Prospectos!$A$2:$A$288,0)),"")</x:f>
        <x:v>responsable de logística/compras</x:v>
      </x:c>
      <x:c r="I124" s="3" t="str">
        <x:f>IFERROR(INDEX(Prospectos!$N$2:$N$288,MATCH($A124,Prospectos!$A$2:$A$288,0)),"")</x:f>
        <x:v>Movimiento de premoldeados, equipos de planta/cantera, bombas, moldes y cargas pesadas.</x:v>
      </x:c>
      <x:c r="J124" s="3" t="str">
        <x:f>IFERROR(INDEX(Prospectos!$AJ$2:$AJ$288,MATCH($A124,Prospectos!$A$2:$A$288,0)),"")</x:f>
        <x:v>Media</x:v>
      </x:c>
      <x:c r="K124" s="179"/>
      <x:c r="L124" s="3"/>
      <x:c r="M124" s="137"/>
      <x:c r="N124" s="158"/>
    </x:row>
    <x:row r="125" ht="34" customHeight="1">
      <x:c r="A125" s="183" t="str">
        <x:v>CBA-013</x:v>
      </x:c>
      <x:c r="B125" s="183" t="str">
        <x:f>IFERROR(INDEX(Prospectos!$F$2:$F$288,MATCH($A125,Prospectos!$A$2:$A$288,0)),"")</x:f>
        <x:v>B</x:v>
      </x:c>
      <x:c r="C125" s="183" t="str">
        <x:f>IFERROR(INDEX(Prospectos!$H$2:$H$288,MATCH($A125,Prospectos!$A$2:$A$288,0)),"")</x:f>
        <x:v>Canteras Terra</x:v>
      </x:c>
      <x:c r="D125" s="183" t="str">
        <x:f>IFERROR(INDEX(Prospectos!$J$2:$J$288,MATCH($A125,Prospectos!$A$2:$A$288,0)),"")</x:f>
        <x:v>Hormigón, áridos y materiales</x:v>
      </x:c>
      <x:c r="E125" s="183" t="str">
        <x:f>IFERROR(INDEX(Prospectos!$C$2:$C$288,MATCH($A125,Prospectos!$A$2:$A$288,0)),"")</x:f>
        <x:v>Córdoba / RN36 norte</x:v>
      </x:c>
      <x:c r="F125" s="183" t="str">
        <x:f>IFERROR(INDEX(Prospectos!$E$2:$E$288,MATCH($A125,Prospectos!$A$2:$A$288,0)),"")</x:f>
        <x:v>Córdoba capital zona sur</x:v>
      </x:c>
      <x:c r="G125" s="183" t="str">
        <x:f>IFERROR(INDEX(Prospectos!$K$2:$K$288,MATCH($A125,Prospectos!$A$2:$A$288,0)),"")</x:f>
        <x:v>A relevar</x:v>
      </x:c>
      <x:c r="H125" s="183" t="str">
        <x:f>IFERROR(INDEX(Prospectos!$M$2:$M$288,MATCH($A125,Prospectos!$A$2:$A$288,0)),"")</x:f>
        <x:v>planta / mantenimiento</x:v>
      </x:c>
      <x:c r="I125" s="183" t="str">
        <x:f>IFERROR(INDEX(Prospectos!$N$2:$N$288,MATCH($A125,Prospectos!$A$2:$A$288,0)),"")</x:f>
        <x:v>Movimiento de premoldeados, equipos de planta/cantera, bombas, moldes y cargas pesadas.</x:v>
      </x:c>
      <x:c r="J125" s="183" t="str">
        <x:f>IFERROR(INDEX(Prospectos!$AJ$2:$AJ$288,MATCH($A125,Prospectos!$A$2:$A$288,0)),"")</x:f>
        <x:v>Media</x:v>
      </x:c>
      <x:c r="K125" s="179"/>
      <x:c r="L125" s="5"/>
      <x:c r="M125" s="135"/>
      <x:c r="N125" s="158"/>
    </x:row>
    <x:row r="126" ht="34" customHeight="1">
      <x:c r="A126" s="3" t="str">
        <x:v>DES-001</x:v>
      </x:c>
      <x:c r="B126" s="3" t="str">
        <x:f>IFERROR(INDEX(Prospectos!$F$2:$F$288,MATCH($A126,Prospectos!$A$2:$A$288,0)),"")</x:f>
        <x:v>A</x:v>
      </x:c>
      <x:c r="C126" s="3" t="str">
        <x:f>IFERROR(INDEX(Prospectos!$H$2:$H$288,MATCH($A126,Prospectos!$A$2:$A$288,0)),"")</x:f>
        <x:v>AS Premoldeados</x:v>
      </x:c>
      <x:c r="D126" s="3" t="str">
        <x:f>IFERROR(INDEX(Prospectos!$J$2:$J$288,MATCH($A126,Prospectos!$A$2:$A$288,0)),"")</x:f>
        <x:v>Hormigón, áridos y materiales</x:v>
      </x:c>
      <x:c r="E126" s="3" t="str">
        <x:f>IFERROR(INDEX(Prospectos!$C$2:$C$288,MATCH($A126,Prospectos!$A$2:$A$288,0)),"")</x:f>
        <x:v>Córdoba / RN36 norte</x:v>
      </x:c>
      <x:c r="F126" s="3" t="str">
        <x:f>IFERROR(INDEX(Prospectos!$E$2:$E$288,MATCH($A126,Prospectos!$A$2:$A$288,0)),"")</x:f>
        <x:v>Despeñaderos</x:v>
      </x:c>
      <x:c r="G126" s="3" t="str">
        <x:f>IFERROR(INDEX(Prospectos!$K$2:$K$288,MATCH($A126,Prospectos!$A$2:$A$288,0)),"")</x:f>
        <x:v>3547 675513</x:v>
      </x:c>
      <x:c r="H126" s="3" t="str">
        <x:f>IFERROR(INDEX(Prospectos!$M$2:$M$288,MATCH($A126,Prospectos!$A$2:$A$288,0)),"")</x:f>
        <x:v>despacho / colocación</x:v>
      </x:c>
      <x:c r="I126" s="3" t="str">
        <x:f>IFERROR(INDEX(Prospectos!$N$2:$N$288,MATCH($A126,Prospectos!$A$2:$A$288,0)),"")</x:f>
        <x:v>Movimiento de premoldeados, equipos de planta/cantera, bombas, moldes y cargas pesadas.</x:v>
      </x:c>
      <x:c r="J126" s="3" t="str">
        <x:f>IFERROR(INDEX(Prospectos!$AJ$2:$AJ$288,MATCH($A126,Prospectos!$A$2:$A$288,0)),"")</x:f>
        <x:v>Muy alta</x:v>
      </x:c>
      <x:c r="K126" s="179"/>
      <x:c r="L126" s="3"/>
      <x:c r="M126" s="137"/>
      <x:c r="N126" s="158"/>
    </x:row>
    <x:row r="127" ht="34" customHeight="1">
      <x:c r="A127" s="185" t="str">
        <x:v>DES-004</x:v>
      </x:c>
      <x:c r="B127" s="185" t="str">
        <x:f>IFERROR(INDEX(Prospectos!$F$2:$F$288,MATCH($A127,Prospectos!$A$2:$A$288,0)),"")</x:f>
        <x:v>A</x:v>
      </x:c>
      <x:c r="C127" s="185" t="str">
        <x:f>IFERROR(INDEX(Prospectos!$H$2:$H$288,MATCH($A127,Prospectos!$A$2:$A$288,0)),"")</x:f>
        <x:v>Servicios Agropecuarios S.R.L. — Despeñaderos</x:v>
      </x:c>
      <x:c r="D127" s="185" t="str">
        <x:f>IFERROR(INDEX(Prospectos!$J$2:$J$288,MATCH($A127,Prospectos!$A$2:$A$288,0)),"")</x:f>
        <x:v>Maquinaria agrícola</x:v>
      </x:c>
      <x:c r="E127" s="185" t="str">
        <x:f>IFERROR(INDEX(Prospectos!$C$2:$C$288,MATCH($A127,Prospectos!$A$2:$A$288,0)),"")</x:f>
        <x:v>Córdoba / RN36 norte</x:v>
      </x:c>
      <x:c r="F127" s="185" t="str">
        <x:f>IFERROR(INDEX(Prospectos!$E$2:$E$288,MATCH($A127,Prospectos!$A$2:$A$288,0)),"")</x:f>
        <x:v>Despeñaderos</x:v>
      </x:c>
      <x:c r="G127" s="185" t="str">
        <x:f>IFERROR(INDEX(Prospectos!$K$2:$K$288,MATCH($A127,Prospectos!$A$2:$A$288,0)),"")</x:f>
        <x:v>03547 492114 / 03547 492193</x:v>
      </x:c>
      <x:c r="H127" s="185" t="str">
        <x:f>IFERROR(INDEX(Prospectos!$M$2:$M$288,MATCH($A127,Prospectos!$A$2:$A$288,0)),"")</x:f>
        <x:v>logística / ventas / postventa</x:v>
      </x:c>
      <x:c r="I127" s="185" t="str">
        <x:f>IFERROR(INDEX(Prospectos!$N$2:$N$288,MATCH($A127,Prospectos!$A$2:$A$288,0)),"")</x:f>
        <x:v>Entrega y retiro de tractores, cosechadoras, pulverizadoras, sembradoras e implementos; movimientos por venta, service, canje, demostraciones o ferias.</x:v>
      </x:c>
      <x:c r="J127" s="185" t="str">
        <x:f>IFERROR(INDEX(Prospectos!$AJ$2:$AJ$288,MATCH($A127,Prospectos!$A$2:$A$288,0)),"")</x:f>
        <x:v>Alta</x:v>
      </x:c>
      <x:c r="K127" s="180"/>
      <x:c r="L127" s="9"/>
      <x:c r="M127" s="135"/>
      <x:c r="N127" s="158"/>
    </x:row>
    <x:row r="128" ht="34" customHeight="1">
      <x:c r="A128" s="3" t="str">
        <x:v>DES-002</x:v>
      </x:c>
      <x:c r="B128" s="3" t="str">
        <x:f>IFERROR(INDEX(Prospectos!$F$2:$F$288,MATCH($A128,Prospectos!$A$2:$A$288,0)),"")</x:f>
        <x:v>B</x:v>
      </x:c>
      <x:c r="C128" s="3" t="str">
        <x:f>IFERROR(INDEX(Prospectos!$H$2:$H$288,MATCH($A128,Prospectos!$A$2:$A$288,0)),"")</x:f>
        <x:v>Metal-Ferr</x:v>
      </x:c>
      <x:c r="D128" s="3" t="str">
        <x:f>IFERROR(INDEX(Prospectos!$J$2:$J$288,MATCH($A128,Prospectos!$A$2:$A$288,0)),"")</x:f>
        <x:v>Metalúrgica y fabricación</x:v>
      </x:c>
      <x:c r="E128" s="3" t="str">
        <x:f>IFERROR(INDEX(Prospectos!$C$2:$C$288,MATCH($A128,Prospectos!$A$2:$A$288,0)),"")</x:f>
        <x:v>Córdoba / RN36 norte</x:v>
      </x:c>
      <x:c r="F128" s="3" t="str">
        <x:f>IFERROR(INDEX(Prospectos!$E$2:$E$288,MATCH($A128,Prospectos!$A$2:$A$288,0)),"")</x:f>
        <x:v>Despeñaderos</x:v>
      </x:c>
      <x:c r="G128" s="3" t="str">
        <x:f>IFERROR(INDEX(Prospectos!$K$2:$K$288,MATCH($A128,Prospectos!$A$2:$A$288,0)),"")</x:f>
        <x:v>3547 525300 / 3547 492716</x:v>
      </x:c>
      <x:c r="H128" s="3" t="str">
        <x:f>IFERROR(INDEX(Prospectos!$M$2:$M$288,MATCH($A128,Prospectos!$A$2:$A$288,0)),"")</x:f>
        <x:v>responsable de acopio / mantenimiento</x:v>
      </x:c>
      <x:c r="I128" s="3" t="str">
        <x:f>IFERROR(INDEX(Prospectos!$N$2:$N$288,MATCH($A128,Prospectos!$A$2:$A$288,0)),"")</x:f>
        <x:v>Traslado de equipos de planta, silos, repuestos pesados, balanzas, implementos y cargas especiales.</x:v>
      </x:c>
      <x:c r="J128" s="3" t="str">
        <x:f>IFERROR(INDEX(Prospectos!$AJ$2:$AJ$288,MATCH($A128,Prospectos!$A$2:$A$288,0)),"")</x:f>
        <x:v>Alta</x:v>
      </x:c>
      <x:c r="K128" s="179"/>
      <x:c r="L128" s="3"/>
      <x:c r="M128" s="137"/>
      <x:c r="N128" s="158"/>
    </x:row>
    <x:row r="129" ht="34" customHeight="1">
      <x:c r="A129" s="183" t="str">
        <x:v>DES-003</x:v>
      </x:c>
      <x:c r="B129" s="183" t="str">
        <x:f>IFERROR(INDEX(Prospectos!$F$2:$F$288,MATCH($A129,Prospectos!$A$2:$A$288,0)),"")</x:f>
        <x:v>B</x:v>
      </x:c>
      <x:c r="C129" s="183" t="str">
        <x:f>IFERROR(INDEX(Prospectos!$H$2:$H$288,MATCH($A129,Prospectos!$A$2:$A$288,0)),"")</x:f>
        <x:v>Parque Industrial Despeñaderos N°64</x:v>
      </x:c>
      <x:c r="D129" s="183" t="str">
        <x:f>IFERROR(INDEX(Prospectos!$J$2:$J$288,MATCH($A129,Prospectos!$A$2:$A$288,0)),"")</x:f>
        <x:v>Institucional y parques</x:v>
      </x:c>
      <x:c r="E129" s="183" t="str">
        <x:f>IFERROR(INDEX(Prospectos!$C$2:$C$288,MATCH($A129,Prospectos!$A$2:$A$288,0)),"")</x:f>
        <x:v>Córdoba / RN36 norte</x:v>
      </x:c>
      <x:c r="F129" s="183" t="str">
        <x:f>IFERROR(INDEX(Prospectos!$E$2:$E$288,MATCH($A129,Prospectos!$A$2:$A$288,0)),"")</x:f>
        <x:v>Despeñaderos</x:v>
      </x:c>
      <x:c r="G129" s="183" t="str">
        <x:f>IFERROR(INDEX(Prospectos!$K$2:$K$288,MATCH($A129,Prospectos!$A$2:$A$288,0)),"")</x:f>
        <x:v>A relevar vía municipio</x:v>
      </x:c>
      <x:c r="H129" s="183" t="str">
        <x:f>IFERROR(INDEX(Prospectos!$M$2:$M$288,MATCH($A129,Prospectos!$A$2:$A$288,0)),"")</x:f>
        <x:v>despacho / producción</x:v>
      </x:c>
      <x:c r="I129" s="183" t="str">
        <x:f>IFERROR(INDEX(Prospectos!$N$2:$N$288,MATCH($A129,Prospectos!$A$2:$A$288,0)),"")</x:f>
        <x:v>Acceso a padrón de empresas radicadas, obras de infraestructura y derivaciones a responsables.</x:v>
      </x:c>
      <x:c r="J129" s="183" t="str">
        <x:f>IFERROR(INDEX(Prospectos!$AJ$2:$AJ$288,MATCH($A129,Prospectos!$A$2:$A$288,0)),"")</x:f>
        <x:v>Media</x:v>
      </x:c>
      <x:c r="K129" s="179"/>
      <x:c r="L129" s="5"/>
      <x:c r="M129" s="135"/>
      <x:c r="N129" s="158"/>
    </x:row>
    <x:row r="130" ht="34" customHeight="1">
      <x:c r="A130" s="7" t="str">
        <x:v>FER-001</x:v>
      </x:c>
      <x:c r="B130" s="7" t="str">
        <x:f>IFERROR(INDEX(Prospectos!$F$2:$F$288,MATCH($A130,Prospectos!$A$2:$A$288,0)),"")</x:f>
        <x:v>B</x:v>
      </x:c>
      <x:c r="C130" s="7" t="str">
        <x:f>IFERROR(INDEX(Prospectos!$H$2:$H$288,MATCH($A130,Prospectos!$A$2:$A$288,0)),"")</x:f>
        <x:v>Iveco / CNH Ferreyra</x:v>
      </x:c>
      <x:c r="D130" s="7" t="str">
        <x:f>IFERROR(INDEX(Prospectos!$J$2:$J$288,MATCH($A130,Prospectos!$A$2:$A$288,0)),"")</x:f>
        <x:v>Industria y mantenimiento</x:v>
      </x:c>
      <x:c r="E130" s="7" t="str">
        <x:f>IFERROR(INDEX(Prospectos!$C$2:$C$288,MATCH($A130,Prospectos!$A$2:$A$288,0)),"")</x:f>
        <x:v>Córdoba / RN36 norte</x:v>
      </x:c>
      <x:c r="F130" s="7" t="str">
        <x:f>IFERROR(INDEX(Prospectos!$E$2:$E$288,MATCH($A130,Prospectos!$A$2:$A$288,0)),"")</x:f>
        <x:v>Ferreyra / Santa Isabel</x:v>
      </x:c>
      <x:c r="G130" s="7" t="str">
        <x:f>IFERROR(INDEX(Prospectos!$K$2:$K$288,MATCH($A130,Prospectos!$A$2:$A$288,0)),"")</x:f>
        <x:v>011 20341400 (central)</x:v>
      </x:c>
      <x:c r="H130" s="7" t="str">
        <x:f>IFERROR(INDEX(Prospectos!$M$2:$M$288,MATCH($A130,Prospectos!$A$2:$A$288,0)),"")</x:f>
        <x:v>despacho / producción</x:v>
      </x:c>
      <x:c r="I130" s="7" t="str">
        <x:f>IFERROR(INDEX(Prospectos!$N$2:$N$288,MATCH($A130,Prospectos!$A$2:$A$288,0)),"")</x:f>
        <x:v>Movimientos especiales de mantenimiento, repuestos pesados y mudanzas internas de equipos.</x:v>
      </x:c>
      <x:c r="J130" s="7" t="str">
        <x:f>IFERROR(INDEX(Prospectos!$AJ$2:$AJ$288,MATCH($A130,Prospectos!$A$2:$A$288,0)),"")</x:f>
        <x:v>Alta</x:v>
      </x:c>
      <x:c r="K130" s="181"/>
      <x:c r="L130" s="7"/>
      <x:c r="M130" s="137"/>
      <x:c r="N130" s="158"/>
    </x:row>
    <x:row r="131" ht="34" customHeight="1">
      <x:c r="A131" s="183" t="str">
        <x:v>FER-002</x:v>
      </x:c>
      <x:c r="B131" s="183" t="str">
        <x:f>IFERROR(INDEX(Prospectos!$F$2:$F$288,MATCH($A131,Prospectos!$A$2:$A$288,0)),"")</x:f>
        <x:v>B</x:v>
      </x:c>
      <x:c r="C131" s="183" t="str">
        <x:f>IFERROR(INDEX(Prospectos!$H$2:$H$288,MATCH($A131,Prospectos!$A$2:$A$288,0)),"")</x:f>
        <x:v>Renault Planta Santa Isabel</x:v>
      </x:c>
      <x:c r="D131" s="183" t="str">
        <x:f>IFERROR(INDEX(Prospectos!$J$2:$J$288,MATCH($A131,Prospectos!$A$2:$A$288,0)),"")</x:f>
        <x:v>Industria y mantenimiento</x:v>
      </x:c>
      <x:c r="E131" s="183" t="str">
        <x:f>IFERROR(INDEX(Prospectos!$C$2:$C$288,MATCH($A131,Prospectos!$A$2:$A$288,0)),"")</x:f>
        <x:v>Córdoba / RN36 norte</x:v>
      </x:c>
      <x:c r="F131" s="183" t="str">
        <x:f>IFERROR(INDEX(Prospectos!$E$2:$E$288,MATCH($A131,Prospectos!$A$2:$A$288,0)),"")</x:f>
        <x:v>Ferreyra / Santa Isabel</x:v>
      </x:c>
      <x:c r="G131" s="183" t="str">
        <x:f>IFERROR(INDEX(Prospectos!$K$2:$K$288,MATCH($A131,Prospectos!$A$2:$A$288,0)),"")</x:f>
        <x:v>0351 4268268</x:v>
      </x:c>
      <x:c r="H131" s="183" t="str">
        <x:f>IFERROR(INDEX(Prospectos!$M$2:$M$288,MATCH($A131,Prospectos!$A$2:$A$288,0)),"")</x:f>
        <x:v>responsable de logística/compras</x:v>
      </x:c>
      <x:c r="I131" s="183" t="str">
        <x:f>IFERROR(INDEX(Prospectos!$N$2:$N$288,MATCH($A131,Prospectos!$A$2:$A$288,0)),"")</x:f>
        <x:v>Movimientos especiales de mantenimiento, repuestos pesados y mudanzas internas de equipos.</x:v>
      </x:c>
      <x:c r="J131" s="183" t="str">
        <x:f>IFERROR(INDEX(Prospectos!$AJ$2:$AJ$288,MATCH($A131,Prospectos!$A$2:$A$288,0)),"")</x:f>
        <x:v>Alta</x:v>
      </x:c>
      <x:c r="K131" s="179"/>
      <x:c r="L131" s="5"/>
      <x:c r="M131" s="135"/>
      <x:c r="N131" s="158"/>
    </x:row>
    <x:row r="132" ht="34" customHeight="1">
      <x:c r="A132" s="7" t="str">
        <x:v>MAL-001</x:v>
      </x:c>
      <x:c r="B132" s="7" t="str">
        <x:f>IFERROR(INDEX(Prospectos!$F$2:$F$288,MATCH($A132,Prospectos!$A$2:$A$288,0)),"")</x:f>
        <x:v>A</x:v>
      </x:c>
      <x:c r="C132" s="7" t="str">
        <x:f>IFERROR(INDEX(Prospectos!$H$2:$H$288,MATCH($A132,Prospectos!$A$2:$A$288,0)),"")</x:f>
        <x:v>Corblock</x:v>
      </x:c>
      <x:c r="D132" s="7" t="str">
        <x:f>IFERROR(INDEX(Prospectos!$J$2:$J$288,MATCH($A132,Prospectos!$A$2:$A$288,0)),"")</x:f>
        <x:v>Hormigón, áridos y materiales</x:v>
      </x:c>
      <x:c r="E132" s="7" t="str">
        <x:f>IFERROR(INDEX(Prospectos!$C$2:$C$288,MATCH($A132,Prospectos!$A$2:$A$288,0)),"")</x:f>
        <x:v>Córdoba / RN36 norte</x:v>
      </x:c>
      <x:c r="F132" s="7" t="str">
        <x:f>IFERROR(INDEX(Prospectos!$E$2:$E$288,MATCH($A132,Prospectos!$A$2:$A$288,0)),"")</x:f>
        <x:v>Malagueño</x:v>
      </x:c>
      <x:c r="G132" s="7" t="str">
        <x:f>IFERROR(INDEX(Prospectos!$K$2:$K$288,MATCH($A132,Prospectos!$A$2:$A$288,0)),"")</x:f>
        <x:v>0351 3568259</x:v>
      </x:c>
      <x:c r="H132" s="7" t="str">
        <x:f>IFERROR(INDEX(Prospectos!$M$2:$M$288,MATCH($A132,Prospectos!$A$2:$A$288,0)),"")</x:f>
        <x:v>despacho / logística</x:v>
      </x:c>
      <x:c r="I132" s="7" t="str">
        <x:f>IFERROR(INDEX(Prospectos!$N$2:$N$288,MATCH($A132,Prospectos!$A$2:$A$288,0)),"")</x:f>
        <x:v>Movimiento de premoldeados, equipos de planta/cantera, bombas, moldes y cargas pesadas.</x:v>
      </x:c>
      <x:c r="J132" s="7" t="str">
        <x:f>IFERROR(INDEX(Prospectos!$AJ$2:$AJ$288,MATCH($A132,Prospectos!$A$2:$A$288,0)),"")</x:f>
        <x:v>Muy alta</x:v>
      </x:c>
      <x:c r="K132" s="181"/>
      <x:c r="L132" s="7"/>
      <x:c r="M132" s="137"/>
      <x:c r="N132" s="158"/>
    </x:row>
    <x:row r="133" ht="34" customHeight="1">
      <x:c r="A133" s="184" t="str">
        <x:v>MAL-004</x:v>
      </x:c>
      <x:c r="B133" s="184" t="str">
        <x:f>IFERROR(INDEX(Prospectos!$F$2:$F$288,MATCH($A133,Prospectos!$A$2:$A$288,0)),"")</x:f>
        <x:v>A</x:v>
      </x:c>
      <x:c r="C133" s="184" t="str">
        <x:f>IFERROR(INDEX(Prospectos!$H$2:$H$288,MATCH($A133,Prospectos!$A$2:$A$288,0)),"")</x:f>
        <x:v>Indusplast Piscinas — Planta Malagueño</x:v>
      </x:c>
      <x:c r="D133" s="184" t="str">
        <x:f>IFERROR(INDEX(Prospectos!$J$2:$J$288,MATCH($A133,Prospectos!$A$2:$A$288,0)),"")</x:f>
        <x:v>PRFV y plásticos</x:v>
      </x:c>
      <x:c r="E133" s="184" t="str">
        <x:f>IFERROR(INDEX(Prospectos!$C$2:$C$288,MATCH($A133,Prospectos!$A$2:$A$288,0)),"")</x:f>
        <x:v>Córdoba / RN36 norte</x:v>
      </x:c>
      <x:c r="F133" s="184" t="str">
        <x:f>IFERROR(INDEX(Prospectos!$E$2:$E$288,MATCH($A133,Prospectos!$A$2:$A$288,0)),"")</x:f>
        <x:v>Malagueño</x:v>
      </x:c>
      <x:c r="G133" s="184" t="str">
        <x:f>IFERROR(INDEX(Prospectos!$K$2:$K$288,MATCH($A133,Prospectos!$A$2:$A$288,0)),"")</x:f>
        <x:v>0800 77 74724 / +54 9 3541 652624</x:v>
      </x:c>
      <x:c r="H133" s="184" t="str">
        <x:f>IFERROR(INDEX(Prospectos!$M$2:$M$288,MATCH($A133,Prospectos!$A$2:$A$288,0)),"")</x:f>
        <x:v>logística / instalaciones / obras / ventas</x:v>
      </x:c>
      <x:c r="I133" s="184" t="str">
        <x:f>IFERROR(INDEX(Prospectos!$N$2:$N$288,MATCH($A133,Prospectos!$A$2:$A$288,0)),"")</x:f>
        <x:v>Despacho recurrente de cascos PRFV de gran volumen desde fábrica hacia obras, franquicias o domicilios; coordinación de descarga y posicionamiento en patios con accesos restringidos.</x:v>
      </x:c>
      <x:c r="J133" s="184" t="str">
        <x:f>IFERROR(INDEX(Prospectos!$AJ$2:$AJ$288,MATCH($A133,Prospectos!$A$2:$A$288,0)),"")</x:f>
        <x:v>Muy alta</x:v>
      </x:c>
      <x:c r="K133" s="181"/>
      <x:c r="L133" s="8"/>
      <x:c r="M133" s="135"/>
      <x:c r="N133" s="158"/>
    </x:row>
    <x:row r="134" ht="34" customHeight="1">
      <x:c r="A134" s="3" t="str">
        <x:v>MAL-002</x:v>
      </x:c>
      <x:c r="B134" s="3" t="str">
        <x:f>IFERROR(INDEX(Prospectos!$F$2:$F$288,MATCH($A134,Prospectos!$A$2:$A$288,0)),"")</x:f>
        <x:v>A</x:v>
      </x:c>
      <x:c r="C134" s="3" t="str">
        <x:f>IFERROR(INDEX(Prospectos!$H$2:$H$288,MATCH($A134,Prospectos!$A$2:$A$288,0)),"")</x:f>
        <x:v>Grupo Calidra / Cal Malagueño</x:v>
      </x:c>
      <x:c r="D134" s="3" t="str">
        <x:f>IFERROR(INDEX(Prospectos!$J$2:$J$288,MATCH($A134,Prospectos!$A$2:$A$288,0)),"")</x:f>
        <x:v>Hormigón, áridos y materiales</x:v>
      </x:c>
      <x:c r="E134" s="3" t="str">
        <x:f>IFERROR(INDEX(Prospectos!$C$2:$C$288,MATCH($A134,Prospectos!$A$2:$A$288,0)),"")</x:f>
        <x:v>Córdoba / RN36 norte</x:v>
      </x:c>
      <x:c r="F134" s="3" t="str">
        <x:f>IFERROR(INDEX(Prospectos!$E$2:$E$288,MATCH($A134,Prospectos!$A$2:$A$288,0)),"")</x:f>
        <x:v>Malagueño</x:v>
      </x:c>
      <x:c r="G134" s="3" t="str">
        <x:f>IFERROR(INDEX(Prospectos!$K$2:$K$288,MATCH($A134,Prospectos!$A$2:$A$288,0)),"")</x:f>
        <x:v>A relevar</x:v>
      </x:c>
      <x:c r="H134" s="3" t="str">
        <x:f>IFERROR(INDEX(Prospectos!$M$2:$M$288,MATCH($A134,Prospectos!$A$2:$A$288,0)),"")</x:f>
        <x:v>planta / mantenimiento</x:v>
      </x:c>
      <x:c r="I134" s="3" t="str">
        <x:f>IFERROR(INDEX(Prospectos!$N$2:$N$288,MATCH($A134,Prospectos!$A$2:$A$288,0)),"")</x:f>
        <x:v>Movimiento de premoldeados, equipos de planta/cantera, bombas, moldes y cargas pesadas.</x:v>
      </x:c>
      <x:c r="J134" s="3" t="str">
        <x:f>IFERROR(INDEX(Prospectos!$AJ$2:$AJ$288,MATCH($A134,Prospectos!$A$2:$A$288,0)),"")</x:f>
        <x:v>Alta</x:v>
      </x:c>
      <x:c r="K134" s="179"/>
      <x:c r="L134" s="3"/>
      <x:c r="M134" s="137"/>
      <x:c r="N134" s="158"/>
    </x:row>
    <x:row r="135" ht="34" customHeight="1">
      <x:c r="A135" s="184" t="str">
        <x:v>MAL-003</x:v>
      </x:c>
      <x:c r="B135" s="184" t="str">
        <x:f>IFERROR(INDEX(Prospectos!$F$2:$F$288,MATCH($A135,Prospectos!$A$2:$A$288,0)),"")</x:f>
        <x:v>B</x:v>
      </x:c>
      <x:c r="C135" s="184" t="str">
        <x:f>IFERROR(INDEX(Prospectos!$H$2:$H$288,MATCH($A135,Prospectos!$A$2:$A$288,0)),"")</x:f>
        <x:v>Corralón Bergese Hnos.</x:v>
      </x:c>
      <x:c r="D135" s="184" t="str">
        <x:f>IFERROR(INDEX(Prospectos!$J$2:$J$288,MATCH($A135,Prospectos!$A$2:$A$288,0)),"")</x:f>
        <x:v>Hormigón, áridos y materiales</x:v>
      </x:c>
      <x:c r="E135" s="184" t="str">
        <x:f>IFERROR(INDEX(Prospectos!$C$2:$C$288,MATCH($A135,Prospectos!$A$2:$A$288,0)),"")</x:f>
        <x:v>Córdoba / RN36 norte</x:v>
      </x:c>
      <x:c r="F135" s="184" t="str">
        <x:f>IFERROR(INDEX(Prospectos!$E$2:$E$288,MATCH($A135,Prospectos!$A$2:$A$288,0)),"")</x:f>
        <x:v>Malagueño</x:v>
      </x:c>
      <x:c r="G135" s="184" t="str">
        <x:f>IFERROR(INDEX(Prospectos!$K$2:$K$288,MATCH($A135,Prospectos!$A$2:$A$288,0)),"")</x:f>
        <x:v>0351 6870914 / 0351 2013895</x:v>
      </x:c>
      <x:c r="H135" s="184" t="str">
        <x:f>IFERROR(INDEX(Prospectos!$M$2:$M$288,MATCH($A135,Prospectos!$A$2:$A$288,0)),"")</x:f>
        <x:v>responsable de logística/compras</x:v>
      </x:c>
      <x:c r="I135" s="184" t="str">
        <x:f>IFERROR(INDEX(Prospectos!$N$2:$N$288,MATCH($A135,Prospectos!$A$2:$A$288,0)),"")</x:f>
        <x:v>Movimiento de premoldeados, equipos de planta/cantera, bombas, moldes y cargas pesadas.</x:v>
      </x:c>
      <x:c r="J135" s="184" t="str">
        <x:f>IFERROR(INDEX(Prospectos!$AJ$2:$AJ$288,MATCH($A135,Prospectos!$A$2:$A$288,0)),"")</x:f>
        <x:v>Alta</x:v>
      </x:c>
      <x:c r="K135" s="181"/>
      <x:c r="L135" s="8"/>
      <x:c r="M135" s="135"/>
      <x:c r="N135" s="158"/>
    </x:row>
    <x:row r="136" ht="34" customHeight="1">
      <x:c r="A136" s="7" t="str">
        <x:v>ONC-001</x:v>
      </x:c>
      <x:c r="B136" s="7" t="str">
        <x:f>IFERROR(INDEX(Prospectos!$F$2:$F$288,MATCH($A136,Prospectos!$A$2:$A$288,0)),"")</x:f>
        <x:v>A</x:v>
      </x:c>
      <x:c r="C136" s="7" t="str">
        <x:f>IFERROR(INDEX(Prospectos!$H$2:$H$288,MATCH($A136,Prospectos!$A$2:$A$288,0)),"")</x:f>
        <x:v>CLAAS Argentina S.A.U. - Oncativo</x:v>
      </x:c>
      <x:c r="D136" s="7" t="str">
        <x:f>IFERROR(INDEX(Prospectos!$J$2:$J$288,MATCH($A136,Prospectos!$A$2:$A$288,0)),"")</x:f>
        <x:v>Maquinaria agrícola</x:v>
      </x:c>
      <x:c r="E136" s="7" t="str">
        <x:f>IFERROR(INDEX(Prospectos!$C$2:$C$288,MATCH($A136,Prospectos!$A$2:$A$288,0)),"")</x:f>
        <x:v>Oncativo / RN9</x:v>
      </x:c>
      <x:c r="F136" s="7" t="str">
        <x:f>IFERROR(INDEX(Prospectos!$E$2:$E$288,MATCH($A136,Prospectos!$A$2:$A$288,0)),"")</x:f>
        <x:v>Oncativo</x:v>
      </x:c>
      <x:c r="G136" s="7" t="str">
        <x:f>IFERROR(INDEX(Prospectos!$K$2:$K$288,MATCH($A136,Prospectos!$A$2:$A$288,0)),"")</x:f>
        <x:v>03572 455981</x:v>
      </x:c>
      <x:c r="H136" s="7" t="str">
        <x:f>IFERROR(INDEX(Prospectos!$M$2:$M$288,MATCH($A136,Prospectos!$A$2:$A$288,0)),"")</x:f>
        <x:v>logística / entregas / postventa</x:v>
      </x:c>
      <x:c r="I136" s="7" t="str">
        <x:f>IFERROR(INDEX(Prospectos!$N$2:$N$288,MATCH($A136,Prospectos!$A$2:$A$288,0)),"")</x:f>
        <x:v>Traslado de maquinaria agrícola o vial entre sucursal, cliente, taller, campo y eventos.</x:v>
      </x:c>
      <x:c r="J136" s="7" t="str">
        <x:f>IFERROR(INDEX(Prospectos!$AJ$2:$AJ$288,MATCH($A136,Prospectos!$A$2:$A$288,0)),"")</x:f>
        <x:v>Muy alta</x:v>
      </x:c>
      <x:c r="K136" s="181"/>
      <x:c r="L136" s="7"/>
      <x:c r="M136" s="137"/>
      <x:c r="N136" s="158"/>
    </x:row>
    <x:row r="137" ht="34" customHeight="1">
      <x:c r="A137" s="183" t="str">
        <x:v>ONC-002</x:v>
      </x:c>
      <x:c r="B137" s="183" t="str">
        <x:f>IFERROR(INDEX(Prospectos!$F$2:$F$288,MATCH($A137,Prospectos!$A$2:$A$288,0)),"")</x:f>
        <x:v>A</x:v>
      </x:c>
      <x:c r="C137" s="183" t="str">
        <x:f>IFERROR(INDEX(Prospectos!$H$2:$H$288,MATCH($A137,Prospectos!$A$2:$A$288,0)),"")</x:f>
        <x:v>Dynamis S.R.L.</x:v>
      </x:c>
      <x:c r="D137" s="183" t="str">
        <x:f>IFERROR(INDEX(Prospectos!$J$2:$J$288,MATCH($A137,Prospectos!$A$2:$A$288,0)),"")</x:f>
        <x:v>Maquinaria agrícola</x:v>
      </x:c>
      <x:c r="E137" s="183" t="str">
        <x:f>IFERROR(INDEX(Prospectos!$C$2:$C$288,MATCH($A137,Prospectos!$A$2:$A$288,0)),"")</x:f>
        <x:v>Oncativo / RN9</x:v>
      </x:c>
      <x:c r="F137" s="183" t="str">
        <x:f>IFERROR(INDEX(Prospectos!$E$2:$E$288,MATCH($A137,Prospectos!$A$2:$A$288,0)),"")</x:f>
        <x:v>Oncativo</x:v>
      </x:c>
      <x:c r="G137" s="183" t="str">
        <x:f>IFERROR(INDEX(Prospectos!$K$2:$K$288,MATCH($A137,Prospectos!$A$2:$A$288,0)),"")</x:f>
        <x:v>A relevar</x:v>
      </x:c>
      <x:c r="H137" s="183" t="str">
        <x:f>IFERROR(INDEX(Prospectos!$M$2:$M$288,MATCH($A137,Prospectos!$A$2:$A$288,0)),"")</x:f>
        <x:v>logística / despacho / postventa</x:v>
      </x:c>
      <x:c r="I137" s="183" t="str">
        <x:f>IFERROR(INDEX(Prospectos!$N$2:$N$288,MATCH($A137,Prospectos!$A$2:$A$288,0)),"")</x:f>
        <x:v>Traslado de maquinaria, implementos, equipos terminados y componentes de gran porte entre planta, cliente, obra o feria.</x:v>
      </x:c>
      <x:c r="J137" s="183" t="str">
        <x:f>IFERROR(INDEX(Prospectos!$AJ$2:$AJ$288,MATCH($A137,Prospectos!$A$2:$A$288,0)),"")</x:f>
        <x:v>Alta</x:v>
      </x:c>
      <x:c r="K137" s="179"/>
      <x:c r="L137" s="5"/>
      <x:c r="M137" s="135"/>
      <x:c r="N137" s="158"/>
    </x:row>
    <x:row r="138" ht="34" customHeight="1">
      <x:c r="A138" s="3" t="str">
        <x:v>ONC-003</x:v>
      </x:c>
      <x:c r="B138" s="3" t="str">
        <x:f>IFERROR(INDEX(Prospectos!$F$2:$F$288,MATCH($A138,Prospectos!$A$2:$A$288,0)),"")</x:f>
        <x:v>A</x:v>
      </x:c>
      <x:c r="C138" s="3" t="str">
        <x:f>IFERROR(INDEX(Prospectos!$H$2:$H$288,MATCH($A138,Prospectos!$A$2:$A$288,0)),"")</x:f>
        <x:v>Establecimientos Metalúrgicos Oncativo S.A.</x:v>
      </x:c>
      <x:c r="D138" s="3" t="str">
        <x:f>IFERROR(INDEX(Prospectos!$J$2:$J$288,MATCH($A138,Prospectos!$A$2:$A$288,0)),"")</x:f>
        <x:v>Industria y mantenimiento</x:v>
      </x:c>
      <x:c r="E138" s="3" t="str">
        <x:f>IFERROR(INDEX(Prospectos!$C$2:$C$288,MATCH($A138,Prospectos!$A$2:$A$288,0)),"")</x:f>
        <x:v>Oncativo / RN9</x:v>
      </x:c>
      <x:c r="F138" s="3" t="str">
        <x:f>IFERROR(INDEX(Prospectos!$E$2:$E$288,MATCH($A138,Prospectos!$A$2:$A$288,0)),"")</x:f>
        <x:v>Oncativo</x:v>
      </x:c>
      <x:c r="G138" s="3" t="str">
        <x:f>IFERROR(INDEX(Prospectos!$K$2:$K$288,MATCH($A138,Prospectos!$A$2:$A$288,0)),"")</x:f>
        <x:v>03572 466145 / +54 3572 466145 / +54 9 3572 532031</x:v>
      </x:c>
      <x:c r="H138" s="3" t="str">
        <x:f>IFERROR(INDEX(Prospectos!$M$2:$M$288,MATCH($A138,Prospectos!$A$2:$A$288,0)),"")</x:f>
        <x:v>logística / despacho / postventa</x:v>
      </x:c>
      <x:c r="I138" s="3" t="str">
        <x:f>IFERROR(INDEX(Prospectos!$N$2:$N$288,MATCH($A138,Prospectos!$A$2:$A$288,0)),"")</x:f>
        <x:v>Traslado de maquinaria, implementos, equipos terminados y componentes de gran porte entre planta, cliente, obra o feria.</x:v>
      </x:c>
      <x:c r="J138" s="3" t="str">
        <x:f>IFERROR(INDEX(Prospectos!$AJ$2:$AJ$288,MATCH($A138,Prospectos!$A$2:$A$288,0)),"")</x:f>
        <x:v>Muy alta</x:v>
      </x:c>
      <x:c r="K138" s="179"/>
      <x:c r="L138" s="3"/>
      <x:c r="M138" s="137"/>
      <x:c r="N138" s="158"/>
    </x:row>
    <x:row r="139" ht="34" customHeight="1">
      <x:c r="A139" s="183" t="str">
        <x:v>ONC-004</x:v>
      </x:c>
      <x:c r="B139" s="183" t="str">
        <x:f>IFERROR(INDEX(Prospectos!$F$2:$F$288,MATCH($A139,Prospectos!$A$2:$A$288,0)),"")</x:f>
        <x:v>A</x:v>
      </x:c>
      <x:c r="C139" s="183" t="str">
        <x:f>IFERROR(INDEX(Prospectos!$H$2:$H$288,MATCH($A139,Prospectos!$A$2:$A$288,0)),"")</x:f>
        <x:v>Metalúrgica Cerquatti</x:v>
      </x:c>
      <x:c r="D139" s="183" t="str">
        <x:f>IFERROR(INDEX(Prospectos!$J$2:$J$288,MATCH($A139,Prospectos!$A$2:$A$288,0)),"")</x:f>
        <x:v>Módulos y contenedores</x:v>
      </x:c>
      <x:c r="E139" s="183" t="str">
        <x:f>IFERROR(INDEX(Prospectos!$C$2:$C$288,MATCH($A139,Prospectos!$A$2:$A$288,0)),"")</x:f>
        <x:v>Oncativo / RN9</x:v>
      </x:c>
      <x:c r="F139" s="183" t="str">
        <x:f>IFERROR(INDEX(Prospectos!$E$2:$E$288,MATCH($A139,Prospectos!$A$2:$A$288,0)),"")</x:f>
        <x:v>Oncativo</x:v>
      </x:c>
      <x:c r="G139" s="183" t="str">
        <x:f>IFERROR(INDEX(Prospectos!$K$2:$K$288,MATCH($A139,Prospectos!$A$2:$A$288,0)),"")</x:f>
        <x:v>03572 456573 / 03572 504462</x:v>
      </x:c>
      <x:c r="H139" s="183" t="str">
        <x:f>IFERROR(INDEX(Prospectos!$M$2:$M$288,MATCH($A139,Prospectos!$A$2:$A$288,0)),"")</x:f>
        <x:v>logística / despacho / postventa</x:v>
      </x:c>
      <x:c r="I139" s="183" t="str">
        <x:f>IFERROR(INDEX(Prospectos!$N$2:$N$288,MATCH($A139,Prospectos!$A$2:$A$288,0)),"")</x:f>
        <x:v>Traslado de maquinaria, implementos, equipos terminados y componentes de gran porte entre planta, cliente, obra o feria.</x:v>
      </x:c>
      <x:c r="J139" s="183" t="str">
        <x:f>IFERROR(INDEX(Prospectos!$AJ$2:$AJ$288,MATCH($A139,Prospectos!$A$2:$A$288,0)),"")</x:f>
        <x:v>Muy alta</x:v>
      </x:c>
      <x:c r="K139" s="179"/>
      <x:c r="L139" s="5"/>
      <x:c r="M139" s="135"/>
      <x:c r="N139" s="158"/>
    </x:row>
    <x:row r="140" ht="34" customHeight="1">
      <x:c r="A140" s="3" t="str">
        <x:v>ONC-026</x:v>
      </x:c>
      <x:c r="B140" s="3" t="str">
        <x:f>IFERROR(INDEX(Prospectos!$F$2:$F$288,MATCH($A140,Prospectos!$A$2:$A$288,0)),"")</x:f>
        <x:v>A</x:v>
      </x:c>
      <x:c r="C140" s="3" t="str">
        <x:f>IFERROR(INDEX(Prospectos!$H$2:$H$288,MATCH($A140,Prospectos!$A$2:$A$288,0)),"")</x:f>
        <x:v>Scaramuzza Maquinarias</x:v>
      </x:c>
      <x:c r="D140" s="3" t="str">
        <x:f>IFERROR(INDEX(Prospectos!$J$2:$J$288,MATCH($A140,Prospectos!$A$2:$A$288,0)),"")</x:f>
        <x:v>Maquinaria agrícola</x:v>
      </x:c>
      <x:c r="E140" s="3" t="str">
        <x:f>IFERROR(INDEX(Prospectos!$C$2:$C$288,MATCH($A140,Prospectos!$A$2:$A$288,0)),"")</x:f>
        <x:v>Oncativo / RN9</x:v>
      </x:c>
      <x:c r="F140" s="3" t="str">
        <x:f>IFERROR(INDEX(Prospectos!$E$2:$E$288,MATCH($A140,Prospectos!$A$2:$A$288,0)),"")</x:f>
        <x:v>Oncativo</x:v>
      </x:c>
      <x:c r="G140" s="3" t="str">
        <x:f>IFERROR(INDEX(Prospectos!$K$2:$K$288,MATCH($A140,Prospectos!$A$2:$A$288,0)),"")</x:f>
        <x:v>03572 583983</x:v>
      </x:c>
      <x:c r="H140" s="3" t="str">
        <x:f>IFERROR(INDEX(Prospectos!$M$2:$M$288,MATCH($A140,Prospectos!$A$2:$A$288,0)),"")</x:f>
        <x:v>logística / entregas / usados / postventa / gerente comercial</x:v>
      </x:c>
      <x:c r="I140" s="3" t="str">
        <x:f>IFERROR(INDEX(Prospectos!$N$2:$N$288,MATCH($A140,Prospectos!$A$2:$A$288,0)),"")</x:f>
        <x:v>Entrega y retiro de tractores, cosechadoras, pulverizadoras, sembradoras e implementos; movimientos por ventas, canjes, usados, service, demostraciones y ferias.</x:v>
      </x:c>
      <x:c r="J140" s="3" t="str">
        <x:f>IFERROR(INDEX(Prospectos!$AJ$2:$AJ$288,MATCH($A140,Prospectos!$A$2:$A$288,0)),"")</x:f>
        <x:v>Muy alta</x:v>
      </x:c>
      <x:c r="K140" s="179"/>
      <x:c r="L140" s="3"/>
      <x:c r="M140" s="137"/>
      <x:c r="N140" s="158"/>
    </x:row>
    <x:row r="141" ht="34" customHeight="1">
      <x:c r="A141" s="183" t="str">
        <x:v>ONC-005</x:v>
      </x:c>
      <x:c r="B141" s="183" t="str">
        <x:f>IFERROR(INDEX(Prospectos!$F$2:$F$288,MATCH($A141,Prospectos!$A$2:$A$288,0)),"")</x:f>
        <x:v>A</x:v>
      </x:c>
      <x:c r="C141" s="183" t="str">
        <x:f>IFERROR(INDEX(Prospectos!$H$2:$H$288,MATCH($A141,Prospectos!$A$2:$A$288,0)),"")</x:f>
        <x:v>Scorza</x:v>
      </x:c>
      <x:c r="D141" s="183" t="str">
        <x:f>IFERROR(INDEX(Prospectos!$J$2:$J$288,MATCH($A141,Prospectos!$A$2:$A$288,0)),"")</x:f>
        <x:v>Industria y mantenimiento</x:v>
      </x:c>
      <x:c r="E141" s="183" t="str">
        <x:f>IFERROR(INDEX(Prospectos!$C$2:$C$288,MATCH($A141,Prospectos!$A$2:$A$288,0)),"")</x:f>
        <x:v>Oncativo / RN9</x:v>
      </x:c>
      <x:c r="F141" s="183" t="str">
        <x:f>IFERROR(INDEX(Prospectos!$E$2:$E$288,MATCH($A141,Prospectos!$A$2:$A$288,0)),"")</x:f>
        <x:v>Oncativo</x:v>
      </x:c>
      <x:c r="G141" s="183" t="str">
        <x:f>IFERROR(INDEX(Prospectos!$K$2:$K$288,MATCH($A141,Prospectos!$A$2:$A$288,0)),"")</x:f>
        <x:v>03572 466092 / 03572 665388</x:v>
      </x:c>
      <x:c r="H141" s="183" t="str">
        <x:f>IFERROR(INDEX(Prospectos!$M$2:$M$288,MATCH($A141,Prospectos!$A$2:$A$288,0)),"")</x:f>
        <x:v>logística / despacho / postventa</x:v>
      </x:c>
      <x:c r="I141" s="183" t="str">
        <x:f>IFERROR(INDEX(Prospectos!$N$2:$N$288,MATCH($A141,Prospectos!$A$2:$A$288,0)),"")</x:f>
        <x:v>Traslado de maquinaria, implementos, equipos terminados y componentes de gran porte entre planta, cliente, obra o feria.</x:v>
      </x:c>
      <x:c r="J141" s="183" t="str">
        <x:f>IFERROR(INDEX(Prospectos!$AJ$2:$AJ$288,MATCH($A141,Prospectos!$A$2:$A$288,0)),"")</x:f>
        <x:v>Muy alta</x:v>
      </x:c>
      <x:c r="K141" s="179"/>
      <x:c r="L141" s="5"/>
      <x:c r="M141" s="135"/>
      <x:c r="N141" s="158"/>
    </x:row>
    <x:row r="142" ht="34" customHeight="1">
      <x:c r="A142" s="3" t="str">
        <x:v>ONC-029</x:v>
      </x:c>
      <x:c r="B142" s="3" t="str">
        <x:f>IFERROR(INDEX(Prospectos!$F$2:$F$288,MATCH($A142,Prospectos!$A$2:$A$288,0)),"")</x:f>
        <x:v>A</x:v>
      </x:c>
      <x:c r="C142" s="3" t="str">
        <x:f>IFERROR(INDEX(Prospectos!$H$2:$H$288,MATCH($A142,Prospectos!$A$2:$A$288,0)),"")</x:f>
        <x:v>Ulla Maquinarias — Oncativo</x:v>
      </x:c>
      <x:c r="D142" s="3" t="str">
        <x:f>IFERROR(INDEX(Prospectos!$J$2:$J$288,MATCH($A142,Prospectos!$A$2:$A$288,0)),"")</x:f>
        <x:v>Maquinaria agrícola</x:v>
      </x:c>
      <x:c r="E142" s="3" t="str">
        <x:f>IFERROR(INDEX(Prospectos!$C$2:$C$288,MATCH($A142,Prospectos!$A$2:$A$288,0)),"")</x:f>
        <x:v>Oncativo / RN9</x:v>
      </x:c>
      <x:c r="F142" s="3" t="str">
        <x:f>IFERROR(INDEX(Prospectos!$E$2:$E$288,MATCH($A142,Prospectos!$A$2:$A$288,0)),"")</x:f>
        <x:v>Oncativo</x:v>
      </x:c>
      <x:c r="G142" s="3" t="str">
        <x:f>IFERROR(INDEX(Prospectos!$K$2:$K$288,MATCH($A142,Prospectos!$A$2:$A$288,0)),"")</x:f>
        <x:v>03572 460280 / 03572 437309</x:v>
      </x:c>
      <x:c r="H142" s="3" t="str">
        <x:f>IFERROR(INDEX(Prospectos!$M$2:$M$288,MATCH($A142,Prospectos!$A$2:$A$288,0)),"")</x:f>
        <x:v>logística / entregas / usados / postventa / gerente comercial</x:v>
      </x:c>
      <x:c r="I142" s="3" t="str">
        <x:f>IFERROR(INDEX(Prospectos!$N$2:$N$288,MATCH($A142,Prospectos!$A$2:$A$288,0)),"")</x:f>
        <x:v>Entrega y retiro de tractores, cosechadoras, pulverizadoras, sembradoras e implementos; movimientos por ventas, canjes, usados, service, demostraciones y ferias.</x:v>
      </x:c>
      <x:c r="J142" s="3" t="str">
        <x:f>IFERROR(INDEX(Prospectos!$AJ$2:$AJ$288,MATCH($A142,Prospectos!$A$2:$A$288,0)),"")</x:f>
        <x:v>Muy alta</x:v>
      </x:c>
      <x:c r="K142" s="179"/>
      <x:c r="L142" s="3"/>
      <x:c r="M142" s="137"/>
      <x:c r="N142" s="158"/>
    </x:row>
    <x:row r="143" ht="34" customHeight="1">
      <x:c r="A143" s="183" t="str">
        <x:v>ONC-027</x:v>
      </x:c>
      <x:c r="B143" s="183" t="str">
        <x:f>IFERROR(INDEX(Prospectos!$F$2:$F$288,MATCH($A143,Prospectos!$A$2:$A$288,0)),"")</x:f>
        <x:v>A</x:v>
      </x:c>
      <x:c r="C143" s="183" t="str">
        <x:f>IFERROR(INDEX(Prospectos!$H$2:$H$288,MATCH($A143,Prospectos!$A$2:$A$288,0)),"")</x:f>
        <x:v>Gallagro — Oncativo</x:v>
      </x:c>
      <x:c r="D143" s="183" t="str">
        <x:f>IFERROR(INDEX(Prospectos!$J$2:$J$288,MATCH($A143,Prospectos!$A$2:$A$288,0)),"")</x:f>
        <x:v>Maquinaria agrícola</x:v>
      </x:c>
      <x:c r="E143" s="183" t="str">
        <x:f>IFERROR(INDEX(Prospectos!$C$2:$C$288,MATCH($A143,Prospectos!$A$2:$A$288,0)),"")</x:f>
        <x:v>Oncativo / RN9</x:v>
      </x:c>
      <x:c r="F143" s="183" t="str">
        <x:f>IFERROR(INDEX(Prospectos!$E$2:$E$288,MATCH($A143,Prospectos!$A$2:$A$288,0)),"")</x:f>
        <x:v>Oncativo</x:v>
      </x:c>
      <x:c r="G143" s="183" t="str">
        <x:f>IFERROR(INDEX(Prospectos!$K$2:$K$288,MATCH($A143,Prospectos!$A$2:$A$288,0)),"")</x:f>
        <x:v>03572 516403 / +54 9 3584 11-3348</x:v>
      </x:c>
      <x:c r="H143" s="183" t="str">
        <x:f>IFERROR(INDEX(Prospectos!$M$2:$M$288,MATCH($A143,Prospectos!$A$2:$A$288,0)),"")</x:f>
        <x:v>logística / entregas / usados / postventa / gerente comercial</x:v>
      </x:c>
      <x:c r="I143" s="183" t="str">
        <x:f>IFERROR(INDEX(Prospectos!$N$2:$N$288,MATCH($A143,Prospectos!$A$2:$A$288,0)),"")</x:f>
        <x:v>Entrega y retiro de tractores, cosechadoras, pulverizadoras, sembradoras e implementos; movimientos por ventas, canjes, usados, service, demostraciones y ferias.</x:v>
      </x:c>
      <x:c r="J143" s="183" t="str">
        <x:f>IFERROR(INDEX(Prospectos!$AJ$2:$AJ$288,MATCH($A143,Prospectos!$A$2:$A$288,0)),"")</x:f>
        <x:v>Muy alta</x:v>
      </x:c>
      <x:c r="K143" s="179"/>
      <x:c r="L143" s="5"/>
      <x:c r="M143" s="135"/>
      <x:c r="N143" s="158"/>
    </x:row>
    <x:row r="144" ht="34" customHeight="1">
      <x:c r="A144" s="3" t="str">
        <x:v>ONC-025</x:v>
      </x:c>
      <x:c r="B144" s="3" t="str">
        <x:f>IFERROR(INDEX(Prospectos!$F$2:$F$288,MATCH($A144,Prospectos!$A$2:$A$288,0)),"")</x:f>
        <x:v>A</x:v>
      </x:c>
      <x:c r="C144" s="3" t="str">
        <x:f>IFERROR(INDEX(Prospectos!$H$2:$H$288,MATCH($A144,Prospectos!$A$2:$A$288,0)),"")</x:f>
        <x:v>Zuppa Hermanos — Oncativo</x:v>
      </x:c>
      <x:c r="D144" s="3" t="str">
        <x:f>IFERROR(INDEX(Prospectos!$J$2:$J$288,MATCH($A144,Prospectos!$A$2:$A$288,0)),"")</x:f>
        <x:v>PRFV y plásticos</x:v>
      </x:c>
      <x:c r="E144" s="3" t="str">
        <x:f>IFERROR(INDEX(Prospectos!$C$2:$C$288,MATCH($A144,Prospectos!$A$2:$A$288,0)),"")</x:f>
        <x:v>Oncativo / RN9</x:v>
      </x:c>
      <x:c r="F144" s="3" t="str">
        <x:f>IFERROR(INDEX(Prospectos!$E$2:$E$288,MATCH($A144,Prospectos!$A$2:$A$288,0)),"")</x:f>
        <x:v>Oncativo</x:v>
      </x:c>
      <x:c r="G144" s="3" t="str">
        <x:f>IFERROR(INDEX(Prospectos!$K$2:$K$288,MATCH($A144,Prospectos!$A$2:$A$288,0)),"")</x:f>
        <x:v>03572 455799 / +54 9 351 5646558</x:v>
      </x:c>
      <x:c r="H144" s="3" t="str">
        <x:f>IFERROR(INDEX(Prospectos!$M$2:$M$288,MATCH($A144,Prospectos!$A$2:$A$288,0)),"")</x:f>
        <x:v>logística / instalaciones / obras / ventas</x:v>
      </x:c>
      <x:c r="I144" s="3" t="str">
        <x:f>IFERROR(INDEX(Prospectos!$N$2:$N$288,MATCH($A144,Prospectos!$A$2:$A$288,0)),"")</x:f>
        <x:v>Entrega de piscinas de fibra desde depósito/franquicia hasta domicilio y apoyo de grúa cuando el casco debe superar medianeras, techos o accesos angostos.</x:v>
      </x:c>
      <x:c r="J144" s="3" t="str">
        <x:f>IFERROR(INDEX(Prospectos!$AJ$2:$AJ$288,MATCH($A144,Prospectos!$A$2:$A$288,0)),"")</x:f>
        <x:v>Muy alta</x:v>
      </x:c>
      <x:c r="K144" s="179"/>
      <x:c r="L144" s="3"/>
      <x:c r="M144" s="137"/>
      <x:c r="N144" s="158"/>
    </x:row>
    <x:row r="145" ht="34" customHeight="1">
      <x:c r="A145" s="183" t="str">
        <x:v>ONC-023</x:v>
      </x:c>
      <x:c r="B145" s="183" t="str">
        <x:f>IFERROR(INDEX(Prospectos!$F$2:$F$288,MATCH($A145,Prospectos!$A$2:$A$288,0)),"")</x:f>
        <x:v>A</x:v>
      </x:c>
      <x:c r="C145" s="183" t="str">
        <x:f>IFERROR(INDEX(Prospectos!$H$2:$H$288,MATCH($A145,Prospectos!$A$2:$A$288,0)),"")</x:f>
        <x:v>Econovo Agrovial / Farmtrac</x:v>
      </x:c>
      <x:c r="D145" s="183" t="str">
        <x:f>IFERROR(INDEX(Prospectos!$J$2:$J$288,MATCH($A145,Prospectos!$A$2:$A$288,0)),"")</x:f>
        <x:v>Maquinaria agrícola</x:v>
      </x:c>
      <x:c r="E145" s="183" t="str">
        <x:f>IFERROR(INDEX(Prospectos!$C$2:$C$288,MATCH($A145,Prospectos!$A$2:$A$288,0)),"")</x:f>
        <x:v>Oncativo / RN9</x:v>
      </x:c>
      <x:c r="F145" s="183" t="str">
        <x:f>IFERROR(INDEX(Prospectos!$E$2:$E$288,MATCH($A145,Prospectos!$A$2:$A$288,0)),"")</x:f>
        <x:v>Oncativo</x:v>
      </x:c>
      <x:c r="G145" s="183" t="str">
        <x:f>IFERROR(INDEX(Prospectos!$K$2:$K$288,MATCH($A145,Prospectos!$A$2:$A$288,0)),"")</x:f>
        <x:v>+54 3572 462665</x:v>
      </x:c>
      <x:c r="H145" s="183" t="str">
        <x:f>IFERROR(INDEX(Prospectos!$M$2:$M$288,MATCH($A145,Prospectos!$A$2:$A$288,0)),"")</x:f>
        <x:v>logística / ventas / postventa</x:v>
      </x:c>
      <x:c r="I145" s="183" t="str">
        <x:f>IFERROR(INDEX(Prospectos!$N$2:$N$288,MATCH($A145,Prospectos!$A$2:$A$288,0)),"")</x:f>
        <x:v>Entrega y retiro de tractores, cosechadoras, pulverizadoras, sembradoras e implementos; movimientos por venta, service, canje, demostraciones o ferias.</x:v>
      </x:c>
      <x:c r="J145" s="183" t="str">
        <x:f>IFERROR(INDEX(Prospectos!$AJ$2:$AJ$288,MATCH($A145,Prospectos!$A$2:$A$288,0)),"")</x:f>
        <x:v>Muy alta</x:v>
      </x:c>
      <x:c r="K145" s="179"/>
      <x:c r="L145" s="5"/>
      <x:c r="M145" s="135"/>
      <x:c r="N145" s="158"/>
    </x:row>
    <x:row r="146" ht="34" customHeight="1">
      <x:c r="A146" s="3" t="str">
        <x:v>ONC-024</x:v>
      </x:c>
      <x:c r="B146" s="3" t="str">
        <x:f>IFERROR(INDEX(Prospectos!$F$2:$F$288,MATCH($A146,Prospectos!$A$2:$A$288,0)),"")</x:f>
        <x:v>A</x:v>
      </x:c>
      <x:c r="C146" s="3" t="str">
        <x:f>IFERROR(INDEX(Prospectos!$H$2:$H$288,MATCH($A146,Prospectos!$A$2:$A$288,0)),"")</x:f>
        <x:v>Quevedo Canavese</x:v>
      </x:c>
      <x:c r="D146" s="3" t="str">
        <x:f>IFERROR(INDEX(Prospectos!$J$2:$J$288,MATCH($A146,Prospectos!$A$2:$A$288,0)),"")</x:f>
        <x:v>Maquinaria agrícola</x:v>
      </x:c>
      <x:c r="E146" s="3" t="str">
        <x:f>IFERROR(INDEX(Prospectos!$C$2:$C$288,MATCH($A146,Prospectos!$A$2:$A$288,0)),"")</x:f>
        <x:v>Oncativo / RN9</x:v>
      </x:c>
      <x:c r="F146" s="3" t="str">
        <x:f>IFERROR(INDEX(Prospectos!$E$2:$E$288,MATCH($A146,Prospectos!$A$2:$A$288,0)),"")</x:f>
        <x:v>Oncativo</x:v>
      </x:c>
      <x:c r="G146" s="3" t="str">
        <x:f>IFERROR(INDEX(Prospectos!$K$2:$K$288,MATCH($A146,Prospectos!$A$2:$A$288,0)),"")</x:f>
        <x:v>+54 9 3572 532536 / +54 9 3572 548804</x:v>
      </x:c>
      <x:c r="H146" s="3" t="str">
        <x:f>IFERROR(INDEX(Prospectos!$M$2:$M$288,MATCH($A146,Prospectos!$A$2:$A$288,0)),"")</x:f>
        <x:v>logística / ventas / postventa</x:v>
      </x:c>
      <x:c r="I146" s="3" t="str">
        <x:f>IFERROR(INDEX(Prospectos!$N$2:$N$288,MATCH($A146,Prospectos!$A$2:$A$288,0)),"")</x:f>
        <x:v>Entrega y retiro de tractores, cosechadoras, pulverizadoras, sembradoras e implementos; movimientos por venta, service, canje, demostraciones o ferias.</x:v>
      </x:c>
      <x:c r="J146" s="3" t="str">
        <x:f>IFERROR(INDEX(Prospectos!$AJ$2:$AJ$288,MATCH($A146,Prospectos!$A$2:$A$288,0)),"")</x:f>
        <x:v>Muy alta</x:v>
      </x:c>
      <x:c r="K146" s="179"/>
      <x:c r="L146" s="3"/>
      <x:c r="M146" s="137"/>
      <x:c r="N146" s="158"/>
    </x:row>
    <x:row r="147" ht="34" customHeight="1">
      <x:c r="A147" s="183" t="str">
        <x:v>ONC-028</x:v>
      </x:c>
      <x:c r="B147" s="183" t="str">
        <x:f>IFERROR(INDEX(Prospectos!$F$2:$F$288,MATCH($A147,Prospectos!$A$2:$A$288,0)),"")</x:f>
        <x:v>A</x:v>
      </x:c>
      <x:c r="C147" s="183" t="str">
        <x:f>IFERROR(INDEX(Prospectos!$H$2:$H$288,MATCH($A147,Prospectos!$A$2:$A$288,0)),"")</x:f>
        <x:v>Ramón A. Ramb Maquinaria</x:v>
      </x:c>
      <x:c r="D147" s="183" t="str">
        <x:f>IFERROR(INDEX(Prospectos!$J$2:$J$288,MATCH($A147,Prospectos!$A$2:$A$288,0)),"")</x:f>
        <x:v>Maquinaria agrícola</x:v>
      </x:c>
      <x:c r="E147" s="183" t="str">
        <x:f>IFERROR(INDEX(Prospectos!$C$2:$C$288,MATCH($A147,Prospectos!$A$2:$A$288,0)),"")</x:f>
        <x:v>Oncativo / RN9</x:v>
      </x:c>
      <x:c r="F147" s="183" t="str">
        <x:f>IFERROR(INDEX(Prospectos!$E$2:$E$288,MATCH($A147,Prospectos!$A$2:$A$288,0)),"")</x:f>
        <x:v>Oncativo</x:v>
      </x:c>
      <x:c r="G147" s="183" t="str">
        <x:f>IFERROR(INDEX(Prospectos!$K$2:$K$288,MATCH($A147,Prospectos!$A$2:$A$288,0)),"")</x:f>
        <x:v>03572 466841</x:v>
      </x:c>
      <x:c r="H147" s="183" t="str">
        <x:f>IFERROR(INDEX(Prospectos!$M$2:$M$288,MATCH($A147,Prospectos!$A$2:$A$288,0)),"")</x:f>
        <x:v>logística / entregas / usados / postventa / gerente comercial</x:v>
      </x:c>
      <x:c r="I147" s="183" t="str">
        <x:f>IFERROR(INDEX(Prospectos!$N$2:$N$288,MATCH($A147,Prospectos!$A$2:$A$288,0)),"")</x:f>
        <x:v>Entrega y retiro de tractores, cosechadoras, pulverizadoras, sembradoras e implementos; movimientos por ventas, canjes, usados, service, demostraciones y ferias.</x:v>
      </x:c>
      <x:c r="J147" s="183" t="str">
        <x:f>IFERROR(INDEX(Prospectos!$AJ$2:$AJ$288,MATCH($A147,Prospectos!$A$2:$A$288,0)),"")</x:f>
        <x:v>Alta</x:v>
      </x:c>
      <x:c r="K147" s="179"/>
      <x:c r="L147" s="5"/>
      <x:c r="M147" s="135"/>
      <x:c r="N147" s="158"/>
    </x:row>
    <x:row r="148" ht="34" customHeight="1">
      <x:c r="A148" s="3" t="str">
        <x:v>ONC-006</x:v>
      </x:c>
      <x:c r="B148" s="3" t="str">
        <x:f>IFERROR(INDEX(Prospectos!$F$2:$F$288,MATCH($A148,Prospectos!$A$2:$A$288,0)),"")</x:f>
        <x:v>A</x:v>
      </x:c>
      <x:c r="C148" s="3" t="str">
        <x:f>IFERROR(INDEX(Prospectos!$H$2:$H$288,MATCH($A148,Prospectos!$A$2:$A$288,0)),"")</x:f>
        <x:v>Agropartes S.A.</x:v>
      </x:c>
      <x:c r="D148" s="3" t="str">
        <x:f>IFERROR(INDEX(Prospectos!$J$2:$J$288,MATCH($A148,Prospectos!$A$2:$A$288,0)),"")</x:f>
        <x:v>Maquinaria agrícola</x:v>
      </x:c>
      <x:c r="E148" s="3" t="str">
        <x:f>IFERROR(INDEX(Prospectos!$C$2:$C$288,MATCH($A148,Prospectos!$A$2:$A$288,0)),"")</x:f>
        <x:v>Oncativo / RN9</x:v>
      </x:c>
      <x:c r="F148" s="3" t="str">
        <x:f>IFERROR(INDEX(Prospectos!$E$2:$E$288,MATCH($A148,Prospectos!$A$2:$A$288,0)),"")</x:f>
        <x:v>Oncativo</x:v>
      </x:c>
      <x:c r="G148" s="3" t="str">
        <x:f>IFERROR(INDEX(Prospectos!$K$2:$K$288,MATCH($A148,Prospectos!$A$2:$A$288,0)),"")</x:f>
        <x:v>03572 456204 / 03572 466314</x:v>
      </x:c>
      <x:c r="H148" s="3" t="str">
        <x:f>IFERROR(INDEX(Prospectos!$M$2:$M$288,MATCH($A148,Prospectos!$A$2:$A$288,0)),"")</x:f>
        <x:v>logística / despacho / postventa</x:v>
      </x:c>
      <x:c r="I148" s="3" t="str">
        <x:f>IFERROR(INDEX(Prospectos!$N$2:$N$288,MATCH($A148,Prospectos!$A$2:$A$288,0)),"")</x:f>
        <x:v>Traslado de maquinaria, implementos, equipos terminados y componentes de gran porte entre planta, cliente, obra o feria.</x:v>
      </x:c>
      <x:c r="J148" s="3" t="str">
        <x:f>IFERROR(INDEX(Prospectos!$AJ$2:$AJ$288,MATCH($A148,Prospectos!$A$2:$A$288,0)),"")</x:f>
        <x:v>Muy alta</x:v>
      </x:c>
      <x:c r="K148" s="179"/>
      <x:c r="L148" s="3"/>
      <x:c r="M148" s="137"/>
      <x:c r="N148" s="158"/>
    </x:row>
    <x:row r="149" ht="34" customHeight="1">
      <x:c r="A149" s="183" t="str">
        <x:v>ONC-007</x:v>
      </x:c>
      <x:c r="B149" s="183" t="str">
        <x:f>IFERROR(INDEX(Prospectos!$F$2:$F$288,MATCH($A149,Prospectos!$A$2:$A$288,0)),"")</x:f>
        <x:v>A</x:v>
      </x:c>
      <x:c r="C149" s="183" t="str">
        <x:f>IFERROR(INDEX(Prospectos!$H$2:$H$288,MATCH($A149,Prospectos!$A$2:$A$288,0)),"")</x:f>
        <x:v>Fertimaq</x:v>
      </x:c>
      <x:c r="D149" s="183" t="str">
        <x:f>IFERROR(INDEX(Prospectos!$J$2:$J$288,MATCH($A149,Prospectos!$A$2:$A$288,0)),"")</x:f>
        <x:v>Industria y mantenimiento</x:v>
      </x:c>
      <x:c r="E149" s="183" t="str">
        <x:f>IFERROR(INDEX(Prospectos!$C$2:$C$288,MATCH($A149,Prospectos!$A$2:$A$288,0)),"")</x:f>
        <x:v>Oncativo / RN9</x:v>
      </x:c>
      <x:c r="F149" s="183" t="str">
        <x:f>IFERROR(INDEX(Prospectos!$E$2:$E$288,MATCH($A149,Prospectos!$A$2:$A$288,0)),"")</x:f>
        <x:v>Oncativo</x:v>
      </x:c>
      <x:c r="G149" s="183" t="str">
        <x:f>IFERROR(INDEX(Prospectos!$K$2:$K$288,MATCH($A149,Prospectos!$A$2:$A$288,0)),"")</x:f>
        <x:v>03572 458660</x:v>
      </x:c>
      <x:c r="H149" s="183" t="str">
        <x:f>IFERROR(INDEX(Prospectos!$M$2:$M$288,MATCH($A149,Prospectos!$A$2:$A$288,0)),"")</x:f>
        <x:v>logística / entregas / postventa</x:v>
      </x:c>
      <x:c r="I149" s="183" t="str">
        <x:f>IFERROR(INDEX(Prospectos!$N$2:$N$288,MATCH($A149,Prospectos!$A$2:$A$288,0)),"")</x:f>
        <x:v>Traslado de maquinaria agrícola o vial entre sucursal, cliente, taller, campo y eventos.</x:v>
      </x:c>
      <x:c r="J149" s="183" t="str">
        <x:f>IFERROR(INDEX(Prospectos!$AJ$2:$AJ$288,MATCH($A149,Prospectos!$A$2:$A$288,0)),"")</x:f>
        <x:v>Muy alta</x:v>
      </x:c>
      <x:c r="K149" s="179"/>
      <x:c r="L149" s="5"/>
      <x:c r="M149" s="135"/>
      <x:c r="N149" s="158"/>
    </x:row>
    <x:row r="150" ht="34" customHeight="1">
      <x:c r="A150" s="3" t="str">
        <x:v>ONC-009</x:v>
      </x:c>
      <x:c r="B150" s="3" t="str">
        <x:f>IFERROR(INDEX(Prospectos!$F$2:$F$288,MATCH($A150,Prospectos!$A$2:$A$288,0)),"")</x:f>
        <x:v>A</x:v>
      </x:c>
      <x:c r="C150" s="3" t="str">
        <x:f>IFERROR(INDEX(Prospectos!$H$2:$H$288,MATCH($A150,Prospectos!$A$2:$A$288,0)),"")</x:f>
        <x:v>San Isidro Maquinarias</x:v>
      </x:c>
      <x:c r="D150" s="3" t="str">
        <x:f>IFERROR(INDEX(Prospectos!$J$2:$J$288,MATCH($A150,Prospectos!$A$2:$A$288,0)),"")</x:f>
        <x:v>Maquinaria agrícola</x:v>
      </x:c>
      <x:c r="E150" s="3" t="str">
        <x:f>IFERROR(INDEX(Prospectos!$C$2:$C$288,MATCH($A150,Prospectos!$A$2:$A$288,0)),"")</x:f>
        <x:v>Oncativo / RN9</x:v>
      </x:c>
      <x:c r="F150" s="3" t="str">
        <x:f>IFERROR(INDEX(Prospectos!$E$2:$E$288,MATCH($A150,Prospectos!$A$2:$A$288,0)),"")</x:f>
        <x:v>Oncativo</x:v>
      </x:c>
      <x:c r="G150" s="3" t="str">
        <x:f>IFERROR(INDEX(Prospectos!$K$2:$K$288,MATCH($A150,Prospectos!$A$2:$A$288,0)),"")</x:f>
        <x:v>03572 561450</x:v>
      </x:c>
      <x:c r="H150" s="3" t="str">
        <x:f>IFERROR(INDEX(Prospectos!$M$2:$M$288,MATCH($A150,Prospectos!$A$2:$A$288,0)),"")</x:f>
        <x:v>logística / entregas / postventa</x:v>
      </x:c>
      <x:c r="I150" s="3" t="str">
        <x:f>IFERROR(INDEX(Prospectos!$N$2:$N$288,MATCH($A150,Prospectos!$A$2:$A$288,0)),"")</x:f>
        <x:v>Traslado de maquinaria agrícola o vial entre sucursal, cliente, taller, campo y eventos.</x:v>
      </x:c>
      <x:c r="J150" s="3" t="str">
        <x:f>IFERROR(INDEX(Prospectos!$AJ$2:$AJ$288,MATCH($A150,Prospectos!$A$2:$A$288,0)),"")</x:f>
        <x:v>Muy alta</x:v>
      </x:c>
      <x:c r="K150" s="179"/>
      <x:c r="L150" s="3"/>
      <x:c r="M150" s="137"/>
      <x:c r="N150" s="158"/>
    </x:row>
    <x:row r="151" ht="34" customHeight="1">
      <x:c r="A151" s="183" t="str">
        <x:v>ONC-008</x:v>
      </x:c>
      <x:c r="B151" s="183" t="str">
        <x:f>IFERROR(INDEX(Prospectos!$F$2:$F$288,MATCH($A151,Prospectos!$A$2:$A$288,0)),"")</x:f>
        <x:v>A</x:v>
      </x:c>
      <x:c r="C151" s="183" t="str">
        <x:f>IFERROR(INDEX(Prospectos!$H$2:$H$288,MATCH($A151,Prospectos!$A$2:$A$288,0)),"")</x:f>
        <x:v>SICA S.A. - Fabricación y Venta</x:v>
      </x:c>
      <x:c r="D151" s="183" t="str">
        <x:f>IFERROR(INDEX(Prospectos!$J$2:$J$288,MATCH($A151,Prospectos!$A$2:$A$288,0)),"")</x:f>
        <x:v>Metalúrgica y fabricación</x:v>
      </x:c>
      <x:c r="E151" s="183" t="str">
        <x:f>IFERROR(INDEX(Prospectos!$C$2:$C$288,MATCH($A151,Prospectos!$A$2:$A$288,0)),"")</x:f>
        <x:v>Oncativo / RN9</x:v>
      </x:c>
      <x:c r="F151" s="183" t="str">
        <x:f>IFERROR(INDEX(Prospectos!$E$2:$E$288,MATCH($A151,Prospectos!$A$2:$A$288,0)),"")</x:f>
        <x:v>Oncativo</x:v>
      </x:c>
      <x:c r="G151" s="183" t="str">
        <x:f>IFERROR(INDEX(Prospectos!$K$2:$K$288,MATCH($A151,Prospectos!$A$2:$A$288,0)),"")</x:f>
        <x:v>03572 460958</x:v>
      </x:c>
      <x:c r="H151" s="183" t="str">
        <x:f>IFERROR(INDEX(Prospectos!$M$2:$M$288,MATCH($A151,Prospectos!$A$2:$A$288,0)),"")</x:f>
        <x:v>mantenimiento / despacho</x:v>
      </x:c>
      <x:c r="I151" s="183" t="str">
        <x:f>IFERROR(INDEX(Prospectos!$N$2:$N$288,MATCH($A151,Prospectos!$A$2:$A$288,0)),"")</x:f>
        <x:v>Movimientos especiales de mantenimiento, repuestos pesados, equipos y mudanzas internas o entre plantas.</x:v>
      </x:c>
      <x:c r="J151" s="183" t="str">
        <x:f>IFERROR(INDEX(Prospectos!$AJ$2:$AJ$288,MATCH($A151,Prospectos!$A$2:$A$288,0)),"")</x:f>
        <x:v>Muy alta</x:v>
      </x:c>
      <x:c r="K151" s="179"/>
      <x:c r="L151" s="5"/>
      <x:c r="M151" s="135"/>
      <x:c r="N151" s="158"/>
    </x:row>
    <x:row r="152" ht="34" customHeight="1">
      <x:c r="A152" s="3" t="str">
        <x:v>ONC-010</x:v>
      </x:c>
      <x:c r="B152" s="3" t="str">
        <x:f>IFERROR(INDEX(Prospectos!$F$2:$F$288,MATCH($A152,Prospectos!$A$2:$A$288,0)),"")</x:f>
        <x:v>A</x:v>
      </x:c>
      <x:c r="C152" s="3" t="str">
        <x:f>IFERROR(INDEX(Prospectos!$H$2:$H$288,MATCH($A152,Prospectos!$A$2:$A$288,0)),"")</x:f>
        <x:v>Vial Truck S.A.</x:v>
      </x:c>
      <x:c r="D152" s="3" t="str">
        <x:f>IFERROR(INDEX(Prospectos!$J$2:$J$288,MATCH($A152,Prospectos!$A$2:$A$288,0)),"")</x:f>
        <x:v>Industria y mantenimiento</x:v>
      </x:c>
      <x:c r="E152" s="3" t="str">
        <x:f>IFERROR(INDEX(Prospectos!$C$2:$C$288,MATCH($A152,Prospectos!$A$2:$A$288,0)),"")</x:f>
        <x:v>Oncativo / RN9</x:v>
      </x:c>
      <x:c r="F152" s="3" t="str">
        <x:f>IFERROR(INDEX(Prospectos!$E$2:$E$288,MATCH($A152,Prospectos!$A$2:$A$288,0)),"")</x:f>
        <x:v>Oncativo</x:v>
      </x:c>
      <x:c r="G152" s="3" t="str">
        <x:f>IFERROR(INDEX(Prospectos!$K$2:$K$288,MATCH($A152,Prospectos!$A$2:$A$288,0)),"")</x:f>
        <x:v>03572 455688</x:v>
      </x:c>
      <x:c r="H152" s="3" t="str">
        <x:f>IFERROR(INDEX(Prospectos!$M$2:$M$288,MATCH($A152,Prospectos!$A$2:$A$288,0)),"")</x:f>
        <x:v>logística / despacho / postventa</x:v>
      </x:c>
      <x:c r="I152" s="3" t="str">
        <x:f>IFERROR(INDEX(Prospectos!$N$2:$N$288,MATCH($A152,Prospectos!$A$2:$A$288,0)),"")</x:f>
        <x:v>Traslado de maquinaria, implementos, equipos terminados y componentes de gran porte entre planta, cliente, obra o feria.</x:v>
      </x:c>
      <x:c r="J152" s="3" t="str">
        <x:f>IFERROR(INDEX(Prospectos!$AJ$2:$AJ$288,MATCH($A152,Prospectos!$A$2:$A$288,0)),"")</x:f>
        <x:v>Muy alta</x:v>
      </x:c>
      <x:c r="K152" s="179"/>
      <x:c r="L152" s="3"/>
      <x:c r="M152" s="137"/>
      <x:c r="N152" s="158"/>
    </x:row>
    <x:row r="153" ht="34" customHeight="1">
      <x:c r="A153" s="185" t="str">
        <x:v>ONC-011</x:v>
      </x:c>
      <x:c r="B153" s="185" t="str">
        <x:f>IFERROR(INDEX(Prospectos!$F$2:$F$288,MATCH($A153,Prospectos!$A$2:$A$288,0)),"")</x:f>
        <x:v>B</x:v>
      </x:c>
      <x:c r="C153" s="185" t="str">
        <x:f>IFERROR(INDEX(Prospectos!$H$2:$H$288,MATCH($A153,Prospectos!$A$2:$A$288,0)),"")</x:f>
        <x:v>Metalúrgica Rosas</x:v>
      </x:c>
      <x:c r="D153" s="185" t="str">
        <x:f>IFERROR(INDEX(Prospectos!$J$2:$J$288,MATCH($A153,Prospectos!$A$2:$A$288,0)),"")</x:f>
        <x:v>Metalúrgica y fabricación</x:v>
      </x:c>
      <x:c r="E153" s="185" t="str">
        <x:f>IFERROR(INDEX(Prospectos!$C$2:$C$288,MATCH($A153,Prospectos!$A$2:$A$288,0)),"")</x:f>
        <x:v>Oncativo / RN9</x:v>
      </x:c>
      <x:c r="F153" s="185" t="str">
        <x:f>IFERROR(INDEX(Prospectos!$E$2:$E$288,MATCH($A153,Prospectos!$A$2:$A$288,0)),"")</x:f>
        <x:v>Oncativo</x:v>
      </x:c>
      <x:c r="G153" s="185" t="str">
        <x:f>IFERROR(INDEX(Prospectos!$K$2:$K$288,MATCH($A153,Prospectos!$A$2:$A$288,0)),"")</x:f>
        <x:v>+54 9 3572 549003 / 03572 15617489</x:v>
      </x:c>
      <x:c r="H153" s="185" t="str">
        <x:f>IFERROR(INDEX(Prospectos!$M$2:$M$288,MATCH($A153,Prospectos!$A$2:$A$288,0)),"")</x:f>
        <x:v>despacho / producción</x:v>
      </x:c>
      <x:c r="I153" s="185" t="str">
        <x:f>IFERROR(INDEX(Prospectos!$N$2:$N$288,MATCH($A153,Prospectos!$A$2:$A$288,0)),"")</x:f>
        <x:v>Despacho de estructuras, piezas, equipos y conjuntos metalmecánicos de gran porte hacia obras o clientes.</x:v>
      </x:c>
      <x:c r="J153" s="185" t="str">
        <x:f>IFERROR(INDEX(Prospectos!$AJ$2:$AJ$288,MATCH($A153,Prospectos!$A$2:$A$288,0)),"")</x:f>
        <x:v>Alta</x:v>
      </x:c>
      <x:c r="K153" s="180"/>
      <x:c r="L153" s="9"/>
      <x:c r="M153" s="135"/>
      <x:c r="N153" s="158"/>
    </x:row>
    <x:row r="154" ht="34" customHeight="1">
      <x:c r="A154" s="3" t="str">
        <x:v>ONC-012</x:v>
      </x:c>
      <x:c r="B154" s="3" t="str">
        <x:f>IFERROR(INDEX(Prospectos!$F$2:$F$288,MATCH($A154,Prospectos!$A$2:$A$288,0)),"")</x:f>
        <x:v>B</x:v>
      </x:c>
      <x:c r="C154" s="3" t="str">
        <x:f>IFERROR(INDEX(Prospectos!$H$2:$H$288,MATCH($A154,Prospectos!$A$2:$A$288,0)),"")</x:f>
        <x:v>Bartolomé Cerutti SRL</x:v>
      </x:c>
      <x:c r="D154" s="3" t="str">
        <x:f>IFERROR(INDEX(Prospectos!$J$2:$J$288,MATCH($A154,Prospectos!$A$2:$A$288,0)),"")</x:f>
        <x:v>Maquinaria agrícola</x:v>
      </x:c>
      <x:c r="E154" s="3" t="str">
        <x:f>IFERROR(INDEX(Prospectos!$C$2:$C$288,MATCH($A154,Prospectos!$A$2:$A$288,0)),"")</x:f>
        <x:v>Oncativo / RN9</x:v>
      </x:c>
      <x:c r="F154" s="3" t="str">
        <x:f>IFERROR(INDEX(Prospectos!$E$2:$E$288,MATCH($A154,Prospectos!$A$2:$A$288,0)),"")</x:f>
        <x:v>Oncativo</x:v>
      </x:c>
      <x:c r="G154" s="3" t="str">
        <x:f>IFERROR(INDEX(Prospectos!$K$2:$K$288,MATCH($A154,Prospectos!$A$2:$A$288,0)),"")</x:f>
        <x:v>03572 460754</x:v>
      </x:c>
      <x:c r="H154" s="3" t="str">
        <x:f>IFERROR(INDEX(Prospectos!$M$2:$M$288,MATCH($A154,Prospectos!$A$2:$A$288,0)),"")</x:f>
        <x:v>logística / entregas / postventa</x:v>
      </x:c>
      <x:c r="I154" s="3" t="str">
        <x:f>IFERROR(INDEX(Prospectos!$N$2:$N$288,MATCH($A154,Prospectos!$A$2:$A$288,0)),"")</x:f>
        <x:v>Traslado de maquinaria agrícola o vial entre sucursal, cliente, taller, campo y eventos.</x:v>
      </x:c>
      <x:c r="J154" s="3" t="str">
        <x:f>IFERROR(INDEX(Prospectos!$AJ$2:$AJ$288,MATCH($A154,Prospectos!$A$2:$A$288,0)),"")</x:f>
        <x:v>Alta</x:v>
      </x:c>
      <x:c r="K154" s="179"/>
      <x:c r="L154" s="3"/>
      <x:c r="M154" s="137"/>
      <x:c r="N154" s="158"/>
    </x:row>
    <x:row r="155" ht="34" customHeight="1">
      <x:c r="A155" s="183" t="str">
        <x:v>ONC-013</x:v>
      </x:c>
      <x:c r="B155" s="183" t="str">
        <x:f>IFERROR(INDEX(Prospectos!$F$2:$F$288,MATCH($A155,Prospectos!$A$2:$A$288,0)),"")</x:f>
        <x:v>B</x:v>
      </x:c>
      <x:c r="C155" s="183" t="str">
        <x:f>IFERROR(INDEX(Prospectos!$H$2:$H$288,MATCH($A155,Prospectos!$A$2:$A$288,0)),"")</x:f>
        <x:v>E Postacchini S.A.S.</x:v>
      </x:c>
      <x:c r="D155" s="183" t="str">
        <x:f>IFERROR(INDEX(Prospectos!$J$2:$J$288,MATCH($A155,Prospectos!$A$2:$A$288,0)),"")</x:f>
        <x:v>Maquinaria agrícola</x:v>
      </x:c>
      <x:c r="E155" s="183" t="str">
        <x:f>IFERROR(INDEX(Prospectos!$C$2:$C$288,MATCH($A155,Prospectos!$A$2:$A$288,0)),"")</x:f>
        <x:v>Oncativo / RN9</x:v>
      </x:c>
      <x:c r="F155" s="183" t="str">
        <x:f>IFERROR(INDEX(Prospectos!$E$2:$E$288,MATCH($A155,Prospectos!$A$2:$A$288,0)),"")</x:f>
        <x:v>Oncativo</x:v>
      </x:c>
      <x:c r="G155" s="183" t="str">
        <x:f>IFERROR(INDEX(Prospectos!$K$2:$K$288,MATCH($A155,Prospectos!$A$2:$A$288,0)),"")</x:f>
        <x:v>A relevar</x:v>
      </x:c>
      <x:c r="H155" s="183" t="str">
        <x:f>IFERROR(INDEX(Prospectos!$M$2:$M$288,MATCH($A155,Prospectos!$A$2:$A$288,0)),"")</x:f>
        <x:v>logística / entregas / postventa</x:v>
      </x:c>
      <x:c r="I155" s="183" t="str">
        <x:f>IFERROR(INDEX(Prospectos!$N$2:$N$288,MATCH($A155,Prospectos!$A$2:$A$288,0)),"")</x:f>
        <x:v>Traslado de maquinaria agrícola o vial entre sucursal, cliente, taller, campo y eventos.</x:v>
      </x:c>
      <x:c r="J155" s="183" t="str">
        <x:f>IFERROR(INDEX(Prospectos!$AJ$2:$AJ$288,MATCH($A155,Prospectos!$A$2:$A$288,0)),"")</x:f>
        <x:v>Media</x:v>
      </x:c>
      <x:c r="K155" s="179"/>
      <x:c r="L155" s="5"/>
      <x:c r="M155" s="135"/>
      <x:c r="N155" s="158"/>
    </x:row>
    <x:row r="156" ht="34" customHeight="1">
      <x:c r="A156" s="3" t="str">
        <x:v>ONC-014</x:v>
      </x:c>
      <x:c r="B156" s="3" t="str">
        <x:f>IFERROR(INDEX(Prospectos!$F$2:$F$288,MATCH($A156,Prospectos!$A$2:$A$288,0)),"")</x:f>
        <x:v>B</x:v>
      </x:c>
      <x:c r="C156" s="3" t="str">
        <x:f>IFERROR(INDEX(Prospectos!$H$2:$H$288,MATCH($A156,Prospectos!$A$2:$A$288,0)),"")</x:f>
        <x:v>Serra Obras y Redes</x:v>
      </x:c>
      <x:c r="D156" s="3" t="str">
        <x:f>IFERROR(INDEX(Prospectos!$J$2:$J$288,MATCH($A156,Prospectos!$A$2:$A$288,0)),"")</x:f>
        <x:v>Construcción y obra vial</x:v>
      </x:c>
      <x:c r="E156" s="3" t="str">
        <x:f>IFERROR(INDEX(Prospectos!$C$2:$C$288,MATCH($A156,Prospectos!$A$2:$A$288,0)),"")</x:f>
        <x:v>Oncativo / RN9</x:v>
      </x:c>
      <x:c r="F156" s="3" t="str">
        <x:f>IFERROR(INDEX(Prospectos!$E$2:$E$288,MATCH($A156,Prospectos!$A$2:$A$288,0)),"")</x:f>
        <x:v>Oncativo</x:v>
      </x:c>
      <x:c r="G156" s="3" t="str">
        <x:f>IFERROR(INDEX(Prospectos!$K$2:$K$288,MATCH($A156,Prospectos!$A$2:$A$288,0)),"")</x:f>
        <x:v>03572 436146</x:v>
      </x:c>
      <x:c r="H156" s="3" t="str">
        <x:f>IFERROR(INDEX(Prospectos!$M$2:$M$288,MATCH($A156,Prospectos!$A$2:$A$288,0)),"")</x:f>
        <x:v>jefe de obra / operaciones</x:v>
      </x:c>
      <x:c r="I156" s="3" t="str">
        <x:f>IFERROR(INDEX(Prospectos!$N$2:$N$288,MATCH($A156,Prospectos!$A$2:$A$288,0)),"")</x:f>
        <x:v>Traslado de maquinaria, módulos de obrador, estructuras y equipos entre depósitos y frentes de obra.</x:v>
      </x:c>
      <x:c r="J156" s="3" t="str">
        <x:f>IFERROR(INDEX(Prospectos!$AJ$2:$AJ$288,MATCH($A156,Prospectos!$A$2:$A$288,0)),"")</x:f>
        <x:v>Alta</x:v>
      </x:c>
      <x:c r="K156" s="179"/>
      <x:c r="L156" s="3"/>
      <x:c r="M156" s="137"/>
      <x:c r="N156" s="158"/>
    </x:row>
    <x:row r="157" ht="34" customHeight="1">
      <x:c r="A157" s="185" t="str">
        <x:v>ONC-015</x:v>
      </x:c>
      <x:c r="B157" s="185" t="str">
        <x:f>IFERROR(INDEX(Prospectos!$F$2:$F$288,MATCH($A157,Prospectos!$A$2:$A$288,0)),"")</x:f>
        <x:v>B</x:v>
      </x:c>
      <x:c r="C157" s="185" t="str">
        <x:f>IFERROR(INDEX(Prospectos!$H$2:$H$288,MATCH($A157,Prospectos!$A$2:$A$288,0)),"")</x:f>
        <x:v>Tantucci Construcciones</x:v>
      </x:c>
      <x:c r="D157" s="185" t="str">
        <x:f>IFERROR(INDEX(Prospectos!$J$2:$J$288,MATCH($A157,Prospectos!$A$2:$A$288,0)),"")</x:f>
        <x:v>Construcción y obra vial</x:v>
      </x:c>
      <x:c r="E157" s="185" t="str">
        <x:f>IFERROR(INDEX(Prospectos!$C$2:$C$288,MATCH($A157,Prospectos!$A$2:$A$288,0)),"")</x:f>
        <x:v>Oncativo / RN9</x:v>
      </x:c>
      <x:c r="F157" s="185" t="str">
        <x:f>IFERROR(INDEX(Prospectos!$E$2:$E$288,MATCH($A157,Prospectos!$A$2:$A$288,0)),"")</x:f>
        <x:v>Oncativo</x:v>
      </x:c>
      <x:c r="G157" s="185" t="str">
        <x:f>IFERROR(INDEX(Prospectos!$K$2:$K$288,MATCH($A157,Prospectos!$A$2:$A$288,0)),"")</x:f>
        <x:v>03572 402571</x:v>
      </x:c>
      <x:c r="H157" s="185" t="str">
        <x:f>IFERROR(INDEX(Prospectos!$M$2:$M$288,MATCH($A157,Prospectos!$A$2:$A$288,0)),"")</x:f>
        <x:v>jefe de obra / operaciones</x:v>
      </x:c>
      <x:c r="I157" s="185" t="str">
        <x:f>IFERROR(INDEX(Prospectos!$N$2:$N$288,MATCH($A157,Prospectos!$A$2:$A$288,0)),"")</x:f>
        <x:v>Traslado de maquinaria, módulos de obrador, estructuras y equipos entre depósitos y frentes de obra.</x:v>
      </x:c>
      <x:c r="J157" s="185" t="str">
        <x:f>IFERROR(INDEX(Prospectos!$AJ$2:$AJ$288,MATCH($A157,Prospectos!$A$2:$A$288,0)),"")</x:f>
        <x:v>Alta</x:v>
      </x:c>
      <x:c r="K157" s="180"/>
      <x:c r="L157" s="9"/>
      <x:c r="M157" s="135"/>
      <x:c r="N157" s="158"/>
    </x:row>
    <x:row r="158" ht="34" customHeight="1">
      <x:c r="A158" s="7" t="str">
        <x:v>ONC-016</x:v>
      </x:c>
      <x:c r="B158" s="7" t="str">
        <x:f>IFERROR(INDEX(Prospectos!$F$2:$F$288,MATCH($A158,Prospectos!$A$2:$A$288,0)),"")</x:f>
        <x:v>B</x:v>
      </x:c>
      <x:c r="C158" s="7" t="str">
        <x:f>IFERROR(INDEX(Prospectos!$H$2:$H$288,MATCH($A158,Prospectos!$A$2:$A$288,0)),"")</x:f>
        <x:v>Agro Repuestos Oncativo</x:v>
      </x:c>
      <x:c r="D158" s="7" t="str">
        <x:f>IFERROR(INDEX(Prospectos!$J$2:$J$288,MATCH($A158,Prospectos!$A$2:$A$288,0)),"")</x:f>
        <x:v>Maquinaria agrícola</x:v>
      </x:c>
      <x:c r="E158" s="7" t="str">
        <x:f>IFERROR(INDEX(Prospectos!$C$2:$C$288,MATCH($A158,Prospectos!$A$2:$A$288,0)),"")</x:f>
        <x:v>Oncativo / RN9</x:v>
      </x:c>
      <x:c r="F158" s="7" t="str">
        <x:f>IFERROR(INDEX(Prospectos!$E$2:$E$288,MATCH($A158,Prospectos!$A$2:$A$288,0)),"")</x:f>
        <x:v>Oncativo</x:v>
      </x:c>
      <x:c r="G158" s="7" t="str">
        <x:f>IFERROR(INDEX(Prospectos!$K$2:$K$288,MATCH($A158,Prospectos!$A$2:$A$288,0)),"")</x:f>
        <x:v>03572 466328</x:v>
      </x:c>
      <x:c r="H158" s="7" t="str">
        <x:f>IFERROR(INDEX(Prospectos!$M$2:$M$288,MATCH($A158,Prospectos!$A$2:$A$288,0)),"")</x:f>
        <x:v>logística / entregas / postventa</x:v>
      </x:c>
      <x:c r="I158" s="7" t="str">
        <x:f>IFERROR(INDEX(Prospectos!$N$2:$N$288,MATCH($A158,Prospectos!$A$2:$A$288,0)),"")</x:f>
        <x:v>Traslado de maquinaria agrícola o vial entre sucursal, cliente, taller, campo y eventos.</x:v>
      </x:c>
      <x:c r="J158" s="7" t="str">
        <x:f>IFERROR(INDEX(Prospectos!$AJ$2:$AJ$288,MATCH($A158,Prospectos!$A$2:$A$288,0)),"")</x:f>
        <x:v>Alta</x:v>
      </x:c>
      <x:c r="K158" s="181"/>
      <x:c r="L158" s="7"/>
      <x:c r="M158" s="137"/>
      <x:c r="N158" s="158"/>
    </x:row>
    <x:row r="159" ht="34" customHeight="1">
      <x:c r="A159" s="183" t="str">
        <x:v>ONC-017</x:v>
      </x:c>
      <x:c r="B159" s="183" t="str">
        <x:f>IFERROR(INDEX(Prospectos!$F$2:$F$288,MATCH($A159,Prospectos!$A$2:$A$288,0)),"")</x:f>
        <x:v>C</x:v>
      </x:c>
      <x:c r="C159" s="183" t="str">
        <x:f>IFERROR(INDEX(Prospectos!$H$2:$H$288,MATCH($A159,Prospectos!$A$2:$A$288,0)),"")</x:f>
        <x:v>Murature Oncativo S.A.</x:v>
      </x:c>
      <x:c r="D159" s="183" t="str">
        <x:f>IFERROR(INDEX(Prospectos!$J$2:$J$288,MATCH($A159,Prospectos!$A$2:$A$288,0)),"")</x:f>
        <x:v>Agro, acopio y cooperativas</x:v>
      </x:c>
      <x:c r="E159" s="183" t="str">
        <x:f>IFERROR(INDEX(Prospectos!$C$2:$C$288,MATCH($A159,Prospectos!$A$2:$A$288,0)),"")</x:f>
        <x:v>Oncativo / RN9</x:v>
      </x:c>
      <x:c r="F159" s="183" t="str">
        <x:f>IFERROR(INDEX(Prospectos!$E$2:$E$288,MATCH($A159,Prospectos!$A$2:$A$288,0)),"")</x:f>
        <x:v>Oncativo</x:v>
      </x:c>
      <x:c r="G159" s="183" t="str">
        <x:f>IFERROR(INDEX(Prospectos!$K$2:$K$288,MATCH($A159,Prospectos!$A$2:$A$288,0)),"")</x:f>
        <x:v>A relevar</x:v>
      </x:c>
      <x:c r="H159" s="183" t="str">
        <x:f>IFERROR(INDEX(Prospectos!$M$2:$M$288,MATCH($A159,Prospectos!$A$2:$A$288,0)),"")</x:f>
        <x:v>responsable de acopio / mantenimiento</x:v>
      </x:c>
      <x:c r="I159" s="183" t="str">
        <x:f>IFERROR(INDEX(Prospectos!$N$2:$N$288,MATCH($A159,Prospectos!$A$2:$A$288,0)),"")</x:f>
        <x:v>Traslado de equipos de planta, silos, repuestos pesados, balanzas, implementos y cargas especiales.</x:v>
      </x:c>
      <x:c r="J159" s="183" t="str">
        <x:f>IFERROR(INDEX(Prospectos!$AJ$2:$AJ$288,MATCH($A159,Prospectos!$A$2:$A$288,0)),"")</x:f>
        <x:v>Baja / visitar solo por cercanía</x:v>
      </x:c>
      <x:c r="K159" s="179"/>
      <x:c r="L159" s="5"/>
      <x:c r="M159" s="135"/>
      <x:c r="N159" s="158"/>
    </x:row>
    <x:row r="160" ht="34" customHeight="1">
      <x:c r="A160" s="3" t="str">
        <x:v>ONC-018</x:v>
      </x:c>
      <x:c r="B160" s="3" t="str">
        <x:f>IFERROR(INDEX(Prospectos!$F$2:$F$288,MATCH($A160,Prospectos!$A$2:$A$288,0)),"")</x:f>
        <x:v>A</x:v>
      </x:c>
      <x:c r="C160" s="3" t="str">
        <x:f>IFERROR(INDEX(Prospectos!$H$2:$H$288,MATCH($A160,Prospectos!$A$2:$A$288,0)),"")</x:f>
        <x:v>Cooperativa Agrícola Ganadera y de Consumo de Oncativo Ltda.</x:v>
      </x:c>
      <x:c r="D160" s="3" t="str">
        <x:f>IFERROR(INDEX(Prospectos!$J$2:$J$288,MATCH($A160,Prospectos!$A$2:$A$288,0)),"")</x:f>
        <x:v>Agro, acopio y cooperativas</x:v>
      </x:c>
      <x:c r="E160" s="3" t="str">
        <x:f>IFERROR(INDEX(Prospectos!$C$2:$C$288,MATCH($A160,Prospectos!$A$2:$A$288,0)),"")</x:f>
        <x:v>Oncativo / RN9-RP10</x:v>
      </x:c>
      <x:c r="F160" s="3" t="str">
        <x:f>IFERROR(INDEX(Prospectos!$E$2:$E$288,MATCH($A160,Prospectos!$A$2:$A$288,0)),"")</x:f>
        <x:v>Oncativo</x:v>
      </x:c>
      <x:c r="G160" s="3" t="str">
        <x:f>IFERROR(INDEX(Prospectos!$K$2:$K$288,MATCH($A160,Prospectos!$A$2:$A$288,0)),"")</x:f>
        <x:v>03572 456777 / 03572 15583757</x:v>
      </x:c>
      <x:c r="H160" s="3" t="str">
        <x:f>IFERROR(INDEX(Prospectos!$M$2:$M$288,MATCH($A160,Prospectos!$A$2:$A$288,0)),"")</x:f>
        <x:v>acopio / insumos / mantenimiento</x:v>
      </x:c>
      <x:c r="I160" s="3" t="str">
        <x:f>IFERROR(INDEX(Prospectos!$N$2:$N$288,MATCH($A160,Prospectos!$A$2:$A$288,0)),"")</x:f>
        <x:v>Traslado de insumos, pallets, fertilizantes, repuestos pesados, silos/equipos y apoyo de mantenimiento en planta.</x:v>
      </x:c>
      <x:c r="J160" s="3" t="str">
        <x:f>IFERROR(INDEX(Prospectos!$AJ$2:$AJ$288,MATCH($A160,Prospectos!$A$2:$A$288,0)),"")</x:f>
        <x:v>Muy alta</x:v>
      </x:c>
      <x:c r="K160" s="179"/>
      <x:c r="L160" s="3"/>
      <x:c r="M160" s="137"/>
      <x:c r="N160" s="158"/>
    </x:row>
    <x:row r="161" ht="34" customHeight="1">
      <x:c r="A161" s="183" t="str">
        <x:v>ONC-019</x:v>
      </x:c>
      <x:c r="B161" s="183" t="str">
        <x:f>IFERROR(INDEX(Prospectos!$F$2:$F$288,MATCH($A161,Prospectos!$A$2:$A$288,0)),"")</x:f>
        <x:v>B</x:v>
      </x:c>
      <x:c r="C161" s="183" t="str">
        <x:f>IFERROR(INDEX(Prospectos!$H$2:$H$288,MATCH($A161,Prospectos!$A$2:$A$288,0)),"")</x:f>
        <x:v>El Triunfo Oncativo</x:v>
      </x:c>
      <x:c r="D161" s="183" t="str">
        <x:f>IFERROR(INDEX(Prospectos!$J$2:$J$288,MATCH($A161,Prospectos!$A$2:$A$288,0)),"")</x:f>
        <x:v>Agro, acopio y cooperativas</x:v>
      </x:c>
      <x:c r="E161" s="183" t="str">
        <x:f>IFERROR(INDEX(Prospectos!$C$2:$C$288,MATCH($A161,Prospectos!$A$2:$A$288,0)),"")</x:f>
        <x:v>Oncativo / RN9-RP10</x:v>
      </x:c>
      <x:c r="F161" s="183" t="str">
        <x:f>IFERROR(INDEX(Prospectos!$E$2:$E$288,MATCH($A161,Prospectos!$A$2:$A$288,0)),"")</x:f>
        <x:v>Oncativo</x:v>
      </x:c>
      <x:c r="G161" s="183" t="str">
        <x:f>IFERROR(INDEX(Prospectos!$K$2:$K$288,MATCH($A161,Prospectos!$A$2:$A$288,0)),"")</x:f>
        <x:v>03572 466288 / +54 9 3572 408824</x:v>
      </x:c>
      <x:c r="H161" s="183" t="str">
        <x:f>IFERROR(INDEX(Prospectos!$M$2:$M$288,MATCH($A161,Prospectos!$A$2:$A$288,0)),"")</x:f>
        <x:v>acopio / logística / insumos</x:v>
      </x:c>
      <x:c r="I161" s="183" t="str">
        <x:f>IFERROR(INDEX(Prospectos!$N$2:$N$288,MATCH($A161,Prospectos!$A$2:$A$288,0)),"")</x:f>
        <x:v>Traslado de insumos, pallets, fertilizantes, repuestos pesados, silos/equipos y apoyo de mantenimiento en planta.</x:v>
      </x:c>
      <x:c r="J161" s="183" t="str">
        <x:f>IFERROR(INDEX(Prospectos!$AJ$2:$AJ$288,MATCH($A161,Prospectos!$A$2:$A$288,0)),"")</x:f>
        <x:v>Alta</x:v>
      </x:c>
      <x:c r="K161" s="179"/>
      <x:c r="L161" s="5"/>
      <x:c r="M161" s="135"/>
      <x:c r="N161" s="158"/>
    </x:row>
    <x:row r="162" ht="34" customHeight="1">
      <x:c r="A162" s="3" t="str">
        <x:v>ONC-020</x:v>
      </x:c>
      <x:c r="B162" s="3" t="str">
        <x:f>IFERROR(INDEX(Prospectos!$F$2:$F$288,MATCH($A162,Prospectos!$A$2:$A$288,0)),"")</x:f>
        <x:v>B</x:v>
      </x:c>
      <x:c r="C162" s="3" t="str">
        <x:f>IFERROR(INDEX(Prospectos!$H$2:$H$288,MATCH($A162,Prospectos!$A$2:$A$288,0)),"")</x:f>
        <x:v>IPC Oncativo / Piscinas IPC</x:v>
      </x:c>
      <x:c r="D162" s="3" t="str">
        <x:f>IFERROR(INDEX(Prospectos!$J$2:$J$288,MATCH($A162,Prospectos!$A$2:$A$288,0)),"")</x:f>
        <x:v>PRFV y plásticos</x:v>
      </x:c>
      <x:c r="E162" s="3" t="str">
        <x:f>IFERROR(INDEX(Prospectos!$C$2:$C$288,MATCH($A162,Prospectos!$A$2:$A$288,0)),"")</x:f>
        <x:v>Oncativo / RN9-RP10</x:v>
      </x:c>
      <x:c r="F162" s="3" t="str">
        <x:f>IFERROR(INDEX(Prospectos!$E$2:$E$288,MATCH($A162,Prospectos!$A$2:$A$288,0)),"")</x:f>
        <x:v>Oncativo</x:v>
      </x:c>
      <x:c r="G162" s="3" t="str">
        <x:f>IFERROR(INDEX(Prospectos!$K$2:$K$288,MATCH($A162,Prospectos!$A$2:$A$288,0)),"")</x:f>
        <x:v>3572 53-2233</x:v>
      </x:c>
      <x:c r="H162" s="3" t="str">
        <x:f>IFERROR(INDEX(Prospectos!$M$2:$M$288,MATCH($A162,Prospectos!$A$2:$A$288,0)),"")</x:f>
        <x:v>ventas / logística</x:v>
      </x:c>
      <x:c r="I162" s="3" t="str">
        <x:f>IFERROR(INDEX(Prospectos!$N$2:$N$288,MATCH($A162,Prospectos!$A$2:$A$288,0)),"")</x:f>
        <x:v>Retiro, traslado y descarga de piletas/fibra o piezas voluminosas livianas, con cuidado de maniobra.</x:v>
      </x:c>
      <x:c r="J162" s="3" t="str">
        <x:f>IFERROR(INDEX(Prospectos!$AJ$2:$AJ$288,MATCH($A162,Prospectos!$A$2:$A$288,0)),"")</x:f>
        <x:v>Alta</x:v>
      </x:c>
      <x:c r="K162" s="179"/>
      <x:c r="L162" s="3"/>
      <x:c r="M162" s="137"/>
      <x:c r="N162" s="158"/>
    </x:row>
    <x:row r="163" ht="34" customHeight="1">
      <x:c r="A163" s="183" t="str">
        <x:v>ONC-021</x:v>
      </x:c>
      <x:c r="B163" s="183" t="str">
        <x:f>IFERROR(INDEX(Prospectos!$F$2:$F$288,MATCH($A163,Prospectos!$A$2:$A$288,0)),"")</x:f>
        <x:v>B</x:v>
      </x:c>
      <x:c r="C163" s="183" t="str">
        <x:f>IFERROR(INDEX(Prospectos!$H$2:$H$288,MATCH($A163,Prospectos!$A$2:$A$288,0)),"")</x:f>
        <x:v>Premoldeados Oncativo</x:v>
      </x:c>
      <x:c r="D163" s="183" t="str">
        <x:f>IFERROR(INDEX(Prospectos!$J$2:$J$288,MATCH($A163,Prospectos!$A$2:$A$288,0)),"")</x:f>
        <x:v>Hormigón, áridos y materiales</x:v>
      </x:c>
      <x:c r="E163" s="183" t="str">
        <x:f>IFERROR(INDEX(Prospectos!$C$2:$C$288,MATCH($A163,Prospectos!$A$2:$A$288,0)),"")</x:f>
        <x:v>Oncativo / RN9-RP10</x:v>
      </x:c>
      <x:c r="F163" s="183" t="str">
        <x:f>IFERROR(INDEX(Prospectos!$E$2:$E$288,MATCH($A163,Prospectos!$A$2:$A$288,0)),"")</x:f>
        <x:v>Oncativo</x:v>
      </x:c>
      <x:c r="G163" s="183" t="str">
        <x:f>IFERROR(INDEX(Prospectos!$K$2:$K$288,MATCH($A163,Prospectos!$A$2:$A$288,0)),"")</x:f>
        <x:v>03572 466096</x:v>
      </x:c>
      <x:c r="H163" s="183" t="str">
        <x:f>IFERROR(INDEX(Prospectos!$M$2:$M$288,MATCH($A163,Prospectos!$A$2:$A$288,0)),"")</x:f>
        <x:v>planta / despacho</x:v>
      </x:c>
      <x:c r="I163" s="183" t="str">
        <x:f>IFERROR(INDEX(Prospectos!$N$2:$N$288,MATCH($A163,Prospectos!$A$2:$A$288,0)),"")</x:f>
        <x:v>Movimiento de áridos, premoldeados, equipos de planta/cantera, moldes, bolsones y materiales de obra.</x:v>
      </x:c>
      <x:c r="J163" s="183" t="str">
        <x:f>IFERROR(INDEX(Prospectos!$AJ$2:$AJ$288,MATCH($A163,Prospectos!$A$2:$A$288,0)),"")</x:f>
        <x:v>Alta</x:v>
      </x:c>
      <x:c r="K163" s="179"/>
      <x:c r="L163" s="5"/>
      <x:c r="M163" s="135"/>
      <x:c r="N163" s="158"/>
    </x:row>
    <x:row r="164" ht="34" customHeight="1">
      <x:c r="A164" s="3" t="str">
        <x:v>ONC-022</x:v>
      </x:c>
      <x:c r="B164" s="3" t="str">
        <x:f>IFERROR(INDEX(Prospectos!$F$2:$F$288,MATCH($A164,Prospectos!$A$2:$A$288,0)),"")</x:f>
        <x:v>C</x:v>
      </x:c>
      <x:c r="C164" s="3" t="str">
        <x:f>IFERROR(INDEX(Prospectos!$H$2:$H$288,MATCH($A164,Prospectos!$A$2:$A$288,0)),"")</x:f>
        <x:v>CESOPOL Oncativo</x:v>
      </x:c>
      <x:c r="D164" s="3" t="str">
        <x:f>IFERROR(INDEX(Prospectos!$J$2:$J$288,MATCH($A164,Prospectos!$A$2:$A$288,0)),"")</x:f>
        <x:v>Agro, acopio y cooperativas</x:v>
      </x:c>
      <x:c r="E164" s="3" t="str">
        <x:f>IFERROR(INDEX(Prospectos!$C$2:$C$288,MATCH($A164,Prospectos!$A$2:$A$288,0)),"")</x:f>
        <x:v>Oncativo / RN9-RP10</x:v>
      </x:c>
      <x:c r="F164" s="3" t="str">
        <x:f>IFERROR(INDEX(Prospectos!$E$2:$E$288,MATCH($A164,Prospectos!$A$2:$A$288,0)),"")</x:f>
        <x:v>Oncativo</x:v>
      </x:c>
      <x:c r="G164" s="3" t="str">
        <x:f>IFERROR(INDEX(Prospectos!$K$2:$K$288,MATCH($A164,Prospectos!$A$2:$A$288,0)),"")</x:f>
        <x:v>03572 455000 / +54 9 3572 593391</x:v>
      </x:c>
      <x:c r="H164" s="3" t="str">
        <x:f>IFERROR(INDEX(Prospectos!$M$2:$M$288,MATCH($A164,Prospectos!$A$2:$A$288,0)),"")</x:f>
        <x:v>mantenimiento / redes / compras</x:v>
      </x:c>
      <x:c r="I164" s="3" t="str">
        <x:f>IFERROR(INDEX(Prospectos!$N$2:$N$288,MATCH($A164,Prospectos!$A$2:$A$288,0)),"")</x:f>
        <x:v>Traslado de insumos, pallets, fertilizantes, repuestos pesados, silos/equipos y apoyo de mantenimiento en planta.</x:v>
      </x:c>
      <x:c r="J164" s="3" t="str">
        <x:f>IFERROR(INDEX(Prospectos!$AJ$2:$AJ$288,MATCH($A164,Prospectos!$A$2:$A$288,0)),"")</x:f>
        <x:v>Media</x:v>
      </x:c>
      <x:c r="K164" s="179"/>
      <x:c r="L164" s="3"/>
      <x:c r="M164" s="137"/>
      <x:c r="N164" s="158"/>
    </x:row>
    <x:row r="165" ht="34" customHeight="1">
      <x:c r="A165" s="183" t="str">
        <x:v>AGI-001</x:v>
      </x:c>
      <x:c r="B165" s="183" t="str">
        <x:f>IFERROR(INDEX(Prospectos!$F$2:$F$288,MATCH($A165,Prospectos!$A$2:$A$288,0)),"")</x:f>
        <x:v>A</x:v>
      </x:c>
      <x:c r="C165" s="183" t="str">
        <x:f>IFERROR(INDEX(Prospectos!$H$2:$H$288,MATCH($A165,Prospectos!$A$2:$A$288,0)),"")</x:f>
        <x:v>Cotagro — Alcira Gigena</x:v>
      </x:c>
      <x:c r="D165" s="183" t="str">
        <x:f>IFERROR(INDEX(Prospectos!$J$2:$J$288,MATCH($A165,Prospectos!$A$2:$A$288,0)),"")</x:f>
        <x:v>Agroindustria y alimentos</x:v>
      </x:c>
      <x:c r="E165" s="183" t="str">
        <x:f>IFERROR(INDEX(Prospectos!$C$2:$C$288,MATCH($A165,Prospectos!$A$2:$A$288,0)),"")</x:f>
        <x:v>Río Cuarto / RN36 sur</x:v>
      </x:c>
      <x:c r="F165" s="183" t="str">
        <x:f>IFERROR(INDEX(Prospectos!$E$2:$E$288,MATCH($A165,Prospectos!$A$2:$A$288,0)),"")</x:f>
        <x:v>Alcira Gigena</x:v>
      </x:c>
      <x:c r="G165" s="183" t="str">
        <x:f>IFERROR(INDEX(Prospectos!$K$2:$K$288,MATCH($A165,Prospectos!$A$2:$A$288,0)),"")</x:f>
        <x:v>358 4393127 / 358 4125695 / 0358 4933333</x:v>
      </x:c>
      <x:c r="H165" s="183" t="str">
        <x:f>IFERROR(INDEX(Prospectos!$M$2:$M$288,MATCH($A165,Prospectos!$A$2:$A$288,0)),"")</x:f>
        <x:v>operaciones / entregas</x:v>
      </x:c>
      <x:c r="I165" s="183" t="str">
        <x:f>IFERROR(INDEX(Prospectos!$N$2:$N$288,MATCH($A165,Prospectos!$A$2:$A$288,0)),"")</x:f>
        <x:v>Traslado de equipos de planta, silos, repuestos pesados, balanzas, implementos y cargas especiales.</x:v>
      </x:c>
      <x:c r="J165" s="183" t="str">
        <x:f>IFERROR(INDEX(Prospectos!$AJ$2:$AJ$288,MATCH($A165,Prospectos!$A$2:$A$288,0)),"")</x:f>
        <x:v>Muy alta</x:v>
      </x:c>
      <x:c r="K165" s="179"/>
      <x:c r="L165" s="5"/>
      <x:c r="M165" s="135"/>
      <x:c r="N165" s="158"/>
    </x:row>
    <x:row r="166" ht="34" customHeight="1">
      <x:c r="A166" s="3" t="str">
        <x:v>AGI-004</x:v>
      </x:c>
      <x:c r="B166" s="3" t="str">
        <x:f>IFERROR(INDEX(Prospectos!$F$2:$F$288,MATCH($A166,Prospectos!$A$2:$A$288,0)),"")</x:f>
        <x:v>A</x:v>
      </x:c>
      <x:c r="C166" s="3" t="str">
        <x:f>IFERROR(INDEX(Prospectos!$H$2:$H$288,MATCH($A166,Prospectos!$A$2:$A$288,0)),"")</x:f>
        <x:v>Tecno Mac S.R.L.</x:v>
      </x:c>
      <x:c r="D166" s="3" t="str">
        <x:f>IFERROR(INDEX(Prospectos!$J$2:$J$288,MATCH($A166,Prospectos!$A$2:$A$288,0)),"")</x:f>
        <x:v>Maquinaria agrícola</x:v>
      </x:c>
      <x:c r="E166" s="3" t="str">
        <x:f>IFERROR(INDEX(Prospectos!$C$2:$C$288,MATCH($A166,Prospectos!$A$2:$A$288,0)),"")</x:f>
        <x:v>Río Cuarto / RN36 sur</x:v>
      </x:c>
      <x:c r="F166" s="3" t="str">
        <x:f>IFERROR(INDEX(Prospectos!$E$2:$E$288,MATCH($A166,Prospectos!$A$2:$A$288,0)),"")</x:f>
        <x:v>Alcira Gigena</x:v>
      </x:c>
      <x:c r="G166" s="3" t="str">
        <x:f>IFERROR(INDEX(Prospectos!$K$2:$K$288,MATCH($A166,Prospectos!$A$2:$A$288,0)),"")</x:f>
        <x:v>+54 9 358 4960187</x:v>
      </x:c>
      <x:c r="H166" s="3" t="str">
        <x:f>IFERROR(INDEX(Prospectos!$M$2:$M$288,MATCH($A166,Prospectos!$A$2:$A$288,0)),"")</x:f>
        <x:v>logística / ventas / postventa</x:v>
      </x:c>
      <x:c r="I166" s="3" t="str">
        <x:f>IFERROR(INDEX(Prospectos!$N$2:$N$288,MATCH($A166,Prospectos!$A$2:$A$288,0)),"")</x:f>
        <x:v>Entrega y retiro de tractores, cosechadoras, pulverizadoras, sembradoras e implementos; movimientos por venta, service, canje, demostraciones o ferias.</x:v>
      </x:c>
      <x:c r="J166" s="3" t="str">
        <x:f>IFERROR(INDEX(Prospectos!$AJ$2:$AJ$288,MATCH($A166,Prospectos!$A$2:$A$288,0)),"")</x:f>
        <x:v>Muy alta</x:v>
      </x:c>
      <x:c r="K166" s="179"/>
      <x:c r="L166" s="3"/>
      <x:c r="M166" s="137"/>
      <x:c r="N166" s="158"/>
    </x:row>
    <x:row r="167" ht="34" customHeight="1">
      <x:c r="A167" s="183" t="str">
        <x:v>AGI-005</x:v>
      </x:c>
      <x:c r="B167" s="183" t="str">
        <x:f>IFERROR(INDEX(Prospectos!$F$2:$F$288,MATCH($A167,Prospectos!$A$2:$A$288,0)),"")</x:f>
        <x:v>A</x:v>
      </x:c>
      <x:c r="C167" s="183" t="str">
        <x:f>IFERROR(INDEX(Prospectos!$H$2:$H$288,MATCH($A167,Prospectos!$A$2:$A$288,0)),"")</x:f>
        <x:v>M y G Maquinarias S.R.L.</x:v>
      </x:c>
      <x:c r="D167" s="183" t="str">
        <x:f>IFERROR(INDEX(Prospectos!$J$2:$J$288,MATCH($A167,Prospectos!$A$2:$A$288,0)),"")</x:f>
        <x:v>Maquinaria agrícola</x:v>
      </x:c>
      <x:c r="E167" s="183" t="str">
        <x:f>IFERROR(INDEX(Prospectos!$C$2:$C$288,MATCH($A167,Prospectos!$A$2:$A$288,0)),"")</x:f>
        <x:v>Río Cuarto / RN36 sur</x:v>
      </x:c>
      <x:c r="F167" s="183" t="str">
        <x:f>IFERROR(INDEX(Prospectos!$E$2:$E$288,MATCH($A167,Prospectos!$A$2:$A$288,0)),"")</x:f>
        <x:v>Alcira Gigena</x:v>
      </x:c>
      <x:c r="G167" s="183" t="str">
        <x:f>IFERROR(INDEX(Prospectos!$K$2:$K$288,MATCH($A167,Prospectos!$A$2:$A$288,0)),"")</x:f>
        <x:v>+54 9 3584 255555</x:v>
      </x:c>
      <x:c r="H167" s="183" t="str">
        <x:f>IFERROR(INDEX(Prospectos!$M$2:$M$288,MATCH($A167,Prospectos!$A$2:$A$288,0)),"")</x:f>
        <x:v>logística / ventas / postventa</x:v>
      </x:c>
      <x:c r="I167" s="183" t="str">
        <x:f>IFERROR(INDEX(Prospectos!$N$2:$N$288,MATCH($A167,Prospectos!$A$2:$A$288,0)),"")</x:f>
        <x:v>Entrega y retiro de tractores, cosechadoras, pulverizadoras, sembradoras e implementos; movimientos por venta, service, canje, demostraciones o ferias.</x:v>
      </x:c>
      <x:c r="J167" s="183" t="str">
        <x:f>IFERROR(INDEX(Prospectos!$AJ$2:$AJ$288,MATCH($A167,Prospectos!$A$2:$A$288,0)),"")</x:f>
        <x:v>Alta</x:v>
      </x:c>
      <x:c r="K167" s="179"/>
      <x:c r="L167" s="5"/>
      <x:c r="M167" s="135"/>
      <x:c r="N167" s="158"/>
    </x:row>
    <x:row r="168" ht="34" customHeight="1">
      <x:c r="A168" s="3" t="str">
        <x:v>AGI-002</x:v>
      </x:c>
      <x:c r="B168" s="3" t="str">
        <x:f>IFERROR(INDEX(Prospectos!$F$2:$F$288,MATCH($A168,Prospectos!$A$2:$A$288,0)),"")</x:f>
        <x:v>B</x:v>
      </x:c>
      <x:c r="C168" s="3" t="str">
        <x:f>IFERROR(INDEX(Prospectos!$H$2:$H$288,MATCH($A168,Prospectos!$A$2:$A$288,0)),"")</x:f>
        <x:v>Cooperativa Alba de Gigena</x:v>
      </x:c>
      <x:c r="D168" s="3" t="str">
        <x:f>IFERROR(INDEX(Prospectos!$J$2:$J$288,MATCH($A168,Prospectos!$A$2:$A$288,0)),"")</x:f>
        <x:v>Agro, acopio y cooperativas</x:v>
      </x:c>
      <x:c r="E168" s="3" t="str">
        <x:f>IFERROR(INDEX(Prospectos!$C$2:$C$288,MATCH($A168,Prospectos!$A$2:$A$288,0)),"")</x:f>
        <x:v>Río Cuarto / RN36 sur</x:v>
      </x:c>
      <x:c r="F168" s="3" t="str">
        <x:f>IFERROR(INDEX(Prospectos!$E$2:$E$288,MATCH($A168,Prospectos!$A$2:$A$288,0)),"")</x:f>
        <x:v>Alcira Gigena</x:v>
      </x:c>
      <x:c r="G168" s="3" t="str">
        <x:f>IFERROR(INDEX(Prospectos!$K$2:$K$288,MATCH($A168,Prospectos!$A$2:$A$288,0)),"")</x:f>
        <x:v>0358 4960151</x:v>
      </x:c>
      <x:c r="H168" s="3" t="str">
        <x:f>IFERROR(INDEX(Prospectos!$M$2:$M$288,MATCH($A168,Prospectos!$A$2:$A$288,0)),"")</x:f>
        <x:v>responsable de acopio / mantenimiento</x:v>
      </x:c>
      <x:c r="I168" s="3" t="str">
        <x:f>IFERROR(INDEX(Prospectos!$N$2:$N$288,MATCH($A168,Prospectos!$A$2:$A$288,0)),"")</x:f>
        <x:v>Traslado de equipos de planta, silos, repuestos pesados, balanzas, implementos y cargas especiales.</x:v>
      </x:c>
      <x:c r="J168" s="3" t="str">
        <x:f>IFERROR(INDEX(Prospectos!$AJ$2:$AJ$288,MATCH($A168,Prospectos!$A$2:$A$288,0)),"")</x:f>
        <x:v>Alta</x:v>
      </x:c>
      <x:c r="K168" s="179"/>
      <x:c r="L168" s="3"/>
      <x:c r="M168" s="137"/>
      <x:c r="N168" s="158"/>
    </x:row>
    <x:row r="169" ht="34" customHeight="1">
      <x:c r="A169" s="183" t="str">
        <x:v>AGI-006</x:v>
      </x:c>
      <x:c r="B169" s="183" t="str">
        <x:f>IFERROR(INDEX(Prospectos!$F$2:$F$288,MATCH($A169,Prospectos!$A$2:$A$288,0)),"")</x:f>
        <x:v>B</x:v>
      </x:c>
      <x:c r="C169" s="183" t="str">
        <x:f>IFERROR(INDEX(Prospectos!$H$2:$H$288,MATCH($A169,Prospectos!$A$2:$A$288,0)),"")</x:f>
        <x:v>Daniotti Maquinarias</x:v>
      </x:c>
      <x:c r="D169" s="183" t="str">
        <x:f>IFERROR(INDEX(Prospectos!$J$2:$J$288,MATCH($A169,Prospectos!$A$2:$A$288,0)),"")</x:f>
        <x:v>Maquinaria agrícola</x:v>
      </x:c>
      <x:c r="E169" s="183" t="str">
        <x:f>IFERROR(INDEX(Prospectos!$C$2:$C$288,MATCH($A169,Prospectos!$A$2:$A$288,0)),"")</x:f>
        <x:v>Río Cuarto / RN36 sur</x:v>
      </x:c>
      <x:c r="F169" s="183" t="str">
        <x:f>IFERROR(INDEX(Prospectos!$E$2:$E$288,MATCH($A169,Prospectos!$A$2:$A$288,0)),"")</x:f>
        <x:v>Alcira Gigena</x:v>
      </x:c>
      <x:c r="G169" s="183" t="str">
        <x:f>IFERROR(INDEX(Prospectos!$K$2:$K$288,MATCH($A169,Prospectos!$A$2:$A$288,0)),"")</x:f>
        <x:v>0358 4960939</x:v>
      </x:c>
      <x:c r="H169" s="183" t="str">
        <x:f>IFERROR(INDEX(Prospectos!$M$2:$M$288,MATCH($A169,Prospectos!$A$2:$A$288,0)),"")</x:f>
        <x:v>logística / ventas / postventa</x:v>
      </x:c>
      <x:c r="I169" s="183" t="str">
        <x:f>IFERROR(INDEX(Prospectos!$N$2:$N$288,MATCH($A169,Prospectos!$A$2:$A$288,0)),"")</x:f>
        <x:v>Entrega y retiro de tractores, cosechadoras, pulverizadoras, sembradoras e implementos; movimientos por venta, service, canje, demostraciones o ferias.</x:v>
      </x:c>
      <x:c r="J169" s="183" t="str">
        <x:f>IFERROR(INDEX(Prospectos!$AJ$2:$AJ$288,MATCH($A169,Prospectos!$A$2:$A$288,0)),"")</x:f>
        <x:v>Media</x:v>
      </x:c>
      <x:c r="K169" s="179"/>
      <x:c r="L169" s="5"/>
      <x:c r="M169" s="135"/>
      <x:c r="N169" s="158"/>
    </x:row>
    <x:row r="170" ht="34" customHeight="1">
      <x:c r="A170" s="3" t="str">
        <x:v>AGI-003</x:v>
      </x:c>
      <x:c r="B170" s="3" t="str">
        <x:f>IFERROR(INDEX(Prospectos!$F$2:$F$288,MATCH($A170,Prospectos!$A$2:$A$288,0)),"")</x:f>
        <x:v>C</x:v>
      </x:c>
      <x:c r="C170" s="3" t="str">
        <x:f>IFERROR(INDEX(Prospectos!$H$2:$H$288,MATCH($A170,Prospectos!$A$2:$A$288,0)),"")</x:f>
        <x:v>3C Biogás S.A.</x:v>
      </x:c>
      <x:c r="D170" s="3" t="str">
        <x:f>IFERROR(INDEX(Prospectos!$J$2:$J$288,MATCH($A170,Prospectos!$A$2:$A$288,0)),"")</x:f>
        <x:v>Industria y mantenimiento</x:v>
      </x:c>
      <x:c r="E170" s="3" t="str">
        <x:f>IFERROR(INDEX(Prospectos!$C$2:$C$288,MATCH($A170,Prospectos!$A$2:$A$288,0)),"")</x:f>
        <x:v>Río Cuarto / RN36 sur</x:v>
      </x:c>
      <x:c r="F170" s="3" t="str">
        <x:f>IFERROR(INDEX(Prospectos!$E$2:$E$288,MATCH($A170,Prospectos!$A$2:$A$288,0)),"")</x:f>
        <x:v>Alcira Gigena</x:v>
      </x:c>
      <x:c r="G170" s="3" t="str">
        <x:f>IFERROR(INDEX(Prospectos!$K$2:$K$288,MATCH($A170,Prospectos!$A$2:$A$288,0)),"")</x:f>
        <x:v>A relevar</x:v>
      </x:c>
      <x:c r="H170" s="3" t="str">
        <x:f>IFERROR(INDEX(Prospectos!$M$2:$M$288,MATCH($A170,Prospectos!$A$2:$A$288,0)),"")</x:f>
        <x:v>despacho / producción</x:v>
      </x:c>
      <x:c r="I170" s="3" t="str">
        <x:f>IFERROR(INDEX(Prospectos!$N$2:$N$288,MATCH($A170,Prospectos!$A$2:$A$288,0)),"")</x:f>
        <x:v>Movimientos especiales de mantenimiento, repuestos pesados y mudanzas internas de equipos.</x:v>
      </x:c>
      <x:c r="J170" s="3" t="str">
        <x:f>IFERROR(INDEX(Prospectos!$AJ$2:$AJ$288,MATCH($A170,Prospectos!$A$2:$A$288,0)),"")</x:f>
        <x:v>Baja / visitar solo por cercanía</x:v>
      </x:c>
      <x:c r="K170" s="179"/>
      <x:c r="L170" s="3"/>
      <x:c r="M170" s="137"/>
      <x:c r="N170" s="158"/>
    </x:row>
    <x:row r="171" ht="34" customHeight="1">
      <x:c r="A171" s="183" t="str">
        <x:v>BER-003</x:v>
      </x:c>
      <x:c r="B171" s="183" t="str">
        <x:f>IFERROR(INDEX(Prospectos!$F$2:$F$288,MATCH($A171,Prospectos!$A$2:$A$288,0)),"")</x:f>
        <x:v>A</x:v>
      </x:c>
      <x:c r="C171" s="183" t="str">
        <x:f>IFERROR(INDEX(Prospectos!$H$2:$H$288,MATCH($A171,Prospectos!$A$2:$A$288,0)),"")</x:f>
        <x:v>Nicola Hnos.</x:v>
      </x:c>
      <x:c r="D171" s="183" t="str">
        <x:f>IFERROR(INDEX(Prospectos!$J$2:$J$288,MATCH($A171,Prospectos!$A$2:$A$288,0)),"")</x:f>
        <x:v>Maquinaria agrícola</x:v>
      </x:c>
      <x:c r="E171" s="183" t="str">
        <x:f>IFERROR(INDEX(Prospectos!$C$2:$C$288,MATCH($A171,Prospectos!$A$2:$A$288,0)),"")</x:f>
        <x:v>Río Cuarto / RN36 sur</x:v>
      </x:c>
      <x:c r="F171" s="183" t="str">
        <x:f>IFERROR(INDEX(Prospectos!$E$2:$E$288,MATCH($A171,Prospectos!$A$2:$A$288,0)),"")</x:f>
        <x:v>Berrotarán</x:v>
      </x:c>
      <x:c r="G171" s="183" t="str">
        <x:f>IFERROR(INDEX(Prospectos!$K$2:$K$288,MATCH($A171,Prospectos!$A$2:$A$288,0)),"")</x:f>
        <x:v>0358 4940580 / 0358 4942582</x:v>
      </x:c>
      <x:c r="H171" s="183" t="str">
        <x:f>IFERROR(INDEX(Prospectos!$M$2:$M$288,MATCH($A171,Prospectos!$A$2:$A$288,0)),"")</x:f>
        <x:v>logística / ventas / postventa</x:v>
      </x:c>
      <x:c r="I171" s="183" t="str">
        <x:f>IFERROR(INDEX(Prospectos!$N$2:$N$288,MATCH($A171,Prospectos!$A$2:$A$288,0)),"")</x:f>
        <x:v>Entrega y retiro de tractores, cosechadoras, pulverizadoras, sembradoras e implementos; movimientos por venta, service, canje, demostraciones o ferias.</x:v>
      </x:c>
      <x:c r="J171" s="183" t="str">
        <x:f>IFERROR(INDEX(Prospectos!$AJ$2:$AJ$288,MATCH($A171,Prospectos!$A$2:$A$288,0)),"")</x:f>
        <x:v>Alta</x:v>
      </x:c>
      <x:c r="K171" s="179"/>
      <x:c r="L171" s="5"/>
      <x:c r="M171" s="135"/>
      <x:c r="N171" s="158"/>
    </x:row>
    <x:row r="172" ht="34" customHeight="1">
      <x:c r="A172" s="3" t="str">
        <x:v>BER-001</x:v>
      </x:c>
      <x:c r="B172" s="3" t="str">
        <x:f>IFERROR(INDEX(Prospectos!$F$2:$F$288,MATCH($A172,Prospectos!$A$2:$A$288,0)),"")</x:f>
        <x:v>B</x:v>
      </x:c>
      <x:c r="C172" s="3" t="str">
        <x:f>IFERROR(INDEX(Prospectos!$H$2:$H$288,MATCH($A172,Prospectos!$A$2:$A$288,0)),"")</x:f>
        <x:v>Doble A Servicios Metalúrgicos</x:v>
      </x:c>
      <x:c r="D172" s="3" t="str">
        <x:f>IFERROR(INDEX(Prospectos!$J$2:$J$288,MATCH($A172,Prospectos!$A$2:$A$288,0)),"")</x:f>
        <x:v>Metalúrgica y fabricación</x:v>
      </x:c>
      <x:c r="E172" s="3" t="str">
        <x:f>IFERROR(INDEX(Prospectos!$C$2:$C$288,MATCH($A172,Prospectos!$A$2:$A$288,0)),"")</x:f>
        <x:v>Río Cuarto / RN36 sur</x:v>
      </x:c>
      <x:c r="F172" s="3" t="str">
        <x:f>IFERROR(INDEX(Prospectos!$E$2:$E$288,MATCH($A172,Prospectos!$A$2:$A$288,0)),"")</x:f>
        <x:v>Berrotarán</x:v>
      </x:c>
      <x:c r="G172" s="3" t="str">
        <x:f>IFERROR(INDEX(Prospectos!$K$2:$K$288,MATCH($A172,Prospectos!$A$2:$A$288,0)),"")</x:f>
        <x:v>358 4185826</x:v>
      </x:c>
      <x:c r="H172" s="3" t="str">
        <x:f>IFERROR(INDEX(Prospectos!$M$2:$M$288,MATCH($A172,Prospectos!$A$2:$A$288,0)),"")</x:f>
        <x:v>despacho / producción</x:v>
      </x:c>
      <x:c r="I172" s="3" t="str">
        <x:f>IFERROR(INDEX(Prospectos!$N$2:$N$288,MATCH($A172,Prospectos!$A$2:$A$288,0)),"")</x:f>
        <x:v>Despacho seguro de estructuras, carrozados, tanques, piezas industriales y equipos sobre plataforma.</x:v>
      </x:c>
      <x:c r="J172" s="3" t="str">
        <x:f>IFERROR(INDEX(Prospectos!$AJ$2:$AJ$288,MATCH($A172,Prospectos!$A$2:$A$288,0)),"")</x:f>
        <x:v>Alta</x:v>
      </x:c>
      <x:c r="K172" s="179"/>
      <x:c r="L172" s="3"/>
      <x:c r="M172" s="137"/>
      <x:c r="N172" s="158"/>
    </x:row>
    <x:row r="173" ht="34" customHeight="1">
      <x:c r="A173" s="183" t="str">
        <x:v>BER-002</x:v>
      </x:c>
      <x:c r="B173" s="183" t="str">
        <x:f>IFERROR(INDEX(Prospectos!$F$2:$F$288,MATCH($A173,Prospectos!$A$2:$A$288,0)),"")</x:f>
        <x:v>C</x:v>
      </x:c>
      <x:c r="C173" s="183" t="str">
        <x:f>IFERROR(INDEX(Prospectos!$H$2:$H$288,MATCH($A173,Prospectos!$A$2:$A$288,0)),"")</x:f>
        <x:v>Canteras/corralones locales</x:v>
      </x:c>
      <x:c r="D173" s="183" t="str">
        <x:f>IFERROR(INDEX(Prospectos!$J$2:$J$288,MATCH($A173,Prospectos!$A$2:$A$288,0)),"")</x:f>
        <x:v>Hormigón, áridos y materiales</x:v>
      </x:c>
      <x:c r="E173" s="183" t="str">
        <x:f>IFERROR(INDEX(Prospectos!$C$2:$C$288,MATCH($A173,Prospectos!$A$2:$A$288,0)),"")</x:f>
        <x:v>Río Cuarto / RN36 sur</x:v>
      </x:c>
      <x:c r="F173" s="183" t="str">
        <x:f>IFERROR(INDEX(Prospectos!$E$2:$E$288,MATCH($A173,Prospectos!$A$2:$A$288,0)),"")</x:f>
        <x:v>Berrotarán</x:v>
      </x:c>
      <x:c r="G173" s="183" t="str">
        <x:f>IFERROR(INDEX(Prospectos!$K$2:$K$288,MATCH($A173,Prospectos!$A$2:$A$288,0)),"")</x:f>
        <x:v>A relevar</x:v>
      </x:c>
      <x:c r="H173" s="183" t="str">
        <x:f>IFERROR(INDEX(Prospectos!$M$2:$M$288,MATCH($A173,Prospectos!$A$2:$A$288,0)),"")</x:f>
        <x:v>planta / mantenimiento</x:v>
      </x:c>
      <x:c r="I173" s="183" t="str">
        <x:f>IFERROR(INDEX(Prospectos!$N$2:$N$288,MATCH($A173,Prospectos!$A$2:$A$288,0)),"")</x:f>
        <x:v>Movimiento de premoldeados, equipos de planta/cantera, bombas, moldes y cargas pesadas.</x:v>
      </x:c>
      <x:c r="J173" s="183" t="str">
        <x:f>IFERROR(INDEX(Prospectos!$AJ$2:$AJ$288,MATCH($A173,Prospectos!$A$2:$A$288,0)),"")</x:f>
        <x:v>Baja / visitar solo por cercanía</x:v>
      </x:c>
      <x:c r="K173" s="179"/>
      <x:c r="L173" s="5"/>
      <x:c r="M173" s="135"/>
      <x:c r="N173" s="158"/>
    </x:row>
    <x:row r="174" ht="34" customHeight="1">
      <x:c r="A174" s="7" t="str">
        <x:v>CHU-001</x:v>
      </x:c>
      <x:c r="B174" s="7" t="str">
        <x:f>IFERROR(INDEX(Prospectos!$F$2:$F$288,MATCH($A174,Prospectos!$A$2:$A$288,0)),"")</x:f>
        <x:v>B</x:v>
      </x:c>
      <x:c r="C174" s="7" t="str">
        <x:f>IFERROR(INDEX(Prospectos!$H$2:$H$288,MATCH($A174,Prospectos!$A$2:$A$288,0)),"")</x:f>
        <x:v>Cotagro — Sucursal Chucul</x:v>
      </x:c>
      <x:c r="D174" s="7" t="str">
        <x:f>IFERROR(INDEX(Prospectos!$J$2:$J$288,MATCH($A174,Prospectos!$A$2:$A$288,0)),"")</x:f>
        <x:v>Agro, acopio y cooperativas</x:v>
      </x:c>
      <x:c r="E174" s="7" t="str">
        <x:f>IFERROR(INDEX(Prospectos!$C$2:$C$288,MATCH($A174,Prospectos!$A$2:$A$288,0)),"")</x:f>
        <x:v>Río Cuarto / RN36 sur</x:v>
      </x:c>
      <x:c r="F174" s="7" t="str">
        <x:f>IFERROR(INDEX(Prospectos!$E$2:$E$288,MATCH($A174,Prospectos!$A$2:$A$288,0)),"")</x:f>
        <x:v>Chucul</x:v>
      </x:c>
      <x:c r="G174" s="7" t="str">
        <x:f>IFERROR(INDEX(Prospectos!$K$2:$K$288,MATCH($A174,Prospectos!$A$2:$A$288,0)),"")</x:f>
        <x:v>0358 4912008 / 0358 4933333</x:v>
      </x:c>
      <x:c r="H174" s="7" t="str">
        <x:f>IFERROR(INDEX(Prospectos!$M$2:$M$288,MATCH($A174,Prospectos!$A$2:$A$288,0)),"")</x:f>
        <x:v>responsable de acopio / mantenimiento</x:v>
      </x:c>
      <x:c r="I174" s="7" t="str">
        <x:f>IFERROR(INDEX(Prospectos!$N$2:$N$288,MATCH($A174,Prospectos!$A$2:$A$288,0)),"")</x:f>
        <x:v>Traslado de equipos de planta, silos, repuestos pesados, balanzas, implementos y cargas especiales.</x:v>
      </x:c>
      <x:c r="J174" s="7" t="str">
        <x:f>IFERROR(INDEX(Prospectos!$AJ$2:$AJ$288,MATCH($A174,Prospectos!$A$2:$A$288,0)),"")</x:f>
        <x:v>Alta</x:v>
      </x:c>
      <x:c r="K174" s="181"/>
      <x:c r="L174" s="7"/>
      <x:c r="M174" s="137"/>
      <x:c r="N174" s="158"/>
    </x:row>
    <x:row r="175" ht="34" customHeight="1">
      <x:c r="A175" s="183" t="str">
        <x:v>ELE-001</x:v>
      </x:c>
      <x:c r="B175" s="183" t="str">
        <x:f>IFERROR(INDEX(Prospectos!$F$2:$F$288,MATCH($A175,Prospectos!$A$2:$A$288,0)),"")</x:f>
        <x:v>A</x:v>
      </x:c>
      <x:c r="C175" s="183" t="str">
        <x:f>IFERROR(INDEX(Prospectos!$H$2:$H$288,MATCH($A175,Prospectos!$A$2:$A$288,0)),"")</x:f>
        <x:v>CAGLE — Cooperativa Agrícola de Elena</x:v>
      </x:c>
      <x:c r="D175" s="183" t="str">
        <x:f>IFERROR(INDEX(Prospectos!$J$2:$J$288,MATCH($A175,Prospectos!$A$2:$A$288,0)),"")</x:f>
        <x:v>Agro, acopio y cooperativas</x:v>
      </x:c>
      <x:c r="E175" s="183" t="str">
        <x:f>IFERROR(INDEX(Prospectos!$C$2:$C$288,MATCH($A175,Prospectos!$A$2:$A$288,0)),"")</x:f>
        <x:v>Río Cuarto / RN36 sur</x:v>
      </x:c>
      <x:c r="F175" s="183" t="str">
        <x:f>IFERROR(INDEX(Prospectos!$E$2:$E$288,MATCH($A175,Prospectos!$A$2:$A$288,0)),"")</x:f>
        <x:v>Elena</x:v>
      </x:c>
      <x:c r="G175" s="183" t="str">
        <x:f>IFERROR(INDEX(Prospectos!$K$2:$K$288,MATCH($A175,Prospectos!$A$2:$A$288,0)),"")</x:f>
        <x:v>3584 881118</x:v>
      </x:c>
      <x:c r="H175" s="183" t="str">
        <x:f>IFERROR(INDEX(Prospectos!$M$2:$M$288,MATCH($A175,Prospectos!$A$2:$A$288,0)),"")</x:f>
        <x:v>operaciones / entregas</x:v>
      </x:c>
      <x:c r="I175" s="183" t="str">
        <x:f>IFERROR(INDEX(Prospectos!$N$2:$N$288,MATCH($A175,Prospectos!$A$2:$A$288,0)),"")</x:f>
        <x:v>Traslado de equipos de planta, silos, repuestos pesados, balanzas, implementos y cargas especiales.</x:v>
      </x:c>
      <x:c r="J175" s="183" t="str">
        <x:f>IFERROR(INDEX(Prospectos!$AJ$2:$AJ$288,MATCH($A175,Prospectos!$A$2:$A$288,0)),"")</x:f>
        <x:v>Muy alta</x:v>
      </x:c>
      <x:c r="K175" s="179"/>
      <x:c r="L175" s="5"/>
      <x:c r="M175" s="135"/>
      <x:c r="N175" s="158"/>
    </x:row>
    <x:row r="176" ht="34" customHeight="1">
      <x:c r="A176" s="7" t="str">
        <x:v>ELE-003</x:v>
      </x:c>
      <x:c r="B176" s="7" t="str">
        <x:f>IFERROR(INDEX(Prospectos!$F$2:$F$288,MATCH($A176,Prospectos!$A$2:$A$288,0)),"")</x:f>
        <x:v>A</x:v>
      </x:c>
      <x:c r="C176" s="7" t="str">
        <x:f>IFERROR(INDEX(Prospectos!$H$2:$H$288,MATCH($A176,Prospectos!$A$2:$A$288,0)),"")</x:f>
        <x:v>Agro Elena</x:v>
      </x:c>
      <x:c r="D176" s="7" t="str">
        <x:f>IFERROR(INDEX(Prospectos!$J$2:$J$288,MATCH($A176,Prospectos!$A$2:$A$288,0)),"")</x:f>
        <x:v>Maquinaria agrícola</x:v>
      </x:c>
      <x:c r="E176" s="7" t="str">
        <x:f>IFERROR(INDEX(Prospectos!$C$2:$C$288,MATCH($A176,Prospectos!$A$2:$A$288,0)),"")</x:f>
        <x:v>Río Cuarto / RN36 sur</x:v>
      </x:c>
      <x:c r="F176" s="7" t="str">
        <x:f>IFERROR(INDEX(Prospectos!$E$2:$E$288,MATCH($A176,Prospectos!$A$2:$A$288,0)),"")</x:f>
        <x:v>Elena</x:v>
      </x:c>
      <x:c r="G176" s="7" t="str">
        <x:f>IFERROR(INDEX(Prospectos!$K$2:$K$288,MATCH($A176,Prospectos!$A$2:$A$288,0)),"")</x:f>
        <x:v>03584 012336</x:v>
      </x:c>
      <x:c r="H176" s="7" t="str">
        <x:f>IFERROR(INDEX(Prospectos!$M$2:$M$288,MATCH($A176,Prospectos!$A$2:$A$288,0)),"")</x:f>
        <x:v>logística / ventas / postventa</x:v>
      </x:c>
      <x:c r="I176" s="7" t="str">
        <x:f>IFERROR(INDEX(Prospectos!$N$2:$N$288,MATCH($A176,Prospectos!$A$2:$A$288,0)),"")</x:f>
        <x:v>Entrega y retiro de tractores, cosechadoras, pulverizadoras, sembradoras e implementos; movimientos por venta, service, canje, demostraciones o ferias.</x:v>
      </x:c>
      <x:c r="J176" s="7" t="str">
        <x:f>IFERROR(INDEX(Prospectos!$AJ$2:$AJ$288,MATCH($A176,Prospectos!$A$2:$A$288,0)),"")</x:f>
        <x:v>Alta</x:v>
      </x:c>
      <x:c r="K176" s="181"/>
      <x:c r="L176" s="7"/>
      <x:c r="M176" s="137"/>
      <x:c r="N176" s="158"/>
    </x:row>
    <x:row r="177" ht="34" customHeight="1">
      <x:c r="A177" s="183" t="str">
        <x:v>ELE-002</x:v>
      </x:c>
      <x:c r="B177" s="183" t="str">
        <x:f>IFERROR(INDEX(Prospectos!$F$2:$F$288,MATCH($A177,Prospectos!$A$2:$A$288,0)),"")</x:f>
        <x:v>B</x:v>
      </x:c>
      <x:c r="C177" s="183" t="str">
        <x:f>IFERROR(INDEX(Prospectos!$H$2:$H$288,MATCH($A177,Prospectos!$A$2:$A$288,0)),"")</x:f>
        <x:v>Gliestore S.A.</x:v>
      </x:c>
      <x:c r="D177" s="183" t="str">
        <x:f>IFERROR(INDEX(Prospectos!$J$2:$J$288,MATCH($A177,Prospectos!$A$2:$A$288,0)),"")</x:f>
        <x:v>Agroindustria y alimentos</x:v>
      </x:c>
      <x:c r="E177" s="183" t="str">
        <x:f>IFERROR(INDEX(Prospectos!$C$2:$C$288,MATCH($A177,Prospectos!$A$2:$A$288,0)),"")</x:f>
        <x:v>Río Cuarto / RN36 sur</x:v>
      </x:c>
      <x:c r="F177" s="183" t="str">
        <x:f>IFERROR(INDEX(Prospectos!$E$2:$E$288,MATCH($A177,Prospectos!$A$2:$A$288,0)),"")</x:f>
        <x:v>Elena</x:v>
      </x:c>
      <x:c r="G177" s="183" t="str">
        <x:f>IFERROR(INDEX(Prospectos!$K$2:$K$288,MATCH($A177,Prospectos!$A$2:$A$288,0)),"")</x:f>
        <x:v>0358 4641548 / 9358 4024598</x:v>
      </x:c>
      <x:c r="H177" s="183" t="str">
        <x:f>IFERROR(INDEX(Prospectos!$M$2:$M$288,MATCH($A177,Prospectos!$A$2:$A$288,0)),"")</x:f>
        <x:v>responsable de acopio / mantenimiento</x:v>
      </x:c>
      <x:c r="I177" s="183" t="str">
        <x:f>IFERROR(INDEX(Prospectos!$N$2:$N$288,MATCH($A177,Prospectos!$A$2:$A$288,0)),"")</x:f>
        <x:v>Movimientos especiales de mantenimiento, repuestos pesados y mudanzas internas de equipos.</x:v>
      </x:c>
      <x:c r="J177" s="183" t="str">
        <x:f>IFERROR(INDEX(Prospectos!$AJ$2:$AJ$288,MATCH($A177,Prospectos!$A$2:$A$288,0)),"")</x:f>
        <x:v>Alta</x:v>
      </x:c>
      <x:c r="K177" s="179"/>
      <x:c r="L177" s="5"/>
      <x:c r="M177" s="135"/>
      <x:c r="N177" s="158"/>
    </x:row>
    <x:row r="178" ht="34" customHeight="1">
      <x:c r="A178" s="3" t="str">
        <x:v>ELE-004</x:v>
      </x:c>
      <x:c r="B178" s="3" t="str">
        <x:f>IFERROR(INDEX(Prospectos!$F$2:$F$288,MATCH($A178,Prospectos!$A$2:$A$288,0)),"")</x:f>
        <x:v>B</x:v>
      </x:c>
      <x:c r="C178" s="3" t="str">
        <x:f>IFERROR(INDEX(Prospectos!$H$2:$H$288,MATCH($A178,Prospectos!$A$2:$A$288,0)),"")</x:f>
        <x:v>Ecocaio</x:v>
      </x:c>
      <x:c r="D178" s="3" t="str">
        <x:f>IFERROR(INDEX(Prospectos!$J$2:$J$288,MATCH($A178,Prospectos!$A$2:$A$288,0)),"")</x:f>
        <x:v>Maquinaria agrícola</x:v>
      </x:c>
      <x:c r="E178" s="3" t="str">
        <x:f>IFERROR(INDEX(Prospectos!$C$2:$C$288,MATCH($A178,Prospectos!$A$2:$A$288,0)),"")</x:f>
        <x:v>Río Cuarto / RN36 sur</x:v>
      </x:c>
      <x:c r="F178" s="3" t="str">
        <x:f>IFERROR(INDEX(Prospectos!$E$2:$E$288,MATCH($A178,Prospectos!$A$2:$A$288,0)),"")</x:f>
        <x:v>Elena</x:v>
      </x:c>
      <x:c r="G178" s="3" t="str">
        <x:f>IFERROR(INDEX(Prospectos!$K$2:$K$288,MATCH($A178,Prospectos!$A$2:$A$288,0)),"")</x:f>
        <x:v>A relevar</x:v>
      </x:c>
      <x:c r="H178" s="3" t="str">
        <x:f>IFERROR(INDEX(Prospectos!$M$2:$M$288,MATCH($A178,Prospectos!$A$2:$A$288,0)),"")</x:f>
        <x:v>logística / ventas / postventa</x:v>
      </x:c>
      <x:c r="I178" s="3" t="str">
        <x:f>IFERROR(INDEX(Prospectos!$N$2:$N$288,MATCH($A178,Prospectos!$A$2:$A$288,0)),"")</x:f>
        <x:v>Entrega y retiro de tractores, cosechadoras, pulverizadoras, sembradoras e implementos; movimientos por venta, service, canje, demostraciones o ferias.</x:v>
      </x:c>
      <x:c r="J178" s="3" t="str">
        <x:f>IFERROR(INDEX(Prospectos!$AJ$2:$AJ$288,MATCH($A178,Prospectos!$A$2:$A$288,0)),"")</x:f>
        <x:v>Media</x:v>
      </x:c>
      <x:c r="K178" s="179"/>
      <x:c r="L178" s="3"/>
      <x:c r="M178" s="137"/>
      <x:c r="N178" s="158"/>
    </x:row>
    <x:row r="179" ht="34" customHeight="1">
      <x:c r="A179" s="183" t="str">
        <x:v>LAC-001</x:v>
      </x:c>
      <x:c r="B179" s="183" t="str">
        <x:f>IFERROR(INDEX(Prospectos!$F$2:$F$288,MATCH($A179,Prospectos!$A$2:$A$288,0)),"")</x:f>
        <x:v>A</x:v>
      </x:c>
      <x:c r="C179" s="183" t="str">
        <x:f>IFERROR(INDEX(Prospectos!$H$2:$H$288,MATCH($A179,Prospectos!$A$2:$A$288,0)),"")</x:f>
        <x:v>Todo Campo S.R.L.</x:v>
      </x:c>
      <x:c r="D179" s="183" t="str">
        <x:f>IFERROR(INDEX(Prospectos!$J$2:$J$288,MATCH($A179,Prospectos!$A$2:$A$288,0)),"")</x:f>
        <x:v>Maquinaria agrícola</x:v>
      </x:c>
      <x:c r="E179" s="183" t="str">
        <x:f>IFERROR(INDEX(Prospectos!$C$2:$C$288,MATCH($A179,Prospectos!$A$2:$A$288,0)),"")</x:f>
        <x:v>Río Cuarto / RN36 sur</x:v>
      </x:c>
      <x:c r="F179" s="183" t="str">
        <x:f>IFERROR(INDEX(Prospectos!$E$2:$E$288,MATCH($A179,Prospectos!$A$2:$A$288,0)),"")</x:f>
        <x:v>Las Acequias</x:v>
      </x:c>
      <x:c r="G179" s="183" t="str">
        <x:f>IFERROR(INDEX(Prospectos!$K$2:$K$288,MATCH($A179,Prospectos!$A$2:$A$288,0)),"")</x:f>
        <x:v>0358 4890191 / 0358 4890057</x:v>
      </x:c>
      <x:c r="H179" s="183" t="str">
        <x:f>IFERROR(INDEX(Prospectos!$M$2:$M$288,MATCH($A179,Prospectos!$A$2:$A$288,0)),"")</x:f>
        <x:v>logística / entregas / usados / postventa / gerente comercial</x:v>
      </x:c>
      <x:c r="I179" s="183" t="str">
        <x:f>IFERROR(INDEX(Prospectos!$N$2:$N$288,MATCH($A179,Prospectos!$A$2:$A$288,0)),"")</x:f>
        <x:v>Entrega y retiro de tractores, cosechadoras, pulverizadoras, sembradoras e implementos; movimientos por ventas, canjes, usados, service, demostraciones y ferias.</x:v>
      </x:c>
      <x:c r="J179" s="183" t="str">
        <x:f>IFERROR(INDEX(Prospectos!$AJ$2:$AJ$288,MATCH($A179,Prospectos!$A$2:$A$288,0)),"")</x:f>
        <x:v>Alta</x:v>
      </x:c>
      <x:c r="K179" s="179"/>
      <x:c r="L179" s="5"/>
      <x:c r="M179" s="135"/>
      <x:c r="N179" s="158"/>
    </x:row>
    <x:row r="180" ht="34" customHeight="1">
      <x:c r="A180" s="3" t="str">
        <x:v>LH-001</x:v>
      </x:c>
      <x:c r="B180" s="3" t="str">
        <x:f>IFERROR(INDEX(Prospectos!$F$2:$F$288,MATCH($A180,Prospectos!$A$2:$A$288,0)),"")</x:f>
        <x:v>B</x:v>
      </x:c>
      <x:c r="C180" s="3" t="str">
        <x:f>IFERROR(INDEX(Prospectos!$H$2:$H$288,MATCH($A180,Prospectos!$A$2:$A$288,0)),"")</x:f>
        <x:v>Parque Industrial y Logístico Las Higueras</x:v>
      </x:c>
      <x:c r="D180" s="3" t="str">
        <x:f>IFERROR(INDEX(Prospectos!$J$2:$J$288,MATCH($A180,Prospectos!$A$2:$A$288,0)),"")</x:f>
        <x:v>Institucional y parques</x:v>
      </x:c>
      <x:c r="E180" s="3" t="str">
        <x:f>IFERROR(INDEX(Prospectos!$C$2:$C$288,MATCH($A180,Prospectos!$A$2:$A$288,0)),"")</x:f>
        <x:v>Río Cuarto / RN36 sur</x:v>
      </x:c>
      <x:c r="F180" s="3" t="str">
        <x:f>IFERROR(INDEX(Prospectos!$E$2:$E$288,MATCH($A180,Prospectos!$A$2:$A$288,0)),"")</x:f>
        <x:v>Las Higueras</x:v>
      </x:c>
      <x:c r="G180" s="3" t="str">
        <x:f>IFERROR(INDEX(Prospectos!$K$2:$K$288,MATCH($A180,Prospectos!$A$2:$A$288,0)),"")</x:f>
        <x:v>A relevar vía municipio/parque</x:v>
      </x:c>
      <x:c r="H180" s="3" t="str">
        <x:f>IFERROR(INDEX(Prospectos!$M$2:$M$288,MATCH($A180,Prospectos!$A$2:$A$288,0)),"")</x:f>
        <x:v>despacho / producción</x:v>
      </x:c>
      <x:c r="I180" s="3" t="str">
        <x:f>IFERROR(INDEX(Prospectos!$N$2:$N$288,MATCH($A180,Prospectos!$A$2:$A$288,0)),"")</x:f>
        <x:v>Acceso a padrón de empresas radicadas, obras de infraestructura y derivaciones a responsables.</x:v>
      </x:c>
      <x:c r="J180" s="3" t="str">
        <x:f>IFERROR(INDEX(Prospectos!$AJ$2:$AJ$288,MATCH($A180,Prospectos!$A$2:$A$288,0)),"")</x:f>
        <x:v>Media</x:v>
      </x:c>
      <x:c r="K180" s="179"/>
      <x:c r="L180" s="3"/>
      <x:c r="M180" s="137"/>
      <x:c r="N180" s="158"/>
    </x:row>
    <x:row r="181" ht="34" customHeight="1">
      <x:c r="A181" s="183" t="str">
        <x:v>RC-001</x:v>
      </x:c>
      <x:c r="B181" s="183" t="str">
        <x:f>IFERROR(INDEX(Prospectos!$F$2:$F$288,MATCH($A181,Prospectos!$A$2:$A$288,0)),"")</x:f>
        <x:v>A</x:v>
      </x:c>
      <x:c r="C181" s="183" t="str">
        <x:f>IFERROR(INDEX(Prospectos!$H$2:$H$288,MATCH($A181,Prospectos!$A$2:$A$288,0)),"")</x:f>
        <x:v>AFEMA S.A.</x:v>
      </x:c>
      <x:c r="D181" s="183" t="str">
        <x:f>IFERROR(INDEX(Prospectos!$J$2:$J$288,MATCH($A181,Prospectos!$A$2:$A$288,0)),"")</x:f>
        <x:v>Construcción y obra vial</x:v>
      </x:c>
      <x:c r="E181" s="183" t="str">
        <x:f>IFERROR(INDEX(Prospectos!$C$2:$C$288,MATCH($A181,Prospectos!$A$2:$A$288,0)),"")</x:f>
        <x:v>Río Cuarto / RN36 sur</x:v>
      </x:c>
      <x:c r="F181" s="183" t="str">
        <x:f>IFERROR(INDEX(Prospectos!$E$2:$E$288,MATCH($A181,Prospectos!$A$2:$A$288,0)),"")</x:f>
        <x:v>Río Cuarto</x:v>
      </x:c>
      <x:c r="G181" s="183" t="str">
        <x:f>IFERROR(INDEX(Prospectos!$K$2:$K$288,MATCH($A181,Prospectos!$A$2:$A$288,0)),"")</x:f>
        <x:v>0351 7371862</x:v>
      </x:c>
      <x:c r="H181" s="183" t="str">
        <x:f>IFERROR(INDEX(Prospectos!$M$2:$M$288,MATCH($A181,Prospectos!$A$2:$A$288,0)),"")</x:f>
        <x:v>jefe de obra / logística</x:v>
      </x:c>
      <x:c r="I181" s="183" t="str">
        <x:f>IFERROR(INDEX(Prospectos!$N$2:$N$288,MATCH($A181,Prospectos!$A$2:$A$288,0)),"")</x:f>
        <x:v>Traslado de maquinaria, módulos de obrador, estructuras, equipos y cargas pesadas entre frentes.</x:v>
      </x:c>
      <x:c r="J181" s="183" t="str">
        <x:f>IFERROR(INDEX(Prospectos!$AJ$2:$AJ$288,MATCH($A181,Prospectos!$A$2:$A$288,0)),"")</x:f>
        <x:v>Muy alta</x:v>
      </x:c>
      <x:c r="K181" s="179"/>
      <x:c r="L181" s="5"/>
      <x:c r="M181" s="135"/>
      <x:c r="N181" s="158"/>
    </x:row>
    <x:row r="182" ht="34" customHeight="1">
      <x:c r="A182" s="3" t="str">
        <x:v>RC-034</x:v>
      </x:c>
      <x:c r="B182" s="3" t="str">
        <x:f>IFERROR(INDEX(Prospectos!$F$2:$F$288,MATCH($A182,Prospectos!$A$2:$A$288,0)),"")</x:f>
        <x:v>A</x:v>
      </x:c>
      <x:c r="C182" s="3" t="str">
        <x:f>IFERROR(INDEX(Prospectos!$H$2:$H$288,MATCH($A182,Prospectos!$A$2:$A$288,0)),"")</x:f>
        <x:v>AgroBigo Maquinarias</x:v>
      </x:c>
      <x:c r="D182" s="3" t="str">
        <x:f>IFERROR(INDEX(Prospectos!$J$2:$J$288,MATCH($A182,Prospectos!$A$2:$A$288,0)),"")</x:f>
        <x:v>Maquinaria agrícola</x:v>
      </x:c>
      <x:c r="E182" s="3" t="str">
        <x:f>IFERROR(INDEX(Prospectos!$C$2:$C$288,MATCH($A182,Prospectos!$A$2:$A$288,0)),"")</x:f>
        <x:v>Río Cuarto / RN36 sur</x:v>
      </x:c>
      <x:c r="F182" s="3" t="str">
        <x:f>IFERROR(INDEX(Prospectos!$E$2:$E$288,MATCH($A182,Prospectos!$A$2:$A$288,0)),"")</x:f>
        <x:v>Río Cuarto</x:v>
      </x:c>
      <x:c r="G182" s="3" t="str">
        <x:f>IFERROR(INDEX(Prospectos!$K$2:$K$288,MATCH($A182,Prospectos!$A$2:$A$288,0)),"")</x:f>
        <x:v>0358 4335762</x:v>
      </x:c>
      <x:c r="H182" s="3" t="str">
        <x:f>IFERROR(INDEX(Prospectos!$M$2:$M$288,MATCH($A182,Prospectos!$A$2:$A$288,0)),"")</x:f>
        <x:v>logística / entregas / usados / postventa / gerente comercial</x:v>
      </x:c>
      <x:c r="I182" s="3" t="str">
        <x:f>IFERROR(INDEX(Prospectos!$N$2:$N$288,MATCH($A182,Prospectos!$A$2:$A$288,0)),"")</x:f>
        <x:v>Entrega y retiro de tractores, cosechadoras, pulverizadoras, sembradoras e implementos; movimientos por ventas, canjes, usados, service, demostraciones y ferias.</x:v>
      </x:c>
      <x:c r="J182" s="3" t="str">
        <x:f>IFERROR(INDEX(Prospectos!$AJ$2:$AJ$288,MATCH($A182,Prospectos!$A$2:$A$288,0)),"")</x:f>
        <x:v>Muy alta</x:v>
      </x:c>
      <x:c r="K182" s="179"/>
      <x:c r="L182" s="3"/>
      <x:c r="M182" s="137"/>
      <x:c r="N182" s="158"/>
    </x:row>
    <x:row r="183" ht="34" customHeight="1">
      <x:c r="A183" s="183" t="str">
        <x:v>RC-002</x:v>
      </x:c>
      <x:c r="B183" s="183" t="str">
        <x:f>IFERROR(INDEX(Prospectos!$F$2:$F$288,MATCH($A183,Prospectos!$A$2:$A$288,0)),"")</x:f>
        <x:v>A</x:v>
      </x:c>
      <x:c r="C183" s="183" t="str">
        <x:f>IFERROR(INDEX(Prospectos!$H$2:$H$288,MATCH($A183,Prospectos!$A$2:$A$288,0)),"")</x:f>
        <x:v>Canteras Bringas</x:v>
      </x:c>
      <x:c r="D183" s="183" t="str">
        <x:f>IFERROR(INDEX(Prospectos!$J$2:$J$288,MATCH($A183,Prospectos!$A$2:$A$288,0)),"")</x:f>
        <x:v>Hormigón, áridos y materiales</x:v>
      </x:c>
      <x:c r="E183" s="183" t="str">
        <x:f>IFERROR(INDEX(Prospectos!$C$2:$C$288,MATCH($A183,Prospectos!$A$2:$A$288,0)),"")</x:f>
        <x:v>Río Cuarto / RN36 sur</x:v>
      </x:c>
      <x:c r="F183" s="183" t="str">
        <x:f>IFERROR(INDEX(Prospectos!$E$2:$E$288,MATCH($A183,Prospectos!$A$2:$A$288,0)),"")</x:f>
        <x:v>Río Cuarto</x:v>
      </x:c>
      <x:c r="G183" s="183" t="str">
        <x:f>IFERROR(INDEX(Prospectos!$K$2:$K$288,MATCH($A183,Prospectos!$A$2:$A$288,0)),"")</x:f>
        <x:v>0358 154906010</x:v>
      </x:c>
      <x:c r="H183" s="183" t="str">
        <x:f>IFERROR(INDEX(Prospectos!$M$2:$M$288,MATCH($A183,Prospectos!$A$2:$A$288,0)),"")</x:f>
        <x:v>jefe de obra / logística</x:v>
      </x:c>
      <x:c r="I183" s="183" t="str">
        <x:f>IFERROR(INDEX(Prospectos!$N$2:$N$288,MATCH($A183,Prospectos!$A$2:$A$288,0)),"")</x:f>
        <x:v>Movimiento de premoldeados, equipos de planta/cantera, bombas, moldes y cargas pesadas.</x:v>
      </x:c>
      <x:c r="J183" s="183" t="str">
        <x:f>IFERROR(INDEX(Prospectos!$AJ$2:$AJ$288,MATCH($A183,Prospectos!$A$2:$A$288,0)),"")</x:f>
        <x:v>Muy alta</x:v>
      </x:c>
      <x:c r="K183" s="179"/>
      <x:c r="L183" s="5"/>
      <x:c r="M183" s="135"/>
      <x:c r="N183" s="158"/>
    </x:row>
    <x:row r="184" ht="34" customHeight="1">
      <x:c r="A184" s="3" t="str">
        <x:v>RC-003</x:v>
      </x:c>
      <x:c r="B184" s="3" t="str">
        <x:f>IFERROR(INDEX(Prospectos!$F$2:$F$288,MATCH($A184,Prospectos!$A$2:$A$288,0)),"")</x:f>
        <x:v>A</x:v>
      </x:c>
      <x:c r="C184" s="3" t="str">
        <x:f>IFERROR(INDEX(Prospectos!$H$2:$H$288,MATCH($A184,Prospectos!$A$2:$A$288,0)),"")</x:f>
        <x:v>CasaContainer Río Cuarto</x:v>
      </x:c>
      <x:c r="D184" s="3" t="str">
        <x:f>IFERROR(INDEX(Prospectos!$J$2:$J$288,MATCH($A184,Prospectos!$A$2:$A$288,0)),"")</x:f>
        <x:v>Módulos y contenedores</x:v>
      </x:c>
      <x:c r="E184" s="3" t="str">
        <x:f>IFERROR(INDEX(Prospectos!$C$2:$C$288,MATCH($A184,Prospectos!$A$2:$A$288,0)),"")</x:f>
        <x:v>Río Cuarto / RN36 sur</x:v>
      </x:c>
      <x:c r="F184" s="3" t="str">
        <x:f>IFERROR(INDEX(Prospectos!$E$2:$E$288,MATCH($A184,Prospectos!$A$2:$A$288,0)),"")</x:f>
        <x:v>Río Cuarto</x:v>
      </x:c>
      <x:c r="G184" s="3" t="str">
        <x:f>IFERROR(INDEX(Prospectos!$K$2:$K$288,MATCH($A184,Prospectos!$A$2:$A$288,0)),"")</x:f>
        <x:v>0358 4310288</x:v>
      </x:c>
      <x:c r="H184" s="3" t="str">
        <x:f>IFERROR(INDEX(Prospectos!$M$2:$M$288,MATCH($A184,Prospectos!$A$2:$A$288,0)),"")</x:f>
        <x:v>operaciones / entregas</x:v>
      </x:c>
      <x:c r="I184" s="3" t="str">
        <x:f>IFERROR(INDEX(Prospectos!$N$2:$N$288,MATCH($A184,Prospectos!$A$2:$A$288,0)),"")</x:f>
        <x:v>Entrega, descarga y posicionamiento de módulos/containers en obra o cliente final.</x:v>
      </x:c>
      <x:c r="J184" s="3" t="str">
        <x:f>IFERROR(INDEX(Prospectos!$AJ$2:$AJ$288,MATCH($A184,Prospectos!$A$2:$A$288,0)),"")</x:f>
        <x:v>Muy alta</x:v>
      </x:c>
      <x:c r="K184" s="179"/>
      <x:c r="L184" s="3"/>
      <x:c r="M184" s="137"/>
      <x:c r="N184" s="158"/>
    </x:row>
    <x:row r="185" ht="34" customHeight="1">
      <x:c r="A185" s="183" t="str">
        <x:v>RC-018</x:v>
      </x:c>
      <x:c r="B185" s="183" t="str">
        <x:f>IFERROR(INDEX(Prospectos!$F$2:$F$288,MATCH($A185,Prospectos!$A$2:$A$288,0)),"")</x:f>
        <x:v>A</x:v>
      </x:c>
      <x:c r="C185" s="183" t="str">
        <x:f>IFERROR(INDEX(Prospectos!$H$2:$H$288,MATCH($A185,Prospectos!$A$2:$A$288,0)),"")</x:f>
        <x:v>Catpro Maquinarias</x:v>
      </x:c>
      <x:c r="D185" s="183" t="str">
        <x:f>IFERROR(INDEX(Prospectos!$J$2:$J$288,MATCH($A185,Prospectos!$A$2:$A$288,0)),"")</x:f>
        <x:v>Maquinaria agrícola</x:v>
      </x:c>
      <x:c r="E185" s="183" t="str">
        <x:f>IFERROR(INDEX(Prospectos!$C$2:$C$288,MATCH($A185,Prospectos!$A$2:$A$288,0)),"")</x:f>
        <x:v>Río Cuarto / RN36 sur</x:v>
      </x:c>
      <x:c r="F185" s="183" t="str">
        <x:f>IFERROR(INDEX(Prospectos!$E$2:$E$288,MATCH($A185,Prospectos!$A$2:$A$288,0)),"")</x:f>
        <x:v>Río Cuarto</x:v>
      </x:c>
      <x:c r="G185" s="183" t="str">
        <x:f>IFERROR(INDEX(Prospectos!$K$2:$K$288,MATCH($A185,Prospectos!$A$2:$A$288,0)),"")</x:f>
        <x:v>0358 4650092 / 0358 4632206</x:v>
      </x:c>
      <x:c r="H185" s="183" t="str">
        <x:f>IFERROR(INDEX(Prospectos!$M$2:$M$288,MATCH($A185,Prospectos!$A$2:$A$288,0)),"")</x:f>
        <x:v>logística / ventas / postventa</x:v>
      </x:c>
      <x:c r="I185" s="183" t="str">
        <x:f>IFERROR(INDEX(Prospectos!$N$2:$N$288,MATCH($A185,Prospectos!$A$2:$A$288,0)),"")</x:f>
        <x:v>Entrega y retiro de tractores, cosechadoras, pulverizadoras, sembradoras e implementos; movimientos por venta, service, canje, demostraciones o ferias.</x:v>
      </x:c>
      <x:c r="J185" s="183" t="str">
        <x:f>IFERROR(INDEX(Prospectos!$AJ$2:$AJ$288,MATCH($A185,Prospectos!$A$2:$A$288,0)),"")</x:f>
        <x:v>Muy alta</x:v>
      </x:c>
      <x:c r="K185" s="179"/>
      <x:c r="L185" s="5"/>
      <x:c r="M185" s="135"/>
      <x:c r="N185" s="158"/>
    </x:row>
    <x:row r="186" ht="34" customHeight="1">
      <x:c r="A186" s="3" t="str">
        <x:v>RC-004</x:v>
      </x:c>
      <x:c r="B186" s="3" t="str">
        <x:f>IFERROR(INDEX(Prospectos!$F$2:$F$288,MATCH($A186,Prospectos!$A$2:$A$288,0)),"")</x:f>
        <x:v>A</x:v>
      </x:c>
      <x:c r="C186" s="3" t="str">
        <x:f>IFERROR(INDEX(Prospectos!$H$2:$H$288,MATCH($A186,Prospectos!$A$2:$A$288,0)),"")</x:f>
        <x:v>Construcciones Metálicas El Colono S.A.</x:v>
      </x:c>
      <x:c r="D186" s="3" t="str">
        <x:f>IFERROR(INDEX(Prospectos!$J$2:$J$288,MATCH($A186,Prospectos!$A$2:$A$288,0)),"")</x:f>
        <x:v>Metalúrgica y fabricación</x:v>
      </x:c>
      <x:c r="E186" s="3" t="str">
        <x:f>IFERROR(INDEX(Prospectos!$C$2:$C$288,MATCH($A186,Prospectos!$A$2:$A$288,0)),"")</x:f>
        <x:v>Río Cuarto / RN36 sur</x:v>
      </x:c>
      <x:c r="F186" s="3" t="str">
        <x:f>IFERROR(INDEX(Prospectos!$E$2:$E$288,MATCH($A186,Prospectos!$A$2:$A$288,0)),"")</x:f>
        <x:v>Río Cuarto</x:v>
      </x:c>
      <x:c r="G186" s="3" t="str">
        <x:f>IFERROR(INDEX(Prospectos!$K$2:$K$288,MATCH($A186,Prospectos!$A$2:$A$288,0)),"")</x:f>
        <x:v>0358 4628525</x:v>
      </x:c>
      <x:c r="H186" s="3" t="str">
        <x:f>IFERROR(INDEX(Prospectos!$M$2:$M$288,MATCH($A186,Prospectos!$A$2:$A$288,0)),"")</x:f>
        <x:v>jefe de obra / logística</x:v>
      </x:c>
      <x:c r="I186" s="3" t="str">
        <x:f>IFERROR(INDEX(Prospectos!$N$2:$N$288,MATCH($A186,Prospectos!$A$2:$A$288,0)),"")</x:f>
        <x:v>Traslado de equipos de planta, silos, repuestos pesados, balanzas, implementos y cargas especiales.</x:v>
      </x:c>
      <x:c r="J186" s="3" t="str">
        <x:f>IFERROR(INDEX(Prospectos!$AJ$2:$AJ$288,MATCH($A186,Prospectos!$A$2:$A$288,0)),"")</x:f>
        <x:v>Muy alta</x:v>
      </x:c>
      <x:c r="K186" s="179"/>
      <x:c r="L186" s="3"/>
      <x:c r="M186" s="137"/>
      <x:c r="N186" s="158"/>
    </x:row>
    <x:row r="187" ht="34" customHeight="1">
      <x:c r="A187" s="183" t="str">
        <x:v>RC-005</x:v>
      </x:c>
      <x:c r="B187" s="183" t="str">
        <x:f>IFERROR(INDEX(Prospectos!$F$2:$F$288,MATCH($A187,Prospectos!$A$2:$A$288,0)),"")</x:f>
        <x:v>A</x:v>
      </x:c>
      <x:c r="C187" s="183" t="str">
        <x:f>IFERROR(INDEX(Prospectos!$H$2:$H$288,MATCH($A187,Prospectos!$A$2:$A$288,0)),"")</x:f>
        <x:v>Da Ros Premoldeados</x:v>
      </x:c>
      <x:c r="D187" s="183" t="str">
        <x:f>IFERROR(INDEX(Prospectos!$J$2:$J$288,MATCH($A187,Prospectos!$A$2:$A$288,0)),"")</x:f>
        <x:v>Agro, acopio y cooperativas</x:v>
      </x:c>
      <x:c r="E187" s="183" t="str">
        <x:f>IFERROR(INDEX(Prospectos!$C$2:$C$288,MATCH($A187,Prospectos!$A$2:$A$288,0)),"")</x:f>
        <x:v>Río Cuarto / RN36 sur</x:v>
      </x:c>
      <x:c r="F187" s="183" t="str">
        <x:f>IFERROR(INDEX(Prospectos!$E$2:$E$288,MATCH($A187,Prospectos!$A$2:$A$288,0)),"")</x:f>
        <x:v>Río Cuarto</x:v>
      </x:c>
      <x:c r="G187" s="183" t="str">
        <x:f>IFERROR(INDEX(Prospectos!$K$2:$K$288,MATCH($A187,Prospectos!$A$2:$A$288,0)),"")</x:f>
        <x:v>+54 358 508-9009</x:v>
      </x:c>
      <x:c r="H187" s="183" t="str">
        <x:f>IFERROR(INDEX(Prospectos!$M$2:$M$288,MATCH($A187,Prospectos!$A$2:$A$288,0)),"")</x:f>
        <x:v>despacho / logística</x:v>
      </x:c>
      <x:c r="I187" s="183" t="str">
        <x:f>IFERROR(INDEX(Prospectos!$N$2:$N$288,MATCH($A187,Prospectos!$A$2:$A$288,0)),"")</x:f>
        <x:v>Traslado de equipos de planta, silos, repuestos pesados, balanzas, implementos y cargas especiales.</x:v>
      </x:c>
      <x:c r="J187" s="183" t="str">
        <x:f>IFERROR(INDEX(Prospectos!$AJ$2:$AJ$288,MATCH($A187,Prospectos!$A$2:$A$288,0)),"")</x:f>
        <x:v>Muy alta</x:v>
      </x:c>
      <x:c r="K187" s="179"/>
      <x:c r="L187" s="5"/>
      <x:c r="M187" s="135"/>
      <x:c r="N187" s="158"/>
    </x:row>
    <x:row r="188" ht="34" customHeight="1">
      <x:c r="A188" s="3" t="str">
        <x:v>RC-035</x:v>
      </x:c>
      <x:c r="B188" s="3" t="str">
        <x:f>IFERROR(INDEX(Prospectos!$F$2:$F$288,MATCH($A188,Prospectos!$A$2:$A$288,0)),"")</x:f>
        <x:v>A</x:v>
      </x:c>
      <x:c r="C188" s="3" t="str">
        <x:f>IFERROR(INDEX(Prospectos!$H$2:$H$288,MATCH($A188,Prospectos!$A$2:$A$288,0)),"")</x:f>
        <x:v>Demarchi S.A.</x:v>
      </x:c>
      <x:c r="D188" s="3" t="str">
        <x:f>IFERROR(INDEX(Prospectos!$J$2:$J$288,MATCH($A188,Prospectos!$A$2:$A$288,0)),"")</x:f>
        <x:v>Maquinaria agrícola</x:v>
      </x:c>
      <x:c r="E188" s="3" t="str">
        <x:f>IFERROR(INDEX(Prospectos!$C$2:$C$288,MATCH($A188,Prospectos!$A$2:$A$288,0)),"")</x:f>
        <x:v>Río Cuarto / RN36 sur</x:v>
      </x:c>
      <x:c r="F188" s="3" t="str">
        <x:f>IFERROR(INDEX(Prospectos!$E$2:$E$288,MATCH($A188,Prospectos!$A$2:$A$288,0)),"")</x:f>
        <x:v>Río Cuarto</x:v>
      </x:c>
      <x:c r="G188" s="3" t="str">
        <x:f>IFERROR(INDEX(Prospectos!$K$2:$K$288,MATCH($A188,Prospectos!$A$2:$A$288,0)),"")</x:f>
        <x:v>0358 4010714</x:v>
      </x:c>
      <x:c r="H188" s="3" t="str">
        <x:f>IFERROR(INDEX(Prospectos!$M$2:$M$288,MATCH($A188,Prospectos!$A$2:$A$288,0)),"")</x:f>
        <x:v>logística / entregas / usados / postventa / gerente comercial</x:v>
      </x:c>
      <x:c r="I188" s="3" t="str">
        <x:f>IFERROR(INDEX(Prospectos!$N$2:$N$288,MATCH($A188,Prospectos!$A$2:$A$288,0)),"")</x:f>
        <x:v>Entrega y retiro de tractores, cosechadoras, pulverizadoras, sembradoras e implementos; movimientos por ventas, canjes, usados, service, demostraciones y ferias.</x:v>
      </x:c>
      <x:c r="J188" s="3" t="str">
        <x:f>IFERROR(INDEX(Prospectos!$AJ$2:$AJ$288,MATCH($A188,Prospectos!$A$2:$A$288,0)),"")</x:f>
        <x:v>Muy alta</x:v>
      </x:c>
      <x:c r="K188" s="179"/>
      <x:c r="L188" s="3"/>
      <x:c r="M188" s="137"/>
      <x:c r="N188" s="158"/>
    </x:row>
    <x:row r="189" ht="34" customHeight="1">
      <x:c r="A189" s="183" t="str">
        <x:v>RC-006</x:v>
      </x:c>
      <x:c r="B189" s="183" t="str">
        <x:f>IFERROR(INDEX(Prospectos!$F$2:$F$288,MATCH($A189,Prospectos!$A$2:$A$288,0)),"")</x:f>
        <x:v>A</x:v>
      </x:c>
      <x:c r="C189" s="183" t="str">
        <x:f>IFERROR(INDEX(Prospectos!$H$2:$H$288,MATCH($A189,Prospectos!$A$2:$A$288,0)),"")</x:f>
        <x:v>Dexco Constructora</x:v>
      </x:c>
      <x:c r="D189" s="183" t="str">
        <x:f>IFERROR(INDEX(Prospectos!$J$2:$J$288,MATCH($A189,Prospectos!$A$2:$A$288,0)),"")</x:f>
        <x:v>Construcción y obra vial</x:v>
      </x:c>
      <x:c r="E189" s="183" t="str">
        <x:f>IFERROR(INDEX(Prospectos!$C$2:$C$288,MATCH($A189,Prospectos!$A$2:$A$288,0)),"")</x:f>
        <x:v>Río Cuarto / RN36 sur</x:v>
      </x:c>
      <x:c r="F189" s="183" t="str">
        <x:f>IFERROR(INDEX(Prospectos!$E$2:$E$288,MATCH($A189,Prospectos!$A$2:$A$288,0)),"")</x:f>
        <x:v>Río Cuarto</x:v>
      </x:c>
      <x:c r="G189" s="183" t="str">
        <x:f>IFERROR(INDEX(Prospectos!$K$2:$K$288,MATCH($A189,Prospectos!$A$2:$A$288,0)),"")</x:f>
        <x:v>0358 4640139 / 0358 154869634</x:v>
      </x:c>
      <x:c r="H189" s="183" t="str">
        <x:f>IFERROR(INDEX(Prospectos!$M$2:$M$288,MATCH($A189,Prospectos!$A$2:$A$288,0)),"")</x:f>
        <x:v>jefe de obra / logística</x:v>
      </x:c>
      <x:c r="I189" s="183" t="str">
        <x:f>IFERROR(INDEX(Prospectos!$N$2:$N$288,MATCH($A189,Prospectos!$A$2:$A$288,0)),"")</x:f>
        <x:v>Traslado de maquinaria, módulos de obrador, estructuras, equipos y cargas pesadas entre frentes.</x:v>
      </x:c>
      <x:c r="J189" s="183" t="str">
        <x:f>IFERROR(INDEX(Prospectos!$AJ$2:$AJ$288,MATCH($A189,Prospectos!$A$2:$A$288,0)),"")</x:f>
        <x:v>Muy alta</x:v>
      </x:c>
      <x:c r="K189" s="179"/>
      <x:c r="L189" s="5"/>
      <x:c r="M189" s="135"/>
      <x:c r="N189" s="158"/>
    </x:row>
    <x:row r="190" ht="34" customHeight="1">
      <x:c r="A190" s="3" t="str">
        <x:v>RC-007</x:v>
      </x:c>
      <x:c r="B190" s="3" t="str">
        <x:f>IFERROR(INDEX(Prospectos!$F$2:$F$288,MATCH($A190,Prospectos!$A$2:$A$288,0)),"")</x:f>
        <x:v>A</x:v>
      </x:c>
      <x:c r="C190" s="3" t="str">
        <x:f>IFERROR(INDEX(Prospectos!$H$2:$H$288,MATCH($A190,Prospectos!$A$2:$A$288,0)),"")</x:f>
        <x:v>INCISA S.A. — División Hormigones</x:v>
      </x:c>
      <x:c r="D190" s="3" t="str">
        <x:f>IFERROR(INDEX(Prospectos!$J$2:$J$288,MATCH($A190,Prospectos!$A$2:$A$288,0)),"")</x:f>
        <x:v>Hormigón, áridos y materiales</x:v>
      </x:c>
      <x:c r="E190" s="3" t="str">
        <x:f>IFERROR(INDEX(Prospectos!$C$2:$C$288,MATCH($A190,Prospectos!$A$2:$A$288,0)),"")</x:f>
        <x:v>Río Cuarto / RN36 sur</x:v>
      </x:c>
      <x:c r="F190" s="3" t="str">
        <x:f>IFERROR(INDEX(Prospectos!$E$2:$E$288,MATCH($A190,Prospectos!$A$2:$A$288,0)),"")</x:f>
        <x:v>Río Cuarto</x:v>
      </x:c>
      <x:c r="G190" s="3" t="str">
        <x:f>IFERROR(INDEX(Prospectos!$K$2:$K$288,MATCH($A190,Prospectos!$A$2:$A$288,0)),"")</x:f>
        <x:v>3584 38 9870</x:v>
      </x:c>
      <x:c r="H190" s="3" t="str">
        <x:f>IFERROR(INDEX(Prospectos!$M$2:$M$288,MATCH($A190,Prospectos!$A$2:$A$288,0)),"")</x:f>
        <x:v>planta / mantenimiento / logística</x:v>
      </x:c>
      <x:c r="I190" s="3" t="str">
        <x:f>IFERROR(INDEX(Prospectos!$N$2:$N$288,MATCH($A190,Prospectos!$A$2:$A$288,0)),"")</x:f>
        <x:v>Movimiento de premoldeados, equipos de planta/cantera, bombas, moldes y cargas pesadas.</x:v>
      </x:c>
      <x:c r="J190" s="3" t="str">
        <x:f>IFERROR(INDEX(Prospectos!$AJ$2:$AJ$288,MATCH($A190,Prospectos!$A$2:$A$288,0)),"")</x:f>
        <x:v>Muy alta</x:v>
      </x:c>
      <x:c r="K190" s="179"/>
      <x:c r="L190" s="3"/>
      <x:c r="M190" s="137"/>
      <x:c r="N190" s="158"/>
    </x:row>
    <x:row r="191" ht="34" customHeight="1">
      <x:c r="A191" s="183" t="str">
        <x:v>RC-008</x:v>
      </x:c>
      <x:c r="B191" s="183" t="str">
        <x:f>IFERROR(INDEX(Prospectos!$F$2:$F$288,MATCH($A191,Prospectos!$A$2:$A$288,0)),"")</x:f>
        <x:v>A</x:v>
      </x:c>
      <x:c r="C191" s="183" t="str">
        <x:f>IFERROR(INDEX(Prospectos!$H$2:$H$288,MATCH($A191,Prospectos!$A$2:$A$288,0)),"")</x:f>
        <x:v>Marinelli S.A.</x:v>
      </x:c>
      <x:c r="D191" s="183" t="str">
        <x:f>IFERROR(INDEX(Prospectos!$J$2:$J$288,MATCH($A191,Prospectos!$A$2:$A$288,0)),"")</x:f>
        <x:v>Construcción y obra vial</x:v>
      </x:c>
      <x:c r="E191" s="183" t="str">
        <x:f>IFERROR(INDEX(Prospectos!$C$2:$C$288,MATCH($A191,Prospectos!$A$2:$A$288,0)),"")</x:f>
        <x:v>Río Cuarto / RN36 sur</x:v>
      </x:c>
      <x:c r="F191" s="183" t="str">
        <x:f>IFERROR(INDEX(Prospectos!$E$2:$E$288,MATCH($A191,Prospectos!$A$2:$A$288,0)),"")</x:f>
        <x:v>Río Cuarto</x:v>
      </x:c>
      <x:c r="G191" s="183" t="str">
        <x:f>IFERROR(INDEX(Prospectos!$K$2:$K$288,MATCH($A191,Prospectos!$A$2:$A$288,0)),"")</x:f>
        <x:v>0358 4647058</x:v>
      </x:c>
      <x:c r="H191" s="183" t="str">
        <x:f>IFERROR(INDEX(Prospectos!$M$2:$M$288,MATCH($A191,Prospectos!$A$2:$A$288,0)),"")</x:f>
        <x:v>jefe de obra / logística</x:v>
      </x:c>
      <x:c r="I191" s="183" t="str">
        <x:f>IFERROR(INDEX(Prospectos!$N$2:$N$288,MATCH($A191,Prospectos!$A$2:$A$288,0)),"")</x:f>
        <x:v>Traslado de maquinaria, módulos de obrador, estructuras, equipos y cargas pesadas entre frentes.</x:v>
      </x:c>
      <x:c r="J191" s="183" t="str">
        <x:f>IFERROR(INDEX(Prospectos!$AJ$2:$AJ$288,MATCH($A191,Prospectos!$A$2:$A$288,0)),"")</x:f>
        <x:v>Muy alta</x:v>
      </x:c>
      <x:c r="K191" s="179"/>
      <x:c r="L191" s="5"/>
      <x:c r="M191" s="135"/>
      <x:c r="N191" s="158"/>
    </x:row>
    <x:row r="192" ht="34" customHeight="1">
      <x:c r="A192" s="3" t="str">
        <x:v>RC-009</x:v>
      </x:c>
      <x:c r="B192" s="3" t="str">
        <x:f>IFERROR(INDEX(Prospectos!$F$2:$F$288,MATCH($A192,Prospectos!$A$2:$A$288,0)),"")</x:f>
        <x:v>A</x:v>
      </x:c>
      <x:c r="C192" s="3" t="str">
        <x:f>IFERROR(INDEX(Prospectos!$H$2:$H$288,MATCH($A192,Prospectos!$A$2:$A$288,0)),"")</x:f>
        <x:v>Paolini Hnos S.A.</x:v>
      </x:c>
      <x:c r="D192" s="3" t="str">
        <x:f>IFERROR(INDEX(Prospectos!$J$2:$J$288,MATCH($A192,Prospectos!$A$2:$A$288,0)),"")</x:f>
        <x:v>Construcción y obra vial</x:v>
      </x:c>
      <x:c r="E192" s="3" t="str">
        <x:f>IFERROR(INDEX(Prospectos!$C$2:$C$288,MATCH($A192,Prospectos!$A$2:$A$288,0)),"")</x:f>
        <x:v>Río Cuarto / RN36 sur</x:v>
      </x:c>
      <x:c r="F192" s="3" t="str">
        <x:f>IFERROR(INDEX(Prospectos!$E$2:$E$288,MATCH($A192,Prospectos!$A$2:$A$288,0)),"")</x:f>
        <x:v>Río Cuarto</x:v>
      </x:c>
      <x:c r="G192" s="3" t="str">
        <x:f>IFERROR(INDEX(Prospectos!$K$2:$K$288,MATCH($A192,Prospectos!$A$2:$A$288,0)),"")</x:f>
        <x:v>011 48779600</x:v>
      </x:c>
      <x:c r="H192" s="3" t="str">
        <x:f>IFERROR(INDEX(Prospectos!$M$2:$M$288,MATCH($A192,Prospectos!$A$2:$A$288,0)),"")</x:f>
        <x:v>jefe de obra / logística</x:v>
      </x:c>
      <x:c r="I192" s="3" t="str">
        <x:f>IFERROR(INDEX(Prospectos!$N$2:$N$288,MATCH($A192,Prospectos!$A$2:$A$288,0)),"")</x:f>
        <x:v>Traslado de maquinaria, módulos de obrador, estructuras, equipos y cargas pesadas entre frentes.</x:v>
      </x:c>
      <x:c r="J192" s="3" t="str">
        <x:f>IFERROR(INDEX(Prospectos!$AJ$2:$AJ$288,MATCH($A192,Prospectos!$A$2:$A$288,0)),"")</x:f>
        <x:v>Muy alta</x:v>
      </x:c>
      <x:c r="K192" s="179"/>
      <x:c r="L192" s="3"/>
      <x:c r="M192" s="137"/>
      <x:c r="N192" s="158"/>
    </x:row>
    <x:row r="193" ht="34" customHeight="1">
      <x:c r="A193" s="183" t="str">
        <x:v>RC-032</x:v>
      </x:c>
      <x:c r="B193" s="183" t="str">
        <x:f>IFERROR(INDEX(Prospectos!$F$2:$F$288,MATCH($A193,Prospectos!$A$2:$A$288,0)),"")</x:f>
        <x:v>A</x:v>
      </x:c>
      <x:c r="C193" s="183" t="str">
        <x:f>IFERROR(INDEX(Prospectos!$H$2:$H$288,MATCH($A193,Prospectos!$A$2:$A$288,0)),"")</x:f>
        <x:v>SALA / Agrotecnología Sala — Río Cuarto</x:v>
      </x:c>
      <x:c r="D193" s="183" t="str">
        <x:f>IFERROR(INDEX(Prospectos!$J$2:$J$288,MATCH($A193,Prospectos!$A$2:$A$288,0)),"")</x:f>
        <x:v>Maquinaria agrícola</x:v>
      </x:c>
      <x:c r="E193" s="183" t="str">
        <x:f>IFERROR(INDEX(Prospectos!$C$2:$C$288,MATCH($A193,Prospectos!$A$2:$A$288,0)),"")</x:f>
        <x:v>Río Cuarto / RN36 sur</x:v>
      </x:c>
      <x:c r="F193" s="183" t="str">
        <x:f>IFERROR(INDEX(Prospectos!$E$2:$E$288,MATCH($A193,Prospectos!$A$2:$A$288,0)),"")</x:f>
        <x:v>Río Cuarto</x:v>
      </x:c>
      <x:c r="G193" s="183" t="str">
        <x:f>IFERROR(INDEX(Prospectos!$K$2:$K$288,MATCH($A193,Prospectos!$A$2:$A$288,0)),"")</x:f>
        <x:v>A relevar</x:v>
      </x:c>
      <x:c r="H193" s="183" t="str">
        <x:f>IFERROR(INDEX(Prospectos!$M$2:$M$288,MATCH($A193,Prospectos!$A$2:$A$288,0)),"")</x:f>
        <x:v>logística / entregas / usados / postventa / gerente comercial</x:v>
      </x:c>
      <x:c r="I193" s="183" t="str">
        <x:f>IFERROR(INDEX(Prospectos!$N$2:$N$288,MATCH($A193,Prospectos!$A$2:$A$288,0)),"")</x:f>
        <x:v>Entrega y retiro de tractores, cosechadoras, pulverizadoras, sembradoras e implementos; movimientos por ventas, canjes, usados, service, demostraciones y ferias.</x:v>
      </x:c>
      <x:c r="J193" s="183" t="str">
        <x:f>IFERROR(INDEX(Prospectos!$AJ$2:$AJ$288,MATCH($A193,Prospectos!$A$2:$A$288,0)),"")</x:f>
        <x:v>Muy alta</x:v>
      </x:c>
      <x:c r="K193" s="179"/>
      <x:c r="L193" s="5"/>
      <x:c r="M193" s="135"/>
      <x:c r="N193" s="158"/>
    </x:row>
    <x:row r="194" ht="34" customHeight="1">
      <x:c r="A194" s="3" t="str">
        <x:v>RC-010</x:v>
      </x:c>
      <x:c r="B194" s="3" t="str">
        <x:f>IFERROR(INDEX(Prospectos!$F$2:$F$288,MATCH($A194,Prospectos!$A$2:$A$288,0)),"")</x:f>
        <x:v>A</x:v>
      </x:c>
      <x:c r="C194" s="3" t="str">
        <x:f>IFERROR(INDEX(Prospectos!$H$2:$H$288,MATCH($A194,Prospectos!$A$2:$A$288,0)),"")</x:f>
        <x:v>Soardo Construcciones</x:v>
      </x:c>
      <x:c r="D194" s="3" t="str">
        <x:f>IFERROR(INDEX(Prospectos!$J$2:$J$288,MATCH($A194,Prospectos!$A$2:$A$288,0)),"")</x:f>
        <x:v>Construcción y obra vial</x:v>
      </x:c>
      <x:c r="E194" s="3" t="str">
        <x:f>IFERROR(INDEX(Prospectos!$C$2:$C$288,MATCH($A194,Prospectos!$A$2:$A$288,0)),"")</x:f>
        <x:v>Río Cuarto / RN36 sur</x:v>
      </x:c>
      <x:c r="F194" s="3" t="str">
        <x:f>IFERROR(INDEX(Prospectos!$E$2:$E$288,MATCH($A194,Prospectos!$A$2:$A$288,0)),"")</x:f>
        <x:v>Río Cuarto</x:v>
      </x:c>
      <x:c r="G194" s="3" t="str">
        <x:f>IFERROR(INDEX(Prospectos!$K$2:$K$288,MATCH($A194,Prospectos!$A$2:$A$288,0)),"")</x:f>
        <x:v>0358 4166315</x:v>
      </x:c>
      <x:c r="H194" s="3" t="str">
        <x:f>IFERROR(INDEX(Prospectos!$M$2:$M$288,MATCH($A194,Prospectos!$A$2:$A$288,0)),"")</x:f>
        <x:v>jefe de obra / logística</x:v>
      </x:c>
      <x:c r="I194" s="3" t="str">
        <x:f>IFERROR(INDEX(Prospectos!$N$2:$N$288,MATCH($A194,Prospectos!$A$2:$A$288,0)),"")</x:f>
        <x:v>Traslado de maquinaria, módulos de obrador, estructuras, equipos y cargas pesadas entre frentes.</x:v>
      </x:c>
      <x:c r="J194" s="3" t="str">
        <x:f>IFERROR(INDEX(Prospectos!$AJ$2:$AJ$288,MATCH($A194,Prospectos!$A$2:$A$288,0)),"")</x:f>
        <x:v>Muy alta</x:v>
      </x:c>
      <x:c r="K194" s="179"/>
      <x:c r="L194" s="3"/>
      <x:c r="M194" s="137"/>
      <x:c r="N194" s="158"/>
    </x:row>
    <x:row r="195" ht="34" customHeight="1">
      <x:c r="A195" s="183" t="str">
        <x:v>RC-036</x:v>
      </x:c>
      <x:c r="B195" s="183" t="str">
        <x:f>IFERROR(INDEX(Prospectos!$F$2:$F$288,MATCH($A195,Prospectos!$A$2:$A$288,0)),"")</x:f>
        <x:v>A</x:v>
      </x:c>
      <x:c r="C195" s="183" t="str">
        <x:f>IFERROR(INDEX(Prospectos!$H$2:$H$288,MATCH($A195,Prospectos!$A$2:$A$288,0)),"")</x:f>
        <x:v>Agrokeegan Maquinarias</x:v>
      </x:c>
      <x:c r="D195" s="183" t="str">
        <x:f>IFERROR(INDEX(Prospectos!$J$2:$J$288,MATCH($A195,Prospectos!$A$2:$A$288,0)),"")</x:f>
        <x:v>Maquinaria agrícola</x:v>
      </x:c>
      <x:c r="E195" s="183" t="str">
        <x:f>IFERROR(INDEX(Prospectos!$C$2:$C$288,MATCH($A195,Prospectos!$A$2:$A$288,0)),"")</x:f>
        <x:v>Río Cuarto / RN36 sur</x:v>
      </x:c>
      <x:c r="F195" s="183" t="str">
        <x:f>IFERROR(INDEX(Prospectos!$E$2:$E$288,MATCH($A195,Prospectos!$A$2:$A$288,0)),"")</x:f>
        <x:v>Río Cuarto</x:v>
      </x:c>
      <x:c r="G195" s="183" t="str">
        <x:f>IFERROR(INDEX(Prospectos!$K$2:$K$288,MATCH($A195,Prospectos!$A$2:$A$288,0)),"")</x:f>
        <x:v>+54 358 6014848</x:v>
      </x:c>
      <x:c r="H195" s="183" t="str">
        <x:f>IFERROR(INDEX(Prospectos!$M$2:$M$288,MATCH($A195,Prospectos!$A$2:$A$288,0)),"")</x:f>
        <x:v>logística / entregas / usados / postventa / gerente comercial</x:v>
      </x:c>
      <x:c r="I195" s="183" t="str">
        <x:f>IFERROR(INDEX(Prospectos!$N$2:$N$288,MATCH($A195,Prospectos!$A$2:$A$288,0)),"")</x:f>
        <x:v>Entrega y retiro de tractores, cosechadoras, pulverizadoras, sembradoras e implementos; movimientos por ventas, canjes, usados, service, demostraciones y ferias.</x:v>
      </x:c>
      <x:c r="J195" s="183" t="str">
        <x:f>IFERROR(INDEX(Prospectos!$AJ$2:$AJ$288,MATCH($A195,Prospectos!$A$2:$A$288,0)),"")</x:f>
        <x:v>Muy alta</x:v>
      </x:c>
      <x:c r="K195" s="179"/>
      <x:c r="L195" s="5"/>
      <x:c r="M195" s="5"/>
      <x:c r="N195" s="158"/>
    </x:row>
    <x:row r="196" ht="34" customHeight="1">
      <x:c r="A196" s="136" t="str">
        <x:v>RC-037</x:v>
      </x:c>
      <x:c r="B196" s="136" t="str">
        <x:f>IFERROR(INDEX(Prospectos!$F$2:$F$288,MATCH($A196,Prospectos!$A$2:$A$288,0)),"")</x:f>
        <x:v>A</x:v>
      </x:c>
      <x:c r="C196" s="136" t="str">
        <x:f>IFERROR(INDEX(Prospectos!$H$2:$H$288,MATCH($A196,Prospectos!$A$2:$A$288,0)),"")</x:f>
        <x:v>Risio Maquinarias</x:v>
      </x:c>
      <x:c r="D196" s="136" t="str">
        <x:f>IFERROR(INDEX(Prospectos!$J$2:$J$288,MATCH($A196,Prospectos!$A$2:$A$288,0)),"")</x:f>
        <x:v>Maquinaria agrícola</x:v>
      </x:c>
      <x:c r="E196" s="136" t="str">
        <x:f>IFERROR(INDEX(Prospectos!$C$2:$C$288,MATCH($A196,Prospectos!$A$2:$A$288,0)),"")</x:f>
        <x:v>Río Cuarto / RN36 sur</x:v>
      </x:c>
      <x:c r="F196" s="136" t="str">
        <x:f>IFERROR(INDEX(Prospectos!$E$2:$E$288,MATCH($A196,Prospectos!$A$2:$A$288,0)),"")</x:f>
        <x:v>Río Cuarto</x:v>
      </x:c>
      <x:c r="G196" s="136" t="str">
        <x:f>IFERROR(INDEX(Prospectos!$K$2:$K$288,MATCH($A196,Prospectos!$A$2:$A$288,0)),"")</x:f>
        <x:v>0358 4195111</x:v>
      </x:c>
      <x:c r="H196" s="136" t="str">
        <x:f>IFERROR(INDEX(Prospectos!$M$2:$M$288,MATCH($A196,Prospectos!$A$2:$A$288,0)),"")</x:f>
        <x:v>logística / entregas / usados / postventa / gerente comercial</x:v>
      </x:c>
      <x:c r="I196" s="136" t="str">
        <x:f>IFERROR(INDEX(Prospectos!$N$2:$N$288,MATCH($A196,Prospectos!$A$2:$A$288,0)),"")</x:f>
        <x:v>Entrega y retiro de tractores, cosechadoras, pulverizadoras, sembradoras e implementos; movimientos por ventas, canjes, usados, service, demostraciones y ferias.</x:v>
      </x:c>
      <x:c r="J196" s="136" t="str">
        <x:f>IFERROR(INDEX(Prospectos!$AJ$2:$AJ$288,MATCH($A196,Prospectos!$A$2:$A$288,0)),"")</x:f>
        <x:v>Muy alta</x:v>
      </x:c>
      <x:c r="K196" s="182"/>
      <x:c r="L196" s="136"/>
      <x:c r="M196" s="136"/>
      <x:c r="N196" s="158"/>
    </x:row>
    <x:row r="197" ht="34" customHeight="1">
      <x:c r="A197" s="186" t="str">
        <x:v>RC-021</x:v>
      </x:c>
      <x:c r="B197" s="186" t="str">
        <x:f>IFERROR(INDEX(Prospectos!$F$2:$F$288,MATCH($A197,Prospectos!$A$2:$A$288,0)),"")</x:f>
        <x:v>A</x:v>
      </x:c>
      <x:c r="C197" s="186" t="str">
        <x:f>IFERROR(INDEX(Prospectos!$H$2:$H$288,MATCH($A197,Prospectos!$A$2:$A$288,0)),"")</x:f>
        <x:v>Agro GM — Río Cuarto</x:v>
      </x:c>
      <x:c r="D197" s="186" t="str">
        <x:f>IFERROR(INDEX(Prospectos!$J$2:$J$288,MATCH($A197,Prospectos!$A$2:$A$288,0)),"")</x:f>
        <x:v>Maquinaria agrícola</x:v>
      </x:c>
      <x:c r="E197" s="186" t="str">
        <x:f>IFERROR(INDEX(Prospectos!$C$2:$C$288,MATCH($A197,Prospectos!$A$2:$A$288,0)),"")</x:f>
        <x:v>Río Cuarto / RN36 sur</x:v>
      </x:c>
      <x:c r="F197" s="186" t="str">
        <x:f>IFERROR(INDEX(Prospectos!$E$2:$E$288,MATCH($A197,Prospectos!$A$2:$A$288,0)),"")</x:f>
        <x:v>Río Cuarto</x:v>
      </x:c>
      <x:c r="G197" s="186" t="str">
        <x:f>IFERROR(INDEX(Prospectos!$K$2:$K$288,MATCH($A197,Prospectos!$A$2:$A$288,0)),"")</x:f>
        <x:v>0358 4626444 / +54 9 358 4296332</x:v>
      </x:c>
      <x:c r="H197" s="186" t="str">
        <x:f>IFERROR(INDEX(Prospectos!$M$2:$M$288,MATCH($A197,Prospectos!$A$2:$A$288,0)),"")</x:f>
        <x:v>logística / ventas / postventa</x:v>
      </x:c>
      <x:c r="I197" s="186" t="str">
        <x:f>IFERROR(INDEX(Prospectos!$N$2:$N$288,MATCH($A197,Prospectos!$A$2:$A$288,0)),"")</x:f>
        <x:v>Entrega y retiro de tractores, cosechadoras, pulverizadoras, sembradoras e implementos; movimientos por venta, service, canje, demostraciones o ferias.</x:v>
      </x:c>
      <x:c r="J197" s="186" t="str">
        <x:f>IFERROR(INDEX(Prospectos!$AJ$2:$AJ$288,MATCH($A197,Prospectos!$A$2:$A$288,0)),"")</x:f>
        <x:v>Muy alta</x:v>
      </x:c>
      <x:c r="K197" s="182"/>
      <x:c r="L197" s="135"/>
      <x:c r="M197" s="135"/>
      <x:c r="N197" s="158"/>
    </x:row>
    <x:row r="198" ht="34" customHeight="1">
      <x:c r="A198" s="136" t="str">
        <x:v>RC-019</x:v>
      </x:c>
      <x:c r="B198" s="136" t="str">
        <x:f>IFERROR(INDEX(Prospectos!$F$2:$F$288,MATCH($A198,Prospectos!$A$2:$A$288,0)),"")</x:f>
        <x:v>A</x:v>
      </x:c>
      <x:c r="C198" s="136" t="str">
        <x:f>IFERROR(INDEX(Prospectos!$H$2:$H$288,MATCH($A198,Prospectos!$A$2:$A$288,0)),"")</x:f>
        <x:v>Pallotti Maquinarias</x:v>
      </x:c>
      <x:c r="D198" s="136" t="str">
        <x:f>IFERROR(INDEX(Prospectos!$J$2:$J$288,MATCH($A198,Prospectos!$A$2:$A$288,0)),"")</x:f>
        <x:v>Maquinaria agrícola</x:v>
      </x:c>
      <x:c r="E198" s="136" t="str">
        <x:f>IFERROR(INDEX(Prospectos!$C$2:$C$288,MATCH($A198,Prospectos!$A$2:$A$288,0)),"")</x:f>
        <x:v>Río Cuarto / RN36 sur</x:v>
      </x:c>
      <x:c r="F198" s="136" t="str">
        <x:f>IFERROR(INDEX(Prospectos!$E$2:$E$288,MATCH($A198,Prospectos!$A$2:$A$288,0)),"")</x:f>
        <x:v>Río Cuarto</x:v>
      </x:c>
      <x:c r="G198" s="136" t="str">
        <x:f>IFERROR(INDEX(Prospectos!$K$2:$K$288,MATCH($A198,Prospectos!$A$2:$A$288,0)),"")</x:f>
        <x:v>+54 358 5713137 / +54 358 5091218</x:v>
      </x:c>
      <x:c r="H198" s="136" t="str">
        <x:f>IFERROR(INDEX(Prospectos!$M$2:$M$288,MATCH($A198,Prospectos!$A$2:$A$288,0)),"")</x:f>
        <x:v>logística / ventas / postventa</x:v>
      </x:c>
      <x:c r="I198" s="136" t="str">
        <x:f>IFERROR(INDEX(Prospectos!$N$2:$N$288,MATCH($A198,Prospectos!$A$2:$A$288,0)),"")</x:f>
        <x:v>Entrega y retiro de tractores, cosechadoras, pulverizadoras, sembradoras e implementos; movimientos por venta, service, canje, demostraciones o ferias.</x:v>
      </x:c>
      <x:c r="J198" s="136" t="str">
        <x:f>IFERROR(INDEX(Prospectos!$AJ$2:$AJ$288,MATCH($A198,Prospectos!$A$2:$A$288,0)),"")</x:f>
        <x:v>Muy alta</x:v>
      </x:c>
      <x:c r="K198" s="182"/>
      <x:c r="L198" s="136"/>
      <x:c r="M198" s="136"/>
      <x:c r="N198" s="158"/>
    </x:row>
    <x:row r="199" ht="34" customHeight="1">
      <x:c r="A199" s="186" t="str">
        <x:v>RC-039</x:v>
      </x:c>
      <x:c r="B199" s="186" t="str">
        <x:f>IFERROR(INDEX(Prospectos!$F$2:$F$288,MATCH($A199,Prospectos!$A$2:$A$288,0)),"")</x:f>
        <x:v>A</x:v>
      </x:c>
      <x:c r="C199" s="186" t="str">
        <x:f>IFERROR(INDEX(Prospectos!$H$2:$H$288,MATCH($A199,Prospectos!$A$2:$A$288,0)),"")</x:f>
        <x:v>Rodagro — Río Cuarto</x:v>
      </x:c>
      <x:c r="D199" s="186" t="str">
        <x:f>IFERROR(INDEX(Prospectos!$J$2:$J$288,MATCH($A199,Prospectos!$A$2:$A$288,0)),"")</x:f>
        <x:v>Maquinaria agrícola</x:v>
      </x:c>
      <x:c r="E199" s="186" t="str">
        <x:f>IFERROR(INDEX(Prospectos!$C$2:$C$288,MATCH($A199,Prospectos!$A$2:$A$288,0)),"")</x:f>
        <x:v>Río Cuarto / RN36 sur</x:v>
      </x:c>
      <x:c r="F199" s="186" t="str">
        <x:f>IFERROR(INDEX(Prospectos!$E$2:$E$288,MATCH($A199,Prospectos!$A$2:$A$288,0)),"")</x:f>
        <x:v>Río Cuarto</x:v>
      </x:c>
      <x:c r="G199" s="186" t="str">
        <x:f>IFERROR(INDEX(Prospectos!$K$2:$K$288,MATCH($A199,Prospectos!$A$2:$A$288,0)),"")</x:f>
        <x:v>+54 9 358 4797917</x:v>
      </x:c>
      <x:c r="H199" s="186" t="str">
        <x:f>IFERROR(INDEX(Prospectos!$M$2:$M$288,MATCH($A199,Prospectos!$A$2:$A$288,0)),"")</x:f>
        <x:v>logística / entregas / usados / postventa / gerente comercial</x:v>
      </x:c>
      <x:c r="I199" s="186" t="str">
        <x:f>IFERROR(INDEX(Prospectos!$N$2:$N$288,MATCH($A199,Prospectos!$A$2:$A$288,0)),"")</x:f>
        <x:v>Entrega y retiro de tractores, cosechadoras, pulverizadoras, sembradoras e implementos; movimientos por ventas, canjes, usados, service, demostraciones y ferias.</x:v>
      </x:c>
      <x:c r="J199" s="186" t="str">
        <x:f>IFERROR(INDEX(Prospectos!$AJ$2:$AJ$288,MATCH($A199,Prospectos!$A$2:$A$288,0)),"")</x:f>
        <x:v>Muy alta</x:v>
      </x:c>
      <x:c r="K199" s="182"/>
      <x:c r="L199" s="135"/>
      <x:c r="M199" s="135"/>
      <x:c r="N199" s="158"/>
    </x:row>
    <x:row r="200" ht="34" customHeight="1">
      <x:c r="A200" s="136" t="str">
        <x:v>RC-020</x:v>
      </x:c>
      <x:c r="B200" s="136" t="str">
        <x:f>IFERROR(INDEX(Prospectos!$F$2:$F$288,MATCH($A200,Prospectos!$A$2:$A$288,0)),"")</x:f>
        <x:v>A</x:v>
      </x:c>
      <x:c r="C200" s="136" t="str">
        <x:f>IFERROR(INDEX(Prospectos!$H$2:$H$288,MATCH($A200,Prospectos!$A$2:$A$288,0)),"")</x:f>
        <x:v>Semtraco — Río Cuarto</x:v>
      </x:c>
      <x:c r="D200" s="136" t="str">
        <x:f>IFERROR(INDEX(Prospectos!$J$2:$J$288,MATCH($A200,Prospectos!$A$2:$A$288,0)),"")</x:f>
        <x:v>Maquinaria agrícola</x:v>
      </x:c>
      <x:c r="E200" s="136" t="str">
        <x:f>IFERROR(INDEX(Prospectos!$C$2:$C$288,MATCH($A200,Prospectos!$A$2:$A$288,0)),"")</x:f>
        <x:v>Río Cuarto / RN36 sur</x:v>
      </x:c>
      <x:c r="F200" s="136" t="str">
        <x:f>IFERROR(INDEX(Prospectos!$E$2:$E$288,MATCH($A200,Prospectos!$A$2:$A$288,0)),"")</x:f>
        <x:v>Río Cuarto</x:v>
      </x:c>
      <x:c r="G200" s="136" t="str">
        <x:f>IFERROR(INDEX(Prospectos!$K$2:$K$288,MATCH($A200,Prospectos!$A$2:$A$288,0)),"")</x:f>
        <x:v>03584 158451</x:v>
      </x:c>
      <x:c r="H200" s="136" t="str">
        <x:f>IFERROR(INDEX(Prospectos!$M$2:$M$288,MATCH($A200,Prospectos!$A$2:$A$288,0)),"")</x:f>
        <x:v>logística / ventas / postventa</x:v>
      </x:c>
      <x:c r="I200" s="136" t="str">
        <x:f>IFERROR(INDEX(Prospectos!$N$2:$N$288,MATCH($A200,Prospectos!$A$2:$A$288,0)),"")</x:f>
        <x:v>Entrega y retiro de tractores, cosechadoras, pulverizadoras, sembradoras e implementos; movimientos por venta, service, canje, demostraciones o ferias.</x:v>
      </x:c>
      <x:c r="J200" s="136" t="str">
        <x:f>IFERROR(INDEX(Prospectos!$AJ$2:$AJ$288,MATCH($A200,Prospectos!$A$2:$A$288,0)),"")</x:f>
        <x:v>Muy alta</x:v>
      </x:c>
      <x:c r="K200" s="182"/>
      <x:c r="L200" s="136"/>
      <x:c r="M200" s="136"/>
      <x:c r="N200" s="158"/>
    </x:row>
    <x:row r="201" ht="34" customHeight="1">
      <x:c r="A201" s="186" t="str">
        <x:v>RC-026</x:v>
      </x:c>
      <x:c r="B201" s="186" t="str">
        <x:f>IFERROR(INDEX(Prospectos!$F$2:$F$288,MATCH($A201,Prospectos!$A$2:$A$288,0)),"")</x:f>
        <x:v>A</x:v>
      </x:c>
      <x:c r="C201" s="186" t="str">
        <x:f>IFERROR(INDEX(Prospectos!$H$2:$H$288,MATCH($A201,Prospectos!$A$2:$A$288,0)),"")</x:f>
        <x:v>Simonassi — Río Cuarto</x:v>
      </x:c>
      <x:c r="D201" s="186" t="str">
        <x:f>IFERROR(INDEX(Prospectos!$J$2:$J$288,MATCH($A201,Prospectos!$A$2:$A$288,0)),"")</x:f>
        <x:v>Maquinaria agrícola</x:v>
      </x:c>
      <x:c r="E201" s="186" t="str">
        <x:f>IFERROR(INDEX(Prospectos!$C$2:$C$288,MATCH($A201,Prospectos!$A$2:$A$288,0)),"")</x:f>
        <x:v>Río Cuarto / RN36 sur</x:v>
      </x:c>
      <x:c r="F201" s="186" t="str">
        <x:f>IFERROR(INDEX(Prospectos!$E$2:$E$288,MATCH($A201,Prospectos!$A$2:$A$288,0)),"")</x:f>
        <x:v>Río Cuarto</x:v>
      </x:c>
      <x:c r="G201" s="186" t="str">
        <x:f>IFERROR(INDEX(Prospectos!$K$2:$K$288,MATCH($A201,Prospectos!$A$2:$A$288,0)),"")</x:f>
        <x:v>0358 4654124 / 0358 4637034</x:v>
      </x:c>
      <x:c r="H201" s="186" t="str">
        <x:f>IFERROR(INDEX(Prospectos!$M$2:$M$288,MATCH($A201,Prospectos!$A$2:$A$288,0)),"")</x:f>
        <x:v>logística / ventas / postventa</x:v>
      </x:c>
      <x:c r="I201" s="186" t="str">
        <x:f>IFERROR(INDEX(Prospectos!$N$2:$N$288,MATCH($A201,Prospectos!$A$2:$A$288,0)),"")</x:f>
        <x:v>Entrega y retiro de tractores, cosechadoras, pulverizadoras, sembradoras e implementos; movimientos por venta, service, canje, demostraciones o ferias.</x:v>
      </x:c>
      <x:c r="J201" s="186" t="str">
        <x:f>IFERROR(INDEX(Prospectos!$AJ$2:$AJ$288,MATCH($A201,Prospectos!$A$2:$A$288,0)),"")</x:f>
        <x:v>Muy alta</x:v>
      </x:c>
      <x:c r="K201" s="182"/>
      <x:c r="L201" s="135"/>
      <x:c r="M201" s="135"/>
      <x:c r="N201" s="158"/>
    </x:row>
    <x:row r="202" ht="34" customHeight="1">
      <x:c r="A202" s="136" t="str">
        <x:v>RC-033</x:v>
      </x:c>
      <x:c r="B202" s="136" t="str">
        <x:f>IFERROR(INDEX(Prospectos!$F$2:$F$288,MATCH($A202,Prospectos!$A$2:$A$288,0)),"")</x:f>
        <x:v>A</x:v>
      </x:c>
      <x:c r="C202" s="136" t="str">
        <x:f>IFERROR(INDEX(Prospectos!$H$2:$H$288,MATCH($A202,Prospectos!$A$2:$A$288,0)),"")</x:f>
        <x:v>Ulla Maquinarias — Río Cuarto</x:v>
      </x:c>
      <x:c r="D202" s="136" t="str">
        <x:f>IFERROR(INDEX(Prospectos!$J$2:$J$288,MATCH($A202,Prospectos!$A$2:$A$288,0)),"")</x:f>
        <x:v>Maquinaria agrícola</x:v>
      </x:c>
      <x:c r="E202" s="136" t="str">
        <x:f>IFERROR(INDEX(Prospectos!$C$2:$C$288,MATCH($A202,Prospectos!$A$2:$A$288,0)),"")</x:f>
        <x:v>Río Cuarto / RN36 sur</x:v>
      </x:c>
      <x:c r="F202" s="136" t="str">
        <x:f>IFERROR(INDEX(Prospectos!$E$2:$E$288,MATCH($A202,Prospectos!$A$2:$A$288,0)),"")</x:f>
        <x:v>Río Cuarto</x:v>
      </x:c>
      <x:c r="G202" s="136" t="str">
        <x:f>IFERROR(INDEX(Prospectos!$K$2:$K$288,MATCH($A202,Prospectos!$A$2:$A$288,0)),"")</x:f>
        <x:v>A relevar</x:v>
      </x:c>
      <x:c r="H202" s="136" t="str">
        <x:f>IFERROR(INDEX(Prospectos!$M$2:$M$288,MATCH($A202,Prospectos!$A$2:$A$288,0)),"")</x:f>
        <x:v>logística / entregas / usados / postventa / gerente comercial</x:v>
      </x:c>
      <x:c r="I202" s="136" t="str">
        <x:f>IFERROR(INDEX(Prospectos!$N$2:$N$288,MATCH($A202,Prospectos!$A$2:$A$288,0)),"")</x:f>
        <x:v>Entrega y retiro de tractores, cosechadoras, pulverizadoras, sembradoras e implementos; movimientos por ventas, canjes, usados, service, demostraciones y ferias.</x:v>
      </x:c>
      <x:c r="J202" s="136" t="str">
        <x:f>IFERROR(INDEX(Prospectos!$AJ$2:$AJ$288,MATCH($A202,Prospectos!$A$2:$A$288,0)),"")</x:f>
        <x:v>Muy alta</x:v>
      </x:c>
      <x:c r="K202" s="182"/>
      <x:c r="L202" s="136"/>
      <x:c r="M202" s="136"/>
      <x:c r="N202" s="158"/>
    </x:row>
    <x:row r="203" ht="34" customHeight="1">
      <x:c r="A203" s="186" t="str">
        <x:v>RC-027</x:v>
      </x:c>
      <x:c r="B203" s="186" t="str">
        <x:f>IFERROR(INDEX(Prospectos!$F$2:$F$288,MATCH($A203,Prospectos!$A$2:$A$288,0)),"")</x:f>
        <x:v>A</x:v>
      </x:c>
      <x:c r="C203" s="186" t="str">
        <x:f>IFERROR(INDEX(Prospectos!$H$2:$H$288,MATCH($A203,Prospectos!$A$2:$A$288,0)),"")</x:f>
        <x:v>Indusplast Piscinas — Río Cuarto</x:v>
      </x:c>
      <x:c r="D203" s="186" t="str">
        <x:f>IFERROR(INDEX(Prospectos!$J$2:$J$288,MATCH($A203,Prospectos!$A$2:$A$288,0)),"")</x:f>
        <x:v>PRFV y plásticos</x:v>
      </x:c>
      <x:c r="E203" s="186" t="str">
        <x:f>IFERROR(INDEX(Prospectos!$C$2:$C$288,MATCH($A203,Prospectos!$A$2:$A$288,0)),"")</x:f>
        <x:v>Río Cuarto / RN36 sur</x:v>
      </x:c>
      <x:c r="F203" s="186" t="str">
        <x:f>IFERROR(INDEX(Prospectos!$E$2:$E$288,MATCH($A203,Prospectos!$A$2:$A$288,0)),"")</x:f>
        <x:v>Río Cuarto</x:v>
      </x:c>
      <x:c r="G203" s="186" t="str">
        <x:f>IFERROR(INDEX(Prospectos!$K$2:$K$288,MATCH($A203,Prospectos!$A$2:$A$288,0)),"")</x:f>
        <x:v>0358 6028628</x:v>
      </x:c>
      <x:c r="H203" s="186" t="str">
        <x:f>IFERROR(INDEX(Prospectos!$M$2:$M$288,MATCH($A203,Prospectos!$A$2:$A$288,0)),"")</x:f>
        <x:v>logística / instalaciones / obras / ventas</x:v>
      </x:c>
      <x:c r="I203" s="186" t="str">
        <x:f>IFERROR(INDEX(Prospectos!$N$2:$N$288,MATCH($A203,Prospectos!$A$2:$A$288,0)),"")</x:f>
        <x:v>Entrega de piscinas de fibra desde depósito/franquicia hasta domicilio y apoyo de grúa cuando el casco debe superar medianeras, techos o accesos angostos.</x:v>
      </x:c>
      <x:c r="J203" s="186" t="str">
        <x:f>IFERROR(INDEX(Prospectos!$AJ$2:$AJ$288,MATCH($A203,Prospectos!$A$2:$A$288,0)),"")</x:f>
        <x:v>Muy alta</x:v>
      </x:c>
      <x:c r="K203" s="182"/>
      <x:c r="L203" s="135"/>
      <x:c r="M203" s="135"/>
      <x:c r="N203" s="158"/>
    </x:row>
    <x:row r="204" ht="34" customHeight="1">
      <x:c r="A204" s="136" t="str">
        <x:v>RC-030</x:v>
      </x:c>
      <x:c r="B204" s="136" t="str">
        <x:f>IFERROR(INDEX(Prospectos!$F$2:$F$288,MATCH($A204,Prospectos!$A$2:$A$288,0)),"")</x:f>
        <x:v>A</x:v>
      </x:c>
      <x:c r="C204" s="136" t="str">
        <x:f>IFERROR(INDEX(Prospectos!$H$2:$H$288,MATCH($A204,Prospectos!$A$2:$A$288,0)),"")</x:f>
        <x:v>Luvi Piscinas — Río Cuarto</x:v>
      </x:c>
      <x:c r="D204" s="136" t="str">
        <x:f>IFERROR(INDEX(Prospectos!$J$2:$J$288,MATCH($A204,Prospectos!$A$2:$A$288,0)),"")</x:f>
        <x:v>PRFV y plásticos</x:v>
      </x:c>
      <x:c r="E204" s="136" t="str">
        <x:f>IFERROR(INDEX(Prospectos!$C$2:$C$288,MATCH($A204,Prospectos!$A$2:$A$288,0)),"")</x:f>
        <x:v>Río Cuarto / RN36 sur</x:v>
      </x:c>
      <x:c r="F204" s="136" t="str">
        <x:f>IFERROR(INDEX(Prospectos!$E$2:$E$288,MATCH($A204,Prospectos!$A$2:$A$288,0)),"")</x:f>
        <x:v>Río Cuarto</x:v>
      </x:c>
      <x:c r="G204" s="136" t="str">
        <x:f>IFERROR(INDEX(Prospectos!$K$2:$K$288,MATCH($A204,Prospectos!$A$2:$A$288,0)),"")</x:f>
        <x:v>0358 4826734</x:v>
      </x:c>
      <x:c r="H204" s="136" t="str">
        <x:f>IFERROR(INDEX(Prospectos!$M$2:$M$288,MATCH($A204,Prospectos!$A$2:$A$288,0)),"")</x:f>
        <x:v>logística / instalaciones / obras / ventas</x:v>
      </x:c>
      <x:c r="I204" s="136" t="str">
        <x:f>IFERROR(INDEX(Prospectos!$N$2:$N$288,MATCH($A204,Prospectos!$A$2:$A$288,0)),"")</x:f>
        <x:v>Despacho recurrente de cascos PRFV de gran volumen desde fábrica hacia obras, franquicias o domicilios; coordinación de descarga y posicionamiento en patios con accesos restringidos.</x:v>
      </x:c>
      <x:c r="J204" s="136" t="str">
        <x:f>IFERROR(INDEX(Prospectos!$AJ$2:$AJ$288,MATCH($A204,Prospectos!$A$2:$A$288,0)),"")</x:f>
        <x:v>Muy alta</x:v>
      </x:c>
      <x:c r="K204" s="182"/>
      <x:c r="L204" s="136"/>
      <x:c r="M204" s="136"/>
      <x:c r="N204" s="158"/>
    </x:row>
    <x:row r="205" ht="34" customHeight="1">
      <x:c r="A205" s="186" t="str">
        <x:v>RC-028</x:v>
      </x:c>
      <x:c r="B205" s="186" t="str">
        <x:f>IFERROR(INDEX(Prospectos!$F$2:$F$288,MATCH($A205,Prospectos!$A$2:$A$288,0)),"")</x:f>
        <x:v>A</x:v>
      </x:c>
      <x:c r="C205" s="186" t="str">
        <x:f>IFERROR(INDEX(Prospectos!$H$2:$H$288,MATCH($A205,Prospectos!$A$2:$A$288,0)),"")</x:f>
        <x:v>Da Natureza Piscinas y Riegos</x:v>
      </x:c>
      <x:c r="D205" s="186" t="str">
        <x:f>IFERROR(INDEX(Prospectos!$J$2:$J$288,MATCH($A205,Prospectos!$A$2:$A$288,0)),"")</x:f>
        <x:v>PRFV y plásticos</x:v>
      </x:c>
      <x:c r="E205" s="186" t="str">
        <x:f>IFERROR(INDEX(Prospectos!$C$2:$C$288,MATCH($A205,Prospectos!$A$2:$A$288,0)),"")</x:f>
        <x:v>Río Cuarto / RN36 sur</x:v>
      </x:c>
      <x:c r="F205" s="186" t="str">
        <x:f>IFERROR(INDEX(Prospectos!$E$2:$E$288,MATCH($A205,Prospectos!$A$2:$A$288,0)),"")</x:f>
        <x:v>Río Cuarto</x:v>
      </x:c>
      <x:c r="G205" s="186" t="str">
        <x:f>IFERROR(INDEX(Prospectos!$K$2:$K$288,MATCH($A205,Prospectos!$A$2:$A$288,0)),"")</x:f>
        <x:v>+54 9 358 4287330</x:v>
      </x:c>
      <x:c r="H205" s="186" t="str">
        <x:f>IFERROR(INDEX(Prospectos!$M$2:$M$288,MATCH($A205,Prospectos!$A$2:$A$288,0)),"")</x:f>
        <x:v>logística / instalaciones / obras / ventas</x:v>
      </x:c>
      <x:c r="I205" s="186" t="str">
        <x:f>IFERROR(INDEX(Prospectos!$N$2:$N$288,MATCH($A205,Prospectos!$A$2:$A$288,0)),"")</x:f>
        <x:v>Entrega de piscinas de fibra desde depósito/franquicia hasta domicilio y apoyo de grúa cuando el casco debe superar medianeras, techos o accesos angostos.</x:v>
      </x:c>
      <x:c r="J205" s="186" t="str">
        <x:f>IFERROR(INDEX(Prospectos!$AJ$2:$AJ$288,MATCH($A205,Prospectos!$A$2:$A$288,0)),"")</x:f>
        <x:v>Muy alta</x:v>
      </x:c>
      <x:c r="K205" s="182"/>
      <x:c r="L205" s="135"/>
      <x:c r="M205" s="135"/>
      <x:c r="N205" s="158"/>
    </x:row>
    <x:row r="206" ht="34" customHeight="1">
      <x:c r="A206" s="136" t="str">
        <x:v>RC-031</x:v>
      </x:c>
      <x:c r="B206" s="136" t="str">
        <x:f>IFERROR(INDEX(Prospectos!$F$2:$F$288,MATCH($A206,Prospectos!$A$2:$A$288,0)),"")</x:f>
        <x:v>A</x:v>
      </x:c>
      <x:c r="C206" s="136" t="str">
        <x:f>IFERROR(INDEX(Prospectos!$H$2:$H$288,MATCH($A206,Prospectos!$A$2:$A$288,0)),"")</x:f>
        <x:v>Piscinas iGUi — Río Cuarto</x:v>
      </x:c>
      <x:c r="D206" s="136" t="str">
        <x:f>IFERROR(INDEX(Prospectos!$J$2:$J$288,MATCH($A206,Prospectos!$A$2:$A$288,0)),"")</x:f>
        <x:v>PRFV y plásticos</x:v>
      </x:c>
      <x:c r="E206" s="136" t="str">
        <x:f>IFERROR(INDEX(Prospectos!$C$2:$C$288,MATCH($A206,Prospectos!$A$2:$A$288,0)),"")</x:f>
        <x:v>Río Cuarto / RN36 sur</x:v>
      </x:c>
      <x:c r="F206" s="136" t="str">
        <x:f>IFERROR(INDEX(Prospectos!$E$2:$E$288,MATCH($A206,Prospectos!$A$2:$A$288,0)),"")</x:f>
        <x:v>Río Cuarto</x:v>
      </x:c>
      <x:c r="G206" s="136" t="str">
        <x:f>IFERROR(INDEX(Prospectos!$K$2:$K$288,MATCH($A206,Prospectos!$A$2:$A$288,0)),"")</x:f>
        <x:v>0800 222 4484</x:v>
      </x:c>
      <x:c r="H206" s="136" t="str">
        <x:f>IFERROR(INDEX(Prospectos!$M$2:$M$288,MATCH($A206,Prospectos!$A$2:$A$288,0)),"")</x:f>
        <x:v>logística / instalaciones / obras / ventas</x:v>
      </x:c>
      <x:c r="I206" s="136" t="str">
        <x:f>IFERROR(INDEX(Prospectos!$N$2:$N$288,MATCH($A206,Prospectos!$A$2:$A$288,0)),"")</x:f>
        <x:v>Entrega de piscinas de fibra desde depósito/franquicia hasta domicilio y apoyo de grúa cuando el casco debe superar medianeras, techos o accesos angostos.</x:v>
      </x:c>
      <x:c r="J206" s="136" t="str">
        <x:f>IFERROR(INDEX(Prospectos!$AJ$2:$AJ$288,MATCH($A206,Prospectos!$A$2:$A$288,0)),"")</x:f>
        <x:v>Alta</x:v>
      </x:c>
      <x:c r="K206" s="182"/>
      <x:c r="L206" s="136"/>
      <x:c r="M206" s="136"/>
      <x:c r="N206" s="158"/>
    </x:row>
    <x:row r="207" ht="34" customHeight="1">
      <x:c r="A207" s="186" t="str">
        <x:v>RC-038</x:v>
      </x:c>
      <x:c r="B207" s="186" t="str">
        <x:f>IFERROR(INDEX(Prospectos!$F$2:$F$288,MATCH($A207,Prospectos!$A$2:$A$288,0)),"")</x:f>
        <x:v>A</x:v>
      </x:c>
      <x:c r="C207" s="186" t="str">
        <x:f>IFERROR(INDEX(Prospectos!$H$2:$H$288,MATCH($A207,Prospectos!$A$2:$A$288,0)),"")</x:f>
        <x:v>Rubén Marconi Maquinarias</x:v>
      </x:c>
      <x:c r="D207" s="186" t="str">
        <x:f>IFERROR(INDEX(Prospectos!$J$2:$J$288,MATCH($A207,Prospectos!$A$2:$A$288,0)),"")</x:f>
        <x:v>Maquinaria agrícola</x:v>
      </x:c>
      <x:c r="E207" s="186" t="str">
        <x:f>IFERROR(INDEX(Prospectos!$C$2:$C$288,MATCH($A207,Prospectos!$A$2:$A$288,0)),"")</x:f>
        <x:v>Río Cuarto / RN36 sur</x:v>
      </x:c>
      <x:c r="F207" s="186" t="str">
        <x:f>IFERROR(INDEX(Prospectos!$E$2:$E$288,MATCH($A207,Prospectos!$A$2:$A$288,0)),"")</x:f>
        <x:v>Río Cuarto</x:v>
      </x:c>
      <x:c r="G207" s="186" t="str">
        <x:f>IFERROR(INDEX(Prospectos!$K$2:$K$288,MATCH($A207,Prospectos!$A$2:$A$288,0)),"")</x:f>
        <x:v>0358 4629706</x:v>
      </x:c>
      <x:c r="H207" s="186" t="str">
        <x:f>IFERROR(INDEX(Prospectos!$M$2:$M$288,MATCH($A207,Prospectos!$A$2:$A$288,0)),"")</x:f>
        <x:v>logística / entregas / usados / postventa / gerente comercial</x:v>
      </x:c>
      <x:c r="I207" s="186" t="str">
        <x:f>IFERROR(INDEX(Prospectos!$N$2:$N$288,MATCH($A207,Prospectos!$A$2:$A$288,0)),"")</x:f>
        <x:v>Entrega y retiro de tractores, cosechadoras, pulverizadoras, sembradoras e implementos; movimientos por ventas, canjes, usados, service, demostraciones y ferias.</x:v>
      </x:c>
      <x:c r="J207" s="186" t="str">
        <x:f>IFERROR(INDEX(Prospectos!$AJ$2:$AJ$288,MATCH($A207,Prospectos!$A$2:$A$288,0)),"")</x:f>
        <x:v>Alta</x:v>
      </x:c>
      <x:c r="K207" s="182"/>
      <x:c r="L207" s="135"/>
      <x:c r="M207" s="135"/>
      <x:c r="N207" s="158"/>
    </x:row>
    <x:row r="208" ht="34" customHeight="1">
      <x:c r="A208" s="136" t="str">
        <x:v>RC-022</x:v>
      </x:c>
      <x:c r="B208" s="136" t="str">
        <x:f>IFERROR(INDEX(Prospectos!$F$2:$F$288,MATCH($A208,Prospectos!$A$2:$A$288,0)),"")</x:f>
        <x:v>A</x:v>
      </x:c>
      <x:c r="C208" s="136" t="str">
        <x:f>IFERROR(INDEX(Prospectos!$H$2:$H$288,MATCH($A208,Prospectos!$A$2:$A$288,0)),"")</x:f>
        <x:v>CyS Agro — Río Cuarto</x:v>
      </x:c>
      <x:c r="D208" s="136" t="str">
        <x:f>IFERROR(INDEX(Prospectos!$J$2:$J$288,MATCH($A208,Prospectos!$A$2:$A$288,0)),"")</x:f>
        <x:v>Maquinaria agrícola</x:v>
      </x:c>
      <x:c r="E208" s="136" t="str">
        <x:f>IFERROR(INDEX(Prospectos!$C$2:$C$288,MATCH($A208,Prospectos!$A$2:$A$288,0)),"")</x:f>
        <x:v>Río Cuarto / RN36 sur</x:v>
      </x:c>
      <x:c r="F208" s="136" t="str">
        <x:f>IFERROR(INDEX(Prospectos!$E$2:$E$288,MATCH($A208,Prospectos!$A$2:$A$288,0)),"")</x:f>
        <x:v>Río Cuarto</x:v>
      </x:c>
      <x:c r="G208" s="136" t="str">
        <x:f>IFERROR(INDEX(Prospectos!$K$2:$K$288,MATCH($A208,Prospectos!$A$2:$A$288,0)),"")</x:f>
        <x:v>+54 9 358 6012240</x:v>
      </x:c>
      <x:c r="H208" s="136" t="str">
        <x:f>IFERROR(INDEX(Prospectos!$M$2:$M$288,MATCH($A208,Prospectos!$A$2:$A$288,0)),"")</x:f>
        <x:v>logística / ventas / postventa</x:v>
      </x:c>
      <x:c r="I208" s="136" t="str">
        <x:f>IFERROR(INDEX(Prospectos!$N$2:$N$288,MATCH($A208,Prospectos!$A$2:$A$288,0)),"")</x:f>
        <x:v>Entrega y retiro de tractores, cosechadoras, pulverizadoras, sembradoras e implementos; movimientos por venta, service, canje, demostraciones o ferias.</x:v>
      </x:c>
      <x:c r="J208" s="136" t="str">
        <x:f>IFERROR(INDEX(Prospectos!$AJ$2:$AJ$288,MATCH($A208,Prospectos!$A$2:$A$288,0)),"")</x:f>
        <x:v>Alta</x:v>
      </x:c>
      <x:c r="K208" s="182"/>
      <x:c r="L208" s="136"/>
      <x:c r="M208" s="136"/>
      <x:c r="N208" s="158"/>
    </x:row>
    <x:row r="209" ht="34" customHeight="1">
      <x:c r="A209" s="186" t="str">
        <x:v>RC-025</x:v>
      </x:c>
      <x:c r="B209" s="186" t="str">
        <x:f>IFERROR(INDEX(Prospectos!$F$2:$F$288,MATCH($A209,Prospectos!$A$2:$A$288,0)),"")</x:f>
        <x:v>A</x:v>
      </x:c>
      <x:c r="C209" s="186" t="str">
        <x:f>IFERROR(INDEX(Prospectos!$H$2:$H$288,MATCH($A209,Prospectos!$A$2:$A$288,0)),"")</x:f>
        <x:v>Establecimiento Industrial Rattini S.A.</x:v>
      </x:c>
      <x:c r="D209" s="186" t="str">
        <x:f>IFERROR(INDEX(Prospectos!$J$2:$J$288,MATCH($A209,Prospectos!$A$2:$A$288,0)),"")</x:f>
        <x:v>Maquinaria agrícola</x:v>
      </x:c>
      <x:c r="E209" s="186" t="str">
        <x:f>IFERROR(INDEX(Prospectos!$C$2:$C$288,MATCH($A209,Prospectos!$A$2:$A$288,0)),"")</x:f>
        <x:v>Río Cuarto / RN36 sur</x:v>
      </x:c>
      <x:c r="F209" s="186" t="str">
        <x:f>IFERROR(INDEX(Prospectos!$E$2:$E$288,MATCH($A209,Prospectos!$A$2:$A$288,0)),"")</x:f>
        <x:v>Río Cuarto</x:v>
      </x:c>
      <x:c r="G209" s="186" t="str">
        <x:f>IFERROR(INDEX(Prospectos!$K$2:$K$288,MATCH($A209,Prospectos!$A$2:$A$288,0)),"")</x:f>
        <x:v>0358 4621480 / 0358 6003429</x:v>
      </x:c>
      <x:c r="H209" s="186" t="str">
        <x:f>IFERROR(INDEX(Prospectos!$M$2:$M$288,MATCH($A209,Prospectos!$A$2:$A$288,0)),"")</x:f>
        <x:v>logística / ventas / postventa</x:v>
      </x:c>
      <x:c r="I209" s="186" t="str">
        <x:f>IFERROR(INDEX(Prospectos!$N$2:$N$288,MATCH($A209,Prospectos!$A$2:$A$288,0)),"")</x:f>
        <x:v>Despacho de implementos, tolvas, sembradoras, estructuras, equipos terminados y componentes de gran porte hacia concesionarios, clientes, ferias o campo.</x:v>
      </x:c>
      <x:c r="J209" s="186" t="str">
        <x:f>IFERROR(INDEX(Prospectos!$AJ$2:$AJ$288,MATCH($A209,Prospectos!$A$2:$A$288,0)),"")</x:f>
        <x:v>Alta</x:v>
      </x:c>
      <x:c r="K209" s="182"/>
      <x:c r="L209" s="135"/>
      <x:c r="M209" s="135"/>
      <x:c r="N209" s="158"/>
    </x:row>
    <x:row r="210" ht="34" customHeight="1">
      <x:c r="A210" s="136" t="str">
        <x:v>RC-023</x:v>
      </x:c>
      <x:c r="B210" s="136" t="str">
        <x:f>IFERROR(INDEX(Prospectos!$F$2:$F$288,MATCH($A210,Prospectos!$A$2:$A$288,0)),"")</x:f>
        <x:v>A</x:v>
      </x:c>
      <x:c r="C210" s="136" t="str">
        <x:f>IFERROR(INDEX(Prospectos!$H$2:$H$288,MATCH($A210,Prospectos!$A$2:$A$288,0)),"")</x:f>
        <x:v>Alfredo y Diego D'Eramo</x:v>
      </x:c>
      <x:c r="D210" s="136" t="str">
        <x:f>IFERROR(INDEX(Prospectos!$J$2:$J$288,MATCH($A210,Prospectos!$A$2:$A$288,0)),"")</x:f>
        <x:v>Maquinaria agrícola</x:v>
      </x:c>
      <x:c r="E210" s="136" t="str">
        <x:f>IFERROR(INDEX(Prospectos!$C$2:$C$288,MATCH($A210,Prospectos!$A$2:$A$288,0)),"")</x:f>
        <x:v>Río Cuarto / RN36 sur</x:v>
      </x:c>
      <x:c r="F210" s="136" t="str">
        <x:f>IFERROR(INDEX(Prospectos!$E$2:$E$288,MATCH($A210,Prospectos!$A$2:$A$288,0)),"")</x:f>
        <x:v>Río Cuarto</x:v>
      </x:c>
      <x:c r="G210" s="136" t="str">
        <x:f>IFERROR(INDEX(Prospectos!$K$2:$K$288,MATCH($A210,Prospectos!$A$2:$A$288,0)),"")</x:f>
        <x:v>0358 4630339 / +54 9 358 6017301</x:v>
      </x:c>
      <x:c r="H210" s="136" t="str">
        <x:f>IFERROR(INDEX(Prospectos!$M$2:$M$288,MATCH($A210,Prospectos!$A$2:$A$288,0)),"")</x:f>
        <x:v>logística / ventas / postventa</x:v>
      </x:c>
      <x:c r="I210" s="136" t="str">
        <x:f>IFERROR(INDEX(Prospectos!$N$2:$N$288,MATCH($A210,Prospectos!$A$2:$A$288,0)),"")</x:f>
        <x:v>Entrega y retiro de tractores, cosechadoras, pulverizadoras, sembradoras e implementos; movimientos por venta, service, canje, demostraciones o ferias.</x:v>
      </x:c>
      <x:c r="J210" s="136" t="str">
        <x:f>IFERROR(INDEX(Prospectos!$AJ$2:$AJ$288,MATCH($A210,Prospectos!$A$2:$A$288,0)),"")</x:f>
        <x:v>Alta</x:v>
      </x:c>
      <x:c r="K210" s="182"/>
      <x:c r="L210" s="136"/>
      <x:c r="M210" s="136"/>
      <x:c r="N210" s="158"/>
    </x:row>
    <x:row r="211" ht="34" customHeight="1">
      <x:c r="A211" s="186" t="str">
        <x:v>RC-011</x:v>
      </x:c>
      <x:c r="B211" s="186" t="str">
        <x:f>IFERROR(INDEX(Prospectos!$F$2:$F$288,MATCH($A211,Prospectos!$A$2:$A$288,0)),"")</x:f>
        <x:v>A</x:v>
      </x:c>
      <x:c r="C211" s="186" t="str">
        <x:f>IFERROR(INDEX(Prospectos!$H$2:$H$288,MATCH($A211,Prospectos!$A$2:$A$288,0)),"")</x:f>
        <x:v>BIDESA Obras Viales y Civiles</x:v>
      </x:c>
      <x:c r="D211" s="186" t="str">
        <x:f>IFERROR(INDEX(Prospectos!$J$2:$J$288,MATCH($A211,Prospectos!$A$2:$A$288,0)),"")</x:f>
        <x:v>Construcción y obra vial</x:v>
      </x:c>
      <x:c r="E211" s="186" t="str">
        <x:f>IFERROR(INDEX(Prospectos!$C$2:$C$288,MATCH($A211,Prospectos!$A$2:$A$288,0)),"")</x:f>
        <x:v>Río Cuarto / RN36 sur</x:v>
      </x:c>
      <x:c r="F211" s="186" t="str">
        <x:f>IFERROR(INDEX(Prospectos!$E$2:$E$288,MATCH($A211,Prospectos!$A$2:$A$288,0)),"")</x:f>
        <x:v>Río Cuarto</x:v>
      </x:c>
      <x:c r="G211" s="186" t="str">
        <x:f>IFERROR(INDEX(Prospectos!$K$2:$K$288,MATCH($A211,Prospectos!$A$2:$A$288,0)),"")</x:f>
        <x:v>A relevar en obrador</x:v>
      </x:c>
      <x:c r="H211" s="186" t="str">
        <x:f>IFERROR(INDEX(Prospectos!$M$2:$M$288,MATCH($A211,Prospectos!$A$2:$A$288,0)),"")</x:f>
        <x:v>jefe de obra / logística</x:v>
      </x:c>
      <x:c r="I211" s="186" t="str">
        <x:f>IFERROR(INDEX(Prospectos!$N$2:$N$288,MATCH($A211,Prospectos!$A$2:$A$288,0)),"")</x:f>
        <x:v>Traslado de maquinaria, módulos de obrador, estructuras, equipos y cargas pesadas entre frentes.</x:v>
      </x:c>
      <x:c r="J211" s="186" t="str">
        <x:f>IFERROR(INDEX(Prospectos!$AJ$2:$AJ$288,MATCH($A211,Prospectos!$A$2:$A$288,0)),"")</x:f>
        <x:v>Alta</x:v>
      </x:c>
      <x:c r="K211" s="182"/>
      <x:c r="L211" s="135"/>
      <x:c r="M211" s="135"/>
      <x:c r="N211" s="158"/>
    </x:row>
    <x:row r="212" ht="34" customHeight="1">
      <x:c r="A212" s="136" t="str">
        <x:v>RC-012</x:v>
      </x:c>
      <x:c r="B212" s="136" t="str">
        <x:f>IFERROR(INDEX(Prospectos!$F$2:$F$288,MATCH($A212,Prospectos!$A$2:$A$288,0)),"")</x:f>
        <x:v>A</x:v>
      </x:c>
      <x:c r="C212" s="136" t="str">
        <x:f>IFERROR(INDEX(Prospectos!$H$2:$H$288,MATCH($A212,Prospectos!$A$2:$A$288,0)),"")</x:f>
        <x:v>Luciano S.A.</x:v>
      </x:c>
      <x:c r="D212" s="136" t="str">
        <x:f>IFERROR(INDEX(Prospectos!$J$2:$J$288,MATCH($A212,Prospectos!$A$2:$A$288,0)),"")</x:f>
        <x:v>Construcción y obra vial</x:v>
      </x:c>
      <x:c r="E212" s="136" t="str">
        <x:f>IFERROR(INDEX(Prospectos!$C$2:$C$288,MATCH($A212,Prospectos!$A$2:$A$288,0)),"")</x:f>
        <x:v>Río Cuarto / RN36 sur</x:v>
      </x:c>
      <x:c r="F212" s="136" t="str">
        <x:f>IFERROR(INDEX(Prospectos!$E$2:$E$288,MATCH($A212,Prospectos!$A$2:$A$288,0)),"")</x:f>
        <x:v>Río Cuarto</x:v>
      </x:c>
      <x:c r="G212" s="136" t="str">
        <x:f>IFERROR(INDEX(Prospectos!$K$2:$K$288,MATCH($A212,Prospectos!$A$2:$A$288,0)),"")</x:f>
        <x:v>A relevar</x:v>
      </x:c>
      <x:c r="H212" s="136" t="str">
        <x:f>IFERROR(INDEX(Prospectos!$M$2:$M$288,MATCH($A212,Prospectos!$A$2:$A$288,0)),"")</x:f>
        <x:v>jefe de obra / logística</x:v>
      </x:c>
      <x:c r="I212" s="136" t="str">
        <x:f>IFERROR(INDEX(Prospectos!$N$2:$N$288,MATCH($A212,Prospectos!$A$2:$A$288,0)),"")</x:f>
        <x:v>Traslado de maquinaria, módulos de obrador, estructuras, equipos y cargas pesadas entre frentes.</x:v>
      </x:c>
      <x:c r="J212" s="136" t="str">
        <x:f>IFERROR(INDEX(Prospectos!$AJ$2:$AJ$288,MATCH($A212,Prospectos!$A$2:$A$288,0)),"")</x:f>
        <x:v>Alta</x:v>
      </x:c>
      <x:c r="K212" s="182"/>
      <x:c r="L212" s="136"/>
      <x:c r="M212" s="136"/>
      <x:c r="N212" s="158"/>
    </x:row>
    <x:row r="213" ht="34" customHeight="1">
      <x:c r="A213" s="186" t="str">
        <x:v>RC-029</x:v>
      </x:c>
      <x:c r="B213" s="186" t="str">
        <x:f>IFERROR(INDEX(Prospectos!$F$2:$F$288,MATCH($A213,Prospectos!$A$2:$A$288,0)),"")</x:f>
        <x:v>B</x:v>
      </x:c>
      <x:c r="C213" s="186" t="str">
        <x:f>IFERROR(INDEX(Prospectos!$H$2:$H$288,MATCH($A213,Prospectos!$A$2:$A$288,0)),"")</x:f>
        <x:v>Corralón Rolotti — Moldear Piscinas</x:v>
      </x:c>
      <x:c r="D213" s="186" t="str">
        <x:f>IFERROR(INDEX(Prospectos!$J$2:$J$288,MATCH($A213,Prospectos!$A$2:$A$288,0)),"")</x:f>
        <x:v>PRFV y plásticos</x:v>
      </x:c>
      <x:c r="E213" s="186" t="str">
        <x:f>IFERROR(INDEX(Prospectos!$C$2:$C$288,MATCH($A213,Prospectos!$A$2:$A$288,0)),"")</x:f>
        <x:v>Río Cuarto / RN36 sur</x:v>
      </x:c>
      <x:c r="F213" s="186" t="str">
        <x:f>IFERROR(INDEX(Prospectos!$E$2:$E$288,MATCH($A213,Prospectos!$A$2:$A$288,0)),"")</x:f>
        <x:v>Río Cuarto</x:v>
      </x:c>
      <x:c r="G213" s="186" t="str">
        <x:f>IFERROR(INDEX(Prospectos!$K$2:$K$288,MATCH($A213,Prospectos!$A$2:$A$288,0)),"")</x:f>
        <x:v>0358 4642105 / +54 9 3585 091698</x:v>
      </x:c>
      <x:c r="H213" s="186" t="str">
        <x:f>IFERROR(INDEX(Prospectos!$M$2:$M$288,MATCH($A213,Prospectos!$A$2:$A$288,0)),"")</x:f>
        <x:v>logística / instalaciones / obras / ventas</x:v>
      </x:c>
      <x:c r="I213" s="186" t="str">
        <x:f>IFERROR(INDEX(Prospectos!$N$2:$N$288,MATCH($A213,Prospectos!$A$2:$A$288,0)),"")</x:f>
        <x:v>Entrega de piscinas de fibra desde depósito/franquicia hasta domicilio y apoyo de grúa cuando el casco debe superar medianeras, techos o accesos angostos.</x:v>
      </x:c>
      <x:c r="J213" s="186" t="str">
        <x:f>IFERROR(INDEX(Prospectos!$AJ$2:$AJ$288,MATCH($A213,Prospectos!$A$2:$A$288,0)),"")</x:f>
        <x:v>Alta</x:v>
      </x:c>
      <x:c r="K213" s="182"/>
      <x:c r="L213" s="135"/>
      <x:c r="M213" s="135"/>
      <x:c r="N213" s="158"/>
    </x:row>
    <x:row r="214" ht="34" customHeight="1">
      <x:c r="A214" s="136" t="str">
        <x:v>RC-013</x:v>
      </x:c>
      <x:c r="B214" s="136" t="str">
        <x:f>IFERROR(INDEX(Prospectos!$F$2:$F$288,MATCH($A214,Prospectos!$A$2:$A$288,0)),"")</x:f>
        <x:v>B</x:v>
      </x:c>
      <x:c r="C214" s="136" t="str">
        <x:f>IFERROR(INDEX(Prospectos!$H$2:$H$288,MATCH($A214,Prospectos!$A$2:$A$288,0)),"")</x:f>
        <x:v>Agrorio Maquinarias</x:v>
      </x:c>
      <x:c r="D214" s="136" t="str">
        <x:f>IFERROR(INDEX(Prospectos!$J$2:$J$288,MATCH($A214,Prospectos!$A$2:$A$288,0)),"")</x:f>
        <x:v>Maquinaria agrícola</x:v>
      </x:c>
      <x:c r="E214" s="136" t="str">
        <x:f>IFERROR(INDEX(Prospectos!$C$2:$C$288,MATCH($A214,Prospectos!$A$2:$A$288,0)),"")</x:f>
        <x:v>Río Cuarto / RN36 sur</x:v>
      </x:c>
      <x:c r="F214" s="136" t="str">
        <x:f>IFERROR(INDEX(Prospectos!$E$2:$E$288,MATCH($A214,Prospectos!$A$2:$A$288,0)),"")</x:f>
        <x:v>Río Cuarto</x:v>
      </x:c>
      <x:c r="G214" s="136" t="str">
        <x:f>IFERROR(INDEX(Prospectos!$K$2:$K$288,MATCH($A214,Prospectos!$A$2:$A$288,0)),"")</x:f>
        <x:v>03586 093110</x:v>
      </x:c>
      <x:c r="H214" s="136" t="str">
        <x:f>IFERROR(INDEX(Prospectos!$M$2:$M$288,MATCH($A214,Prospectos!$A$2:$A$288,0)),"")</x:f>
        <x:v>responsable de acopio / mantenimiento</x:v>
      </x:c>
      <x:c r="I214" s="136" t="str">
        <x:f>IFERROR(INDEX(Prospectos!$N$2:$N$288,MATCH($A214,Prospectos!$A$2:$A$288,0)),"")</x:f>
        <x:v>Movimientos especiales de mantenimiento, repuestos pesados y mudanzas internas de equipos.</x:v>
      </x:c>
      <x:c r="J214" s="136" t="str">
        <x:f>IFERROR(INDEX(Prospectos!$AJ$2:$AJ$288,MATCH($A214,Prospectos!$A$2:$A$288,0)),"")</x:f>
        <x:v>Alta</x:v>
      </x:c>
      <x:c r="K214" s="182"/>
      <x:c r="L214" s="136"/>
      <x:c r="M214" s="136"/>
      <x:c r="N214" s="158"/>
    </x:row>
    <x:row r="215" ht="34" customHeight="1">
      <x:c r="A215" s="186" t="str">
        <x:v>RC-014</x:v>
      </x:c>
      <x:c r="B215" s="186" t="str">
        <x:f>IFERROR(INDEX(Prospectos!$F$2:$F$288,MATCH($A215,Prospectos!$A$2:$A$288,0)),"")</x:f>
        <x:v>B</x:v>
      </x:c>
      <x:c r="C215" s="186" t="str">
        <x:f>IFERROR(INDEX(Prospectos!$H$2:$H$288,MATCH($A215,Prospectos!$A$2:$A$288,0)),"")</x:f>
        <x:v>Capello S.A.</x:v>
      </x:c>
      <x:c r="D215" s="186" t="str">
        <x:f>IFERROR(INDEX(Prospectos!$J$2:$J$288,MATCH($A215,Prospectos!$A$2:$A$288,0)),"")</x:f>
        <x:v>Construcción y obra vial</x:v>
      </x:c>
      <x:c r="E215" s="186" t="str">
        <x:f>IFERROR(INDEX(Prospectos!$C$2:$C$288,MATCH($A215,Prospectos!$A$2:$A$288,0)),"")</x:f>
        <x:v>Río Cuarto / RN36 sur</x:v>
      </x:c>
      <x:c r="F215" s="186" t="str">
        <x:f>IFERROR(INDEX(Prospectos!$E$2:$E$288,MATCH($A215,Prospectos!$A$2:$A$288,0)),"")</x:f>
        <x:v>Río Cuarto</x:v>
      </x:c>
      <x:c r="G215" s="186" t="str">
        <x:f>IFERROR(INDEX(Prospectos!$K$2:$K$288,MATCH($A215,Prospectos!$A$2:$A$288,0)),"")</x:f>
        <x:v>0358 4645929</x:v>
      </x:c>
      <x:c r="H215" s="186" t="str">
        <x:f>IFERROR(INDEX(Prospectos!$M$2:$M$288,MATCH($A215,Prospectos!$A$2:$A$288,0)),"")</x:f>
        <x:v>jefe de obra / logística</x:v>
      </x:c>
      <x:c r="I215" s="186" t="str">
        <x:f>IFERROR(INDEX(Prospectos!$N$2:$N$288,MATCH($A215,Prospectos!$A$2:$A$288,0)),"")</x:f>
        <x:v>Traslado de maquinaria, módulos de obrador, estructuras, equipos y cargas pesadas entre frentes.</x:v>
      </x:c>
      <x:c r="J215" s="186" t="str">
        <x:f>IFERROR(INDEX(Prospectos!$AJ$2:$AJ$288,MATCH($A215,Prospectos!$A$2:$A$288,0)),"")</x:f>
        <x:v>Alta</x:v>
      </x:c>
      <x:c r="K215" s="182"/>
      <x:c r="L215" s="135"/>
      <x:c r="M215" s="135"/>
      <x:c r="N215" s="158"/>
    </x:row>
    <x:row r="216" ht="34" customHeight="1">
      <x:c r="A216" s="136" t="str">
        <x:v>RC-015</x:v>
      </x:c>
      <x:c r="B216" s="136" t="str">
        <x:f>IFERROR(INDEX(Prospectos!$F$2:$F$288,MATCH($A216,Prospectos!$A$2:$A$288,0)),"")</x:f>
        <x:v>B</x:v>
      </x:c>
      <x:c r="C216" s="136" t="str">
        <x:f>IFERROR(INDEX(Prospectos!$H$2:$H$288,MATCH($A216,Prospectos!$A$2:$A$288,0)),"")</x:f>
        <x:v>Cotagro — Río Cuarto</x:v>
      </x:c>
      <x:c r="D216" s="136" t="str">
        <x:f>IFERROR(INDEX(Prospectos!$J$2:$J$288,MATCH($A216,Prospectos!$A$2:$A$288,0)),"")</x:f>
        <x:v>Agro, acopio y cooperativas</x:v>
      </x:c>
      <x:c r="E216" s="136" t="str">
        <x:f>IFERROR(INDEX(Prospectos!$C$2:$C$288,MATCH($A216,Prospectos!$A$2:$A$288,0)),"")</x:f>
        <x:v>Río Cuarto / RN36 sur</x:v>
      </x:c>
      <x:c r="F216" s="136" t="str">
        <x:f>IFERROR(INDEX(Prospectos!$E$2:$E$288,MATCH($A216,Prospectos!$A$2:$A$288,0)),"")</x:f>
        <x:v>Río Cuarto</x:v>
      </x:c>
      <x:c r="G216" s="136" t="str">
        <x:f>IFERROR(INDEX(Prospectos!$K$2:$K$288,MATCH($A216,Prospectos!$A$2:$A$288,0)),"")</x:f>
        <x:v>0358 4933333</x:v>
      </x:c>
      <x:c r="H216" s="136" t="str">
        <x:f>IFERROR(INDEX(Prospectos!$M$2:$M$288,MATCH($A216,Prospectos!$A$2:$A$288,0)),"")</x:f>
        <x:v>responsable de acopio / mantenimiento</x:v>
      </x:c>
      <x:c r="I216" s="136" t="str">
        <x:f>IFERROR(INDEX(Prospectos!$N$2:$N$288,MATCH($A216,Prospectos!$A$2:$A$288,0)),"")</x:f>
        <x:v>Traslado de equipos de planta, silos, repuestos pesados, balanzas, implementos y cargas especiales.</x:v>
      </x:c>
      <x:c r="J216" s="136" t="str">
        <x:f>IFERROR(INDEX(Prospectos!$AJ$2:$AJ$288,MATCH($A216,Prospectos!$A$2:$A$288,0)),"")</x:f>
        <x:v>Alta</x:v>
      </x:c>
      <x:c r="K216" s="182"/>
      <x:c r="L216" s="136"/>
      <x:c r="M216" s="136"/>
      <x:c r="N216" s="158"/>
    </x:row>
    <x:row r="217" ht="34" customHeight="1">
      <x:c r="A217" s="186" t="str">
        <x:v>RC-016</x:v>
      </x:c>
      <x:c r="B217" s="186" t="str">
        <x:f>IFERROR(INDEX(Prospectos!$F$2:$F$288,MATCH($A217,Prospectos!$A$2:$A$288,0)),"")</x:f>
        <x:v>B</x:v>
      </x:c>
      <x:c r="C217" s="186" t="str">
        <x:f>IFERROR(INDEX(Prospectos!$H$2:$H$288,MATCH($A217,Prospectos!$A$2:$A$288,0)),"")</x:f>
        <x:v>Fontezuela Cereales</x:v>
      </x:c>
      <x:c r="D217" s="186" t="str">
        <x:f>IFERROR(INDEX(Prospectos!$J$2:$J$288,MATCH($A217,Prospectos!$A$2:$A$288,0)),"")</x:f>
        <x:v>Agro, acopio y cooperativas</x:v>
      </x:c>
      <x:c r="E217" s="186" t="str">
        <x:f>IFERROR(INDEX(Prospectos!$C$2:$C$288,MATCH($A217,Prospectos!$A$2:$A$288,0)),"")</x:f>
        <x:v>Río Cuarto / RN36 sur</x:v>
      </x:c>
      <x:c r="F217" s="186" t="str">
        <x:f>IFERROR(INDEX(Prospectos!$E$2:$E$288,MATCH($A217,Prospectos!$A$2:$A$288,0)),"")</x:f>
        <x:v>Río Cuarto</x:v>
      </x:c>
      <x:c r="G217" s="186" t="str">
        <x:f>IFERROR(INDEX(Prospectos!$K$2:$K$288,MATCH($A217,Prospectos!$A$2:$A$288,0)),"")</x:f>
        <x:v>02477 497135/37</x:v>
      </x:c>
      <x:c r="H217" s="186" t="str">
        <x:f>IFERROR(INDEX(Prospectos!$M$2:$M$288,MATCH($A217,Prospectos!$A$2:$A$288,0)),"")</x:f>
        <x:v>responsable de acopio / mantenimiento</x:v>
      </x:c>
      <x:c r="I217" s="186" t="str">
        <x:f>IFERROR(INDEX(Prospectos!$N$2:$N$288,MATCH($A217,Prospectos!$A$2:$A$288,0)),"")</x:f>
        <x:v>Traslado de equipos de planta, silos, repuestos pesados, balanzas, implementos y cargas especiales.</x:v>
      </x:c>
      <x:c r="J217" s="186" t="str">
        <x:f>IFERROR(INDEX(Prospectos!$AJ$2:$AJ$288,MATCH($A217,Prospectos!$A$2:$A$288,0)),"")</x:f>
        <x:v>Alta</x:v>
      </x:c>
      <x:c r="K217" s="182"/>
      <x:c r="L217" s="135"/>
      <x:c r="M217" s="135"/>
      <x:c r="N217" s="158"/>
    </x:row>
    <x:row r="218" ht="34" customHeight="1">
      <x:c r="A218" s="136" t="str">
        <x:v>RC-024</x:v>
      </x:c>
      <x:c r="B218" s="136" t="str">
        <x:f>IFERROR(INDEX(Prospectos!$F$2:$F$288,MATCH($A218,Prospectos!$A$2:$A$288,0)),"")</x:f>
        <x:v>B</x:v>
      </x:c>
      <x:c r="C218" s="136" t="str">
        <x:f>IFERROR(INDEX(Prospectos!$H$2:$H$288,MATCH($A218,Prospectos!$A$2:$A$288,0)),"")</x:f>
        <x:v>Hugo y Enzo Reinaudo S.A.</x:v>
      </x:c>
      <x:c r="D218" s="136" t="str">
        <x:f>IFERROR(INDEX(Prospectos!$J$2:$J$288,MATCH($A218,Prospectos!$A$2:$A$288,0)),"")</x:f>
        <x:v>Maquinaria agrícola</x:v>
      </x:c>
      <x:c r="E218" s="136" t="str">
        <x:f>IFERROR(INDEX(Prospectos!$C$2:$C$288,MATCH($A218,Prospectos!$A$2:$A$288,0)),"")</x:f>
        <x:v>Río Cuarto / RN36 sur</x:v>
      </x:c>
      <x:c r="F218" s="136" t="str">
        <x:f>IFERROR(INDEX(Prospectos!$E$2:$E$288,MATCH($A218,Prospectos!$A$2:$A$288,0)),"")</x:f>
        <x:v>Río Cuarto</x:v>
      </x:c>
      <x:c r="G218" s="136" t="str">
        <x:f>IFERROR(INDEX(Prospectos!$K$2:$K$288,MATCH($A218,Prospectos!$A$2:$A$288,0)),"")</x:f>
        <x:v>0358 4646025</x:v>
      </x:c>
      <x:c r="H218" s="136" t="str">
        <x:f>IFERROR(INDEX(Prospectos!$M$2:$M$288,MATCH($A218,Prospectos!$A$2:$A$288,0)),"")</x:f>
        <x:v>logística / ventas / postventa</x:v>
      </x:c>
      <x:c r="I218" s="136" t="str">
        <x:f>IFERROR(INDEX(Prospectos!$N$2:$N$288,MATCH($A218,Prospectos!$A$2:$A$288,0)),"")</x:f>
        <x:v>Entrega y retiro de tractores, cosechadoras, pulverizadoras, sembradoras e implementos; movimientos por venta, service, canje, demostraciones o ferias.</x:v>
      </x:c>
      <x:c r="J218" s="136" t="str">
        <x:f>IFERROR(INDEX(Prospectos!$AJ$2:$AJ$288,MATCH($A218,Prospectos!$A$2:$A$288,0)),"")</x:f>
        <x:v>Media</x:v>
      </x:c>
      <x:c r="K218" s="182"/>
      <x:c r="L218" s="136"/>
      <x:c r="M218" s="136"/>
      <x:c r="N218" s="158"/>
    </x:row>
    <x:row r="219" ht="34" customHeight="1">
      <x:c r="A219" s="186" t="str">
        <x:v>RC-017</x:v>
      </x:c>
      <x:c r="B219" s="186" t="str">
        <x:f>IFERROR(INDEX(Prospectos!$F$2:$F$288,MATCH($A219,Prospectos!$A$2:$A$288,0)),"")</x:f>
        <x:v>B</x:v>
      </x:c>
      <x:c r="C219" s="186" t="str">
        <x:f>IFERROR(INDEX(Prospectos!$H$2:$H$288,MATCH($A219,Prospectos!$A$2:$A$288,0)),"")</x:f>
        <x:v>CARMIX S.R.L.</x:v>
      </x:c>
      <x:c r="D219" s="186" t="str">
        <x:f>IFERROR(INDEX(Prospectos!$J$2:$J$288,MATCH($A219,Prospectos!$A$2:$A$288,0)),"")</x:f>
        <x:v>Agro, acopio y cooperativas</x:v>
      </x:c>
      <x:c r="E219" s="186" t="str">
        <x:f>IFERROR(INDEX(Prospectos!$C$2:$C$288,MATCH($A219,Prospectos!$A$2:$A$288,0)),"")</x:f>
        <x:v>Río Cuarto / RN36 sur</x:v>
      </x:c>
      <x:c r="F219" s="186" t="str">
        <x:f>IFERROR(INDEX(Prospectos!$E$2:$E$288,MATCH($A219,Prospectos!$A$2:$A$288,0)),"")</x:f>
        <x:v>Río Cuarto</x:v>
      </x:c>
      <x:c r="G219" s="186" t="str">
        <x:f>IFERROR(INDEX(Prospectos!$K$2:$K$288,MATCH($A219,Prospectos!$A$2:$A$288,0)),"")</x:f>
        <x:v>A relevar</x:v>
      </x:c>
      <x:c r="H219" s="186" t="str">
        <x:f>IFERROR(INDEX(Prospectos!$M$2:$M$288,MATCH($A219,Prospectos!$A$2:$A$288,0)),"")</x:f>
        <x:v>despacho / obra</x:v>
      </x:c>
      <x:c r="I219" s="186" t="str">
        <x:f>IFERROR(INDEX(Prospectos!$N$2:$N$288,MATCH($A219,Prospectos!$A$2:$A$288,0)),"")</x:f>
        <x:v>Traslado de equipos de planta, silos, repuestos pesados, balanzas, implementos y cargas especiales.</x:v>
      </x:c>
      <x:c r="J219" s="186" t="str">
        <x:f>IFERROR(INDEX(Prospectos!$AJ$2:$AJ$288,MATCH($A219,Prospectos!$A$2:$A$288,0)),"")</x:f>
        <x:v>Media</x:v>
      </x:c>
      <x:c r="K219" s="182"/>
      <x:c r="L219" s="135"/>
      <x:c r="M219" s="135"/>
      <x:c r="N219" s="158"/>
    </x:row>
    <x:row r="220" ht="34" customHeight="1">
      <x:c r="A220" s="136" t="str">
        <x:v>VA-001</x:v>
      </x:c>
      <x:c r="B220" s="136" t="str">
        <x:f>IFERROR(INDEX(Prospectos!$F$2:$F$288,MATCH($A220,Prospectos!$A$2:$A$288,0)),"")</x:f>
        <x:v>A</x:v>
      </x:c>
      <x:c r="C220" s="136" t="str">
        <x:f>IFERROR(INDEX(Prospectos!$H$2:$H$288,MATCH($A220,Prospectos!$A$2:$A$288,0)),"")</x:f>
        <x:v>Costa del Río SRL</x:v>
      </x:c>
      <x:c r="D220" s="136" t="str">
        <x:f>IFERROR(INDEX(Prospectos!$J$2:$J$288,MATCH($A220,Prospectos!$A$2:$A$288,0)),"")</x:f>
        <x:v>Agro, acopio y cooperativas</x:v>
      </x:c>
      <x:c r="E220" s="136" t="str">
        <x:f>IFERROR(INDEX(Prospectos!$C$2:$C$288,MATCH($A220,Prospectos!$A$2:$A$288,0)),"")</x:f>
        <x:v>Villa Ascasubi / RP6-E79</x:v>
      </x:c>
      <x:c r="F220" s="136" t="str">
        <x:f>IFERROR(INDEX(Prospectos!$E$2:$E$288,MATCH($A220,Prospectos!$A$2:$A$288,0)),"")</x:f>
        <x:v>Villa Ascasubi</x:v>
      </x:c>
      <x:c r="G220" s="136" t="str">
        <x:f>IFERROR(INDEX(Prospectos!$K$2:$K$288,MATCH($A220,Prospectos!$A$2:$A$288,0)),"")</x:f>
        <x:v>+54 9 3571 363338</x:v>
      </x:c>
      <x:c r="H220" s="136" t="str">
        <x:f>IFERROR(INDEX(Prospectos!$M$2:$M$288,MATCH($A220,Prospectos!$A$2:$A$288,0)),"")</x:f>
        <x:v>cantera / despacho / logística</x:v>
      </x:c>
      <x:c r="I220" s="136" t="str">
        <x:f>IFERROR(INDEX(Prospectos!$N$2:$N$288,MATCH($A220,Prospectos!$A$2:$A$288,0)),"")</x:f>
        <x:v>Traslado de insumos, pallets, fertilizantes, repuestos pesados, silos/equipos y apoyo de mantenimiento en planta.</x:v>
      </x:c>
      <x:c r="J220" s="136" t="str">
        <x:f>IFERROR(INDEX(Prospectos!$AJ$2:$AJ$288,MATCH($A220,Prospectos!$A$2:$A$288,0)),"")</x:f>
        <x:v>Muy alta</x:v>
      </x:c>
      <x:c r="K220" s="182"/>
      <x:c r="L220" s="136"/>
      <x:c r="M220" s="136"/>
      <x:c r="N220" s="158"/>
    </x:row>
    <x:row r="221" ht="34" customHeight="1">
      <x:c r="A221" s="186" t="str">
        <x:v>VA-002</x:v>
      </x:c>
      <x:c r="B221" s="186" t="str">
        <x:f>IFERROR(INDEX(Prospectos!$F$2:$F$288,MATCH($A221,Prospectos!$A$2:$A$288,0)),"")</x:f>
        <x:v>B</x:v>
      </x:c>
      <x:c r="C221" s="186" t="str">
        <x:f>IFERROR(INDEX(Prospectos!$H$2:$H$288,MATCH($A221,Prospectos!$A$2:$A$288,0)),"")</x:f>
        <x:v>Cooperativa de Villa Ascasubi</x:v>
      </x:c>
      <x:c r="D221" s="186" t="str">
        <x:f>IFERROR(INDEX(Prospectos!$J$2:$J$288,MATCH($A221,Prospectos!$A$2:$A$288,0)),"")</x:f>
        <x:v>Construcción y obra vial</x:v>
      </x:c>
      <x:c r="E221" s="186" t="str">
        <x:f>IFERROR(INDEX(Prospectos!$C$2:$C$288,MATCH($A221,Prospectos!$A$2:$A$288,0)),"")</x:f>
        <x:v>Villa Ascasubi / RP6-E79</x:v>
      </x:c>
      <x:c r="F221" s="186" t="str">
        <x:f>IFERROR(INDEX(Prospectos!$E$2:$E$288,MATCH($A221,Prospectos!$A$2:$A$288,0)),"")</x:f>
        <x:v>Villa Ascasubi</x:v>
      </x:c>
      <x:c r="G221" s="186" t="str">
        <x:f>IFERROR(INDEX(Prospectos!$K$2:$K$288,MATCH($A221,Prospectos!$A$2:$A$288,0)),"")</x:f>
        <x:v>03571 498118 / 3571 520004 guardia</x:v>
      </x:c>
      <x:c r="H221" s="186" t="str">
        <x:f>IFERROR(INDEX(Prospectos!$M$2:$M$288,MATCH($A221,Prospectos!$A$2:$A$288,0)),"")</x:f>
        <x:v>mantenimiento / administración / obras</x:v>
      </x:c>
      <x:c r="I221" s="186" t="str">
        <x:f>IFERROR(INDEX(Prospectos!$N$2:$N$288,MATCH($A221,Prospectos!$A$2:$A$288,0)),"")</x:f>
        <x:v>Traslado de áridos/materiales, maquinaria, módulos de obrador, estructuras y cargas pesadas entre frentes.</x:v>
      </x:c>
      <x:c r="J221" s="186" t="str">
        <x:f>IFERROR(INDEX(Prospectos!$AJ$2:$AJ$288,MATCH($A221,Prospectos!$A$2:$A$288,0)),"")</x:f>
        <x:v>Alta</x:v>
      </x:c>
      <x:c r="K221" s="182"/>
      <x:c r="L221" s="135"/>
      <x:c r="M221" s="135"/>
      <x:c r="N221" s="158"/>
    </x:row>
    <x:row r="222" ht="34" customHeight="1">
      <x:c r="A222" s="136" t="str">
        <x:v>VA-003</x:v>
      </x:c>
      <x:c r="B222" s="136" t="str">
        <x:f>IFERROR(INDEX(Prospectos!$F$2:$F$288,MATCH($A222,Prospectos!$A$2:$A$288,0)),"")</x:f>
        <x:v>B</x:v>
      </x:c>
      <x:c r="C222" s="136" t="str">
        <x:f>IFERROR(INDEX(Prospectos!$H$2:$H$288,MATCH($A222,Prospectos!$A$2:$A$288,0)),"")</x:f>
        <x:v>Construir Villa Ascasubi</x:v>
      </x:c>
      <x:c r="D222" s="136" t="str">
        <x:f>IFERROR(INDEX(Prospectos!$J$2:$J$288,MATCH($A222,Prospectos!$A$2:$A$288,0)),"")</x:f>
        <x:v>Hormigón, áridos y materiales</x:v>
      </x:c>
      <x:c r="E222" s="136" t="str">
        <x:f>IFERROR(INDEX(Prospectos!$C$2:$C$288,MATCH($A222,Prospectos!$A$2:$A$288,0)),"")</x:f>
        <x:v>Villa Ascasubi / RP6-E79</x:v>
      </x:c>
      <x:c r="F222" s="136" t="str">
        <x:f>IFERROR(INDEX(Prospectos!$E$2:$E$288,MATCH($A222,Prospectos!$A$2:$A$288,0)),"")</x:f>
        <x:v>Villa Ascasubi</x:v>
      </x:c>
      <x:c r="G222" s="136" t="str">
        <x:f>IFERROR(INDEX(Prospectos!$K$2:$K$288,MATCH($A222,Prospectos!$A$2:$A$288,0)),"")</x:f>
        <x:v>3571 577272</x:v>
      </x:c>
      <x:c r="H222" s="136" t="str">
        <x:f>IFERROR(INDEX(Prospectos!$M$2:$M$288,MATCH($A222,Prospectos!$A$2:$A$288,0)),"")</x:f>
        <x:v>dueño / compras / logística</x:v>
      </x:c>
      <x:c r="I222" s="136" t="str">
        <x:f>IFERROR(INDEX(Prospectos!$N$2:$N$288,MATCH($A222,Prospectos!$A$2:$A$288,0)),"")</x:f>
        <x:v>Movimiento de áridos, premoldeados, equipos de planta/cantera, moldes, bolsones y materiales de obra.</x:v>
      </x:c>
      <x:c r="J222" s="136" t="str">
        <x:f>IFERROR(INDEX(Prospectos!$AJ$2:$AJ$288,MATCH($A222,Prospectos!$A$2:$A$288,0)),"")</x:f>
        <x:v>Media</x:v>
      </x:c>
      <x:c r="K222" s="182"/>
      <x:c r="L222" s="136"/>
      <x:c r="M222" s="136"/>
      <x:c r="N222" s="158"/>
    </x:row>
    <x:row r="223" ht="34" customHeight="1">
      <x:c r="A223" s="186" t="str">
        <x:v>VA-004</x:v>
      </x:c>
      <x:c r="B223" s="186" t="str">
        <x:f>IFERROR(INDEX(Prospectos!$F$2:$F$288,MATCH($A223,Prospectos!$A$2:$A$288,0)),"")</x:f>
        <x:v>B</x:v>
      </x:c>
      <x:c r="C223" s="186" t="str">
        <x:f>IFERROR(INDEX(Prospectos!$H$2:$H$288,MATCH($A223,Prospectos!$A$2:$A$288,0)),"")</x:f>
        <x:v>La Vencedora — Sucursal Villa Ascasubi</x:v>
      </x:c>
      <x:c r="D223" s="186" t="str">
        <x:f>IFERROR(INDEX(Prospectos!$J$2:$J$288,MATCH($A223,Prospectos!$A$2:$A$288,0)),"")</x:f>
        <x:v>Agro, acopio y cooperativas</x:v>
      </x:c>
      <x:c r="E223" s="186" t="str">
        <x:f>IFERROR(INDEX(Prospectos!$C$2:$C$288,MATCH($A223,Prospectos!$A$2:$A$288,0)),"")</x:f>
        <x:v>Villa Ascasubi / RP6-E79</x:v>
      </x:c>
      <x:c r="F223" s="186" t="str">
        <x:f>IFERROR(INDEX(Prospectos!$E$2:$E$288,MATCH($A223,Prospectos!$A$2:$A$288,0)),"")</x:f>
        <x:v>Villa Ascasubi</x:v>
      </x:c>
      <x:c r="G223" s="186" t="str">
        <x:f>IFERROR(INDEX(Prospectos!$K$2:$K$288,MATCH($A223,Prospectos!$A$2:$A$288,0)),"")</x:f>
        <x:v>A relevar</x:v>
      </x:c>
      <x:c r="H223" s="186" t="str">
        <x:f>IFERROR(INDEX(Prospectos!$M$2:$M$288,MATCH($A223,Prospectos!$A$2:$A$288,0)),"")</x:f>
        <x:v>acopio / encargado de sucursal</x:v>
      </x:c>
      <x:c r="I223" s="186" t="str">
        <x:f>IFERROR(INDEX(Prospectos!$N$2:$N$288,MATCH($A223,Prospectos!$A$2:$A$288,0)),"")</x:f>
        <x:v>Traslado de insumos, pallets, fertilizantes, repuestos pesados, silos/equipos y apoyo de mantenimiento en planta.</x:v>
      </x:c>
      <x:c r="J223" s="186" t="str">
        <x:f>IFERROR(INDEX(Prospectos!$AJ$2:$AJ$288,MATCH($A223,Prospectos!$A$2:$A$288,0)),"")</x:f>
        <x:v>Media</x:v>
      </x:c>
      <x:c r="K223" s="182"/>
      <x:c r="L223" s="135"/>
      <x:c r="M223" s="135"/>
      <x:c r="N223" s="158"/>
    </x:row>
    <x:row r="224" ht="34" customHeight="1">
      <x:c r="A224" s="136" t="str">
        <x:v>ALM-003</x:v>
      </x:c>
      <x:c r="B224" s="136" t="str">
        <x:f>IFERROR(INDEX(Prospectos!$F$2:$F$288,MATCH($A224,Prospectos!$A$2:$A$288,0)),"")</x:f>
        <x:v>A</x:v>
      </x:c>
      <x:c r="C224" s="136" t="str">
        <x:f>IFERROR(INDEX(Prospectos!$H$2:$H$288,MATCH($A224,Prospectos!$A$2:$A$288,0)),"")</x:f>
        <x:v>Servisol Piscinas</x:v>
      </x:c>
      <x:c r="D224" s="136" t="str">
        <x:f>IFERROR(INDEX(Prospectos!$J$2:$J$288,MATCH($A224,Prospectos!$A$2:$A$288,0)),"")</x:f>
        <x:v>PRFV y plásticos</x:v>
      </x:c>
      <x:c r="E224" s="136" t="str">
        <x:f>IFERROR(INDEX(Prospectos!$C$2:$C$288,MATCH($A224,Prospectos!$A$2:$A$288,0)),"")</x:f>
        <x:v>Villa María / RP6</x:v>
      </x:c>
      <x:c r="F224" s="136" t="str">
        <x:f>IFERROR(INDEX(Prospectos!$E$2:$E$288,MATCH($A224,Prospectos!$A$2:$A$288,0)),"")</x:f>
        <x:v>Almafuerte</x:v>
      </x:c>
      <x:c r="G224" s="136" t="str">
        <x:f>IFERROR(INDEX(Prospectos!$K$2:$K$288,MATCH($A224,Prospectos!$A$2:$A$288,0)),"")</x:f>
        <x:v>+54 9 3571 696296</x:v>
      </x:c>
      <x:c r="H224" s="136" t="str">
        <x:f>IFERROR(INDEX(Prospectos!$M$2:$M$288,MATCH($A224,Prospectos!$A$2:$A$288,0)),"")</x:f>
        <x:v>logística / instalaciones / obras / ventas</x:v>
      </x:c>
      <x:c r="I224" s="136" t="str">
        <x:f>IFERROR(INDEX(Prospectos!$N$2:$N$288,MATCH($A224,Prospectos!$A$2:$A$288,0)),"")</x:f>
        <x:v>Entrega de piscinas de fibra desde depósito/franquicia hasta domicilio y apoyo de grúa cuando el casco debe superar medianeras, techos o accesos angostos.</x:v>
      </x:c>
      <x:c r="J224" s="136" t="str">
        <x:f>IFERROR(INDEX(Prospectos!$AJ$2:$AJ$288,MATCH($A224,Prospectos!$A$2:$A$288,0)),"")</x:f>
        <x:v>Muy alta</x:v>
      </x:c>
      <x:c r="K224" s="182"/>
      <x:c r="L224" s="136"/>
      <x:c r="M224" s="136"/>
      <x:c r="N224" s="158"/>
    </x:row>
    <x:row r="225" ht="34" customHeight="1">
      <x:c r="A225" s="186" t="str">
        <x:v>ALM-001</x:v>
      </x:c>
      <x:c r="B225" s="186" t="str">
        <x:f>IFERROR(INDEX(Prospectos!$F$2:$F$288,MATCH($A225,Prospectos!$A$2:$A$288,0)),"")</x:f>
        <x:v>B</x:v>
      </x:c>
      <x:c r="C225" s="186" t="str">
        <x:f>IFERROR(INDEX(Prospectos!$H$2:$H$288,MATCH($A225,Prospectos!$A$2:$A$288,0)),"")</x:f>
        <x:v>Cooperativa Agropecuaria Almafuerte</x:v>
      </x:c>
      <x:c r="D225" s="186" t="str">
        <x:f>IFERROR(INDEX(Prospectos!$J$2:$J$288,MATCH($A225,Prospectos!$A$2:$A$288,0)),"")</x:f>
        <x:v>Agro, acopio y cooperativas</x:v>
      </x:c>
      <x:c r="E225" s="186" t="str">
        <x:f>IFERROR(INDEX(Prospectos!$C$2:$C$288,MATCH($A225,Prospectos!$A$2:$A$288,0)),"")</x:f>
        <x:v>Villa María / RP6</x:v>
      </x:c>
      <x:c r="F225" s="186" t="str">
        <x:f>IFERROR(INDEX(Prospectos!$E$2:$E$288,MATCH($A225,Prospectos!$A$2:$A$288,0)),"")</x:f>
        <x:v>Almafuerte</x:v>
      </x:c>
      <x:c r="G225" s="186" t="str">
        <x:f>IFERROR(INDEX(Prospectos!$K$2:$K$288,MATCH($A225,Prospectos!$A$2:$A$288,0)),"")</x:f>
        <x:v>03571 471182</x:v>
      </x:c>
      <x:c r="H225" s="186" t="str">
        <x:f>IFERROR(INDEX(Prospectos!$M$2:$M$288,MATCH($A225,Prospectos!$A$2:$A$288,0)),"")</x:f>
        <x:v>operaciones / entregas</x:v>
      </x:c>
      <x:c r="I225" s="186" t="str">
        <x:f>IFERROR(INDEX(Prospectos!$N$2:$N$288,MATCH($A225,Prospectos!$A$2:$A$288,0)),"")</x:f>
        <x:v>Traslado de equipos de planta, silos, repuestos pesados, balanzas, implementos y cargas especiales.</x:v>
      </x:c>
      <x:c r="J225" s="186" t="str">
        <x:f>IFERROR(INDEX(Prospectos!$AJ$2:$AJ$288,MATCH($A225,Prospectos!$A$2:$A$288,0)),"")</x:f>
        <x:v>Alta</x:v>
      </x:c>
      <x:c r="K225" s="182"/>
      <x:c r="L225" s="135"/>
      <x:c r="M225" s="135"/>
      <x:c r="N225" s="158"/>
    </x:row>
    <x:row r="226" ht="34" customHeight="1">
      <x:c r="A226" s="136" t="str">
        <x:v>ALM-002</x:v>
      </x:c>
      <x:c r="B226" s="136" t="str">
        <x:f>IFERROR(INDEX(Prospectos!$F$2:$F$288,MATCH($A226,Prospectos!$A$2:$A$288,0)),"")</x:f>
        <x:v>B</x:v>
      </x:c>
      <x:c r="C226" s="136" t="str">
        <x:f>IFERROR(INDEX(Prospectos!$H$2:$H$288,MATCH($A226,Prospectos!$A$2:$A$288,0)),"")</x:f>
        <x:v>Gil Daniel — Maquinaria Agrícola</x:v>
      </x:c>
      <x:c r="D226" s="136" t="str">
        <x:f>IFERROR(INDEX(Prospectos!$J$2:$J$288,MATCH($A226,Prospectos!$A$2:$A$288,0)),"")</x:f>
        <x:v>Maquinaria agrícola</x:v>
      </x:c>
      <x:c r="E226" s="136" t="str">
        <x:f>IFERROR(INDEX(Prospectos!$C$2:$C$288,MATCH($A226,Prospectos!$A$2:$A$288,0)),"")</x:f>
        <x:v>Villa María / RP6</x:v>
      </x:c>
      <x:c r="F226" s="136" t="str">
        <x:f>IFERROR(INDEX(Prospectos!$E$2:$E$288,MATCH($A226,Prospectos!$A$2:$A$288,0)),"")</x:f>
        <x:v>Almafuerte</x:v>
      </x:c>
      <x:c r="G226" s="136" t="str">
        <x:f>IFERROR(INDEX(Prospectos!$K$2:$K$288,MATCH($A226,Prospectos!$A$2:$A$288,0)),"")</x:f>
        <x:v>03571 472325</x:v>
      </x:c>
      <x:c r="H226" s="136" t="str">
        <x:f>IFERROR(INDEX(Prospectos!$M$2:$M$288,MATCH($A226,Prospectos!$A$2:$A$288,0)),"")</x:f>
        <x:v>logística / ventas / postventa</x:v>
      </x:c>
      <x:c r="I226" s="136" t="str">
        <x:f>IFERROR(INDEX(Prospectos!$N$2:$N$288,MATCH($A226,Prospectos!$A$2:$A$288,0)),"")</x:f>
        <x:v>Entrega y retiro de tractores, cosechadoras, pulverizadoras, sembradoras e implementos; movimientos por venta, service, canje, demostraciones o ferias.</x:v>
      </x:c>
      <x:c r="J226" s="136" t="str">
        <x:f>IFERROR(INDEX(Prospectos!$AJ$2:$AJ$288,MATCH($A226,Prospectos!$A$2:$A$288,0)),"")</x:f>
        <x:v>Media</x:v>
      </x:c>
      <x:c r="K226" s="182"/>
      <x:c r="L226" s="136"/>
      <x:c r="M226" s="136"/>
      <x:c r="N226" s="158"/>
    </x:row>
    <x:row r="227" ht="34" customHeight="1">
      <x:c r="A227" s="186" t="str">
        <x:v>HER-001</x:v>
      </x:c>
      <x:c r="B227" s="186" t="str">
        <x:f>IFERROR(INDEX(Prospectos!$F$2:$F$288,MATCH($A227,Prospectos!$A$2:$A$288,0)),"")</x:f>
        <x:v>A</x:v>
      </x:c>
      <x:c r="C227" s="186" t="str">
        <x:f>IFERROR(INDEX(Prospectos!$H$2:$H$288,MATCH($A227,Prospectos!$A$2:$A$288,0)),"")</x:f>
        <x:v>Cooperativa Agrícola La Vencedora</x:v>
      </x:c>
      <x:c r="D227" s="186" t="str">
        <x:f>IFERROR(INDEX(Prospectos!$J$2:$J$288,MATCH($A227,Prospectos!$A$2:$A$288,0)),"")</x:f>
        <x:v>Agro, acopio y cooperativas</x:v>
      </x:c>
      <x:c r="E227" s="186" t="str">
        <x:f>IFERROR(INDEX(Prospectos!$C$2:$C$288,MATCH($A227,Prospectos!$A$2:$A$288,0)),"")</x:f>
        <x:v>Villa María / RP6</x:v>
      </x:c>
      <x:c r="F227" s="186" t="str">
        <x:f>IFERROR(INDEX(Prospectos!$E$2:$E$288,MATCH($A227,Prospectos!$A$2:$A$288,0)),"")</x:f>
        <x:v>Hernando</x:v>
      </x:c>
      <x:c r="G227" s="186" t="str">
        <x:f>IFERROR(INDEX(Prospectos!$K$2:$K$288,MATCH($A227,Prospectos!$A$2:$A$288,0)),"")</x:f>
        <x:v>0353 4847133</x:v>
      </x:c>
      <x:c r="H227" s="186" t="str">
        <x:f>IFERROR(INDEX(Prospectos!$M$2:$M$288,MATCH($A227,Prospectos!$A$2:$A$288,0)),"")</x:f>
        <x:v>operaciones / entregas</x:v>
      </x:c>
      <x:c r="I227" s="186" t="str">
        <x:f>IFERROR(INDEX(Prospectos!$N$2:$N$288,MATCH($A227,Prospectos!$A$2:$A$288,0)),"")</x:f>
        <x:v>Traslado de equipos de planta, silos, repuestos pesados, balanzas, implementos y cargas especiales.</x:v>
      </x:c>
      <x:c r="J227" s="186" t="str">
        <x:f>IFERROR(INDEX(Prospectos!$AJ$2:$AJ$288,MATCH($A227,Prospectos!$A$2:$A$288,0)),"")</x:f>
        <x:v>Muy alta</x:v>
      </x:c>
      <x:c r="K227" s="182"/>
      <x:c r="L227" s="135"/>
      <x:c r="M227" s="135"/>
      <x:c r="N227" s="158"/>
    </x:row>
    <x:row r="228" ht="34" customHeight="1">
      <x:c r="A228" s="136" t="str">
        <x:v>HER-002</x:v>
      </x:c>
      <x:c r="B228" s="136" t="str">
        <x:f>IFERROR(INDEX(Prospectos!$F$2:$F$288,MATCH($A228,Prospectos!$A$2:$A$288,0)),"")</x:f>
        <x:v>A</x:v>
      </x:c>
      <x:c r="C228" s="136" t="str">
        <x:f>IFERROR(INDEX(Prospectos!$H$2:$H$288,MATCH($A228,Prospectos!$A$2:$A$288,0)),"")</x:f>
        <x:v>DELCRE Construcciones SRL</x:v>
      </x:c>
      <x:c r="D228" s="136" t="str">
        <x:f>IFERROR(INDEX(Prospectos!$J$2:$J$288,MATCH($A228,Prospectos!$A$2:$A$288,0)),"")</x:f>
        <x:v>Construcción y obra vial</x:v>
      </x:c>
      <x:c r="E228" s="136" t="str">
        <x:f>IFERROR(INDEX(Prospectos!$C$2:$C$288,MATCH($A228,Prospectos!$A$2:$A$288,0)),"")</x:f>
        <x:v>Villa María / RP6</x:v>
      </x:c>
      <x:c r="F228" s="136" t="str">
        <x:f>IFERROR(INDEX(Prospectos!$E$2:$E$288,MATCH($A228,Prospectos!$A$2:$A$288,0)),"")</x:f>
        <x:v>Hernando</x:v>
      </x:c>
      <x:c r="G228" s="136" t="str">
        <x:f>IFERROR(INDEX(Prospectos!$K$2:$K$288,MATCH($A228,Prospectos!$A$2:$A$288,0)),"")</x:f>
        <x:v>0353 4961086</x:v>
      </x:c>
      <x:c r="H228" s="136" t="str">
        <x:f>IFERROR(INDEX(Prospectos!$M$2:$M$288,MATCH($A228,Prospectos!$A$2:$A$288,0)),"")</x:f>
        <x:v>jefe de obra / operaciones</x:v>
      </x:c>
      <x:c r="I228" s="136" t="str">
        <x:f>IFERROR(INDEX(Prospectos!$N$2:$N$288,MATCH($A228,Prospectos!$A$2:$A$288,0)),"")</x:f>
        <x:v>Traslado de maquinaria, módulos de obrador, estructuras y equipos entre depósitos y frentes de obra.</x:v>
      </x:c>
      <x:c r="J228" s="136" t="str">
        <x:f>IFERROR(INDEX(Prospectos!$AJ$2:$AJ$288,MATCH($A228,Prospectos!$A$2:$A$288,0)),"")</x:f>
        <x:v>Muy alta</x:v>
      </x:c>
      <x:c r="K228" s="182"/>
      <x:c r="L228" s="136"/>
      <x:c r="M228" s="136"/>
      <x:c r="N228" s="158"/>
    </x:row>
    <x:row r="229" ht="34" customHeight="1">
      <x:c r="A229" s="186" t="str">
        <x:v>HER-003</x:v>
      </x:c>
      <x:c r="B229" s="186" t="str">
        <x:f>IFERROR(INDEX(Prospectos!$F$2:$F$288,MATCH($A229,Prospectos!$A$2:$A$288,0)),"")</x:f>
        <x:v>A</x:v>
      </x:c>
      <x:c r="C229" s="186" t="str">
        <x:f>IFERROR(INDEX(Prospectos!$H$2:$H$288,MATCH($A229,Prospectos!$A$2:$A$288,0)),"")</x:f>
        <x:v>NEUF Agricole</x:v>
      </x:c>
      <x:c r="D229" s="186" t="str">
        <x:f>IFERROR(INDEX(Prospectos!$J$2:$J$288,MATCH($A229,Prospectos!$A$2:$A$288,0)),"")</x:f>
        <x:v>Módulos y contenedores</x:v>
      </x:c>
      <x:c r="E229" s="186" t="str">
        <x:f>IFERROR(INDEX(Prospectos!$C$2:$C$288,MATCH($A229,Prospectos!$A$2:$A$288,0)),"")</x:f>
        <x:v>Villa María / RP6</x:v>
      </x:c>
      <x:c r="F229" s="186" t="str">
        <x:f>IFERROR(INDEX(Prospectos!$E$2:$E$288,MATCH($A229,Prospectos!$A$2:$A$288,0)),"")</x:f>
        <x:v>Hernando</x:v>
      </x:c>
      <x:c r="G229" s="186" t="str">
        <x:f>IFERROR(INDEX(Prospectos!$K$2:$K$288,MATCH($A229,Prospectos!$A$2:$A$288,0)),"")</x:f>
        <x:v>+54 9 353 4846256 / +54 353 4960391</x:v>
      </x:c>
      <x:c r="H229" s="186" t="str">
        <x:f>IFERROR(INDEX(Prospectos!$M$2:$M$288,MATCH($A229,Prospectos!$A$2:$A$288,0)),"")</x:f>
        <x:v>logística / despacho / postventa</x:v>
      </x:c>
      <x:c r="I229" s="186" t="str">
        <x:f>IFERROR(INDEX(Prospectos!$N$2:$N$288,MATCH($A229,Prospectos!$A$2:$A$288,0)),"")</x:f>
        <x:v>Traslado de maquinaria, implementos, equipos terminados y componentes de gran porte entre planta, cliente, obra o feria.</x:v>
      </x:c>
      <x:c r="J229" s="186" t="str">
        <x:f>IFERROR(INDEX(Prospectos!$AJ$2:$AJ$288,MATCH($A229,Prospectos!$A$2:$A$288,0)),"")</x:f>
        <x:v>Muy alta</x:v>
      </x:c>
      <x:c r="K229" s="182"/>
      <x:c r="L229" s="135"/>
      <x:c r="M229" s="135"/>
      <x:c r="N229" s="158"/>
    </x:row>
    <x:row r="230" ht="34" customHeight="1">
      <x:c r="A230" s="136" t="str">
        <x:v>HER-018</x:v>
      </x:c>
      <x:c r="B230" s="136" t="str">
        <x:f>IFERROR(INDEX(Prospectos!$F$2:$F$288,MATCH($A230,Prospectos!$A$2:$A$288,0)),"")</x:f>
        <x:v>A</x:v>
      </x:c>
      <x:c r="C230" s="136" t="str">
        <x:f>IFERROR(INDEX(Prospectos!$H$2:$H$288,MATCH($A230,Prospectos!$A$2:$A$288,0)),"")</x:f>
        <x:v>Caón Maquinarias — Hernando</x:v>
      </x:c>
      <x:c r="D230" s="136" t="str">
        <x:f>IFERROR(INDEX(Prospectos!$J$2:$J$288,MATCH($A230,Prospectos!$A$2:$A$288,0)),"")</x:f>
        <x:v>Maquinaria agrícola</x:v>
      </x:c>
      <x:c r="E230" s="136" t="str">
        <x:f>IFERROR(INDEX(Prospectos!$C$2:$C$288,MATCH($A230,Prospectos!$A$2:$A$288,0)),"")</x:f>
        <x:v>Villa María / RP6</x:v>
      </x:c>
      <x:c r="F230" s="136" t="str">
        <x:f>IFERROR(INDEX(Prospectos!$E$2:$E$288,MATCH($A230,Prospectos!$A$2:$A$288,0)),"")</x:f>
        <x:v>Hernando</x:v>
      </x:c>
      <x:c r="G230" s="136" t="str">
        <x:f>IFERROR(INDEX(Prospectos!$K$2:$K$288,MATCH($A230,Prospectos!$A$2:$A$288,0)),"")</x:f>
        <x:v>+54 9 353 4201218</x:v>
      </x:c>
      <x:c r="H230" s="136" t="str">
        <x:f>IFERROR(INDEX(Prospectos!$M$2:$M$288,MATCH($A230,Prospectos!$A$2:$A$288,0)),"")</x:f>
        <x:v>logística / ventas / postventa</x:v>
      </x:c>
      <x:c r="I230" s="136" t="str">
        <x:f>IFERROR(INDEX(Prospectos!$N$2:$N$288,MATCH($A230,Prospectos!$A$2:$A$288,0)),"")</x:f>
        <x:v>Entrega y retiro de tractores, cosechadoras, pulverizadoras, sembradoras e implementos; movimientos por venta, service, canje, demostraciones o ferias.</x:v>
      </x:c>
      <x:c r="J230" s="136" t="str">
        <x:f>IFERROR(INDEX(Prospectos!$AJ$2:$AJ$288,MATCH($A230,Prospectos!$A$2:$A$288,0)),"")</x:f>
        <x:v>Muy alta</x:v>
      </x:c>
      <x:c r="K230" s="182"/>
      <x:c r="L230" s="136"/>
      <x:c r="M230" s="136"/>
      <x:c r="N230" s="158"/>
    </x:row>
    <x:row r="231" ht="34" customHeight="1">
      <x:c r="A231" s="186" t="str">
        <x:v>HER-019</x:v>
      </x:c>
      <x:c r="B231" s="186" t="str">
        <x:f>IFERROR(INDEX(Prospectos!$F$2:$F$288,MATCH($A231,Prospectos!$A$2:$A$288,0)),"")</x:f>
        <x:v>A</x:v>
      </x:c>
      <x:c r="C231" s="186" t="str">
        <x:f>IFERROR(INDEX(Prospectos!$H$2:$H$288,MATCH($A231,Prospectos!$A$2:$A$288,0)),"")</x:f>
        <x:v>Viejo Tala S.R.L. — Hernando</x:v>
      </x:c>
      <x:c r="D231" s="186" t="str">
        <x:f>IFERROR(INDEX(Prospectos!$J$2:$J$288,MATCH($A231,Prospectos!$A$2:$A$288,0)),"")</x:f>
        <x:v>Maquinaria agrícola</x:v>
      </x:c>
      <x:c r="E231" s="186" t="str">
        <x:f>IFERROR(INDEX(Prospectos!$C$2:$C$288,MATCH($A231,Prospectos!$A$2:$A$288,0)),"")</x:f>
        <x:v>Villa María / RP6</x:v>
      </x:c>
      <x:c r="F231" s="186" t="str">
        <x:f>IFERROR(INDEX(Prospectos!$E$2:$E$288,MATCH($A231,Prospectos!$A$2:$A$288,0)),"")</x:f>
        <x:v>Hernando</x:v>
      </x:c>
      <x:c r="G231" s="186" t="str">
        <x:f>IFERROR(INDEX(Prospectos!$K$2:$K$288,MATCH($A231,Prospectos!$A$2:$A$288,0)),"")</x:f>
        <x:v>0353 4962995</x:v>
      </x:c>
      <x:c r="H231" s="186" t="str">
        <x:f>IFERROR(INDEX(Prospectos!$M$2:$M$288,MATCH($A231,Prospectos!$A$2:$A$288,0)),"")</x:f>
        <x:v>logística / ventas / postventa</x:v>
      </x:c>
      <x:c r="I231" s="186" t="str">
        <x:f>IFERROR(INDEX(Prospectos!$N$2:$N$288,MATCH($A231,Prospectos!$A$2:$A$288,0)),"")</x:f>
        <x:v>Entrega y retiro de tractores, cosechadoras, pulverizadoras, sembradoras e implementos; movimientos por venta, service, canje, demostraciones o ferias.</x:v>
      </x:c>
      <x:c r="J231" s="186" t="str">
        <x:f>IFERROR(INDEX(Prospectos!$AJ$2:$AJ$288,MATCH($A231,Prospectos!$A$2:$A$288,0)),"")</x:f>
        <x:v>Muy alta</x:v>
      </x:c>
      <x:c r="K231" s="182"/>
      <x:c r="L231" s="135"/>
      <x:c r="M231" s="135"/>
      <x:c r="N231" s="158"/>
    </x:row>
    <x:row r="232" ht="34" customHeight="1">
      <x:c r="A232" s="136" t="str">
        <x:v>HER-017</x:v>
      </x:c>
      <x:c r="B232" s="136" t="str">
        <x:f>IFERROR(INDEX(Prospectos!$F$2:$F$288,MATCH($A232,Prospectos!$A$2:$A$288,0)),"")</x:f>
        <x:v>A</x:v>
      </x:c>
      <x:c r="C232" s="136" t="str">
        <x:f>IFERROR(INDEX(Prospectos!$H$2:$H$288,MATCH($A232,Prospectos!$A$2:$A$288,0)),"")</x:f>
        <x:v>CyS Agro — Hernando</x:v>
      </x:c>
      <x:c r="D232" s="136" t="str">
        <x:f>IFERROR(INDEX(Prospectos!$J$2:$J$288,MATCH($A232,Prospectos!$A$2:$A$288,0)),"")</x:f>
        <x:v>Maquinaria agrícola</x:v>
      </x:c>
      <x:c r="E232" s="136" t="str">
        <x:f>IFERROR(INDEX(Prospectos!$C$2:$C$288,MATCH($A232,Prospectos!$A$2:$A$288,0)),"")</x:f>
        <x:v>Villa María / RP6</x:v>
      </x:c>
      <x:c r="F232" s="136" t="str">
        <x:f>IFERROR(INDEX(Prospectos!$E$2:$E$288,MATCH($A232,Prospectos!$A$2:$A$288,0)),"")</x:f>
        <x:v>Hernando</x:v>
      </x:c>
      <x:c r="G232" s="136" t="str">
        <x:f>IFERROR(INDEX(Prospectos!$K$2:$K$288,MATCH($A232,Prospectos!$A$2:$A$288,0)),"")</x:f>
        <x:v>0353 4846206</x:v>
      </x:c>
      <x:c r="H232" s="136" t="str">
        <x:f>IFERROR(INDEX(Prospectos!$M$2:$M$288,MATCH($A232,Prospectos!$A$2:$A$288,0)),"")</x:f>
        <x:v>logística / ventas / postventa</x:v>
      </x:c>
      <x:c r="I232" s="136" t="str">
        <x:f>IFERROR(INDEX(Prospectos!$N$2:$N$288,MATCH($A232,Prospectos!$A$2:$A$288,0)),"")</x:f>
        <x:v>Entrega y retiro de tractores, cosechadoras, pulverizadoras, sembradoras e implementos; movimientos por venta, service, canje, demostraciones o ferias.</x:v>
      </x:c>
      <x:c r="J232" s="136" t="str">
        <x:f>IFERROR(INDEX(Prospectos!$AJ$2:$AJ$288,MATCH($A232,Prospectos!$A$2:$A$288,0)),"")</x:f>
        <x:v>Alta</x:v>
      </x:c>
      <x:c r="K232" s="182"/>
      <x:c r="L232" s="136"/>
      <x:c r="M232" s="136"/>
      <x:c r="N232" s="158"/>
    </x:row>
    <x:row r="233" ht="34" customHeight="1">
      <x:c r="A233" s="186" t="str">
        <x:v>HER-021</x:v>
      </x:c>
      <x:c r="B233" s="186" t="str">
        <x:f>IFERROR(INDEX(Prospectos!$F$2:$F$288,MATCH($A233,Prospectos!$A$2:$A$288,0)),"")</x:f>
        <x:v>A</x:v>
      </x:c>
      <x:c r="C233" s="186" t="str">
        <x:f>IFERROR(INDEX(Prospectos!$H$2:$H$288,MATCH($A233,Prospectos!$A$2:$A$288,0)),"")</x:f>
        <x:v>Zuppa Hermanos — Hernando</x:v>
      </x:c>
      <x:c r="D233" s="186" t="str">
        <x:f>IFERROR(INDEX(Prospectos!$J$2:$J$288,MATCH($A233,Prospectos!$A$2:$A$288,0)),"")</x:f>
        <x:v>PRFV y plásticos</x:v>
      </x:c>
      <x:c r="E233" s="186" t="str">
        <x:f>IFERROR(INDEX(Prospectos!$C$2:$C$288,MATCH($A233,Prospectos!$A$2:$A$288,0)),"")</x:f>
        <x:v>Villa María / RP6</x:v>
      </x:c>
      <x:c r="F233" s="186" t="str">
        <x:f>IFERROR(INDEX(Prospectos!$E$2:$E$288,MATCH($A233,Prospectos!$A$2:$A$288,0)),"")</x:f>
        <x:v>Hernando</x:v>
      </x:c>
      <x:c r="G233" s="186" t="str">
        <x:f>IFERROR(INDEX(Prospectos!$K$2:$K$288,MATCH($A233,Prospectos!$A$2:$A$288,0)),"")</x:f>
        <x:v>0353 154257089</x:v>
      </x:c>
      <x:c r="H233" s="186" t="str">
        <x:f>IFERROR(INDEX(Prospectos!$M$2:$M$288,MATCH($A233,Prospectos!$A$2:$A$288,0)),"")</x:f>
        <x:v>logística / instalaciones / obras / ventas</x:v>
      </x:c>
      <x:c r="I233" s="186" t="str">
        <x:f>IFERROR(INDEX(Prospectos!$N$2:$N$288,MATCH($A233,Prospectos!$A$2:$A$288,0)),"")</x:f>
        <x:v>Entrega de piscinas de fibra desde depósito/franquicia hasta domicilio y apoyo de grúa cuando el casco debe superar medianeras, techos o accesos angostos.</x:v>
      </x:c>
      <x:c r="J233" s="186" t="str">
        <x:f>IFERROR(INDEX(Prospectos!$AJ$2:$AJ$288,MATCH($A233,Prospectos!$A$2:$A$288,0)),"")</x:f>
        <x:v>Alta</x:v>
      </x:c>
      <x:c r="K233" s="182"/>
      <x:c r="L233" s="135"/>
      <x:c r="M233" s="135"/>
      <x:c r="N233" s="158"/>
    </x:row>
    <x:row r="234" ht="34" customHeight="1">
      <x:c r="A234" s="136" t="str">
        <x:v>HER-004</x:v>
      </x:c>
      <x:c r="B234" s="136" t="str">
        <x:f>IFERROR(INDEX(Prospectos!$F$2:$F$288,MATCH($A234,Prospectos!$A$2:$A$288,0)),"")</x:f>
        <x:v>A</x:v>
      </x:c>
      <x:c r="C234" s="136" t="str">
        <x:f>IFERROR(INDEX(Prospectos!$H$2:$H$288,MATCH($A234,Prospectos!$A$2:$A$288,0)),"")</x:f>
        <x:v>AGD - Acopio Hernando</x:v>
      </x:c>
      <x:c r="D234" s="136" t="str">
        <x:f>IFERROR(INDEX(Prospectos!$J$2:$J$288,MATCH($A234,Prospectos!$A$2:$A$288,0)),"")</x:f>
        <x:v>Agro, acopio y cooperativas</x:v>
      </x:c>
      <x:c r="E234" s="136" t="str">
        <x:f>IFERROR(INDEX(Prospectos!$C$2:$C$288,MATCH($A234,Prospectos!$A$2:$A$288,0)),"")</x:f>
        <x:v>Villa María / RP6</x:v>
      </x:c>
      <x:c r="F234" s="136" t="str">
        <x:f>IFERROR(INDEX(Prospectos!$E$2:$E$288,MATCH($A234,Prospectos!$A$2:$A$288,0)),"")</x:f>
        <x:v>Hernando</x:v>
      </x:c>
      <x:c r="G234" s="136" t="str">
        <x:f>IFERROR(INDEX(Prospectos!$K$2:$K$288,MATCH($A234,Prospectos!$A$2:$A$288,0)),"")</x:f>
        <x:v>0353 4960609</x:v>
      </x:c>
      <x:c r="H234" s="136" t="str">
        <x:f>IFERROR(INDEX(Prospectos!$M$2:$M$288,MATCH($A234,Prospectos!$A$2:$A$288,0)),"")</x:f>
        <x:v>responsable de acopio / mantenimiento</x:v>
      </x:c>
      <x:c r="I234" s="136" t="str">
        <x:f>IFERROR(INDEX(Prospectos!$N$2:$N$288,MATCH($A234,Prospectos!$A$2:$A$288,0)),"")</x:f>
        <x:v>Traslado de equipos de planta, silos, repuestos pesados, balanzas, implementos y cargas especiales.</x:v>
      </x:c>
      <x:c r="J234" s="136" t="str">
        <x:f>IFERROR(INDEX(Prospectos!$AJ$2:$AJ$288,MATCH($A234,Prospectos!$A$2:$A$288,0)),"")</x:f>
        <x:v>Muy alta</x:v>
      </x:c>
      <x:c r="K234" s="182"/>
      <x:c r="L234" s="136"/>
      <x:c r="M234" s="136"/>
      <x:c r="N234" s="158"/>
    </x:row>
    <x:row r="235" ht="34" customHeight="1">
      <x:c r="A235" s="186" t="str">
        <x:v>HER-005</x:v>
      </x:c>
      <x:c r="B235" s="186" t="str">
        <x:f>IFERROR(INDEX(Prospectos!$F$2:$F$288,MATCH($A235,Prospectos!$A$2:$A$288,0)),"")</x:f>
        <x:v>A</x:v>
      </x:c>
      <x:c r="C235" s="186" t="str">
        <x:f>IFERROR(INDEX(Prospectos!$H$2:$H$288,MATCH($A235,Prospectos!$A$2:$A$288,0)),"")</x:f>
        <x:v>AGRO ARG S.R.L. Planta de Maní</x:v>
      </x:c>
      <x:c r="D235" s="186" t="str">
        <x:f>IFERROR(INDEX(Prospectos!$J$2:$J$288,MATCH($A235,Prospectos!$A$2:$A$288,0)),"")</x:f>
        <x:v>Agroindustria y alimentos</x:v>
      </x:c>
      <x:c r="E235" s="186" t="str">
        <x:f>IFERROR(INDEX(Prospectos!$C$2:$C$288,MATCH($A235,Prospectos!$A$2:$A$288,0)),"")</x:f>
        <x:v>Villa María / RP6</x:v>
      </x:c>
      <x:c r="F235" s="186" t="str">
        <x:f>IFERROR(INDEX(Prospectos!$E$2:$E$288,MATCH($A235,Prospectos!$A$2:$A$288,0)),"")</x:f>
        <x:v>Hernando</x:v>
      </x:c>
      <x:c r="G235" s="186" t="str">
        <x:f>IFERROR(INDEX(Prospectos!$K$2:$K$288,MATCH($A235,Prospectos!$A$2:$A$288,0)),"")</x:f>
        <x:v>+54 9 353 6575171</x:v>
      </x:c>
      <x:c r="H235" s="186" t="str">
        <x:f>IFERROR(INDEX(Prospectos!$M$2:$M$288,MATCH($A235,Prospectos!$A$2:$A$288,0)),"")</x:f>
        <x:v>responsable de acopio / mantenimiento</x:v>
      </x:c>
      <x:c r="I235" s="186" t="str">
        <x:f>IFERROR(INDEX(Prospectos!$N$2:$N$288,MATCH($A235,Prospectos!$A$2:$A$288,0)),"")</x:f>
        <x:v>Traslado de equipos de planta, silos, repuestos pesados, balanzas, implementos y cargas especiales.</x:v>
      </x:c>
      <x:c r="J235" s="186" t="str">
        <x:f>IFERROR(INDEX(Prospectos!$AJ$2:$AJ$288,MATCH($A235,Prospectos!$A$2:$A$288,0)),"")</x:f>
        <x:v>Muy alta</x:v>
      </x:c>
      <x:c r="K235" s="182"/>
      <x:c r="L235" s="135"/>
      <x:c r="M235" s="135"/>
      <x:c r="N235" s="158"/>
    </x:row>
    <x:row r="236" ht="34" customHeight="1">
      <x:c r="A236" s="136" t="str">
        <x:v>HER-006</x:v>
      </x:c>
      <x:c r="B236" s="136" t="str">
        <x:f>IFERROR(INDEX(Prospectos!$F$2:$F$288,MATCH($A236,Prospectos!$A$2:$A$288,0)),"")</x:f>
        <x:v>A</x:v>
      </x:c>
      <x:c r="C236" s="136" t="str">
        <x:f>IFERROR(INDEX(Prospectos!$H$2:$H$288,MATCH($A236,Prospectos!$A$2:$A$288,0)),"")</x:f>
        <x:v>MULTITRAC S.A.S Agromaquinarias</x:v>
      </x:c>
      <x:c r="D236" s="136" t="str">
        <x:f>IFERROR(INDEX(Prospectos!$J$2:$J$288,MATCH($A236,Prospectos!$A$2:$A$288,0)),"")</x:f>
        <x:v>Maquinaria agrícola</x:v>
      </x:c>
      <x:c r="E236" s="136" t="str">
        <x:f>IFERROR(INDEX(Prospectos!$C$2:$C$288,MATCH($A236,Prospectos!$A$2:$A$288,0)),"")</x:f>
        <x:v>Villa María / RP6</x:v>
      </x:c>
      <x:c r="F236" s="136" t="str">
        <x:f>IFERROR(INDEX(Prospectos!$E$2:$E$288,MATCH($A236,Prospectos!$A$2:$A$288,0)),"")</x:f>
        <x:v>Hernando</x:v>
      </x:c>
      <x:c r="G236" s="136" t="str">
        <x:f>IFERROR(INDEX(Prospectos!$K$2:$K$288,MATCH($A236,Prospectos!$A$2:$A$288,0)),"")</x:f>
        <x:v>0353 4125716</x:v>
      </x:c>
      <x:c r="H236" s="136" t="str">
        <x:f>IFERROR(INDEX(Prospectos!$M$2:$M$288,MATCH($A236,Prospectos!$A$2:$A$288,0)),"")</x:f>
        <x:v>logística / entregas / postventa</x:v>
      </x:c>
      <x:c r="I236" s="136" t="str">
        <x:f>IFERROR(INDEX(Prospectos!$N$2:$N$288,MATCH($A236,Prospectos!$A$2:$A$288,0)),"")</x:f>
        <x:v>Traslado de maquinaria agrícola o vial entre sucursal, cliente, taller, campo y eventos.</x:v>
      </x:c>
      <x:c r="J236" s="136" t="str">
        <x:f>IFERROR(INDEX(Prospectos!$AJ$2:$AJ$288,MATCH($A236,Prospectos!$A$2:$A$288,0)),"")</x:f>
        <x:v>Muy alta</x:v>
      </x:c>
      <x:c r="K236" s="182"/>
      <x:c r="L236" s="136"/>
      <x:c r="M236" s="136"/>
      <x:c r="N236" s="158"/>
    </x:row>
    <x:row r="237" ht="34" customHeight="1">
      <x:c r="A237" s="186" t="str">
        <x:v>HER-007</x:v>
      </x:c>
      <x:c r="B237" s="186" t="str">
        <x:f>IFERROR(INDEX(Prospectos!$F$2:$F$288,MATCH($A237,Prospectos!$A$2:$A$288,0)),"")</x:f>
        <x:v>A</x:v>
      </x:c>
      <x:c r="C237" s="186" t="str">
        <x:f>IFERROR(INDEX(Prospectos!$H$2:$H$288,MATCH($A237,Prospectos!$A$2:$A$288,0)),"")</x:f>
        <x:v>Servagrop - Especialistas en Maní</x:v>
      </x:c>
      <x:c r="D237" s="186" t="str">
        <x:f>IFERROR(INDEX(Prospectos!$J$2:$J$288,MATCH($A237,Prospectos!$A$2:$A$288,0)),"")</x:f>
        <x:v>Agroindustria y alimentos</x:v>
      </x:c>
      <x:c r="E237" s="186" t="str">
        <x:f>IFERROR(INDEX(Prospectos!$C$2:$C$288,MATCH($A237,Prospectos!$A$2:$A$288,0)),"")</x:f>
        <x:v>Villa María / RP6</x:v>
      </x:c>
      <x:c r="F237" s="186" t="str">
        <x:f>IFERROR(INDEX(Prospectos!$E$2:$E$288,MATCH($A237,Prospectos!$A$2:$A$288,0)),"")</x:f>
        <x:v>Hernando</x:v>
      </x:c>
      <x:c r="G237" s="186" t="str">
        <x:f>IFERROR(INDEX(Prospectos!$K$2:$K$288,MATCH($A237,Prospectos!$A$2:$A$288,0)),"")</x:f>
        <x:v>0353 4960348</x:v>
      </x:c>
      <x:c r="H237" s="186" t="str">
        <x:f>IFERROR(INDEX(Prospectos!$M$2:$M$288,MATCH($A237,Prospectos!$A$2:$A$288,0)),"")</x:f>
        <x:v>responsable de acopio / mantenimiento</x:v>
      </x:c>
      <x:c r="I237" s="186" t="str">
        <x:f>IFERROR(INDEX(Prospectos!$N$2:$N$288,MATCH($A237,Prospectos!$A$2:$A$288,0)),"")</x:f>
        <x:v>Traslado de equipos de planta, silos, repuestos pesados, balanzas, implementos y cargas especiales.</x:v>
      </x:c>
      <x:c r="J237" s="186" t="str">
        <x:f>IFERROR(INDEX(Prospectos!$AJ$2:$AJ$288,MATCH($A237,Prospectos!$A$2:$A$288,0)),"")</x:f>
        <x:v>Muy alta</x:v>
      </x:c>
      <x:c r="K237" s="182"/>
      <x:c r="L237" s="135"/>
      <x:c r="M237" s="135"/>
      <x:c r="N237" s="158"/>
    </x:row>
    <x:row r="238" ht="34" customHeight="1">
      <x:c r="A238" s="136" t="str">
        <x:v>HER-008</x:v>
      </x:c>
      <x:c r="B238" s="136" t="str">
        <x:f>IFERROR(INDEX(Prospectos!$F$2:$F$288,MATCH($A238,Prospectos!$A$2:$A$288,0)),"")</x:f>
        <x:v>B</x:v>
      </x:c>
      <x:c r="C238" s="136" t="str">
        <x:f>IFERROR(INDEX(Prospectos!$H$2:$H$288,MATCH($A238,Prospectos!$A$2:$A$288,0)),"")</x:f>
        <x:v>Plegados Hernando S.A.</x:v>
      </x:c>
      <x:c r="D238" s="136" t="str">
        <x:f>IFERROR(INDEX(Prospectos!$J$2:$J$288,MATCH($A238,Prospectos!$A$2:$A$288,0)),"")</x:f>
        <x:v>Metalúrgica y fabricación</x:v>
      </x:c>
      <x:c r="E238" s="136" t="str">
        <x:f>IFERROR(INDEX(Prospectos!$C$2:$C$288,MATCH($A238,Prospectos!$A$2:$A$288,0)),"")</x:f>
        <x:v>Villa María / RP6</x:v>
      </x:c>
      <x:c r="F238" s="136" t="str">
        <x:f>IFERROR(INDEX(Prospectos!$E$2:$E$288,MATCH($A238,Prospectos!$A$2:$A$288,0)),"")</x:f>
        <x:v>Hernando</x:v>
      </x:c>
      <x:c r="G238" s="136" t="str">
        <x:f>IFERROR(INDEX(Prospectos!$K$2:$K$288,MATCH($A238,Prospectos!$A$2:$A$288,0)),"")</x:f>
        <x:v>0353 4962200 / +54 353 4962200</x:v>
      </x:c>
      <x:c r="H238" s="136" t="str">
        <x:f>IFERROR(INDEX(Prospectos!$M$2:$M$288,MATCH($A238,Prospectos!$A$2:$A$288,0)),"")</x:f>
        <x:v>despacho / producción</x:v>
      </x:c>
      <x:c r="I238" s="136" t="str">
        <x:f>IFERROR(INDEX(Prospectos!$N$2:$N$288,MATCH($A238,Prospectos!$A$2:$A$288,0)),"")</x:f>
        <x:v>Despacho de estructuras, piezas, equipos y conjuntos metalmecánicos de gran porte hacia obras o clientes.</x:v>
      </x:c>
      <x:c r="J238" s="136" t="str">
        <x:f>IFERROR(INDEX(Prospectos!$AJ$2:$AJ$288,MATCH($A238,Prospectos!$A$2:$A$288,0)),"")</x:f>
        <x:v>Alta</x:v>
      </x:c>
      <x:c r="K238" s="182"/>
      <x:c r="L238" s="136"/>
      <x:c r="M238" s="136"/>
      <x:c r="N238" s="158"/>
    </x:row>
    <x:row r="239" ht="34" customHeight="1">
      <x:c r="A239" s="186" t="str">
        <x:v>HER-009</x:v>
      </x:c>
      <x:c r="B239" s="186" t="str">
        <x:f>IFERROR(INDEX(Prospectos!$F$2:$F$288,MATCH($A239,Prospectos!$A$2:$A$288,0)),"")</x:f>
        <x:v>B</x:v>
      </x:c>
      <x:c r="C239" s="186" t="str">
        <x:f>IFERROR(INDEX(Prospectos!$H$2:$H$288,MATCH($A239,Prospectos!$A$2:$A$288,0)),"")</x:f>
        <x:v>Agrohernando</x:v>
      </x:c>
      <x:c r="D239" s="186" t="str">
        <x:f>IFERROR(INDEX(Prospectos!$J$2:$J$288,MATCH($A239,Prospectos!$A$2:$A$288,0)),"")</x:f>
        <x:v>Agro, acopio y cooperativas</x:v>
      </x:c>
      <x:c r="E239" s="186" t="str">
        <x:f>IFERROR(INDEX(Prospectos!$C$2:$C$288,MATCH($A239,Prospectos!$A$2:$A$288,0)),"")</x:f>
        <x:v>Villa María / RP6</x:v>
      </x:c>
      <x:c r="F239" s="186" t="str">
        <x:f>IFERROR(INDEX(Prospectos!$E$2:$E$288,MATCH($A239,Prospectos!$A$2:$A$288,0)),"")</x:f>
        <x:v>Hernando</x:v>
      </x:c>
      <x:c r="G239" s="186" t="str">
        <x:f>IFERROR(INDEX(Prospectos!$K$2:$K$288,MATCH($A239,Prospectos!$A$2:$A$288,0)),"")</x:f>
        <x:v>0353 4960418</x:v>
      </x:c>
      <x:c r="H239" s="186" t="str">
        <x:f>IFERROR(INDEX(Prospectos!$M$2:$M$288,MATCH($A239,Prospectos!$A$2:$A$288,0)),"")</x:f>
        <x:v>responsable de acopio / mantenimiento</x:v>
      </x:c>
      <x:c r="I239" s="186" t="str">
        <x:f>IFERROR(INDEX(Prospectos!$N$2:$N$288,MATCH($A239,Prospectos!$A$2:$A$288,0)),"")</x:f>
        <x:v>Traslado de equipos de planta, silos, repuestos pesados, balanzas, implementos y cargas especiales.</x:v>
      </x:c>
      <x:c r="J239" s="186" t="str">
        <x:f>IFERROR(INDEX(Prospectos!$AJ$2:$AJ$288,MATCH($A239,Prospectos!$A$2:$A$288,0)),"")</x:f>
        <x:v>Alta</x:v>
      </x:c>
      <x:c r="K239" s="182"/>
      <x:c r="L239" s="135"/>
      <x:c r="M239" s="135"/>
      <x:c r="N239" s="158"/>
    </x:row>
    <x:row r="240" ht="34" customHeight="1">
      <x:c r="A240" s="136" t="str">
        <x:v>HER-010</x:v>
      </x:c>
      <x:c r="B240" s="136" t="str">
        <x:f>IFERROR(INDEX(Prospectos!$F$2:$F$288,MATCH($A240,Prospectos!$A$2:$A$288,0)),"")</x:f>
        <x:v>B</x:v>
      </x:c>
      <x:c r="C240" s="136" t="str">
        <x:f>IFERROR(INDEX(Prospectos!$H$2:$H$288,MATCH($A240,Prospectos!$A$2:$A$288,0)),"")</x:f>
        <x:v>Agrícola José Verra S.A.</x:v>
      </x:c>
      <x:c r="D240" s="136" t="str">
        <x:f>IFERROR(INDEX(Prospectos!$J$2:$J$288,MATCH($A240,Prospectos!$A$2:$A$288,0)),"")</x:f>
        <x:v>Maquinaria agrícola</x:v>
      </x:c>
      <x:c r="E240" s="136" t="str">
        <x:f>IFERROR(INDEX(Prospectos!$C$2:$C$288,MATCH($A240,Prospectos!$A$2:$A$288,0)),"")</x:f>
        <x:v>Villa María / RP6</x:v>
      </x:c>
      <x:c r="F240" s="136" t="str">
        <x:f>IFERROR(INDEX(Prospectos!$E$2:$E$288,MATCH($A240,Prospectos!$A$2:$A$288,0)),"")</x:f>
        <x:v>Hernando</x:v>
      </x:c>
      <x:c r="G240" s="136" t="str">
        <x:f>IFERROR(INDEX(Prospectos!$K$2:$K$288,MATCH($A240,Prospectos!$A$2:$A$288,0)),"")</x:f>
        <x:v>03532 415543</x:v>
      </x:c>
      <x:c r="H240" s="136" t="str">
        <x:f>IFERROR(INDEX(Prospectos!$M$2:$M$288,MATCH($A240,Prospectos!$A$2:$A$288,0)),"")</x:f>
        <x:v>logística / entregas / postventa</x:v>
      </x:c>
      <x:c r="I240" s="136" t="str">
        <x:f>IFERROR(INDEX(Prospectos!$N$2:$N$288,MATCH($A240,Prospectos!$A$2:$A$288,0)),"")</x:f>
        <x:v>Traslado de maquinaria agrícola o vial entre sucursal, cliente, taller, campo y eventos.</x:v>
      </x:c>
      <x:c r="J240" s="136" t="str">
        <x:f>IFERROR(INDEX(Prospectos!$AJ$2:$AJ$288,MATCH($A240,Prospectos!$A$2:$A$288,0)),"")</x:f>
        <x:v>Alta</x:v>
      </x:c>
      <x:c r="K240" s="182"/>
      <x:c r="L240" s="136"/>
      <x:c r="M240" s="136"/>
      <x:c r="N240" s="158"/>
    </x:row>
    <x:row r="241" ht="34" customHeight="1">
      <x:c r="A241" s="186" t="str">
        <x:v>HER-020</x:v>
      </x:c>
      <x:c r="B241" s="186" t="str">
        <x:f>IFERROR(INDEX(Prospectos!$F$2:$F$288,MATCH($A241,Prospectos!$A$2:$A$288,0)),"")</x:f>
        <x:v>B</x:v>
      </x:c>
      <x:c r="C241" s="186" t="str">
        <x:f>IFERROR(INDEX(Prospectos!$H$2:$H$288,MATCH($A241,Prospectos!$A$2:$A$288,0)),"")</x:f>
        <x:v>Boero Maquinarias</x:v>
      </x:c>
      <x:c r="D241" s="186" t="str">
        <x:f>IFERROR(INDEX(Prospectos!$J$2:$J$288,MATCH($A241,Prospectos!$A$2:$A$288,0)),"")</x:f>
        <x:v>Maquinaria agrícola</x:v>
      </x:c>
      <x:c r="E241" s="186" t="str">
        <x:f>IFERROR(INDEX(Prospectos!$C$2:$C$288,MATCH($A241,Prospectos!$A$2:$A$288,0)),"")</x:f>
        <x:v>Villa María / RP6</x:v>
      </x:c>
      <x:c r="F241" s="186" t="str">
        <x:f>IFERROR(INDEX(Prospectos!$E$2:$E$288,MATCH($A241,Prospectos!$A$2:$A$288,0)),"")</x:f>
        <x:v>Hernando</x:v>
      </x:c>
      <x:c r="G241" s="186" t="str">
        <x:f>IFERROR(INDEX(Prospectos!$K$2:$K$288,MATCH($A241,Prospectos!$A$2:$A$288,0)),"")</x:f>
        <x:v>0353 4960847 / +54 353 4187486</x:v>
      </x:c>
      <x:c r="H241" s="186" t="str">
        <x:f>IFERROR(INDEX(Prospectos!$M$2:$M$288,MATCH($A241,Prospectos!$A$2:$A$288,0)),"")</x:f>
        <x:v>logística / ventas / postventa</x:v>
      </x:c>
      <x:c r="I241" s="186" t="str">
        <x:f>IFERROR(INDEX(Prospectos!$N$2:$N$288,MATCH($A241,Prospectos!$A$2:$A$288,0)),"")</x:f>
        <x:v>Entrega y retiro de tractores, cosechadoras, pulverizadoras, sembradoras e implementos; movimientos por venta, service, canje, demostraciones o ferias.</x:v>
      </x:c>
      <x:c r="J241" s="186" t="str">
        <x:f>IFERROR(INDEX(Prospectos!$AJ$2:$AJ$288,MATCH($A241,Prospectos!$A$2:$A$288,0)),"")</x:f>
        <x:v>Media</x:v>
      </x:c>
      <x:c r="K241" s="182"/>
      <x:c r="L241" s="135"/>
      <x:c r="M241" s="135"/>
      <x:c r="N241" s="158"/>
    </x:row>
    <x:row r="242" ht="34" customHeight="1">
      <x:c r="A242" s="136" t="str">
        <x:v>HER-011</x:v>
      </x:c>
      <x:c r="B242" s="136" t="str">
        <x:f>IFERROR(INDEX(Prospectos!$F$2:$F$288,MATCH($A242,Prospectos!$A$2:$A$288,0)),"")</x:f>
        <x:v>B</x:v>
      </x:c>
      <x:c r="C242" s="136" t="str">
        <x:f>IFERROR(INDEX(Prospectos!$H$2:$H$288,MATCH($A242,Prospectos!$A$2:$A$288,0)),"")</x:f>
        <x:v>Cismondi Construcciones</x:v>
      </x:c>
      <x:c r="D242" s="136" t="str">
        <x:f>IFERROR(INDEX(Prospectos!$J$2:$J$288,MATCH($A242,Prospectos!$A$2:$A$288,0)),"")</x:f>
        <x:v>Construcción y obra vial</x:v>
      </x:c>
      <x:c r="E242" s="136" t="str">
        <x:f>IFERROR(INDEX(Prospectos!$C$2:$C$288,MATCH($A242,Prospectos!$A$2:$A$288,0)),"")</x:f>
        <x:v>Villa María / RP6</x:v>
      </x:c>
      <x:c r="F242" s="136" t="str">
        <x:f>IFERROR(INDEX(Prospectos!$E$2:$E$288,MATCH($A242,Prospectos!$A$2:$A$288,0)),"")</x:f>
        <x:v>Hernando</x:v>
      </x:c>
      <x:c r="G242" s="136" t="str">
        <x:f>IFERROR(INDEX(Prospectos!$K$2:$K$288,MATCH($A242,Prospectos!$A$2:$A$288,0)),"")</x:f>
        <x:v>03536 579486</x:v>
      </x:c>
      <x:c r="H242" s="136" t="str">
        <x:f>IFERROR(INDEX(Prospectos!$M$2:$M$288,MATCH($A242,Prospectos!$A$2:$A$288,0)),"")</x:f>
        <x:v>jefe de obra / operaciones</x:v>
      </x:c>
      <x:c r="I242" s="136" t="str">
        <x:f>IFERROR(INDEX(Prospectos!$N$2:$N$288,MATCH($A242,Prospectos!$A$2:$A$288,0)),"")</x:f>
        <x:v>Traslado de maquinaria, módulos de obrador, estructuras y equipos entre depósitos y frentes de obra.</x:v>
      </x:c>
      <x:c r="J242" s="136" t="str">
        <x:f>IFERROR(INDEX(Prospectos!$AJ$2:$AJ$288,MATCH($A242,Prospectos!$A$2:$A$288,0)),"")</x:f>
        <x:v>Alta</x:v>
      </x:c>
      <x:c r="K242" s="182"/>
      <x:c r="L242" s="136"/>
      <x:c r="M242" s="136"/>
      <x:c r="N242" s="158"/>
    </x:row>
    <x:row r="243" ht="34" customHeight="1">
      <x:c r="A243" s="186" t="str">
        <x:v>HER-012</x:v>
      </x:c>
      <x:c r="B243" s="186" t="str">
        <x:f>IFERROR(INDEX(Prospectos!$F$2:$F$288,MATCH($A243,Prospectos!$A$2:$A$288,0)),"")</x:f>
        <x:v>B</x:v>
      </x:c>
      <x:c r="C243" s="186" t="str">
        <x:f>IFERROR(INDEX(Prospectos!$H$2:$H$288,MATCH($A243,Prospectos!$A$2:$A$288,0)),"")</x:f>
        <x:v>Industria Metal-Her</x:v>
      </x:c>
      <x:c r="D243" s="186" t="str">
        <x:f>IFERROR(INDEX(Prospectos!$J$2:$J$288,MATCH($A243,Prospectos!$A$2:$A$288,0)),"")</x:f>
        <x:v>Maquinaria agrícola</x:v>
      </x:c>
      <x:c r="E243" s="186" t="str">
        <x:f>IFERROR(INDEX(Prospectos!$C$2:$C$288,MATCH($A243,Prospectos!$A$2:$A$288,0)),"")</x:f>
        <x:v>Villa María / RP6</x:v>
      </x:c>
      <x:c r="F243" s="186" t="str">
        <x:f>IFERROR(INDEX(Prospectos!$E$2:$E$288,MATCH($A243,Prospectos!$A$2:$A$288,0)),"")</x:f>
        <x:v>Hernando</x:v>
      </x:c>
      <x:c r="G243" s="186" t="str">
        <x:f>IFERROR(INDEX(Prospectos!$K$2:$K$288,MATCH($A243,Prospectos!$A$2:$A$288,0)),"")</x:f>
        <x:v>0353 156568385 / 0353 4846509</x:v>
      </x:c>
      <x:c r="H243" s="186" t="str">
        <x:f>IFERROR(INDEX(Prospectos!$M$2:$M$288,MATCH($A243,Prospectos!$A$2:$A$288,0)),"")</x:f>
        <x:v>responsable de acopio / mantenimiento</x:v>
      </x:c>
      <x:c r="I243" s="186" t="str">
        <x:f>IFERROR(INDEX(Prospectos!$N$2:$N$288,MATCH($A243,Prospectos!$A$2:$A$288,0)),"")</x:f>
        <x:v>Movimientos especiales de mantenimiento, repuestos pesados y mudanzas internas de equipos.</x:v>
      </x:c>
      <x:c r="J243" s="186" t="str">
        <x:f>IFERROR(INDEX(Prospectos!$AJ$2:$AJ$288,MATCH($A243,Prospectos!$A$2:$A$288,0)),"")</x:f>
        <x:v>Alta</x:v>
      </x:c>
      <x:c r="K243" s="182"/>
      <x:c r="L243" s="135"/>
      <x:c r="M243" s="135"/>
      <x:c r="N243" s="158"/>
    </x:row>
    <x:row r="244" ht="34" customHeight="1">
      <x:c r="A244" s="136" t="str">
        <x:v>HER-014</x:v>
      </x:c>
      <x:c r="B244" s="136" t="str">
        <x:f>IFERROR(INDEX(Prospectos!$F$2:$F$288,MATCH($A244,Prospectos!$A$2:$A$288,0)),"")</x:f>
        <x:v>B</x:v>
      </x:c>
      <x:c r="C244" s="136" t="str">
        <x:f>IFERROR(INDEX(Prospectos!$H$2:$H$288,MATCH($A244,Prospectos!$A$2:$A$288,0)),"")</x:f>
        <x:v>Tornería y Soldadura Carlos Gastaldi</x:v>
      </x:c>
      <x:c r="D244" s="136" t="str">
        <x:f>IFERROR(INDEX(Prospectos!$J$2:$J$288,MATCH($A244,Prospectos!$A$2:$A$288,0)),"")</x:f>
        <x:v>Metalúrgica y fabricación</x:v>
      </x:c>
      <x:c r="E244" s="136" t="str">
        <x:f>IFERROR(INDEX(Prospectos!$C$2:$C$288,MATCH($A244,Prospectos!$A$2:$A$288,0)),"")</x:f>
        <x:v>Villa María / RP6</x:v>
      </x:c>
      <x:c r="F244" s="136" t="str">
        <x:f>IFERROR(INDEX(Prospectos!$E$2:$E$288,MATCH($A244,Prospectos!$A$2:$A$288,0)),"")</x:f>
        <x:v>Hernando</x:v>
      </x:c>
      <x:c r="G244" s="136" t="str">
        <x:f>IFERROR(INDEX(Prospectos!$K$2:$K$288,MATCH($A244,Prospectos!$A$2:$A$288,0)),"")</x:f>
        <x:v>0353 4298156</x:v>
      </x:c>
      <x:c r="H244" s="136" t="str">
        <x:f>IFERROR(INDEX(Prospectos!$M$2:$M$288,MATCH($A244,Prospectos!$A$2:$A$288,0)),"")</x:f>
        <x:v>despacho / producción</x:v>
      </x:c>
      <x:c r="I244" s="136" t="str">
        <x:f>IFERROR(INDEX(Prospectos!$N$2:$N$288,MATCH($A244,Prospectos!$A$2:$A$288,0)),"")</x:f>
        <x:v>Despacho de estructuras, piezas, equipos y conjuntos metalmecánicos de gran porte hacia obras o clientes.</x:v>
      </x:c>
      <x:c r="J244" s="136" t="str">
        <x:f>IFERROR(INDEX(Prospectos!$AJ$2:$AJ$288,MATCH($A244,Prospectos!$A$2:$A$288,0)),"")</x:f>
        <x:v>Alta</x:v>
      </x:c>
      <x:c r="K244" s="182"/>
      <x:c r="L244" s="136"/>
      <x:c r="M244" s="136"/>
      <x:c r="N244" s="158"/>
    </x:row>
    <x:row r="245" ht="34" customHeight="1">
      <x:c r="A245" s="186" t="str">
        <x:v>HER-013</x:v>
      </x:c>
      <x:c r="B245" s="186" t="str">
        <x:f>IFERROR(INDEX(Prospectos!$F$2:$F$288,MATCH($A245,Prospectos!$A$2:$A$288,0)),"")</x:f>
        <x:v>B</x:v>
      </x:c>
      <x:c r="C245" s="186" t="str">
        <x:f>IFERROR(INDEX(Prospectos!$H$2:$H$288,MATCH($A245,Prospectos!$A$2:$A$288,0)),"")</x:f>
        <x:v>TOTI CONTI - Máquinas Agrícolas</x:v>
      </x:c>
      <x:c r="D245" s="186" t="str">
        <x:f>IFERROR(INDEX(Prospectos!$J$2:$J$288,MATCH($A245,Prospectos!$A$2:$A$288,0)),"")</x:f>
        <x:v>Maquinaria agrícola</x:v>
      </x:c>
      <x:c r="E245" s="186" t="str">
        <x:f>IFERROR(INDEX(Prospectos!$C$2:$C$288,MATCH($A245,Prospectos!$A$2:$A$288,0)),"")</x:f>
        <x:v>Villa María / RP6</x:v>
      </x:c>
      <x:c r="F245" s="186" t="str">
        <x:f>IFERROR(INDEX(Prospectos!$E$2:$E$288,MATCH($A245,Prospectos!$A$2:$A$288,0)),"")</x:f>
        <x:v>Hernando</x:v>
      </x:c>
      <x:c r="G245" s="186" t="str">
        <x:f>IFERROR(INDEX(Prospectos!$K$2:$K$288,MATCH($A245,Prospectos!$A$2:$A$288,0)),"")</x:f>
        <x:v>0353 4846557</x:v>
      </x:c>
      <x:c r="H245" s="186" t="str">
        <x:f>IFERROR(INDEX(Prospectos!$M$2:$M$288,MATCH($A245,Prospectos!$A$2:$A$288,0)),"")</x:f>
        <x:v>logística / entregas / postventa</x:v>
      </x:c>
      <x:c r="I245" s="186" t="str">
        <x:f>IFERROR(INDEX(Prospectos!$N$2:$N$288,MATCH($A245,Prospectos!$A$2:$A$288,0)),"")</x:f>
        <x:v>Traslado de maquinaria agrícola o vial entre sucursal, cliente, taller, campo y eventos.</x:v>
      </x:c>
      <x:c r="J245" s="186" t="str">
        <x:f>IFERROR(INDEX(Prospectos!$AJ$2:$AJ$288,MATCH($A245,Prospectos!$A$2:$A$288,0)),"")</x:f>
        <x:v>Alta</x:v>
      </x:c>
      <x:c r="K245" s="182"/>
      <x:c r="L245" s="135"/>
      <x:c r="M245" s="135"/>
      <x:c r="N245" s="158"/>
    </x:row>
    <x:row r="246" ht="34" customHeight="1">
      <x:c r="A246" s="136" t="str">
        <x:v>HER-015</x:v>
      </x:c>
      <x:c r="B246" s="136" t="str">
        <x:f>IFERROR(INDEX(Prospectos!$F$2:$F$288,MATCH($A246,Prospectos!$A$2:$A$288,0)),"")</x:f>
        <x:v>C</x:v>
      </x:c>
      <x:c r="C246" s="136" t="str">
        <x:f>IFERROR(INDEX(Prospectos!$H$2:$H$288,MATCH($A246,Prospectos!$A$2:$A$288,0)),"")</x:f>
        <x:v>Her.Agro Maquinarias</x:v>
      </x:c>
      <x:c r="D246" s="136" t="str">
        <x:f>IFERROR(INDEX(Prospectos!$J$2:$J$288,MATCH($A246,Prospectos!$A$2:$A$288,0)),"")</x:f>
        <x:v>Maquinaria agrícola</x:v>
      </x:c>
      <x:c r="E246" s="136" t="str">
        <x:f>IFERROR(INDEX(Prospectos!$C$2:$C$288,MATCH($A246,Prospectos!$A$2:$A$288,0)),"")</x:f>
        <x:v>Villa María / RP6</x:v>
      </x:c>
      <x:c r="F246" s="136" t="str">
        <x:f>IFERROR(INDEX(Prospectos!$E$2:$E$288,MATCH($A246,Prospectos!$A$2:$A$288,0)),"")</x:f>
        <x:v>Hernando</x:v>
      </x:c>
      <x:c r="G246" s="136" t="str">
        <x:f>IFERROR(INDEX(Prospectos!$K$2:$K$288,MATCH($A246,Prospectos!$A$2:$A$288,0)),"")</x:f>
        <x:v>3535 690587 (a confirmar)</x:v>
      </x:c>
      <x:c r="H246" s="136" t="str">
        <x:f>IFERROR(INDEX(Prospectos!$M$2:$M$288,MATCH($A246,Prospectos!$A$2:$A$288,0)),"")</x:f>
        <x:v>responsable de acopio / mantenimiento</x:v>
      </x:c>
      <x:c r="I246" s="136" t="str">
        <x:f>IFERROR(INDEX(Prospectos!$N$2:$N$288,MATCH($A246,Prospectos!$A$2:$A$288,0)),"")</x:f>
        <x:v>Movimientos especiales de mantenimiento, repuestos pesados y mudanzas internas de equipos.</x:v>
      </x:c>
      <x:c r="J246" s="136" t="str">
        <x:f>IFERROR(INDEX(Prospectos!$AJ$2:$AJ$288,MATCH($A246,Prospectos!$A$2:$A$288,0)),"")</x:f>
        <x:v>Baja / visitar solo por cercanía</x:v>
      </x:c>
      <x:c r="K246" s="182"/>
      <x:c r="L246" s="136"/>
      <x:c r="M246" s="136"/>
      <x:c r="N246" s="158"/>
    </x:row>
    <x:row r="247" ht="34" customHeight="1">
      <x:c r="A247" s="186" t="str">
        <x:v>HER-016</x:v>
      </x:c>
      <x:c r="B247" s="186" t="str">
        <x:f>IFERROR(INDEX(Prospectos!$F$2:$F$288,MATCH($A247,Prospectos!$A$2:$A$288,0)),"")</x:f>
        <x:v>C</x:v>
      </x:c>
      <x:c r="C247" s="186" t="str">
        <x:f>IFERROR(INDEX(Prospectos!$H$2:$H$288,MATCH($A247,Prospectos!$A$2:$A$288,0)),"")</x:f>
        <x:v>AgroServ S.R.L.</x:v>
      </x:c>
      <x:c r="D247" s="186" t="str">
        <x:f>IFERROR(INDEX(Prospectos!$J$2:$J$288,MATCH($A247,Prospectos!$A$2:$A$288,0)),"")</x:f>
        <x:v>Maquinaria agrícola</x:v>
      </x:c>
      <x:c r="E247" s="186" t="str">
        <x:f>IFERROR(INDEX(Prospectos!$C$2:$C$288,MATCH($A247,Prospectos!$A$2:$A$288,0)),"")</x:f>
        <x:v>Villa María / RP6</x:v>
      </x:c>
      <x:c r="F247" s="186" t="str">
        <x:f>IFERROR(INDEX(Prospectos!$E$2:$E$288,MATCH($A247,Prospectos!$A$2:$A$288,0)),"")</x:f>
        <x:v>Hernando</x:v>
      </x:c>
      <x:c r="G247" s="186" t="str">
        <x:f>IFERROR(INDEX(Prospectos!$K$2:$K$288,MATCH($A247,Prospectos!$A$2:$A$288,0)),"")</x:f>
        <x:v>A relevar</x:v>
      </x:c>
      <x:c r="H247" s="186" t="str">
        <x:f>IFERROR(INDEX(Prospectos!$M$2:$M$288,MATCH($A247,Prospectos!$A$2:$A$288,0)),"")</x:f>
        <x:v>responsable de acopio / mantenimiento</x:v>
      </x:c>
      <x:c r="I247" s="186" t="str">
        <x:f>IFERROR(INDEX(Prospectos!$N$2:$N$288,MATCH($A247,Prospectos!$A$2:$A$288,0)),"")</x:f>
        <x:v>Movimientos especiales de mantenimiento, repuestos pesados y mudanzas internas de equipos.</x:v>
      </x:c>
      <x:c r="J247" s="186" t="str">
        <x:f>IFERROR(INDEX(Prospectos!$AJ$2:$AJ$288,MATCH($A247,Prospectos!$A$2:$A$288,0)),"")</x:f>
        <x:v>Baja / visitar solo por cercanía</x:v>
      </x:c>
      <x:c r="K247" s="182"/>
      <x:c r="L247" s="135"/>
      <x:c r="M247" s="135"/>
      <x:c r="N247" s="158"/>
    </x:row>
    <x:row r="248" ht="34" customHeight="1">
      <x:c r="A248" s="3" t="str">
        <x:v>TP-001</x:v>
      </x:c>
      <x:c r="B248" s="3" t="str">
        <x:f>IFERROR(INDEX(Prospectos!$F$2:$F$288,MATCH($A248,Prospectos!$A$2:$A$288,0)),"")</x:f>
        <x:v>A</x:v>
      </x:c>
      <x:c r="C248" s="3" t="str">
        <x:f>IFERROR(INDEX(Prospectos!$H$2:$H$288,MATCH($A248,Prospectos!$A$2:$A$288,0)),"")</x:f>
        <x:v>ACA — Centro de Desarrollo Comercial Tío Pujio</x:v>
      </x:c>
      <x:c r="D248" s="3" t="str">
        <x:f>IFERROR(INDEX(Prospectos!$J$2:$J$288,MATCH($A248,Prospectos!$A$2:$A$288,0)),"")</x:f>
        <x:v>Agro, acopio y cooperativas</x:v>
      </x:c>
      <x:c r="E248" s="3" t="str">
        <x:f>IFERROR(INDEX(Prospectos!$C$2:$C$288,MATCH($A248,Prospectos!$A$2:$A$288,0)),"")</x:f>
        <x:v>Villa María / RP6</x:v>
      </x:c>
      <x:c r="F248" s="3" t="str">
        <x:f>IFERROR(INDEX(Prospectos!$E$2:$E$288,MATCH($A248,Prospectos!$A$2:$A$288,0)),"")</x:f>
        <x:v>Tío Pujio</x:v>
      </x:c>
      <x:c r="G248" s="3" t="str">
        <x:f>IFERROR(INDEX(Prospectos!$K$2:$K$288,MATCH($A248,Prospectos!$A$2:$A$288,0)),"")</x:f>
        <x:v>353 5622710 / 0353 4860518 / 0353 4860519</x:v>
      </x:c>
      <x:c r="H248" s="3" t="str">
        <x:f>IFERROR(INDEX(Prospectos!$M$2:$M$288,MATCH($A248,Prospectos!$A$2:$A$288,0)),"")</x:f>
        <x:v>responsable de acopio / mantenimiento</x:v>
      </x:c>
      <x:c r="I248" s="3" t="str">
        <x:f>IFERROR(INDEX(Prospectos!$N$2:$N$288,MATCH($A248,Prospectos!$A$2:$A$288,0)),"")</x:f>
        <x:v>Traslado de equipos de planta, silos, repuestos pesados, balanzas, implementos y cargas especiales.</x:v>
      </x:c>
      <x:c r="J248" s="3" t="str">
        <x:f>IFERROR(INDEX(Prospectos!$AJ$2:$AJ$288,MATCH($A248,Prospectos!$A$2:$A$288,0)),"")</x:f>
        <x:v>Muy alta</x:v>
      </x:c>
      <x:c r="K248" s="179"/>
      <x:c r="L248" s="3"/>
      <x:c r="M248" s="3"/>
      <x:c r="N248" s="161"/>
    </x:row>
    <x:row r="249" ht="34" customHeight="1">
      <x:c r="A249" s="186" t="str">
        <x:v>TP-002</x:v>
      </x:c>
      <x:c r="B249" s="186" t="str">
        <x:f>IFERROR(INDEX(Prospectos!$F$2:$F$288,MATCH($A249,Prospectos!$A$2:$A$288,0)),"")</x:f>
        <x:v>B</x:v>
      </x:c>
      <x:c r="C249" s="186" t="str">
        <x:f>IFERROR(INDEX(Prospectos!$H$2:$H$288,MATCH($A249,Prospectos!$A$2:$A$288,0)),"")</x:f>
        <x:v>Metalúrgica Jor-Ba / Grupo Tío Pujio</x:v>
      </x:c>
      <x:c r="D249" s="186" t="str">
        <x:f>IFERROR(INDEX(Prospectos!$J$2:$J$288,MATCH($A249,Prospectos!$A$2:$A$288,0)),"")</x:f>
        <x:v>Metalúrgica y fabricación</x:v>
      </x:c>
      <x:c r="E249" s="186" t="str">
        <x:f>IFERROR(INDEX(Prospectos!$C$2:$C$288,MATCH($A249,Prospectos!$A$2:$A$288,0)),"")</x:f>
        <x:v>Villa María / RP6</x:v>
      </x:c>
      <x:c r="F249" s="186" t="str">
        <x:f>IFERROR(INDEX(Prospectos!$E$2:$E$288,MATCH($A249,Prospectos!$A$2:$A$288,0)),"")</x:f>
        <x:v>Tío Pujio</x:v>
      </x:c>
      <x:c r="G249" s="186" t="str">
        <x:f>IFERROR(INDEX(Prospectos!$K$2:$K$288,MATCH($A249,Prospectos!$A$2:$A$288,0)),"")</x:f>
        <x:v>03573 402941</x:v>
      </x:c>
      <x:c r="H249" s="186" t="str">
        <x:f>IFERROR(INDEX(Prospectos!$M$2:$M$288,MATCH($A249,Prospectos!$A$2:$A$288,0)),"")</x:f>
        <x:v>responsable de acopio / mantenimiento</x:v>
      </x:c>
      <x:c r="I249" s="186" t="str">
        <x:f>IFERROR(INDEX(Prospectos!$N$2:$N$288,MATCH($A249,Prospectos!$A$2:$A$288,0)),"")</x:f>
        <x:v>Despacho seguro de estructuras, carrozados, tanques, piezas industriales y equipos sobre plataforma.</x:v>
      </x:c>
      <x:c r="J249" s="186" t="str">
        <x:f>IFERROR(INDEX(Prospectos!$AJ$2:$AJ$288,MATCH($A249,Prospectos!$A$2:$A$288,0)),"")</x:f>
        <x:v>Alta</x:v>
      </x:c>
      <x:c r="K249" s="182"/>
      <x:c r="L249" s="136"/>
      <x:c r="M249" s="136"/>
      <x:c r="N249" s="158"/>
    </x:row>
    <x:row r="250" ht="34" customHeight="1">
      <x:c r="A250" s="136" t="str">
        <x:v>VM-044</x:v>
      </x:c>
      <x:c r="B250" s="136" t="str">
        <x:f>IFERROR(INDEX(Prospectos!$F$2:$F$288,MATCH($A250,Prospectos!$A$2:$A$288,0)),"")</x:f>
        <x:v>A</x:v>
      </x:c>
      <x:c r="C250" s="136" t="str">
        <x:f>IFERROR(INDEX(Prospectos!$H$2:$H$288,MATCH($A250,Prospectos!$A$2:$A$288,0)),"")</x:f>
        <x:v>Comercializadora Pauny — Villa María</x:v>
      </x:c>
      <x:c r="D250" s="136" t="str">
        <x:f>IFERROR(INDEX(Prospectos!$J$2:$J$288,MATCH($A250,Prospectos!$A$2:$A$288,0)),"")</x:f>
        <x:v>Maquinaria agrícola</x:v>
      </x:c>
      <x:c r="E250" s="136" t="str">
        <x:f>IFERROR(INDEX(Prospectos!$C$2:$C$288,MATCH($A250,Prospectos!$A$2:$A$288,0)),"")</x:f>
        <x:v>Villa María / RP6</x:v>
      </x:c>
      <x:c r="F250" s="136" t="str">
        <x:f>IFERROR(INDEX(Prospectos!$E$2:$E$288,MATCH($A250,Prospectos!$A$2:$A$288,0)),"")</x:f>
        <x:v>Villa María</x:v>
      </x:c>
      <x:c r="G250" s="136" t="str">
        <x:f>IFERROR(INDEX(Prospectos!$K$2:$K$288,MATCH($A250,Prospectos!$A$2:$A$288,0)),"")</x:f>
        <x:v>0353 5002145</x:v>
      </x:c>
      <x:c r="H250" s="136" t="str">
        <x:f>IFERROR(INDEX(Prospectos!$M$2:$M$288,MATCH($A250,Prospectos!$A$2:$A$288,0)),"")</x:f>
        <x:v>logística / entregas / usados / postventa / gerente comercial</x:v>
      </x:c>
      <x:c r="I250" s="136" t="str">
        <x:f>IFERROR(INDEX(Prospectos!$N$2:$N$288,MATCH($A250,Prospectos!$A$2:$A$288,0)),"")</x:f>
        <x:v>Entrega y retiro de tractores, cosechadoras, pulverizadoras, sembradoras e implementos; movimientos por ventas, canjes, usados, service, demostraciones y ferias.</x:v>
      </x:c>
      <x:c r="J250" s="136" t="str">
        <x:f>IFERROR(INDEX(Prospectos!$AJ$2:$AJ$288,MATCH($A250,Prospectos!$A$2:$A$288,0)),"")</x:f>
        <x:v>Muy alta</x:v>
      </x:c>
      <x:c r="K250" s="182"/>
      <x:c r="L250" s="136"/>
      <x:c r="M250" s="136"/>
      <x:c r="N250" s="158"/>
    </x:row>
    <x:row r="251" ht="34" customHeight="1">
      <x:c r="A251" s="186" t="str">
        <x:v>VM-021</x:v>
      </x:c>
      <x:c r="B251" s="186" t="str">
        <x:f>IFERROR(INDEX(Prospectos!$F$2:$F$288,MATCH($A251,Prospectos!$A$2:$A$288,0)),"")</x:f>
        <x:v>A</x:v>
      </x:c>
      <x:c r="C251" s="186" t="str">
        <x:f>IFERROR(INDEX(Prospectos!$H$2:$H$288,MATCH($A251,Prospectos!$A$2:$A$288,0)),"")</x:f>
        <x:v>Grupo Caon — Villa María</x:v>
      </x:c>
      <x:c r="D251" s="186" t="str">
        <x:f>IFERROR(INDEX(Prospectos!$J$2:$J$288,MATCH($A251,Prospectos!$A$2:$A$288,0)),"")</x:f>
        <x:v>Maquinaria agrícola</x:v>
      </x:c>
      <x:c r="E251" s="186" t="str">
        <x:f>IFERROR(INDEX(Prospectos!$C$2:$C$288,MATCH($A251,Prospectos!$A$2:$A$288,0)),"")</x:f>
        <x:v>Villa María / RP6</x:v>
      </x:c>
      <x:c r="F251" s="186" t="str">
        <x:f>IFERROR(INDEX(Prospectos!$E$2:$E$288,MATCH($A251,Prospectos!$A$2:$A$288,0)),"")</x:f>
        <x:v>Villa María</x:v>
      </x:c>
      <x:c r="G251" s="186" t="str">
        <x:f>IFERROR(INDEX(Prospectos!$K$2:$K$288,MATCH($A251,Prospectos!$A$2:$A$288,0)),"")</x:f>
        <x:v>A relevar</x:v>
      </x:c>
      <x:c r="H251" s="186" t="str">
        <x:f>IFERROR(INDEX(Prospectos!$M$2:$M$288,MATCH($A251,Prospectos!$A$2:$A$288,0)),"")</x:f>
        <x:v>logística / ventas / postventa</x:v>
      </x:c>
      <x:c r="I251" s="186" t="str">
        <x:f>IFERROR(INDEX(Prospectos!$N$2:$N$288,MATCH($A251,Prospectos!$A$2:$A$288,0)),"")</x:f>
        <x:v>Entrega y retiro de tractores, cosechadoras, pulverizadoras, sembradoras e implementos; movimientos por venta, service, canje, demostraciones o ferias.</x:v>
      </x:c>
      <x:c r="J251" s="186" t="str">
        <x:f>IFERROR(INDEX(Prospectos!$AJ$2:$AJ$288,MATCH($A251,Prospectos!$A$2:$A$288,0)),"")</x:f>
        <x:v>Muy alta</x:v>
      </x:c>
      <x:c r="K251" s="182"/>
      <x:c r="L251" s="136"/>
      <x:c r="M251" s="136"/>
      <x:c r="N251" s="158"/>
    </x:row>
    <x:row r="252" ht="34" customHeight="1">
      <x:c r="A252" s="136" t="str">
        <x:v>VM-001</x:v>
      </x:c>
      <x:c r="B252" s="136" t="str">
        <x:f>IFERROR(INDEX(Prospectos!$F$2:$F$288,MATCH($A252,Prospectos!$A$2:$A$288,0)),"")</x:f>
        <x:v>A</x:v>
      </x:c>
      <x:c r="C252" s="136" t="str">
        <x:f>IFERROR(INDEX(Prospectos!$H$2:$H$288,MATCH($A252,Prospectos!$A$2:$A$288,0)),"")</x:f>
        <x:v>Industrias Cormetal S.A.</x:v>
      </x:c>
      <x:c r="D252" s="136" t="str">
        <x:f>IFERROR(INDEX(Prospectos!$J$2:$J$288,MATCH($A252,Prospectos!$A$2:$A$288,0)),"")</x:f>
        <x:v>Metalúrgica y fabricación</x:v>
      </x:c>
      <x:c r="E252" s="136" t="str">
        <x:f>IFERROR(INDEX(Prospectos!$C$2:$C$288,MATCH($A252,Prospectos!$A$2:$A$288,0)),"")</x:f>
        <x:v>Villa María / RP6</x:v>
      </x:c>
      <x:c r="F252" s="136" t="str">
        <x:f>IFERROR(INDEX(Prospectos!$E$2:$E$288,MATCH($A252,Prospectos!$A$2:$A$288,0)),"")</x:f>
        <x:v>Villa María</x:v>
      </x:c>
      <x:c r="G252" s="136" t="str">
        <x:f>IFERROR(INDEX(Prospectos!$K$2:$K$288,MATCH($A252,Prospectos!$A$2:$A$288,0)),"")</x:f>
        <x:v>0353 4610900 / 0353 6567355</x:v>
      </x:c>
      <x:c r="H252" s="136" t="str">
        <x:f>IFERROR(INDEX(Prospectos!$M$2:$M$288,MATCH($A252,Prospectos!$A$2:$A$288,0)),"")</x:f>
        <x:v>despacho / producción</x:v>
      </x:c>
      <x:c r="I252" s="136" t="str">
        <x:f>IFERROR(INDEX(Prospectos!$N$2:$N$288,MATCH($A252,Prospectos!$A$2:$A$288,0)),"")</x:f>
        <x:v>Despacho seguro de estructuras, carrozados, tanques, piezas industriales y equipos sobre plataforma.</x:v>
      </x:c>
      <x:c r="J252" s="136" t="str">
        <x:f>IFERROR(INDEX(Prospectos!$AJ$2:$AJ$288,MATCH($A252,Prospectos!$A$2:$A$288,0)),"")</x:f>
        <x:v>Muy alta</x:v>
      </x:c>
      <x:c r="K252" s="182"/>
      <x:c r="L252" s="136"/>
      <x:c r="M252" s="136"/>
      <x:c r="N252" s="158"/>
    </x:row>
    <x:row r="253" ht="34" customHeight="1">
      <x:c r="A253" s="186" t="str">
        <x:v>VM-002</x:v>
      </x:c>
      <x:c r="B253" s="186" t="str">
        <x:f>IFERROR(INDEX(Prospectos!$F$2:$F$288,MATCH($A253,Prospectos!$A$2:$A$288,0)),"")</x:f>
        <x:v>A</x:v>
      </x:c>
      <x:c r="C253" s="186" t="str">
        <x:f>IFERROR(INDEX(Prospectos!$H$2:$H$288,MATCH($A253,Prospectos!$A$2:$A$288,0)),"")</x:f>
        <x:v>Mayo Transformadores S.R.L.</x:v>
      </x:c>
      <x:c r="D253" s="186" t="str">
        <x:f>IFERROR(INDEX(Prospectos!$J$2:$J$288,MATCH($A253,Prospectos!$A$2:$A$288,0)),"")</x:f>
        <x:v>Metalúrgica y fabricación</x:v>
      </x:c>
      <x:c r="E253" s="186" t="str">
        <x:f>IFERROR(INDEX(Prospectos!$C$2:$C$288,MATCH($A253,Prospectos!$A$2:$A$288,0)),"")</x:f>
        <x:v>Villa María / RP6</x:v>
      </x:c>
      <x:c r="F253" s="186" t="str">
        <x:f>IFERROR(INDEX(Prospectos!$E$2:$E$288,MATCH($A253,Prospectos!$A$2:$A$288,0)),"")</x:f>
        <x:v>Villa María</x:v>
      </x:c>
      <x:c r="G253" s="186" t="str">
        <x:f>IFERROR(INDEX(Prospectos!$K$2:$K$288,MATCH($A253,Prospectos!$A$2:$A$288,0)),"")</x:f>
        <x:v>0353 4647606</x:v>
      </x:c>
      <x:c r="H253" s="186" t="str">
        <x:f>IFERROR(INDEX(Prospectos!$M$2:$M$288,MATCH($A253,Prospectos!$A$2:$A$288,0)),"")</x:f>
        <x:v>despacho / producción</x:v>
      </x:c>
      <x:c r="I253" s="186" t="str">
        <x:f>IFERROR(INDEX(Prospectos!$N$2:$N$288,MATCH($A253,Prospectos!$A$2:$A$288,0)),"")</x:f>
        <x:v>Despacho seguro de estructuras, carrozados, tanques, piezas industriales y equipos sobre plataforma.</x:v>
      </x:c>
      <x:c r="J253" s="186" t="str">
        <x:f>IFERROR(INDEX(Prospectos!$AJ$2:$AJ$288,MATCH($A253,Prospectos!$A$2:$A$288,0)),"")</x:f>
        <x:v>Muy alta</x:v>
      </x:c>
      <x:c r="K253" s="182"/>
      <x:c r="L253" s="136"/>
      <x:c r="M253" s="136"/>
      <x:c r="N253" s="158"/>
    </x:row>
    <x:row r="254" ht="34" customHeight="1">
      <x:c r="A254" s="136" t="str">
        <x:v>VM-003</x:v>
      </x:c>
      <x:c r="B254" s="136" t="str">
        <x:f>IFERROR(INDEX(Prospectos!$F$2:$F$288,MATCH($A254,Prospectos!$A$2:$A$288,0)),"")</x:f>
        <x:v>A</x:v>
      </x:c>
      <x:c r="C254" s="136" t="str">
        <x:f>IFERROR(INDEX(Prospectos!$H$2:$H$288,MATCH($A254,Prospectos!$A$2:$A$288,0)),"")</x:f>
        <x:v>Metalúrgica JAP / MJAP</x:v>
      </x:c>
      <x:c r="D254" s="136" t="str">
        <x:f>IFERROR(INDEX(Prospectos!$J$2:$J$288,MATCH($A254,Prospectos!$A$2:$A$288,0)),"")</x:f>
        <x:v>Metalúrgica y fabricación</x:v>
      </x:c>
      <x:c r="E254" s="136" t="str">
        <x:f>IFERROR(INDEX(Prospectos!$C$2:$C$288,MATCH($A254,Prospectos!$A$2:$A$288,0)),"")</x:f>
        <x:v>Villa María / RP6</x:v>
      </x:c>
      <x:c r="F254" s="136" t="str">
        <x:f>IFERROR(INDEX(Prospectos!$E$2:$E$288,MATCH($A254,Prospectos!$A$2:$A$288,0)),"")</x:f>
        <x:v>Villa María</x:v>
      </x:c>
      <x:c r="G254" s="136" t="str">
        <x:f>IFERROR(INDEX(Prospectos!$K$2:$K$288,MATCH($A254,Prospectos!$A$2:$A$288,0)),"")</x:f>
        <x:v>+54 35 3656-3732 / +54 35 3565-7977</x:v>
      </x:c>
      <x:c r="H254" s="136" t="str">
        <x:f>IFERROR(INDEX(Prospectos!$M$2:$M$288,MATCH($A254,Prospectos!$A$2:$A$288,0)),"")</x:f>
        <x:v>Juan / Ronald / producción</x:v>
      </x:c>
      <x:c r="I254" s="136" t="str">
        <x:f>IFERROR(INDEX(Prospectos!$N$2:$N$288,MATCH($A254,Prospectos!$A$2:$A$288,0)),"")</x:f>
        <x:v>Despacho seguro de estructuras, carrozados, tanques, piezas industriales y equipos sobre plataforma.</x:v>
      </x:c>
      <x:c r="J254" s="136" t="str">
        <x:f>IFERROR(INDEX(Prospectos!$AJ$2:$AJ$288,MATCH($A254,Prospectos!$A$2:$A$288,0)),"")</x:f>
        <x:v>Muy alta</x:v>
      </x:c>
      <x:c r="K254" s="182"/>
      <x:c r="L254" s="136"/>
      <x:c r="M254" s="136"/>
      <x:c r="N254" s="158"/>
    </x:row>
    <x:row r="255" ht="34" customHeight="1">
      <x:c r="A255" s="186" t="str">
        <x:v>VM-043</x:v>
      </x:c>
      <x:c r="B255" s="186" t="str">
        <x:f>IFERROR(INDEX(Prospectos!$F$2:$F$288,MATCH($A255,Prospectos!$A$2:$A$288,0)),"")</x:f>
        <x:v>A</x:v>
      </x:c>
      <x:c r="C255" s="186" t="str">
        <x:f>IFERROR(INDEX(Prospectos!$H$2:$H$288,MATCH($A255,Prospectos!$A$2:$A$288,0)),"")</x:f>
        <x:v>SALA / Agrotecnología Sala — Villa María</x:v>
      </x:c>
      <x:c r="D255" s="186" t="str">
        <x:f>IFERROR(INDEX(Prospectos!$J$2:$J$288,MATCH($A255,Prospectos!$A$2:$A$288,0)),"")</x:f>
        <x:v>Maquinaria agrícola</x:v>
      </x:c>
      <x:c r="E255" s="186" t="str">
        <x:f>IFERROR(INDEX(Prospectos!$C$2:$C$288,MATCH($A255,Prospectos!$A$2:$A$288,0)),"")</x:f>
        <x:v>Villa María / RP6</x:v>
      </x:c>
      <x:c r="F255" s="186" t="str">
        <x:f>IFERROR(INDEX(Prospectos!$E$2:$E$288,MATCH($A255,Prospectos!$A$2:$A$288,0)),"")</x:f>
        <x:v>Villa María</x:v>
      </x:c>
      <x:c r="G255" s="186" t="str">
        <x:f>IFERROR(INDEX(Prospectos!$K$2:$K$288,MATCH($A255,Prospectos!$A$2:$A$288,0)),"")</x:f>
        <x:v>A relevar</x:v>
      </x:c>
      <x:c r="H255" s="186" t="str">
        <x:f>IFERROR(INDEX(Prospectos!$M$2:$M$288,MATCH($A255,Prospectos!$A$2:$A$288,0)),"")</x:f>
        <x:v>logística / entregas / usados / postventa / gerente comercial</x:v>
      </x:c>
      <x:c r="I255" s="186" t="str">
        <x:f>IFERROR(INDEX(Prospectos!$N$2:$N$288,MATCH($A255,Prospectos!$A$2:$A$288,0)),"")</x:f>
        <x:v>Entrega y retiro de tractores, cosechadoras, pulverizadoras, sembradoras e implementos; movimientos por ventas, canjes, usados, service, demostraciones y ferias.</x:v>
      </x:c>
      <x:c r="J255" s="186" t="str">
        <x:f>IFERROR(INDEX(Prospectos!$AJ$2:$AJ$288,MATCH($A255,Prospectos!$A$2:$A$288,0)),"")</x:f>
        <x:v>Muy alta</x:v>
      </x:c>
      <x:c r="K255" s="182"/>
      <x:c r="L255" s="136"/>
      <x:c r="M255" s="136"/>
      <x:c r="N255" s="158"/>
    </x:row>
    <x:row r="256" ht="34" customHeight="1">
      <x:c r="A256" s="136" t="str">
        <x:v>VM-004</x:v>
      </x:c>
      <x:c r="B256" s="136" t="str">
        <x:f>IFERROR(INDEX(Prospectos!$F$2:$F$288,MATCH($A256,Prospectos!$A$2:$A$288,0)),"")</x:f>
        <x:v>A</x:v>
      </x:c>
      <x:c r="C256" s="136" t="str">
        <x:f>IFERROR(INDEX(Prospectos!$H$2:$H$288,MATCH($A256,Prospectos!$A$2:$A$288,0)),"")</x:f>
        <x:v>Salsiteco S.A.</x:v>
      </x:c>
      <x:c r="D256" s="136" t="str">
        <x:f>IFERROR(INDEX(Prospectos!$J$2:$J$288,MATCH($A256,Prospectos!$A$2:$A$288,0)),"")</x:f>
        <x:v>Construcción y obra vial</x:v>
      </x:c>
      <x:c r="E256" s="136" t="str">
        <x:f>IFERROR(INDEX(Prospectos!$C$2:$C$288,MATCH($A256,Prospectos!$A$2:$A$288,0)),"")</x:f>
        <x:v>Villa María / RP6</x:v>
      </x:c>
      <x:c r="F256" s="136" t="str">
        <x:f>IFERROR(INDEX(Prospectos!$E$2:$E$288,MATCH($A256,Prospectos!$A$2:$A$288,0)),"")</x:f>
        <x:v>Villa María</x:v>
      </x:c>
      <x:c r="G256" s="136" t="str">
        <x:f>IFERROR(INDEX(Prospectos!$K$2:$K$288,MATCH($A256,Prospectos!$A$2:$A$288,0)),"")</x:f>
        <x:v>0353 4524006 / 0353 5006023</x:v>
      </x:c>
      <x:c r="H256" s="136" t="str">
        <x:f>IFERROR(INDEX(Prospectos!$M$2:$M$288,MATCH($A256,Prospectos!$A$2:$A$288,0)),"")</x:f>
        <x:v>jefe de obra / logística</x:v>
      </x:c>
      <x:c r="I256" s="136" t="str">
        <x:f>IFERROR(INDEX(Prospectos!$N$2:$N$288,MATCH($A256,Prospectos!$A$2:$A$288,0)),"")</x:f>
        <x:v>Traslado de maquinaria, módulos de obrador, estructuras, equipos y cargas pesadas entre frentes.</x:v>
      </x:c>
      <x:c r="J256" s="136" t="str">
        <x:f>IFERROR(INDEX(Prospectos!$AJ$2:$AJ$288,MATCH($A256,Prospectos!$A$2:$A$288,0)),"")</x:f>
        <x:v>Muy alta</x:v>
      </x:c>
      <x:c r="K256" s="182"/>
      <x:c r="L256" s="136"/>
      <x:c r="M256" s="136"/>
      <x:c r="N256" s="158"/>
    </x:row>
    <x:row r="257" ht="34" customHeight="1">
      <x:c r="A257" s="186" t="str">
        <x:v>VM-037</x:v>
      </x:c>
      <x:c r="B257" s="186" t="str">
        <x:f>IFERROR(INDEX(Prospectos!$F$2:$F$288,MATCH($A257,Prospectos!$A$2:$A$288,0)),"")</x:f>
        <x:v>A</x:v>
      </x:c>
      <x:c r="C257" s="186" t="str">
        <x:f>IFERROR(INDEX(Prospectos!$H$2:$H$288,MATCH($A257,Prospectos!$A$2:$A$288,0)),"")</x:f>
        <x:v>Zuppa Hermanos — Villa María</x:v>
      </x:c>
      <x:c r="D257" s="186" t="str">
        <x:f>IFERROR(INDEX(Prospectos!$J$2:$J$288,MATCH($A257,Prospectos!$A$2:$A$288,0)),"")</x:f>
        <x:v>PRFV y plásticos</x:v>
      </x:c>
      <x:c r="E257" s="186" t="str">
        <x:f>IFERROR(INDEX(Prospectos!$C$2:$C$288,MATCH($A257,Prospectos!$A$2:$A$288,0)),"")</x:f>
        <x:v>Villa María / RP6</x:v>
      </x:c>
      <x:c r="F257" s="186" t="str">
        <x:f>IFERROR(INDEX(Prospectos!$E$2:$E$288,MATCH($A257,Prospectos!$A$2:$A$288,0)),"")</x:f>
        <x:v>Villa María</x:v>
      </x:c>
      <x:c r="G257" s="186" t="str">
        <x:f>IFERROR(INDEX(Prospectos!$K$2:$K$288,MATCH($A257,Prospectos!$A$2:$A$288,0)),"")</x:f>
        <x:v>+54 9 353 4257089</x:v>
      </x:c>
      <x:c r="H257" s="186" t="str">
        <x:f>IFERROR(INDEX(Prospectos!$M$2:$M$288,MATCH($A257,Prospectos!$A$2:$A$288,0)),"")</x:f>
        <x:v>logística / instalaciones / obras / ventas</x:v>
      </x:c>
      <x:c r="I257" s="186" t="str">
        <x:f>IFERROR(INDEX(Prospectos!$N$2:$N$288,MATCH($A257,Prospectos!$A$2:$A$288,0)),"")</x:f>
        <x:v>Entrega de piscinas de fibra desde depósito/franquicia hasta domicilio y apoyo de grúa cuando el casco debe superar medianeras, techos o accesos angostos.</x:v>
      </x:c>
      <x:c r="J257" s="186" t="str">
        <x:f>IFERROR(INDEX(Prospectos!$AJ$2:$AJ$288,MATCH($A257,Prospectos!$A$2:$A$288,0)),"")</x:f>
        <x:v>Muy alta</x:v>
      </x:c>
      <x:c r="K257" s="182"/>
      <x:c r="L257" s="136"/>
      <x:c r="M257" s="136"/>
      <x:c r="N257" s="158"/>
    </x:row>
    <x:row r="258" ht="34" customHeight="1">
      <x:c r="A258" s="136" t="str">
        <x:v>VM-023</x:v>
      </x:c>
      <x:c r="B258" s="136" t="str">
        <x:f>IFERROR(INDEX(Prospectos!$F$2:$F$288,MATCH($A258,Prospectos!$A$2:$A$288,0)),"")</x:f>
        <x:v>A</x:v>
      </x:c>
      <x:c r="C258" s="136" t="str">
        <x:f>IFERROR(INDEX(Prospectos!$H$2:$H$288,MATCH($A258,Prospectos!$A$2:$A$288,0)),"")</x:f>
        <x:v>Agro GM — Villa María</x:v>
      </x:c>
      <x:c r="D258" s="136" t="str">
        <x:f>IFERROR(INDEX(Prospectos!$J$2:$J$288,MATCH($A258,Prospectos!$A$2:$A$288,0)),"")</x:f>
        <x:v>Maquinaria agrícola</x:v>
      </x:c>
      <x:c r="E258" s="136" t="str">
        <x:f>IFERROR(INDEX(Prospectos!$C$2:$C$288,MATCH($A258,Prospectos!$A$2:$A$288,0)),"")</x:f>
        <x:v>Villa María / RP6</x:v>
      </x:c>
      <x:c r="F258" s="136" t="str">
        <x:f>IFERROR(INDEX(Prospectos!$E$2:$E$288,MATCH($A258,Prospectos!$A$2:$A$288,0)),"")</x:f>
        <x:v>Villa María</x:v>
      </x:c>
      <x:c r="G258" s="136" t="str">
        <x:f>IFERROR(INDEX(Prospectos!$K$2:$K$288,MATCH($A258,Prospectos!$A$2:$A$288,0)),"")</x:f>
        <x:v>0353 6560055</x:v>
      </x:c>
      <x:c r="H258" s="136" t="str">
        <x:f>IFERROR(INDEX(Prospectos!$M$2:$M$288,MATCH($A258,Prospectos!$A$2:$A$288,0)),"")</x:f>
        <x:v>logística / ventas / postventa</x:v>
      </x:c>
      <x:c r="I258" s="136" t="str">
        <x:f>IFERROR(INDEX(Prospectos!$N$2:$N$288,MATCH($A258,Prospectos!$A$2:$A$288,0)),"")</x:f>
        <x:v>Entrega y retiro de tractores, cosechadoras, pulverizadoras, sembradoras e implementos; movimientos por venta, service, canje, demostraciones o ferias.</x:v>
      </x:c>
      <x:c r="J258" s="136" t="str">
        <x:f>IFERROR(INDEX(Prospectos!$AJ$2:$AJ$288,MATCH($A258,Prospectos!$A$2:$A$288,0)),"")</x:f>
        <x:v>Muy alta</x:v>
      </x:c>
      <x:c r="K258" s="182"/>
      <x:c r="L258" s="136"/>
      <x:c r="M258" s="136"/>
      <x:c r="N258" s="158"/>
    </x:row>
    <x:row r="259" ht="34" customHeight="1">
      <x:c r="A259" s="186" t="str">
        <x:v>VM-024</x:v>
      </x:c>
      <x:c r="B259" s="186" t="str">
        <x:f>IFERROR(INDEX(Prospectos!$F$2:$F$288,MATCH($A259,Prospectos!$A$2:$A$288,0)),"")</x:f>
        <x:v>A</x:v>
      </x:c>
      <x:c r="C259" s="186" t="str">
        <x:f>IFERROR(INDEX(Prospectos!$H$2:$H$288,MATCH($A259,Prospectos!$A$2:$A$288,0)),"")</x:f>
        <x:v>Bartolomé Cerutti SRL — Villa María</x:v>
      </x:c>
      <x:c r="D259" s="186" t="str">
        <x:f>IFERROR(INDEX(Prospectos!$J$2:$J$288,MATCH($A259,Prospectos!$A$2:$A$288,0)),"")</x:f>
        <x:v>Maquinaria agrícola</x:v>
      </x:c>
      <x:c r="E259" s="186" t="str">
        <x:f>IFERROR(INDEX(Prospectos!$C$2:$C$288,MATCH($A259,Prospectos!$A$2:$A$288,0)),"")</x:f>
        <x:v>Villa María / RP6</x:v>
      </x:c>
      <x:c r="F259" s="186" t="str">
        <x:f>IFERROR(INDEX(Prospectos!$E$2:$E$288,MATCH($A259,Prospectos!$A$2:$A$288,0)),"")</x:f>
        <x:v>Villa María</x:v>
      </x:c>
      <x:c r="G259" s="186" t="str">
        <x:f>IFERROR(INDEX(Prospectos!$K$2:$K$288,MATCH($A259,Prospectos!$A$2:$A$288,0)),"")</x:f>
        <x:v>0353 4522560 / +54 9 353 4208761</x:v>
      </x:c>
      <x:c r="H259" s="186" t="str">
        <x:f>IFERROR(INDEX(Prospectos!$M$2:$M$288,MATCH($A259,Prospectos!$A$2:$A$288,0)),"")</x:f>
        <x:v>logística / ventas / postventa</x:v>
      </x:c>
      <x:c r="I259" s="186" t="str">
        <x:f>IFERROR(INDEX(Prospectos!$N$2:$N$288,MATCH($A259,Prospectos!$A$2:$A$288,0)),"")</x:f>
        <x:v>Entrega y retiro de tractores, cosechadoras, pulverizadoras, sembradoras e implementos; movimientos por venta, service, canje, demostraciones o ferias.</x:v>
      </x:c>
      <x:c r="J259" s="186" t="str">
        <x:f>IFERROR(INDEX(Prospectos!$AJ$2:$AJ$288,MATCH($A259,Prospectos!$A$2:$A$288,0)),"")</x:f>
        <x:v>Muy alta</x:v>
      </x:c>
      <x:c r="K259" s="182"/>
      <x:c r="L259" s="136"/>
      <x:c r="M259" s="136"/>
      <x:c r="N259" s="158"/>
    </x:row>
    <x:row r="260" ht="34" customHeight="1">
      <x:c r="A260" s="136" t="str">
        <x:v>VM-045</x:v>
      </x:c>
      <x:c r="B260" s="136" t="str">
        <x:f>IFERROR(INDEX(Prospectos!$F$2:$F$288,MATCH($A260,Prospectos!$A$2:$A$288,0)),"")</x:f>
        <x:v>A</x:v>
      </x:c>
      <x:c r="C260" s="136" t="str">
        <x:f>IFERROR(INDEX(Prospectos!$H$2:$H$288,MATCH($A260,Prospectos!$A$2:$A$288,0)),"")</x:f>
        <x:v>Baumar S.A.S.</x:v>
      </x:c>
      <x:c r="D260" s="136" t="str">
        <x:f>IFERROR(INDEX(Prospectos!$J$2:$J$288,MATCH($A260,Prospectos!$A$2:$A$288,0)),"")</x:f>
        <x:v>Maquinaria agrícola</x:v>
      </x:c>
      <x:c r="E260" s="136" t="str">
        <x:f>IFERROR(INDEX(Prospectos!$C$2:$C$288,MATCH($A260,Prospectos!$A$2:$A$288,0)),"")</x:f>
        <x:v>Villa María / RP6</x:v>
      </x:c>
      <x:c r="F260" s="136" t="str">
        <x:f>IFERROR(INDEX(Prospectos!$E$2:$E$288,MATCH($A260,Prospectos!$A$2:$A$288,0)),"")</x:f>
        <x:v>Villa María</x:v>
      </x:c>
      <x:c r="G260" s="136" t="str">
        <x:f>IFERROR(INDEX(Prospectos!$K$2:$K$288,MATCH($A260,Prospectos!$A$2:$A$288,0)),"")</x:f>
        <x:v>+54 9 353 4014200</x:v>
      </x:c>
      <x:c r="H260" s="136" t="str">
        <x:f>IFERROR(INDEX(Prospectos!$M$2:$M$288,MATCH($A260,Prospectos!$A$2:$A$288,0)),"")</x:f>
        <x:v>logística / entregas / usados / postventa / gerente comercial</x:v>
      </x:c>
      <x:c r="I260" s="136" t="str">
        <x:f>IFERROR(INDEX(Prospectos!$N$2:$N$288,MATCH($A260,Prospectos!$A$2:$A$288,0)),"")</x:f>
        <x:v>Entrega y retiro de tractores, cosechadoras, pulverizadoras, sembradoras e implementos; movimientos por ventas, canjes, usados, service, demostraciones y ferias.</x:v>
      </x:c>
      <x:c r="J260" s="136" t="str">
        <x:f>IFERROR(INDEX(Prospectos!$AJ$2:$AJ$288,MATCH($A260,Prospectos!$A$2:$A$288,0)),"")</x:f>
        <x:v>Muy alta</x:v>
      </x:c>
      <x:c r="K260" s="182"/>
      <x:c r="L260" s="136"/>
      <x:c r="M260" s="136"/>
      <x:c r="N260" s="158"/>
    </x:row>
    <x:row r="261" ht="34" customHeight="1">
      <x:c r="A261" s="186" t="str">
        <x:v>VM-038</x:v>
      </x:c>
      <x:c r="B261" s="186" t="str">
        <x:f>IFERROR(INDEX(Prospectos!$F$2:$F$288,MATCH($A261,Prospectos!$A$2:$A$288,0)),"")</x:f>
        <x:v>A</x:v>
      </x:c>
      <x:c r="C261" s="186" t="str">
        <x:f>IFERROR(INDEX(Prospectos!$H$2:$H$288,MATCH($A261,Prospectos!$A$2:$A$288,0)),"")</x:f>
        <x:v>RC Piscinas y Losetas</x:v>
      </x:c>
      <x:c r="D261" s="186" t="str">
        <x:f>IFERROR(INDEX(Prospectos!$J$2:$J$288,MATCH($A261,Prospectos!$A$2:$A$288,0)),"")</x:f>
        <x:v>PRFV y plásticos</x:v>
      </x:c>
      <x:c r="E261" s="186" t="str">
        <x:f>IFERROR(INDEX(Prospectos!$C$2:$C$288,MATCH($A261,Prospectos!$A$2:$A$288,0)),"")</x:f>
        <x:v>Villa María / RP6</x:v>
      </x:c>
      <x:c r="F261" s="186" t="str">
        <x:f>IFERROR(INDEX(Prospectos!$E$2:$E$288,MATCH($A261,Prospectos!$A$2:$A$288,0)),"")</x:f>
        <x:v>Villa María</x:v>
      </x:c>
      <x:c r="G261" s="186" t="str">
        <x:f>IFERROR(INDEX(Prospectos!$K$2:$K$288,MATCH($A261,Prospectos!$A$2:$A$288,0)),"")</x:f>
        <x:v>0353 4236038</x:v>
      </x:c>
      <x:c r="H261" s="186" t="str">
        <x:f>IFERROR(INDEX(Prospectos!$M$2:$M$288,MATCH($A261,Prospectos!$A$2:$A$288,0)),"")</x:f>
        <x:v>logística / instalaciones / obras / ventas</x:v>
      </x:c>
      <x:c r="I261" s="186" t="str">
        <x:f>IFERROR(INDEX(Prospectos!$N$2:$N$288,MATCH($A261,Prospectos!$A$2:$A$288,0)),"")</x:f>
        <x:v>Entrega de piscinas de fibra desde depósito/franquicia hasta domicilio y apoyo de grúa cuando el casco debe superar medianeras, techos o accesos angostos.</x:v>
      </x:c>
      <x:c r="J261" s="186" t="str">
        <x:f>IFERROR(INDEX(Prospectos!$AJ$2:$AJ$288,MATCH($A261,Prospectos!$A$2:$A$288,0)),"")</x:f>
        <x:v>Muy alta</x:v>
      </x:c>
      <x:c r="K261" s="182"/>
      <x:c r="L261" s="136"/>
      <x:c r="M261" s="136"/>
      <x:c r="N261" s="158"/>
    </x:row>
    <x:row r="262" ht="34" customHeight="1">
      <x:c r="A262" s="136" t="str">
        <x:v>VM-040</x:v>
      </x:c>
      <x:c r="B262" s="136" t="str">
        <x:f>IFERROR(INDEX(Prospectos!$F$2:$F$288,MATCH($A262,Prospectos!$A$2:$A$288,0)),"")</x:f>
        <x:v>A</x:v>
      </x:c>
      <x:c r="C262" s="136" t="str">
        <x:f>IFERROR(INDEX(Prospectos!$H$2:$H$288,MATCH($A262,Prospectos!$A$2:$A$288,0)),"")</x:f>
        <x:v>Indusplast Piscinas — Villa María</x:v>
      </x:c>
      <x:c r="D262" s="136" t="str">
        <x:f>IFERROR(INDEX(Prospectos!$J$2:$J$288,MATCH($A262,Prospectos!$A$2:$A$288,0)),"")</x:f>
        <x:v>PRFV y plásticos</x:v>
      </x:c>
      <x:c r="E262" s="136" t="str">
        <x:f>IFERROR(INDEX(Prospectos!$C$2:$C$288,MATCH($A262,Prospectos!$A$2:$A$288,0)),"")</x:f>
        <x:v>Villa María / RP6</x:v>
      </x:c>
      <x:c r="F262" s="136" t="str">
        <x:f>IFERROR(INDEX(Prospectos!$E$2:$E$288,MATCH($A262,Prospectos!$A$2:$A$288,0)),"")</x:f>
        <x:v>Villa María</x:v>
      </x:c>
      <x:c r="G262" s="136" t="str">
        <x:f>IFERROR(INDEX(Prospectos!$K$2:$K$288,MATCH($A262,Prospectos!$A$2:$A$288,0)),"")</x:f>
        <x:v>0353 4520828 / +54 9 353 5668994</x:v>
      </x:c>
      <x:c r="H262" s="136" t="str">
        <x:f>IFERROR(INDEX(Prospectos!$M$2:$M$288,MATCH($A262,Prospectos!$A$2:$A$288,0)),"")</x:f>
        <x:v>logística / instalaciones / obras / ventas</x:v>
      </x:c>
      <x:c r="I262" s="136" t="str">
        <x:f>IFERROR(INDEX(Prospectos!$N$2:$N$288,MATCH($A262,Prospectos!$A$2:$A$288,0)),"")</x:f>
        <x:v>Entrega de piscinas de fibra desde depósito/franquicia hasta domicilio y apoyo de grúa cuando el casco debe superar medianeras, techos o accesos angostos.</x:v>
      </x:c>
      <x:c r="J262" s="136" t="str">
        <x:f>IFERROR(INDEX(Prospectos!$AJ$2:$AJ$288,MATCH($A262,Prospectos!$A$2:$A$288,0)),"")</x:f>
        <x:v>Alta</x:v>
      </x:c>
      <x:c r="K262" s="182"/>
      <x:c r="L262" s="136"/>
      <x:c r="M262" s="136"/>
      <x:c r="N262" s="158"/>
    </x:row>
    <x:row r="263" ht="34" customHeight="1">
      <x:c r="A263" s="186" t="str">
        <x:v>VM-022</x:v>
      </x:c>
      <x:c r="B263" s="186" t="str">
        <x:f>IFERROR(INDEX(Prospectos!$F$2:$F$288,MATCH($A263,Prospectos!$A$2:$A$288,0)),"")</x:f>
        <x:v>A</x:v>
      </x:c>
      <x:c r="C263" s="186" t="str">
        <x:f>IFERROR(INDEX(Prospectos!$H$2:$H$288,MATCH($A263,Prospectos!$A$2:$A$288,0)),"")</x:f>
        <x:v>Managro Implementos Agrícolas</x:v>
      </x:c>
      <x:c r="D263" s="186" t="str">
        <x:f>IFERROR(INDEX(Prospectos!$J$2:$J$288,MATCH($A263,Prospectos!$A$2:$A$288,0)),"")</x:f>
        <x:v>Maquinaria agrícola</x:v>
      </x:c>
      <x:c r="E263" s="186" t="str">
        <x:f>IFERROR(INDEX(Prospectos!$C$2:$C$288,MATCH($A263,Prospectos!$A$2:$A$288,0)),"")</x:f>
        <x:v>Villa María / RP6</x:v>
      </x:c>
      <x:c r="F263" s="186" t="str">
        <x:f>IFERROR(INDEX(Prospectos!$E$2:$E$288,MATCH($A263,Prospectos!$A$2:$A$288,0)),"")</x:f>
        <x:v>Villa María</x:v>
      </x:c>
      <x:c r="G263" s="186" t="str">
        <x:f>IFERROR(INDEX(Prospectos!$K$2:$K$288,MATCH($A263,Prospectos!$A$2:$A$288,0)),"")</x:f>
        <x:v>A relevar</x:v>
      </x:c>
      <x:c r="H263" s="186" t="str">
        <x:f>IFERROR(INDEX(Prospectos!$M$2:$M$288,MATCH($A263,Prospectos!$A$2:$A$288,0)),"")</x:f>
        <x:v>logística / ventas / postventa</x:v>
      </x:c>
      <x:c r="I263" s="186" t="str">
        <x:f>IFERROR(INDEX(Prospectos!$N$2:$N$288,MATCH($A263,Prospectos!$A$2:$A$288,0)),"")</x:f>
        <x:v>Entrega y retiro de tractores, cosechadoras, pulverizadoras, sembradoras e implementos; movimientos por venta, service, canje, demostraciones o ferias.</x:v>
      </x:c>
      <x:c r="J263" s="186" t="str">
        <x:f>IFERROR(INDEX(Prospectos!$AJ$2:$AJ$288,MATCH($A263,Prospectos!$A$2:$A$288,0)),"")</x:f>
        <x:v>Muy alta</x:v>
      </x:c>
      <x:c r="K263" s="182"/>
      <x:c r="L263" s="136"/>
      <x:c r="M263" s="136"/>
      <x:c r="N263" s="158"/>
    </x:row>
    <x:row r="264" ht="34" customHeight="1">
      <x:c r="A264" s="136" t="str">
        <x:v>VM-033</x:v>
      </x:c>
      <x:c r="B264" s="136" t="str">
        <x:f>IFERROR(INDEX(Prospectos!$F$2:$F$288,MATCH($A264,Prospectos!$A$2:$A$288,0)),"")</x:f>
        <x:v>A</x:v>
      </x:c>
      <x:c r="C264" s="136" t="str">
        <x:f>IFERROR(INDEX(Prospectos!$H$2:$H$288,MATCH($A264,Prospectos!$A$2:$A$288,0)),"")</x:f>
        <x:v>Metalfor — Villa María</x:v>
      </x:c>
      <x:c r="D264" s="136" t="str">
        <x:f>IFERROR(INDEX(Prospectos!$J$2:$J$288,MATCH($A264,Prospectos!$A$2:$A$288,0)),"")</x:f>
        <x:v>Maquinaria agrícola</x:v>
      </x:c>
      <x:c r="E264" s="136" t="str">
        <x:f>IFERROR(INDEX(Prospectos!$C$2:$C$288,MATCH($A264,Prospectos!$A$2:$A$288,0)),"")</x:f>
        <x:v>Villa María / RP6</x:v>
      </x:c>
      <x:c r="F264" s="136" t="str">
        <x:f>IFERROR(INDEX(Prospectos!$E$2:$E$288,MATCH($A264,Prospectos!$A$2:$A$288,0)),"")</x:f>
        <x:v>Villa María</x:v>
      </x:c>
      <x:c r="G264" s="136" t="str">
        <x:f>IFERROR(INDEX(Prospectos!$K$2:$K$288,MATCH($A264,Prospectos!$A$2:$A$288,0)),"")</x:f>
        <x:v>0353 4614731</x:v>
      </x:c>
      <x:c r="H264" s="136" t="str">
        <x:f>IFERROR(INDEX(Prospectos!$M$2:$M$288,MATCH($A264,Prospectos!$A$2:$A$288,0)),"")</x:f>
        <x:v>logística / ventas / postventa</x:v>
      </x:c>
      <x:c r="I264" s="136" t="str">
        <x:f>IFERROR(INDEX(Prospectos!$N$2:$N$288,MATCH($A264,Prospectos!$A$2:$A$288,0)),"")</x:f>
        <x:v>Entrega y retiro de tractores, cosechadoras, pulverizadoras, sembradoras e implementos; movimientos por venta, service, canje, demostraciones o ferias.</x:v>
      </x:c>
      <x:c r="J264" s="136" t="str">
        <x:f>IFERROR(INDEX(Prospectos!$AJ$2:$AJ$288,MATCH($A264,Prospectos!$A$2:$A$288,0)),"")</x:f>
        <x:v>Muy alta</x:v>
      </x:c>
      <x:c r="K264" s="182"/>
      <x:c r="L264" s="136"/>
      <x:c r="M264" s="136"/>
      <x:c r="N264" s="158"/>
    </x:row>
    <x:row r="265" ht="34" customHeight="1">
      <x:c r="A265" s="186" t="str">
        <x:v>VM-042</x:v>
      </x:c>
      <x:c r="B265" s="186" t="str">
        <x:f>IFERROR(INDEX(Prospectos!$F$2:$F$288,MATCH($A265,Prospectos!$A$2:$A$288,0)),"")</x:f>
        <x:v>A</x:v>
      </x:c>
      <x:c r="C265" s="186" t="str">
        <x:f>IFERROR(INDEX(Prospectos!$H$2:$H$288,MATCH($A265,Prospectos!$A$2:$A$288,0)),"")</x:f>
        <x:v>VM Agrícola</x:v>
      </x:c>
      <x:c r="D265" s="186" t="str">
        <x:f>IFERROR(INDEX(Prospectos!$J$2:$J$288,MATCH($A265,Prospectos!$A$2:$A$288,0)),"")</x:f>
        <x:v>Maquinaria agrícola</x:v>
      </x:c>
      <x:c r="E265" s="186" t="str">
        <x:f>IFERROR(INDEX(Prospectos!$C$2:$C$288,MATCH($A265,Prospectos!$A$2:$A$288,0)),"")</x:f>
        <x:v>Villa María / RP6</x:v>
      </x:c>
      <x:c r="F265" s="186" t="str">
        <x:f>IFERROR(INDEX(Prospectos!$E$2:$E$288,MATCH($A265,Prospectos!$A$2:$A$288,0)),"")</x:f>
        <x:v>Villa María</x:v>
      </x:c>
      <x:c r="G265" s="186" t="str">
        <x:f>IFERROR(INDEX(Prospectos!$K$2:$K$288,MATCH($A265,Prospectos!$A$2:$A$288,0)),"")</x:f>
        <x:v>0353 5695760</x:v>
      </x:c>
      <x:c r="H265" s="186" t="str">
        <x:f>IFERROR(INDEX(Prospectos!$M$2:$M$288,MATCH($A265,Prospectos!$A$2:$A$288,0)),"")</x:f>
        <x:v>logística / entregas / usados / ventas</x:v>
      </x:c>
      <x:c r="I265" s="186" t="str">
        <x:f>IFERROR(INDEX(Prospectos!$N$2:$N$288,MATCH($A265,Prospectos!$A$2:$A$288,0)),"")</x:f>
        <x:v>Entrega y retiro de tractores, cosechadoras, sembradoras e implementos nuevos/usados; movimientos por ventas y canjes.</x:v>
      </x:c>
      <x:c r="J265" s="186" t="str">
        <x:f>IFERROR(INDEX(Prospectos!$AJ$2:$AJ$288,MATCH($A265,Prospectos!$A$2:$A$288,0)),"")</x:f>
        <x:v>Muy alta</x:v>
      </x:c>
      <x:c r="K265" s="182"/>
      <x:c r="L265" s="136"/>
      <x:c r="M265" s="136"/>
      <x:c r="N265" s="158"/>
    </x:row>
    <x:row r="266" ht="34" customHeight="1">
      <x:c r="A266" s="136" t="str">
        <x:v>VM-041</x:v>
      </x:c>
      <x:c r="B266" s="136" t="str">
        <x:f>IFERROR(INDEX(Prospectos!$F$2:$F$288,MATCH($A266,Prospectos!$A$2:$A$288,0)),"")</x:f>
        <x:v>A</x:v>
      </x:c>
      <x:c r="C266" s="136" t="str">
        <x:f>IFERROR(INDEX(Prospectos!$H$2:$H$288,MATCH($A266,Prospectos!$A$2:$A$288,0)),"")</x:f>
        <x:v>IPC Pools — Villa María</x:v>
      </x:c>
      <x:c r="D266" s="136" t="str">
        <x:f>IFERROR(INDEX(Prospectos!$J$2:$J$288,MATCH($A266,Prospectos!$A$2:$A$288,0)),"")</x:f>
        <x:v>PRFV y plásticos</x:v>
      </x:c>
      <x:c r="E266" s="136" t="str">
        <x:f>IFERROR(INDEX(Prospectos!$C$2:$C$288,MATCH($A266,Prospectos!$A$2:$A$288,0)),"")</x:f>
        <x:v>Villa María / RP6</x:v>
      </x:c>
      <x:c r="F266" s="136" t="str">
        <x:f>IFERROR(INDEX(Prospectos!$E$2:$E$288,MATCH($A266,Prospectos!$A$2:$A$288,0)),"")</x:f>
        <x:v>Villa María</x:v>
      </x:c>
      <x:c r="G266" s="136" t="str">
        <x:f>IFERROR(INDEX(Prospectos!$K$2:$K$288,MATCH($A266,Prospectos!$A$2:$A$288,0)),"")</x:f>
        <x:v>0353 5637879 / 0353 4913814</x:v>
      </x:c>
      <x:c r="H266" s="136" t="str">
        <x:f>IFERROR(INDEX(Prospectos!$M$2:$M$288,MATCH($A266,Prospectos!$A$2:$A$288,0)),"")</x:f>
        <x:v>logística / instalaciones / obras / ventas</x:v>
      </x:c>
      <x:c r="I266" s="136" t="str">
        <x:f>IFERROR(INDEX(Prospectos!$N$2:$N$288,MATCH($A266,Prospectos!$A$2:$A$288,0)),"")</x:f>
        <x:v>Traslado del casco PRFV hasta la obra y maniobra de descarga/posicionamiento dentro del lote, muchas veces sobre medianeras o con acceso limitado.</x:v>
      </x:c>
      <x:c r="J266" s="136" t="str">
        <x:f>IFERROR(INDEX(Prospectos!$AJ$2:$AJ$288,MATCH($A266,Prospectos!$A$2:$A$288,0)),"")</x:f>
        <x:v>Alta</x:v>
      </x:c>
      <x:c r="K266" s="182"/>
      <x:c r="L266" s="136"/>
      <x:c r="M266" s="136"/>
      <x:c r="N266" s="158"/>
    </x:row>
    <x:row r="267" ht="34" customHeight="1">
      <x:c r="A267" s="186" t="str">
        <x:v>VM-030</x:v>
      </x:c>
      <x:c r="B267" s="186" t="str">
        <x:f>IFERROR(INDEX(Prospectos!$F$2:$F$288,MATCH($A267,Prospectos!$A$2:$A$288,0)),"")</x:f>
        <x:v>A</x:v>
      </x:c>
      <x:c r="C267" s="186" t="str">
        <x:f>IFERROR(INDEX(Prospectos!$H$2:$H$288,MATCH($A267,Prospectos!$A$2:$A$288,0)),"")</x:f>
        <x:v>MW Agropartes</x:v>
      </x:c>
      <x:c r="D267" s="186" t="str">
        <x:f>IFERROR(INDEX(Prospectos!$J$2:$J$288,MATCH($A267,Prospectos!$A$2:$A$288,0)),"")</x:f>
        <x:v>Maquinaria agrícola</x:v>
      </x:c>
      <x:c r="E267" s="186" t="str">
        <x:f>IFERROR(INDEX(Prospectos!$C$2:$C$288,MATCH($A267,Prospectos!$A$2:$A$288,0)),"")</x:f>
        <x:v>Villa María / RP6</x:v>
      </x:c>
      <x:c r="F267" s="186" t="str">
        <x:f>IFERROR(INDEX(Prospectos!$E$2:$E$288,MATCH($A267,Prospectos!$A$2:$A$288,0)),"")</x:f>
        <x:v>Villa María</x:v>
      </x:c>
      <x:c r="G267" s="186" t="str">
        <x:f>IFERROR(INDEX(Prospectos!$K$2:$K$288,MATCH($A267,Prospectos!$A$2:$A$288,0)),"")</x:f>
        <x:v>+54 9 353 4232403</x:v>
      </x:c>
      <x:c r="H267" s="186" t="str">
        <x:f>IFERROR(INDEX(Prospectos!$M$2:$M$288,MATCH($A267,Prospectos!$A$2:$A$288,0)),"")</x:f>
        <x:v>logística / ventas / postventa</x:v>
      </x:c>
      <x:c r="I267" s="186" t="str">
        <x:f>IFERROR(INDEX(Prospectos!$N$2:$N$288,MATCH($A267,Prospectos!$A$2:$A$288,0)),"")</x:f>
        <x:v>Despacho de implementos, tolvas, sembradoras, estructuras, equipos terminados y componentes de gran porte hacia concesionarios, clientes, ferias o campo.</x:v>
      </x:c>
      <x:c r="J267" s="186" t="str">
        <x:f>IFERROR(INDEX(Prospectos!$AJ$2:$AJ$288,MATCH($A267,Prospectos!$A$2:$A$288,0)),"")</x:f>
        <x:v>Alta</x:v>
      </x:c>
      <x:c r="K267" s="182"/>
      <x:c r="L267" s="136"/>
      <x:c r="M267" s="136"/>
      <x:c r="N267" s="158"/>
    </x:row>
    <x:row r="268" ht="34" customHeight="1">
      <x:c r="A268" s="136" t="str">
        <x:v>VM-035</x:v>
      </x:c>
      <x:c r="B268" s="136" t="str">
        <x:f>IFERROR(INDEX(Prospectos!$F$2:$F$288,MATCH($A268,Prospectos!$A$2:$A$288,0)),"")</x:f>
        <x:v>A</x:v>
      </x:c>
      <x:c r="C268" s="136" t="str">
        <x:f>IFERROR(INDEX(Prospectos!$H$2:$H$288,MATCH($A268,Prospectos!$A$2:$A$288,0)),"")</x:f>
        <x:v>PLA Centro de Distribuciones — Villa María</x:v>
      </x:c>
      <x:c r="D268" s="136" t="str">
        <x:f>IFERROR(INDEX(Prospectos!$J$2:$J$288,MATCH($A268,Prospectos!$A$2:$A$288,0)),"")</x:f>
        <x:v>Maquinaria agrícola</x:v>
      </x:c>
      <x:c r="E268" s="136" t="str">
        <x:f>IFERROR(INDEX(Prospectos!$C$2:$C$288,MATCH($A268,Prospectos!$A$2:$A$288,0)),"")</x:f>
        <x:v>Villa María / RP6</x:v>
      </x:c>
      <x:c r="F268" s="136" t="str">
        <x:f>IFERROR(INDEX(Prospectos!$E$2:$E$288,MATCH($A268,Prospectos!$A$2:$A$288,0)),"")</x:f>
        <x:v>Villa María</x:v>
      </x:c>
      <x:c r="G268" s="136" t="str">
        <x:f>IFERROR(INDEX(Prospectos!$K$2:$K$288,MATCH($A268,Prospectos!$A$2:$A$288,0)),"")</x:f>
        <x:v>0353 4614161</x:v>
      </x:c>
      <x:c r="H268" s="136" t="str">
        <x:f>IFERROR(INDEX(Prospectos!$M$2:$M$288,MATCH($A268,Prospectos!$A$2:$A$288,0)),"")</x:f>
        <x:v>logística / ventas / postventa</x:v>
      </x:c>
      <x:c r="I268" s="136" t="str">
        <x:f>IFERROR(INDEX(Prospectos!$N$2:$N$288,MATCH($A268,Prospectos!$A$2:$A$288,0)),"")</x:f>
        <x:v>Entrega y retiro de tractores, cosechadoras, pulverizadoras, sembradoras e implementos; movimientos por venta, service, canje, demostraciones o ferias.</x:v>
      </x:c>
      <x:c r="J268" s="136" t="str">
        <x:f>IFERROR(INDEX(Prospectos!$AJ$2:$AJ$288,MATCH($A268,Prospectos!$A$2:$A$288,0)),"")</x:f>
        <x:v>Alta</x:v>
      </x:c>
      <x:c r="K268" s="182"/>
      <x:c r="L268" s="136"/>
      <x:c r="M268" s="136"/>
      <x:c r="N268" s="158"/>
    </x:row>
    <x:row r="269" ht="34" customHeight="1">
      <x:c r="A269" s="186" t="str">
        <x:v>VM-005</x:v>
      </x:c>
      <x:c r="B269" s="186" t="str">
        <x:f>IFERROR(INDEX(Prospectos!$F$2:$F$288,MATCH($A269,Prospectos!$A$2:$A$288,0)),"")</x:f>
        <x:v>A</x:v>
      </x:c>
      <x:c r="C269" s="186" t="str">
        <x:f>IFERROR(INDEX(Prospectos!$H$2:$H$288,MATCH($A269,Prospectos!$A$2:$A$288,0)),"")</x:f>
        <x:v>Terramar Logística SRL / Terminal Villa María</x:v>
      </x:c>
      <x:c r="D269" s="186" t="str">
        <x:f>IFERROR(INDEX(Prospectos!$J$2:$J$288,MATCH($A269,Prospectos!$A$2:$A$288,0)),"")</x:f>
        <x:v>Módulos y contenedores</x:v>
      </x:c>
      <x:c r="E269" s="186" t="str">
        <x:f>IFERROR(INDEX(Prospectos!$C$2:$C$288,MATCH($A269,Prospectos!$A$2:$A$288,0)),"")</x:f>
        <x:v>Villa María / RP6</x:v>
      </x:c>
      <x:c r="F269" s="186" t="str">
        <x:f>IFERROR(INDEX(Prospectos!$E$2:$E$288,MATCH($A269,Prospectos!$A$2:$A$288,0)),"")</x:f>
        <x:v>Villa María</x:v>
      </x:c>
      <x:c r="G269" s="186" t="str">
        <x:f>IFERROR(INDEX(Prospectos!$K$2:$K$288,MATCH($A269,Prospectos!$A$2:$A$288,0)),"")</x:f>
        <x:v>0353 4533821</x:v>
      </x:c>
      <x:c r="H269" s="186" t="str">
        <x:f>IFERROR(INDEX(Prospectos!$M$2:$M$288,MATCH($A269,Prospectos!$A$2:$A$288,0)),"")</x:f>
        <x:v>operaciones terminal / logística</x:v>
      </x:c>
      <x:c r="I269" s="186" t="str">
        <x:f>IFERROR(INDEX(Prospectos!$N$2:$N$288,MATCH($A269,Prospectos!$A$2:$A$288,0)),"")</x:f>
        <x:v>Entrega, descarga y posicionamiento de módulos/containers en obra o cliente final.</x:v>
      </x:c>
      <x:c r="J269" s="186" t="str">
        <x:f>IFERROR(INDEX(Prospectos!$AJ$2:$AJ$288,MATCH($A269,Prospectos!$A$2:$A$288,0)),"")</x:f>
        <x:v>Muy alta</x:v>
      </x:c>
      <x:c r="K269" s="182"/>
      <x:c r="L269" s="136"/>
      <x:c r="M269" s="136"/>
      <x:c r="N269" s="158"/>
    </x:row>
    <x:row r="270" ht="34" customHeight="1">
      <x:c r="A270" s="136" t="str">
        <x:v>VM-034</x:v>
      </x:c>
      <x:c r="B270" s="136" t="str">
        <x:f>IFERROR(INDEX(Prospectos!$F$2:$F$288,MATCH($A270,Prospectos!$A$2:$A$288,0)),"")</x:f>
        <x:v>A</x:v>
      </x:c>
      <x:c r="C270" s="136" t="str">
        <x:f>IFERROR(INDEX(Prospectos!$H$2:$H$288,MATCH($A270,Prospectos!$A$2:$A$288,0)),"")</x:f>
        <x:v>Ombú Máquinas Agrícolas — Villa María</x:v>
      </x:c>
      <x:c r="D270" s="136" t="str">
        <x:f>IFERROR(INDEX(Prospectos!$J$2:$J$288,MATCH($A270,Prospectos!$A$2:$A$288,0)),"")</x:f>
        <x:v>Maquinaria agrícola</x:v>
      </x:c>
      <x:c r="E270" s="136" t="str">
        <x:f>IFERROR(INDEX(Prospectos!$C$2:$C$288,MATCH($A270,Prospectos!$A$2:$A$288,0)),"")</x:f>
        <x:v>Villa María / RP6</x:v>
      </x:c>
      <x:c r="F270" s="136" t="str">
        <x:f>IFERROR(INDEX(Prospectos!$E$2:$E$288,MATCH($A270,Prospectos!$A$2:$A$288,0)),"")</x:f>
        <x:v>Villa María</x:v>
      </x:c>
      <x:c r="G270" s="136" t="str">
        <x:f>IFERROR(INDEX(Prospectos!$K$2:$K$288,MATCH($A270,Prospectos!$A$2:$A$288,0)),"")</x:f>
        <x:v>A relevar</x:v>
      </x:c>
      <x:c r="H270" s="136" t="str">
        <x:f>IFERROR(INDEX(Prospectos!$M$2:$M$288,MATCH($A270,Prospectos!$A$2:$A$288,0)),"")</x:f>
        <x:v>logística / ventas / postventa</x:v>
      </x:c>
      <x:c r="I270" s="136" t="str">
        <x:f>IFERROR(INDEX(Prospectos!$N$2:$N$288,MATCH($A270,Prospectos!$A$2:$A$288,0)),"")</x:f>
        <x:v>Entrega y retiro de tractores, cosechadoras, pulverizadoras, sembradoras e implementos; movimientos por venta, service, canje, demostraciones o ferias.</x:v>
      </x:c>
      <x:c r="J270" s="136" t="str">
        <x:f>IFERROR(INDEX(Prospectos!$AJ$2:$AJ$288,MATCH($A270,Prospectos!$A$2:$A$288,0)),"")</x:f>
        <x:v>Alta</x:v>
      </x:c>
      <x:c r="K270" s="182"/>
      <x:c r="L270" s="136"/>
      <x:c r="M270" s="136"/>
      <x:c r="N270" s="158"/>
    </x:row>
    <x:row r="271" ht="34" customHeight="1">
      <x:c r="A271" s="186" t="str">
        <x:v>VM-006</x:v>
      </x:c>
      <x:c r="B271" s="186" t="str">
        <x:f>IFERROR(INDEX(Prospectos!$F$2:$F$288,MATCH($A271,Prospectos!$A$2:$A$288,0)),"")</x:f>
        <x:v>A</x:v>
      </x:c>
      <x:c r="C271" s="186" t="str">
        <x:f>IFERROR(INDEX(Prospectos!$H$2:$H$288,MATCH($A271,Prospectos!$A$2:$A$288,0)),"")</x:f>
        <x:v>Héctor A. Bertone S.A.</x:v>
      </x:c>
      <x:c r="D271" s="186" t="str">
        <x:f>IFERROR(INDEX(Prospectos!$J$2:$J$288,MATCH($A271,Prospectos!$A$2:$A$288,0)),"")</x:f>
        <x:v>Agro, acopio y cooperativas</x:v>
      </x:c>
      <x:c r="E271" s="186" t="str">
        <x:f>IFERROR(INDEX(Prospectos!$C$2:$C$288,MATCH($A271,Prospectos!$A$2:$A$288,0)),"")</x:f>
        <x:v>Villa María / RP6</x:v>
      </x:c>
      <x:c r="F271" s="186" t="str">
        <x:f>IFERROR(INDEX(Prospectos!$E$2:$E$288,MATCH($A271,Prospectos!$A$2:$A$288,0)),"")</x:f>
        <x:v>Villa María</x:v>
      </x:c>
      <x:c r="G271" s="186" t="str">
        <x:f>IFERROR(INDEX(Prospectos!$K$2:$K$288,MATCH($A271,Prospectos!$A$2:$A$288,0)),"")</x:f>
        <x:v>A relevar</x:v>
      </x:c>
      <x:c r="H271" s="186" t="str">
        <x:f>IFERROR(INDEX(Prospectos!$M$2:$M$288,MATCH($A271,Prospectos!$A$2:$A$288,0)),"")</x:f>
        <x:v>responsable de acopio / mantenimiento</x:v>
      </x:c>
      <x:c r="I271" s="186" t="str">
        <x:f>IFERROR(INDEX(Prospectos!$N$2:$N$288,MATCH($A271,Prospectos!$A$2:$A$288,0)),"")</x:f>
        <x:v>Traslado de equipos de planta, silos, repuestos pesados, balanzas, implementos y cargas especiales.</x:v>
      </x:c>
      <x:c r="J271" s="186" t="str">
        <x:f>IFERROR(INDEX(Prospectos!$AJ$2:$AJ$288,MATCH($A271,Prospectos!$A$2:$A$288,0)),"")</x:f>
        <x:v>Alta</x:v>
      </x:c>
      <x:c r="K271" s="182"/>
      <x:c r="L271" s="136"/>
      <x:c r="M271" s="136"/>
      <x:c r="N271" s="158"/>
    </x:row>
    <x:row r="272" ht="34" customHeight="1">
      <x:c r="A272" s="136" t="str">
        <x:v>VM-039</x:v>
      </x:c>
      <x:c r="B272" s="136" t="str">
        <x:f>IFERROR(INDEX(Prospectos!$F$2:$F$288,MATCH($A272,Prospectos!$A$2:$A$288,0)),"")</x:f>
        <x:v>B</x:v>
      </x:c>
      <x:c r="C272" s="136" t="str">
        <x:f>IFERROR(INDEX(Prospectos!$H$2:$H$288,MATCH($A272,Prospectos!$A$2:$A$288,0)),"")</x:f>
        <x:v>GYC Piletas Villa María</x:v>
      </x:c>
      <x:c r="D272" s="136" t="str">
        <x:f>IFERROR(INDEX(Prospectos!$J$2:$J$288,MATCH($A272,Prospectos!$A$2:$A$288,0)),"")</x:f>
        <x:v>PRFV y plásticos</x:v>
      </x:c>
      <x:c r="E272" s="136" t="str">
        <x:f>IFERROR(INDEX(Prospectos!$C$2:$C$288,MATCH($A272,Prospectos!$A$2:$A$288,0)),"")</x:f>
        <x:v>Villa María / RP6</x:v>
      </x:c>
      <x:c r="F272" s="136" t="str">
        <x:f>IFERROR(INDEX(Prospectos!$E$2:$E$288,MATCH($A272,Prospectos!$A$2:$A$288,0)),"")</x:f>
        <x:v>Villa María</x:v>
      </x:c>
      <x:c r="G272" s="136" t="str">
        <x:f>IFERROR(INDEX(Prospectos!$K$2:$K$288,MATCH($A272,Prospectos!$A$2:$A$288,0)),"")</x:f>
        <x:v>0353 5107887</x:v>
      </x:c>
      <x:c r="H272" s="136" t="str">
        <x:f>IFERROR(INDEX(Prospectos!$M$2:$M$288,MATCH($A272,Prospectos!$A$2:$A$288,0)),"")</x:f>
        <x:v>logística / instalaciones / obras / ventas</x:v>
      </x:c>
      <x:c r="I272" s="136" t="str">
        <x:f>IFERROR(INDEX(Prospectos!$N$2:$N$288,MATCH($A272,Prospectos!$A$2:$A$288,0)),"")</x:f>
        <x:v>Traslado del casco PRFV hasta la obra y maniobra de descarga/posicionamiento dentro del lote, muchas veces sobre medianeras o con acceso limitado.</x:v>
      </x:c>
      <x:c r="J272" s="136" t="str">
        <x:f>IFERROR(INDEX(Prospectos!$AJ$2:$AJ$288,MATCH($A272,Prospectos!$A$2:$A$288,0)),"")</x:f>
        <x:v>Alta</x:v>
      </x:c>
      <x:c r="K272" s="182"/>
      <x:c r="L272" s="136"/>
      <x:c r="M272" s="136"/>
      <x:c r="N272" s="158"/>
    </x:row>
    <x:row r="273" ht="34" customHeight="1">
      <x:c r="A273" s="186" t="str">
        <x:v>VM-026</x:v>
      </x:c>
      <x:c r="B273" s="186" t="str">
        <x:f>IFERROR(INDEX(Prospectos!$F$2:$F$288,MATCH($A273,Prospectos!$A$2:$A$288,0)),"")</x:f>
        <x:v>B</x:v>
      </x:c>
      <x:c r="C273" s="186" t="str">
        <x:f>IFERROR(INDEX(Prospectos!$H$2:$H$288,MATCH($A273,Prospectos!$A$2:$A$288,0)),"")</x:f>
        <x:v>Surcar S.R.L.</x:v>
      </x:c>
      <x:c r="D273" s="186" t="str">
        <x:f>IFERROR(INDEX(Prospectos!$J$2:$J$288,MATCH($A273,Prospectos!$A$2:$A$288,0)),"")</x:f>
        <x:v>Maquinaria agrícola</x:v>
      </x:c>
      <x:c r="E273" s="186" t="str">
        <x:f>IFERROR(INDEX(Prospectos!$C$2:$C$288,MATCH($A273,Prospectos!$A$2:$A$288,0)),"")</x:f>
        <x:v>Villa María / RP6</x:v>
      </x:c>
      <x:c r="F273" s="186" t="str">
        <x:f>IFERROR(INDEX(Prospectos!$E$2:$E$288,MATCH($A273,Prospectos!$A$2:$A$288,0)),"")</x:f>
        <x:v>Villa María</x:v>
      </x:c>
      <x:c r="G273" s="186" t="str">
        <x:f>IFERROR(INDEX(Prospectos!$K$2:$K$288,MATCH($A273,Prospectos!$A$2:$A$288,0)),"")</x:f>
        <x:v>+54 9 351 7002987 / 0800 220 0230</x:v>
      </x:c>
      <x:c r="H273" s="186" t="str">
        <x:f>IFERROR(INDEX(Prospectos!$M$2:$M$288,MATCH($A273,Prospectos!$A$2:$A$288,0)),"")</x:f>
        <x:v>logística / ventas / postventa</x:v>
      </x:c>
      <x:c r="I273" s="186" t="str">
        <x:f>IFERROR(INDEX(Prospectos!$N$2:$N$288,MATCH($A273,Prospectos!$A$2:$A$288,0)),"")</x:f>
        <x:v>Movimiento de agropartes, repuestos pesados, conjuntos y eventualmente implementos/equipos entre planta, concesionarios y clientes.</x:v>
      </x:c>
      <x:c r="J273" s="186" t="str">
        <x:f>IFERROR(INDEX(Prospectos!$AJ$2:$AJ$288,MATCH($A273,Prospectos!$A$2:$A$288,0)),"")</x:f>
        <x:v>Alta</x:v>
      </x:c>
      <x:c r="K273" s="182"/>
      <x:c r="L273" s="136"/>
      <x:c r="M273" s="136"/>
      <x:c r="N273" s="158"/>
    </x:row>
    <x:row r="274" ht="34" customHeight="1">
      <x:c r="A274" s="3" t="str">
        <x:v>VM-032</x:v>
      </x:c>
      <x:c r="B274" s="3" t="str">
        <x:f>IFERROR(INDEX(Prospectos!$F$2:$F$288,MATCH($A274,Prospectos!$A$2:$A$288,0)),"")</x:f>
        <x:v>B</x:v>
      </x:c>
      <x:c r="C274" s="3" t="str">
        <x:f>IFERROR(INDEX(Prospectos!$H$2:$H$288,MATCH($A274,Prospectos!$A$2:$A$288,0)),"")</x:f>
        <x:v>Impagro Implementos Agrícolas</x:v>
      </x:c>
      <x:c r="D274" s="3" t="str">
        <x:f>IFERROR(INDEX(Prospectos!$J$2:$J$288,MATCH($A274,Prospectos!$A$2:$A$288,0)),"")</x:f>
        <x:v>Maquinaria agrícola</x:v>
      </x:c>
      <x:c r="E274" s="3" t="str">
        <x:f>IFERROR(INDEX(Prospectos!$C$2:$C$288,MATCH($A274,Prospectos!$A$2:$A$288,0)),"")</x:f>
        <x:v>Villa María / RP6</x:v>
      </x:c>
      <x:c r="F274" s="3" t="str">
        <x:f>IFERROR(INDEX(Prospectos!$E$2:$E$288,MATCH($A274,Prospectos!$A$2:$A$288,0)),"")</x:f>
        <x:v>Villa María</x:v>
      </x:c>
      <x:c r="G274" s="3" t="str">
        <x:f>IFERROR(INDEX(Prospectos!$K$2:$K$288,MATCH($A274,Prospectos!$A$2:$A$288,0)),"")</x:f>
        <x:v>0353 154011306</x:v>
      </x:c>
      <x:c r="H274" s="3" t="str">
        <x:f>IFERROR(INDEX(Prospectos!$M$2:$M$288,MATCH($A274,Prospectos!$A$2:$A$288,0)),"")</x:f>
        <x:v>logística / ventas / postventa</x:v>
      </x:c>
      <x:c r="I274" s="3" t="str">
        <x:f>IFERROR(INDEX(Prospectos!$N$2:$N$288,MATCH($A274,Prospectos!$A$2:$A$288,0)),"")</x:f>
        <x:v>Despacho de implementos, tolvas, sembradoras, estructuras, equipos terminados y componentes de gran porte hacia concesionarios, clientes, ferias o campo.</x:v>
      </x:c>
      <x:c r="J274" s="3" t="str">
        <x:f>IFERROR(INDEX(Prospectos!$AJ$2:$AJ$288,MATCH($A274,Prospectos!$A$2:$A$288,0)),"")</x:f>
        <x:v>Alta</x:v>
      </x:c>
      <x:c r="K274" s="179"/>
      <x:c r="L274" s="3"/>
      <x:c r="M274" s="3"/>
      <x:c r="N274" s="161"/>
    </x:row>
    <x:row r="275" ht="34" customHeight="1">
      <x:c r="A275" s="186" t="str">
        <x:v>VM-007</x:v>
      </x:c>
      <x:c r="B275" s="186" t="str">
        <x:f>IFERROR(INDEX(Prospectos!$F$2:$F$288,MATCH($A275,Prospectos!$A$2:$A$288,0)),"")</x:f>
        <x:v>B</x:v>
      </x:c>
      <x:c r="C275" s="186" t="str">
        <x:f>IFERROR(INDEX(Prospectos!$H$2:$H$288,MATCH($A275,Prospectos!$A$2:$A$288,0)),"")</x:f>
        <x:v>Carra Sanitarios</x:v>
      </x:c>
      <x:c r="D275" s="186" t="str">
        <x:f>IFERROR(INDEX(Prospectos!$J$2:$J$288,MATCH($A275,Prospectos!$A$2:$A$288,0)),"")</x:f>
        <x:v>Industria y mantenimiento</x:v>
      </x:c>
      <x:c r="E275" s="186" t="str">
        <x:f>IFERROR(INDEX(Prospectos!$C$2:$C$288,MATCH($A275,Prospectos!$A$2:$A$288,0)),"")</x:f>
        <x:v>Villa María / RP6</x:v>
      </x:c>
      <x:c r="F275" s="186" t="str">
        <x:f>IFERROR(INDEX(Prospectos!$E$2:$E$288,MATCH($A275,Prospectos!$A$2:$A$288,0)),"")</x:f>
        <x:v>Villa María</x:v>
      </x:c>
      <x:c r="G275" s="186" t="str">
        <x:f>IFERROR(INDEX(Prospectos!$K$2:$K$288,MATCH($A275,Prospectos!$A$2:$A$288,0)),"")</x:f>
        <x:v>0353 4125456</x:v>
      </x:c>
      <x:c r="H275" s="186" t="str">
        <x:f>IFERROR(INDEX(Prospectos!$M$2:$M$288,MATCH($A275,Prospectos!$A$2:$A$288,0)),"")</x:f>
        <x:v>responsable de logística/compras</x:v>
      </x:c>
      <x:c r="I275" s="186" t="str">
        <x:f>IFERROR(INDEX(Prospectos!$N$2:$N$288,MATCH($A275,Prospectos!$A$2:$A$288,0)),"")</x:f>
        <x:v>Movimientos especiales de mantenimiento, repuestos pesados y mudanzas internas de equipos.</x:v>
      </x:c>
      <x:c r="J275" s="186" t="str">
        <x:f>IFERROR(INDEX(Prospectos!$AJ$2:$AJ$288,MATCH($A275,Prospectos!$A$2:$A$288,0)),"")</x:f>
        <x:v>Alta</x:v>
      </x:c>
      <x:c r="K275" s="182"/>
      <x:c r="L275" s="136"/>
      <x:c r="M275" s="136"/>
      <x:c r="N275" s="158"/>
    </x:row>
    <x:row r="276" ht="34" customHeight="1">
      <x:c r="A276" s="136" t="str">
        <x:v>VM-009</x:v>
      </x:c>
      <x:c r="B276" s="136" t="str">
        <x:f>IFERROR(INDEX(Prospectos!$F$2:$F$288,MATCH($A276,Prospectos!$A$2:$A$288,0)),"")</x:f>
        <x:v>B</x:v>
      </x:c>
      <x:c r="C276" s="136" t="str">
        <x:f>IFERROR(INDEX(Prospectos!$H$2:$H$288,MATCH($A276,Prospectos!$A$2:$A$288,0)),"")</x:f>
        <x:v>Dipromas S.R.L.</x:v>
      </x:c>
      <x:c r="D276" s="136" t="str">
        <x:f>IFERROR(INDEX(Prospectos!$J$2:$J$288,MATCH($A276,Prospectos!$A$2:$A$288,0)),"")</x:f>
        <x:v>Metalúrgica y fabricación</x:v>
      </x:c>
      <x:c r="E276" s="136" t="str">
        <x:f>IFERROR(INDEX(Prospectos!$C$2:$C$288,MATCH($A276,Prospectos!$A$2:$A$288,0)),"")</x:f>
        <x:v>Villa María / RP6</x:v>
      </x:c>
      <x:c r="F276" s="136" t="str">
        <x:f>IFERROR(INDEX(Prospectos!$E$2:$E$288,MATCH($A276,Prospectos!$A$2:$A$288,0)),"")</x:f>
        <x:v>Villa María</x:v>
      </x:c>
      <x:c r="G276" s="136" t="str">
        <x:f>IFERROR(INDEX(Prospectos!$K$2:$K$288,MATCH($A276,Prospectos!$A$2:$A$288,0)),"")</x:f>
        <x:v>0353 4296608</x:v>
      </x:c>
      <x:c r="H276" s="136" t="str">
        <x:f>IFERROR(INDEX(Prospectos!$M$2:$M$288,MATCH($A276,Prospectos!$A$2:$A$288,0)),"")</x:f>
        <x:v>despacho / producción</x:v>
      </x:c>
      <x:c r="I276" s="136" t="str">
        <x:f>IFERROR(INDEX(Prospectos!$N$2:$N$288,MATCH($A276,Prospectos!$A$2:$A$288,0)),"")</x:f>
        <x:v>Despacho seguro de estructuras, carrozados, tanques, piezas industriales y equipos sobre plataforma.</x:v>
      </x:c>
      <x:c r="J276" s="136" t="str">
        <x:f>IFERROR(INDEX(Prospectos!$AJ$2:$AJ$288,MATCH($A276,Prospectos!$A$2:$A$288,0)),"")</x:f>
        <x:v>Alta</x:v>
      </x:c>
      <x:c r="K276" s="182"/>
      <x:c r="L276" s="136"/>
      <x:c r="M276" s="136"/>
      <x:c r="N276" s="158"/>
    </x:row>
    <x:row r="277" ht="34" customHeight="1">
      <x:c r="A277" s="186" t="str">
        <x:v>VM-008</x:v>
      </x:c>
      <x:c r="B277" s="186" t="str">
        <x:f>IFERROR(INDEX(Prospectos!$F$2:$F$288,MATCH($A277,Prospectos!$A$2:$A$288,0)),"")</x:f>
        <x:v>B</x:v>
      </x:c>
      <x:c r="C277" s="186" t="str">
        <x:f>IFERROR(INDEX(Prospectos!$H$2:$H$288,MATCH($A277,Prospectos!$A$2:$A$288,0)),"")</x:f>
        <x:v>DM Constructora</x:v>
      </x:c>
      <x:c r="D277" s="186" t="str">
        <x:f>IFERROR(INDEX(Prospectos!$J$2:$J$288,MATCH($A277,Prospectos!$A$2:$A$288,0)),"")</x:f>
        <x:v>Construcción y obra vial</x:v>
      </x:c>
      <x:c r="E277" s="186" t="str">
        <x:f>IFERROR(INDEX(Prospectos!$C$2:$C$288,MATCH($A277,Prospectos!$A$2:$A$288,0)),"")</x:f>
        <x:v>Villa María / RP6</x:v>
      </x:c>
      <x:c r="F277" s="186" t="str">
        <x:f>IFERROR(INDEX(Prospectos!$E$2:$E$288,MATCH($A277,Prospectos!$A$2:$A$288,0)),"")</x:f>
        <x:v>Villa María</x:v>
      </x:c>
      <x:c r="G277" s="186" t="str">
        <x:f>IFERROR(INDEX(Prospectos!$K$2:$K$288,MATCH($A277,Prospectos!$A$2:$A$288,0)),"")</x:f>
        <x:v>0353 4260498</x:v>
      </x:c>
      <x:c r="H277" s="186" t="str">
        <x:f>IFERROR(INDEX(Prospectos!$M$2:$M$288,MATCH($A277,Prospectos!$A$2:$A$288,0)),"")</x:f>
        <x:v>jefe de obra / logística</x:v>
      </x:c>
      <x:c r="I277" s="186" t="str">
        <x:f>IFERROR(INDEX(Prospectos!$N$2:$N$288,MATCH($A277,Prospectos!$A$2:$A$288,0)),"")</x:f>
        <x:v>Traslado de maquinaria, módulos de obrador, estructuras, equipos y cargas pesadas entre frentes.</x:v>
      </x:c>
      <x:c r="J277" s="186" t="str">
        <x:f>IFERROR(INDEX(Prospectos!$AJ$2:$AJ$288,MATCH($A277,Prospectos!$A$2:$A$288,0)),"")</x:f>
        <x:v>Alta</x:v>
      </x:c>
      <x:c r="K277" s="182"/>
      <x:c r="L277" s="136"/>
      <x:c r="M277" s="136"/>
      <x:c r="N277" s="158"/>
    </x:row>
    <x:row r="278" ht="34" customHeight="1">
      <x:c r="A278" s="136" t="str">
        <x:v>VM-010</x:v>
      </x:c>
      <x:c r="B278" s="136" t="str">
        <x:f>IFERROR(INDEX(Prospectos!$F$2:$F$288,MATCH($A278,Prospectos!$A$2:$A$288,0)),"")</x:f>
        <x:v>B</x:v>
      </x:c>
      <x:c r="C278" s="136" t="str">
        <x:f>IFERROR(INDEX(Prospectos!$H$2:$H$288,MATCH($A278,Prospectos!$A$2:$A$288,0)),"")</x:f>
        <x:v>Frigorífico La Pequeña S.R.L.</x:v>
      </x:c>
      <x:c r="D278" s="136" t="str">
        <x:f>IFERROR(INDEX(Prospectos!$J$2:$J$288,MATCH($A278,Prospectos!$A$2:$A$288,0)),"")</x:f>
        <x:v>Industria y mantenimiento</x:v>
      </x:c>
      <x:c r="E278" s="136" t="str">
        <x:f>IFERROR(INDEX(Prospectos!$C$2:$C$288,MATCH($A278,Prospectos!$A$2:$A$288,0)),"")</x:f>
        <x:v>Villa María / RP6</x:v>
      </x:c>
      <x:c r="F278" s="136" t="str">
        <x:f>IFERROR(INDEX(Prospectos!$E$2:$E$288,MATCH($A278,Prospectos!$A$2:$A$288,0)),"")</x:f>
        <x:v>Villa María</x:v>
      </x:c>
      <x:c r="G278" s="136" t="str">
        <x:f>IFERROR(INDEX(Prospectos!$K$2:$K$288,MATCH($A278,Prospectos!$A$2:$A$288,0)),"")</x:f>
        <x:v>0353 154197312</x:v>
      </x:c>
      <x:c r="H278" s="136" t="str">
        <x:f>IFERROR(INDEX(Prospectos!$M$2:$M$288,MATCH($A278,Prospectos!$A$2:$A$288,0)),"")</x:f>
        <x:v>despacho / producción</x:v>
      </x:c>
      <x:c r="I278" s="136" t="str">
        <x:f>IFERROR(INDEX(Prospectos!$N$2:$N$288,MATCH($A278,Prospectos!$A$2:$A$288,0)),"")</x:f>
        <x:v>Movimientos especiales de mantenimiento, repuestos pesados y mudanzas internas de equipos.</x:v>
      </x:c>
      <x:c r="J278" s="136" t="str">
        <x:f>IFERROR(INDEX(Prospectos!$AJ$2:$AJ$288,MATCH($A278,Prospectos!$A$2:$A$288,0)),"")</x:f>
        <x:v>Alta</x:v>
      </x:c>
      <x:c r="K278" s="182"/>
      <x:c r="L278" s="136"/>
      <x:c r="M278" s="136"/>
      <x:c r="N278" s="158"/>
    </x:row>
    <x:row r="279" ht="34" customHeight="1">
      <x:c r="A279" s="186" t="str">
        <x:v>VM-011</x:v>
      </x:c>
      <x:c r="B279" s="186" t="str">
        <x:f>IFERROR(INDEX(Prospectos!$F$2:$F$288,MATCH($A279,Prospectos!$A$2:$A$288,0)),"")</x:f>
        <x:v>B</x:v>
      </x:c>
      <x:c r="C279" s="186" t="str">
        <x:f>IFERROR(INDEX(Prospectos!$H$2:$H$288,MATCH($A279,Prospectos!$A$2:$A$288,0)),"")</x:f>
        <x:v>Ghio Construcciones</x:v>
      </x:c>
      <x:c r="D279" s="186" t="str">
        <x:f>IFERROR(INDEX(Prospectos!$J$2:$J$288,MATCH($A279,Prospectos!$A$2:$A$288,0)),"")</x:f>
        <x:v>Construcción y obra vial</x:v>
      </x:c>
      <x:c r="E279" s="186" t="str">
        <x:f>IFERROR(INDEX(Prospectos!$C$2:$C$288,MATCH($A279,Prospectos!$A$2:$A$288,0)),"")</x:f>
        <x:v>Villa María / RP6</x:v>
      </x:c>
      <x:c r="F279" s="186" t="str">
        <x:f>IFERROR(INDEX(Prospectos!$E$2:$E$288,MATCH($A279,Prospectos!$A$2:$A$288,0)),"")</x:f>
        <x:v>Villa María</x:v>
      </x:c>
      <x:c r="G279" s="186" t="str">
        <x:f>IFERROR(INDEX(Prospectos!$K$2:$K$288,MATCH($A279,Prospectos!$A$2:$A$288,0)),"")</x:f>
        <x:v>0353 4016390</x:v>
      </x:c>
      <x:c r="H279" s="186" t="str">
        <x:f>IFERROR(INDEX(Prospectos!$M$2:$M$288,MATCH($A279,Prospectos!$A$2:$A$288,0)),"")</x:f>
        <x:v>jefe de obra / logística</x:v>
      </x:c>
      <x:c r="I279" s="186" t="str">
        <x:f>IFERROR(INDEX(Prospectos!$N$2:$N$288,MATCH($A279,Prospectos!$A$2:$A$288,0)),"")</x:f>
        <x:v>Traslado de maquinaria, módulos de obrador, estructuras, equipos y cargas pesadas entre frentes.</x:v>
      </x:c>
      <x:c r="J279" s="186" t="str">
        <x:f>IFERROR(INDEX(Prospectos!$AJ$2:$AJ$288,MATCH($A279,Prospectos!$A$2:$A$288,0)),"")</x:f>
        <x:v>Alta</x:v>
      </x:c>
      <x:c r="K279" s="182"/>
      <x:c r="L279" s="136"/>
      <x:c r="M279" s="136"/>
      <x:c r="N279" s="158"/>
    </x:row>
    <x:row r="280" ht="34" customHeight="1">
      <x:c r="A280" s="136" t="str">
        <x:v>VM-012</x:v>
      </x:c>
      <x:c r="B280" s="136" t="str">
        <x:f>IFERROR(INDEX(Prospectos!$F$2:$F$288,MATCH($A280,Prospectos!$A$2:$A$288,0)),"")</x:f>
        <x:v>B</x:v>
      </x:c>
      <x:c r="C280" s="136" t="str">
        <x:f>IFERROR(INDEX(Prospectos!$H$2:$H$288,MATCH($A280,Prospectos!$A$2:$A$288,0)),"")</x:f>
        <x:v>S.A. Molinos Fénix</x:v>
      </x:c>
      <x:c r="D280" s="136" t="str">
        <x:f>IFERROR(INDEX(Prospectos!$J$2:$J$288,MATCH($A280,Prospectos!$A$2:$A$288,0)),"")</x:f>
        <x:v>Agroindustria y alimentos</x:v>
      </x:c>
      <x:c r="E280" s="136" t="str">
        <x:f>IFERROR(INDEX(Prospectos!$C$2:$C$288,MATCH($A280,Prospectos!$A$2:$A$288,0)),"")</x:f>
        <x:v>Villa María / RP6</x:v>
      </x:c>
      <x:c r="F280" s="136" t="str">
        <x:f>IFERROR(INDEX(Prospectos!$E$2:$E$288,MATCH($A280,Prospectos!$A$2:$A$288,0)),"")</x:f>
        <x:v>Villa María</x:v>
      </x:c>
      <x:c r="G280" s="136" t="str">
        <x:f>IFERROR(INDEX(Prospectos!$K$2:$K$288,MATCH($A280,Prospectos!$A$2:$A$288,0)),"")</x:f>
        <x:v>0353 4533573</x:v>
      </x:c>
      <x:c r="H280" s="136" t="str">
        <x:f>IFERROR(INDEX(Prospectos!$M$2:$M$288,MATCH($A280,Prospectos!$A$2:$A$288,0)),"")</x:f>
        <x:v>mantenimiento / compras</x:v>
      </x:c>
      <x:c r="I280" s="136" t="str">
        <x:f>IFERROR(INDEX(Prospectos!$N$2:$N$288,MATCH($A280,Prospectos!$A$2:$A$288,0)),"")</x:f>
        <x:v>Movimientos especiales de mantenimiento, repuestos pesados y mudanzas internas de equipos.</x:v>
      </x:c>
      <x:c r="J280" s="136" t="str">
        <x:f>IFERROR(INDEX(Prospectos!$AJ$2:$AJ$288,MATCH($A280,Prospectos!$A$2:$A$288,0)),"")</x:f>
        <x:v>Alta</x:v>
      </x:c>
      <x:c r="K280" s="182"/>
      <x:c r="L280" s="136"/>
      <x:c r="M280" s="136"/>
      <x:c r="N280" s="158"/>
    </x:row>
    <x:row r="281" ht="34" customHeight="1">
      <x:c r="A281" s="186" t="str">
        <x:v>VM-013</x:v>
      </x:c>
      <x:c r="B281" s="186" t="str">
        <x:f>IFERROR(INDEX(Prospectos!$F$2:$F$288,MATCH($A281,Prospectos!$A$2:$A$288,0)),"")</x:f>
        <x:v>B</x:v>
      </x:c>
      <x:c r="C281" s="186" t="str">
        <x:f>IFERROR(INDEX(Prospectos!$H$2:$H$288,MATCH($A281,Prospectos!$A$2:$A$288,0)),"")</x:f>
        <x:v>Sarmiento Materiales</x:v>
      </x:c>
      <x:c r="D281" s="186" t="str">
        <x:f>IFERROR(INDEX(Prospectos!$J$2:$J$288,MATCH($A281,Prospectos!$A$2:$A$288,0)),"")</x:f>
        <x:v>Hormigón, áridos y materiales</x:v>
      </x:c>
      <x:c r="E281" s="186" t="str">
        <x:f>IFERROR(INDEX(Prospectos!$C$2:$C$288,MATCH($A281,Prospectos!$A$2:$A$288,0)),"")</x:f>
        <x:v>Villa María / RP6</x:v>
      </x:c>
      <x:c r="F281" s="186" t="str">
        <x:f>IFERROR(INDEX(Prospectos!$E$2:$E$288,MATCH($A281,Prospectos!$A$2:$A$288,0)),"")</x:f>
        <x:v>Villa María</x:v>
      </x:c>
      <x:c r="G281" s="186" t="str">
        <x:f>IFERROR(INDEX(Prospectos!$K$2:$K$288,MATCH($A281,Prospectos!$A$2:$A$288,0)),"")</x:f>
        <x:v>0353 4610259 / 0353 4112139</x:v>
      </x:c>
      <x:c r="H281" s="186" t="str">
        <x:f>IFERROR(INDEX(Prospectos!$M$2:$M$288,MATCH($A281,Prospectos!$A$2:$A$288,0)),"")</x:f>
        <x:v>despacho / producción</x:v>
      </x:c>
      <x:c r="I281" s="186" t="str">
        <x:f>IFERROR(INDEX(Prospectos!$N$2:$N$288,MATCH($A281,Prospectos!$A$2:$A$288,0)),"")</x:f>
        <x:v>Movimiento de premoldeados, equipos de planta/cantera, bombas, moldes y cargas pesadas.</x:v>
      </x:c>
      <x:c r="J281" s="186" t="str">
        <x:f>IFERROR(INDEX(Prospectos!$AJ$2:$AJ$288,MATCH($A281,Prospectos!$A$2:$A$288,0)),"")</x:f>
        <x:v>Alta</x:v>
      </x:c>
      <x:c r="K281" s="182"/>
      <x:c r="L281" s="136"/>
      <x:c r="M281" s="136"/>
      <x:c r="N281" s="158"/>
    </x:row>
    <x:row r="282" ht="34" customHeight="1">
      <x:c r="A282" s="136" t="str">
        <x:v>VM-014</x:v>
      </x:c>
      <x:c r="B282" s="136" t="str">
        <x:f>IFERROR(INDEX(Prospectos!$F$2:$F$288,MATCH($A282,Prospectos!$A$2:$A$288,0)),"")</x:f>
        <x:v>B</x:v>
      </x:c>
      <x:c r="C282" s="136" t="str">
        <x:f>IFERROR(INDEX(Prospectos!$H$2:$H$288,MATCH($A282,Prospectos!$A$2:$A$288,0)),"")</x:f>
        <x:v>Stainless Steel Manufacturers S.R.L.</x:v>
      </x:c>
      <x:c r="D282" s="136" t="str">
        <x:f>IFERROR(INDEX(Prospectos!$J$2:$J$288,MATCH($A282,Prospectos!$A$2:$A$288,0)),"")</x:f>
        <x:v>Industria y mantenimiento</x:v>
      </x:c>
      <x:c r="E282" s="136" t="str">
        <x:f>IFERROR(INDEX(Prospectos!$C$2:$C$288,MATCH($A282,Prospectos!$A$2:$A$288,0)),"")</x:f>
        <x:v>Villa María / RP6</x:v>
      </x:c>
      <x:c r="F282" s="136" t="str">
        <x:f>IFERROR(INDEX(Prospectos!$E$2:$E$288,MATCH($A282,Prospectos!$A$2:$A$288,0)),"")</x:f>
        <x:v>Villa María</x:v>
      </x:c>
      <x:c r="G282" s="136" t="str">
        <x:f>IFERROR(INDEX(Prospectos!$K$2:$K$288,MATCH($A282,Prospectos!$A$2:$A$288,0)),"")</x:f>
        <x:v>0353 4792885</x:v>
      </x:c>
      <x:c r="H282" s="136" t="str">
        <x:f>IFERROR(INDEX(Prospectos!$M$2:$M$288,MATCH($A282,Prospectos!$A$2:$A$288,0)),"")</x:f>
        <x:v>despacho / producción</x:v>
      </x:c>
      <x:c r="I282" s="136" t="str">
        <x:f>IFERROR(INDEX(Prospectos!$N$2:$N$288,MATCH($A282,Prospectos!$A$2:$A$288,0)),"")</x:f>
        <x:v>Movimientos especiales de mantenimiento, repuestos pesados y mudanzas internas de equipos.</x:v>
      </x:c>
      <x:c r="J282" s="136" t="str">
        <x:f>IFERROR(INDEX(Prospectos!$AJ$2:$AJ$288,MATCH($A282,Prospectos!$A$2:$A$288,0)),"")</x:f>
        <x:v>Alta</x:v>
      </x:c>
      <x:c r="K282" s="182"/>
      <x:c r="L282" s="136"/>
      <x:c r="M282" s="136"/>
      <x:c r="N282" s="158"/>
    </x:row>
    <x:row r="283" ht="34" customHeight="1">
      <x:c r="A283" s="186" t="str">
        <x:v>VM-015</x:v>
      </x:c>
      <x:c r="B283" s="186" t="str">
        <x:f>IFERROR(INDEX(Prospectos!$F$2:$F$288,MATCH($A283,Prospectos!$A$2:$A$288,0)),"")</x:f>
        <x:v>B</x:v>
      </x:c>
      <x:c r="C283" s="186" t="str">
        <x:f>IFERROR(INDEX(Prospectos!$H$2:$H$288,MATCH($A283,Prospectos!$A$2:$A$288,0)),"")</x:f>
        <x:v>Villa María Cereales</x:v>
      </x:c>
      <x:c r="D283" s="186" t="str">
        <x:f>IFERROR(INDEX(Prospectos!$J$2:$J$288,MATCH($A283,Prospectos!$A$2:$A$288,0)),"")</x:f>
        <x:v>Agro, acopio y cooperativas</x:v>
      </x:c>
      <x:c r="E283" s="186" t="str">
        <x:f>IFERROR(INDEX(Prospectos!$C$2:$C$288,MATCH($A283,Prospectos!$A$2:$A$288,0)),"")</x:f>
        <x:v>Villa María / RP6</x:v>
      </x:c>
      <x:c r="F283" s="186" t="str">
        <x:f>IFERROR(INDEX(Prospectos!$E$2:$E$288,MATCH($A283,Prospectos!$A$2:$A$288,0)),"")</x:f>
        <x:v>Villa María</x:v>
      </x:c>
      <x:c r="G283" s="186" t="str">
        <x:f>IFERROR(INDEX(Prospectos!$K$2:$K$288,MATCH($A283,Prospectos!$A$2:$A$288,0)),"")</x:f>
        <x:v>03535 656802</x:v>
      </x:c>
      <x:c r="H283" s="186" t="str">
        <x:f>IFERROR(INDEX(Prospectos!$M$2:$M$288,MATCH($A283,Prospectos!$A$2:$A$288,0)),"")</x:f>
        <x:v>responsable de acopio / mantenimiento</x:v>
      </x:c>
      <x:c r="I283" s="186" t="str">
        <x:f>IFERROR(INDEX(Prospectos!$N$2:$N$288,MATCH($A283,Prospectos!$A$2:$A$288,0)),"")</x:f>
        <x:v>Traslado de equipos de planta, silos, repuestos pesados, balanzas, implementos y cargas especiales.</x:v>
      </x:c>
      <x:c r="J283" s="186" t="str">
        <x:f>IFERROR(INDEX(Prospectos!$AJ$2:$AJ$288,MATCH($A283,Prospectos!$A$2:$A$288,0)),"")</x:f>
        <x:v>Alta</x:v>
      </x:c>
      <x:c r="K283" s="182"/>
      <x:c r="L283" s="136"/>
      <x:c r="M283" s="136"/>
      <x:c r="N283" s="158"/>
    </x:row>
    <x:row r="284" ht="34" customHeight="1">
      <x:c r="A284" s="136" t="str">
        <x:v>VM-031</x:v>
      </x:c>
      <x:c r="B284" s="136" t="str">
        <x:f>IFERROR(INDEX(Prospectos!$F$2:$F$288,MATCH($A284,Prospectos!$A$2:$A$288,0)),"")</x:f>
        <x:v>B</x:v>
      </x:c>
      <x:c r="C284" s="136" t="str">
        <x:f>IFERROR(INDEX(Prospectos!$H$2:$H$288,MATCH($A284,Prospectos!$A$2:$A$288,0)),"")</x:f>
        <x:v>Grandes Cosechadoras S.R.L.</x:v>
      </x:c>
      <x:c r="D284" s="136" t="str">
        <x:f>IFERROR(INDEX(Prospectos!$J$2:$J$288,MATCH($A284,Prospectos!$A$2:$A$288,0)),"")</x:f>
        <x:v>Maquinaria agrícola</x:v>
      </x:c>
      <x:c r="E284" s="136" t="str">
        <x:f>IFERROR(INDEX(Prospectos!$C$2:$C$288,MATCH($A284,Prospectos!$A$2:$A$288,0)),"")</x:f>
        <x:v>Villa María / RP6</x:v>
      </x:c>
      <x:c r="F284" s="136" t="str">
        <x:f>IFERROR(INDEX(Prospectos!$E$2:$E$288,MATCH($A284,Prospectos!$A$2:$A$288,0)),"")</x:f>
        <x:v>Villa María</x:v>
      </x:c>
      <x:c r="G284" s="136" t="str">
        <x:f>IFERROR(INDEX(Prospectos!$K$2:$K$288,MATCH($A284,Prospectos!$A$2:$A$288,0)),"")</x:f>
        <x:v>0353 4530785</x:v>
      </x:c>
      <x:c r="H284" s="136" t="str">
        <x:f>IFERROR(INDEX(Prospectos!$M$2:$M$288,MATCH($A284,Prospectos!$A$2:$A$288,0)),"")</x:f>
        <x:v>logística / ventas / postventa</x:v>
      </x:c>
      <x:c r="I284" s="136" t="str">
        <x:f>IFERROR(INDEX(Prospectos!$N$2:$N$288,MATCH($A284,Prospectos!$A$2:$A$288,0)),"")</x:f>
        <x:v>Entrega y retiro de tractores, cosechadoras, pulverizadoras, sembradoras e implementos; movimientos por venta, service, canje, demostraciones o ferias.</x:v>
      </x:c>
      <x:c r="J284" s="136" t="str">
        <x:f>IFERROR(INDEX(Prospectos!$AJ$2:$AJ$288,MATCH($A284,Prospectos!$A$2:$A$288,0)),"")</x:f>
        <x:v>Media</x:v>
      </x:c>
      <x:c r="K284" s="182"/>
      <x:c r="L284" s="136"/>
      <x:c r="M284" s="136"/>
      <x:c r="N284" s="158"/>
    </x:row>
    <x:row r="285" ht="34" customHeight="1">
      <x:c r="A285" s="186" t="str">
        <x:v>VM-025</x:v>
      </x:c>
      <x:c r="B285" s="186" t="str">
        <x:f>IFERROR(INDEX(Prospectos!$F$2:$F$288,MATCH($A285,Prospectos!$A$2:$A$288,0)),"")</x:f>
        <x:v>B</x:v>
      </x:c>
      <x:c r="C285" s="186" t="str">
        <x:f>IFERROR(INDEX(Prospectos!$H$2:$H$288,MATCH($A285,Prospectos!$A$2:$A$288,0)),"")</x:f>
        <x:v>Roberto Mosoni — Venta de Tractores</x:v>
      </x:c>
      <x:c r="D285" s="186" t="str">
        <x:f>IFERROR(INDEX(Prospectos!$J$2:$J$288,MATCH($A285,Prospectos!$A$2:$A$288,0)),"")</x:f>
        <x:v>Maquinaria agrícola</x:v>
      </x:c>
      <x:c r="E285" s="186" t="str">
        <x:f>IFERROR(INDEX(Prospectos!$C$2:$C$288,MATCH($A285,Prospectos!$A$2:$A$288,0)),"")</x:f>
        <x:v>Villa María / RP6</x:v>
      </x:c>
      <x:c r="F285" s="186" t="str">
        <x:f>IFERROR(INDEX(Prospectos!$E$2:$E$288,MATCH($A285,Prospectos!$A$2:$A$288,0)),"")</x:f>
        <x:v>Villa María</x:v>
      </x:c>
      <x:c r="G285" s="186" t="str">
        <x:f>IFERROR(INDEX(Prospectos!$K$2:$K$288,MATCH($A285,Prospectos!$A$2:$A$288,0)),"")</x:f>
        <x:v>0353 156566469</x:v>
      </x:c>
      <x:c r="H285" s="186" t="str">
        <x:f>IFERROR(INDEX(Prospectos!$M$2:$M$288,MATCH($A285,Prospectos!$A$2:$A$288,0)),"")</x:f>
        <x:v>logística / ventas / postventa</x:v>
      </x:c>
      <x:c r="I285" s="186" t="str">
        <x:f>IFERROR(INDEX(Prospectos!$N$2:$N$288,MATCH($A285,Prospectos!$A$2:$A$288,0)),"")</x:f>
        <x:v>Entrega y retiro de tractores, cosechadoras, pulverizadoras, sembradoras e implementos; movimientos por venta, service, canje, demostraciones o ferias.</x:v>
      </x:c>
      <x:c r="J285" s="186" t="str">
        <x:f>IFERROR(INDEX(Prospectos!$AJ$2:$AJ$288,MATCH($A285,Prospectos!$A$2:$A$288,0)),"")</x:f>
        <x:v>Media</x:v>
      </x:c>
      <x:c r="K285" s="182"/>
      <x:c r="L285" s="136"/>
      <x:c r="M285" s="136"/>
      <x:c r="N285" s="158"/>
    </x:row>
    <x:row r="286" ht="34" customHeight="1">
      <x:c r="A286" s="136" t="str">
        <x:v>VM-036</x:v>
      </x:c>
      <x:c r="B286" s="136" t="str">
        <x:f>IFERROR(INDEX(Prospectos!$F$2:$F$288,MATCH($A286,Prospectos!$A$2:$A$288,0)),"")</x:f>
        <x:v>B</x:v>
      </x:c>
      <x:c r="C286" s="136" t="str">
        <x:f>IFERROR(INDEX(Prospectos!$H$2:$H$288,MATCH($A286,Prospectos!$A$2:$A$288,0)),"")</x:f>
        <x:v>RR Agrícola Maquinarias</x:v>
      </x:c>
      <x:c r="D286" s="136" t="str">
        <x:f>IFERROR(INDEX(Prospectos!$J$2:$J$288,MATCH($A286,Prospectos!$A$2:$A$288,0)),"")</x:f>
        <x:v>Maquinaria agrícola</x:v>
      </x:c>
      <x:c r="E286" s="136" t="str">
        <x:f>IFERROR(INDEX(Prospectos!$C$2:$C$288,MATCH($A286,Prospectos!$A$2:$A$288,0)),"")</x:f>
        <x:v>Villa María / RP6</x:v>
      </x:c>
      <x:c r="F286" s="136" t="str">
        <x:f>IFERROR(INDEX(Prospectos!$E$2:$E$288,MATCH($A286,Prospectos!$A$2:$A$288,0)),"")</x:f>
        <x:v>Villa María</x:v>
      </x:c>
      <x:c r="G286" s="136" t="str">
        <x:f>IFERROR(INDEX(Prospectos!$K$2:$K$288,MATCH($A286,Prospectos!$A$2:$A$288,0)),"")</x:f>
        <x:v>0353 4538056</x:v>
      </x:c>
      <x:c r="H286" s="136" t="str">
        <x:f>IFERROR(INDEX(Prospectos!$M$2:$M$288,MATCH($A286,Prospectos!$A$2:$A$288,0)),"")</x:f>
        <x:v>logística / ventas / postventa</x:v>
      </x:c>
      <x:c r="I286" s="136" t="str">
        <x:f>IFERROR(INDEX(Prospectos!$N$2:$N$288,MATCH($A286,Prospectos!$A$2:$A$288,0)),"")</x:f>
        <x:v>Entrega y retiro de tractores, cosechadoras, pulverizadoras, sembradoras e implementos; movimientos por venta, service, canje, demostraciones o ferias.</x:v>
      </x:c>
      <x:c r="J286" s="136" t="str">
        <x:f>IFERROR(INDEX(Prospectos!$AJ$2:$AJ$288,MATCH($A286,Prospectos!$A$2:$A$288,0)),"")</x:f>
        <x:v>Media</x:v>
      </x:c>
      <x:c r="K286" s="182"/>
      <x:c r="L286" s="136"/>
      <x:c r="M286" s="136"/>
      <x:c r="N286" s="158"/>
    </x:row>
    <x:row r="287" ht="34" customHeight="1">
      <x:c r="A287" s="186" t="str">
        <x:v>VM-027</x:v>
      </x:c>
      <x:c r="B287" s="186" t="str">
        <x:f>IFERROR(INDEX(Prospectos!$F$2:$F$288,MATCH($A287,Prospectos!$A$2:$A$288,0)),"")</x:f>
        <x:v>B</x:v>
      </x:c>
      <x:c r="C287" s="186" t="str">
        <x:f>IFERROR(INDEX(Prospectos!$H$2:$H$288,MATCH($A287,Prospectos!$A$2:$A$288,0)),"")</x:f>
        <x:v>Tractocam S.R.L.</x:v>
      </x:c>
      <x:c r="D287" s="186" t="str">
        <x:f>IFERROR(INDEX(Prospectos!$J$2:$J$288,MATCH($A287,Prospectos!$A$2:$A$288,0)),"")</x:f>
        <x:v>Maquinaria agrícola</x:v>
      </x:c>
      <x:c r="E287" s="186" t="str">
        <x:f>IFERROR(INDEX(Prospectos!$C$2:$C$288,MATCH($A287,Prospectos!$A$2:$A$288,0)),"")</x:f>
        <x:v>Villa María / RP6</x:v>
      </x:c>
      <x:c r="F287" s="186" t="str">
        <x:f>IFERROR(INDEX(Prospectos!$E$2:$E$288,MATCH($A287,Prospectos!$A$2:$A$288,0)),"")</x:f>
        <x:v>Villa María</x:v>
      </x:c>
      <x:c r="G287" s="186" t="str">
        <x:f>IFERROR(INDEX(Prospectos!$K$2:$K$288,MATCH($A287,Prospectos!$A$2:$A$288,0)),"")</x:f>
        <x:v>0353 4613192 / 0353 4549261</x:v>
      </x:c>
      <x:c r="H287" s="186" t="str">
        <x:f>IFERROR(INDEX(Prospectos!$M$2:$M$288,MATCH($A287,Prospectos!$A$2:$A$288,0)),"")</x:f>
        <x:v>logística / ventas / postventa</x:v>
      </x:c>
      <x:c r="I287" s="186" t="str">
        <x:f>IFERROR(INDEX(Prospectos!$N$2:$N$288,MATCH($A287,Prospectos!$A$2:$A$288,0)),"")</x:f>
        <x:v>Entrega y retiro de tractores, cosechadoras, pulverizadoras, sembradoras e implementos; movimientos por venta, service, canje, demostraciones o ferias.</x:v>
      </x:c>
      <x:c r="J287" s="186" t="str">
        <x:f>IFERROR(INDEX(Prospectos!$AJ$2:$AJ$288,MATCH($A287,Prospectos!$A$2:$A$288,0)),"")</x:f>
        <x:v>Media</x:v>
      </x:c>
      <x:c r="K287" s="182"/>
      <x:c r="L287" s="136"/>
      <x:c r="M287" s="136"/>
      <x:c r="N287" s="158"/>
    </x:row>
    <x:row r="288" ht="34" customHeight="1">
      <x:c r="A288" s="136" t="str">
        <x:v>VM-028</x:v>
      </x:c>
      <x:c r="B288" s="136" t="str">
        <x:f>IFERROR(INDEX(Prospectos!$F$2:$F$288,MATCH($A288,Prospectos!$A$2:$A$288,0)),"")</x:f>
        <x:v>B</x:v>
      </x:c>
      <x:c r="C288" s="136" t="str">
        <x:f>IFERROR(INDEX(Prospectos!$H$2:$H$288,MATCH($A288,Prospectos!$A$2:$A$288,0)),"")</x:f>
        <x:v>Ulla Maquinarias — Villa María</x:v>
      </x:c>
      <x:c r="D288" s="136" t="str">
        <x:f>IFERROR(INDEX(Prospectos!$J$2:$J$288,MATCH($A288,Prospectos!$A$2:$A$288,0)),"")</x:f>
        <x:v>Maquinaria agrícola</x:v>
      </x:c>
      <x:c r="E288" s="136" t="str">
        <x:f>IFERROR(INDEX(Prospectos!$C$2:$C$288,MATCH($A288,Prospectos!$A$2:$A$288,0)),"")</x:f>
        <x:v>Villa María / RP6</x:v>
      </x:c>
      <x:c r="F288" s="136" t="str">
        <x:f>IFERROR(INDEX(Prospectos!$E$2:$E$288,MATCH($A288,Prospectos!$A$2:$A$288,0)),"")</x:f>
        <x:v>Villa María</x:v>
      </x:c>
      <x:c r="G288" s="136" t="str">
        <x:f>IFERROR(INDEX(Prospectos!$K$2:$K$288,MATCH($A288,Prospectos!$A$2:$A$288,0)),"")</x:f>
        <x:v>0353 4507350</x:v>
      </x:c>
      <x:c r="H288" s="136" t="str">
        <x:f>IFERROR(INDEX(Prospectos!$M$2:$M$288,MATCH($A288,Prospectos!$A$2:$A$288,0)),"")</x:f>
        <x:v>logística / ventas / postventa</x:v>
      </x:c>
      <x:c r="I288" s="136" t="str">
        <x:f>IFERROR(INDEX(Prospectos!$N$2:$N$288,MATCH($A288,Prospectos!$A$2:$A$288,0)),"")</x:f>
        <x:v>Entrega y retiro de tractores, cosechadoras, pulverizadoras, sembradoras e implementos; movimientos por venta, service, canje, demostraciones o ferias.</x:v>
      </x:c>
      <x:c r="J288" s="136" t="str">
        <x:f>IFERROR(INDEX(Prospectos!$AJ$2:$AJ$288,MATCH($A288,Prospectos!$A$2:$A$288,0)),"")</x:f>
        <x:v>Media</x:v>
      </x:c>
      <x:c r="K288" s="182"/>
      <x:c r="L288" s="136"/>
      <x:c r="M288" s="136"/>
      <x:c r="N288" s="158"/>
    </x:row>
    <x:row r="289" ht="34" customHeight="1">
      <x:c r="A289" s="186" t="str">
        <x:v>VM-029</x:v>
      </x:c>
      <x:c r="B289" s="186" t="str">
        <x:f>IFERROR(INDEX(Prospectos!$F$2:$F$288,MATCH($A289,Prospectos!$A$2:$A$288,0)),"")</x:f>
        <x:v>B</x:v>
      </x:c>
      <x:c r="C289" s="186" t="str">
        <x:f>IFERROR(INDEX(Prospectos!$H$2:$H$288,MATCH($A289,Prospectos!$A$2:$A$288,0)),"")</x:f>
        <x:v>Tracto Par</x:v>
      </x:c>
      <x:c r="D289" s="186" t="str">
        <x:f>IFERROR(INDEX(Prospectos!$J$2:$J$288,MATCH($A289,Prospectos!$A$2:$A$288,0)),"")</x:f>
        <x:v>Maquinaria agrícola</x:v>
      </x:c>
      <x:c r="E289" s="186" t="str">
        <x:f>IFERROR(INDEX(Prospectos!$C$2:$C$288,MATCH($A289,Prospectos!$A$2:$A$288,0)),"")</x:f>
        <x:v>Villa María / RP6</x:v>
      </x:c>
      <x:c r="F289" s="186" t="str">
        <x:f>IFERROR(INDEX(Prospectos!$E$2:$E$288,MATCH($A289,Prospectos!$A$2:$A$288,0)),"")</x:f>
        <x:v>Villa María</x:v>
      </x:c>
      <x:c r="G289" s="186" t="str">
        <x:f>IFERROR(INDEX(Prospectos!$K$2:$K$288,MATCH($A289,Prospectos!$A$2:$A$288,0)),"")</x:f>
        <x:v>0353 4528278</x:v>
      </x:c>
      <x:c r="H289" s="186" t="str">
        <x:f>IFERROR(INDEX(Prospectos!$M$2:$M$288,MATCH($A289,Prospectos!$A$2:$A$288,0)),"")</x:f>
        <x:v>logística / ventas / postventa</x:v>
      </x:c>
      <x:c r="I289" s="186" t="str">
        <x:f>IFERROR(INDEX(Prospectos!$N$2:$N$288,MATCH($A289,Prospectos!$A$2:$A$288,0)),"")</x:f>
        <x:v>Movimiento de agropartes, repuestos pesados, conjuntos y eventualmente implementos/equipos entre planta, concesionarios y clientes.</x:v>
      </x:c>
      <x:c r="J289" s="186" t="str">
        <x:f>IFERROR(INDEX(Prospectos!$AJ$2:$AJ$288,MATCH($A289,Prospectos!$A$2:$A$288,0)),"")</x:f>
        <x:v>Media</x:v>
      </x:c>
      <x:c r="K289" s="182"/>
      <x:c r="L289" s="136"/>
      <x:c r="M289" s="136"/>
      <x:c r="N289" s="158"/>
    </x:row>
    <x:row r="290" ht="34" customHeight="1">
      <x:c r="A290" s="136" t="str">
        <x:v>VM-016</x:v>
      </x:c>
      <x:c r="B290" s="136" t="str">
        <x:f>IFERROR(INDEX(Prospectos!$F$2:$F$288,MATCH($A290,Prospectos!$A$2:$A$288,0)),"")</x:f>
        <x:v>B</x:v>
      </x:c>
      <x:c r="C290" s="136" t="str">
        <x:f>IFERROR(INDEX(Prospectos!$H$2:$H$288,MATCH($A290,Prospectos!$A$2:$A$288,0)),"")</x:f>
        <x:v>Ceuta Contenedores</x:v>
      </x:c>
      <x:c r="D290" s="136" t="str">
        <x:f>IFERROR(INDEX(Prospectos!$J$2:$J$288,MATCH($A290,Prospectos!$A$2:$A$288,0)),"")</x:f>
        <x:v>Módulos y contenedores</x:v>
      </x:c>
      <x:c r="E290" s="136" t="str">
        <x:f>IFERROR(INDEX(Prospectos!$C$2:$C$288,MATCH($A290,Prospectos!$A$2:$A$288,0)),"")</x:f>
        <x:v>Villa María / RP6</x:v>
      </x:c>
      <x:c r="F290" s="136" t="str">
        <x:f>IFERROR(INDEX(Prospectos!$E$2:$E$288,MATCH($A290,Prospectos!$A$2:$A$288,0)),"")</x:f>
        <x:v>Villa María</x:v>
      </x:c>
      <x:c r="G290" s="136" t="str">
        <x:f>IFERROR(INDEX(Prospectos!$K$2:$K$288,MATCH($A290,Prospectos!$A$2:$A$288,0)),"")</x:f>
        <x:v>0353 154139159</x:v>
      </x:c>
      <x:c r="H290" s="136" t="str">
        <x:f>IFERROR(INDEX(Prospectos!$M$2:$M$288,MATCH($A290,Prospectos!$A$2:$A$288,0)),"")</x:f>
        <x:v>operaciones / entregas</x:v>
      </x:c>
      <x:c r="I290" s="136" t="str">
        <x:f>IFERROR(INDEX(Prospectos!$N$2:$N$288,MATCH($A290,Prospectos!$A$2:$A$288,0)),"")</x:f>
        <x:v>Entrega, descarga y posicionamiento de módulos/containers en obra o cliente final.</x:v>
      </x:c>
      <x:c r="J290" s="136" t="str">
        <x:f>IFERROR(INDEX(Prospectos!$AJ$2:$AJ$288,MATCH($A290,Prospectos!$A$2:$A$288,0)),"")</x:f>
        <x:v>Media</x:v>
      </x:c>
      <x:c r="K290" s="182"/>
      <x:c r="L290" s="136"/>
      <x:c r="M290" s="136"/>
      <x:c r="N290" s="158"/>
    </x:row>
    <x:row r="291" ht="34" customHeight="1">
      <x:c r="A291" s="186" t="str">
        <x:v>VM-017</x:v>
      </x:c>
      <x:c r="B291" s="186" t="str">
        <x:f>IFERROR(INDEX(Prospectos!$F$2:$F$288,MATCH($A291,Prospectos!$A$2:$A$288,0)),"")</x:f>
        <x:v>B</x:v>
      </x:c>
      <x:c r="C291" s="186" t="str">
        <x:f>IFERROR(INDEX(Prospectos!$H$2:$H$288,MATCH($A291,Prospectos!$A$2:$A$288,0)),"")</x:f>
        <x:v>PILT Villa María — Administración</x:v>
      </x:c>
      <x:c r="D291" s="186" t="str">
        <x:f>IFERROR(INDEX(Prospectos!$J$2:$J$288,MATCH($A291,Prospectos!$A$2:$A$288,0)),"")</x:f>
        <x:v>Institucional y parques</x:v>
      </x:c>
      <x:c r="E291" s="186" t="str">
        <x:f>IFERROR(INDEX(Prospectos!$C$2:$C$288,MATCH($A291,Prospectos!$A$2:$A$288,0)),"")</x:f>
        <x:v>Villa María / RP6</x:v>
      </x:c>
      <x:c r="F291" s="186" t="str">
        <x:f>IFERROR(INDEX(Prospectos!$E$2:$E$288,MATCH($A291,Prospectos!$A$2:$A$288,0)),"")</x:f>
        <x:v>Villa María</x:v>
      </x:c>
      <x:c r="G291" s="186" t="str">
        <x:f>IFERROR(INDEX(Prospectos!$K$2:$K$288,MATCH($A291,Prospectos!$A$2:$A$288,0)),"")</x:f>
        <x:v>0353 4618698 / 0353 4608191</x:v>
      </x:c>
      <x:c r="H291" s="186" t="str">
        <x:f>IFERROR(INDEX(Prospectos!$M$2:$M$288,MATCH($A291,Prospectos!$A$2:$A$288,0)),"")</x:f>
        <x:v>administración / listado empresas</x:v>
      </x:c>
      <x:c r="I291" s="186" t="str">
        <x:f>IFERROR(INDEX(Prospectos!$N$2:$N$288,MATCH($A291,Prospectos!$A$2:$A$288,0)),"")</x:f>
        <x:v>Acceso a padrón de empresas radicadas, obras de infraestructura y derivaciones a responsables.</x:v>
      </x:c>
      <x:c r="J291" s="186" t="str">
        <x:f>IFERROR(INDEX(Prospectos!$AJ$2:$AJ$288,MATCH($A291,Prospectos!$A$2:$A$288,0)),"")</x:f>
        <x:v>Media</x:v>
      </x:c>
      <x:c r="K291" s="182"/>
      <x:c r="L291" s="136"/>
      <x:c r="M291" s="136"/>
      <x:c r="N291" s="158"/>
    </x:row>
    <x:row r="292" ht="34" customHeight="1">
      <x:c r="A292" s="136" t="str">
        <x:v>VM-018</x:v>
      </x:c>
      <x:c r="B292" s="136" t="str">
        <x:f>IFERROR(INDEX(Prospectos!$F$2:$F$288,MATCH($A292,Prospectos!$A$2:$A$288,0)),"")</x:f>
        <x:v>C</x:v>
      </x:c>
      <x:c r="C292" s="136" t="str">
        <x:f>IFERROR(INDEX(Prospectos!$H$2:$H$288,MATCH($A292,Prospectos!$A$2:$A$288,0)),"")</x:f>
        <x:v>San Borg Internacional / Laboratorios Weende</x:v>
      </x:c>
      <x:c r="D292" s="136" t="str">
        <x:f>IFERROR(INDEX(Prospectos!$J$2:$J$288,MATCH($A292,Prospectos!$A$2:$A$288,0)),"")</x:f>
        <x:v>Agroindustria y alimentos</x:v>
      </x:c>
      <x:c r="E292" s="136" t="str">
        <x:f>IFERROR(INDEX(Prospectos!$C$2:$C$288,MATCH($A292,Prospectos!$A$2:$A$288,0)),"")</x:f>
        <x:v>Villa María / RP6</x:v>
      </x:c>
      <x:c r="F292" s="136" t="str">
        <x:f>IFERROR(INDEX(Prospectos!$E$2:$E$288,MATCH($A292,Prospectos!$A$2:$A$288,0)),"")</x:f>
        <x:v>Villa María</x:v>
      </x:c>
      <x:c r="G292" s="136" t="str">
        <x:f>IFERROR(INDEX(Prospectos!$K$2:$K$288,MATCH($A292,Prospectos!$A$2:$A$288,0)),"")</x:f>
        <x:v>0353 4531453</x:v>
      </x:c>
      <x:c r="H292" s="136" t="str">
        <x:f>IFERROR(INDEX(Prospectos!$M$2:$M$288,MATCH($A292,Prospectos!$A$2:$A$288,0)),"")</x:f>
        <x:v>responsable de acopio / mantenimiento</x:v>
      </x:c>
      <x:c r="I292" s="136" t="str">
        <x:f>IFERROR(INDEX(Prospectos!$N$2:$N$288,MATCH($A292,Prospectos!$A$2:$A$288,0)),"")</x:f>
        <x:v>Traslado de equipos de planta, silos, repuestos pesados, balanzas, implementos y cargas especiales.</x:v>
      </x:c>
      <x:c r="J292" s="136" t="str">
        <x:f>IFERROR(INDEX(Prospectos!$AJ$2:$AJ$288,MATCH($A292,Prospectos!$A$2:$A$288,0)),"")</x:f>
        <x:v>Baja / visitar solo por cercanía</x:v>
      </x:c>
      <x:c r="K292" s="182"/>
      <x:c r="L292" s="136"/>
      <x:c r="M292" s="136"/>
      <x:c r="N292" s="158"/>
    </x:row>
    <x:row r="293" ht="34" customHeight="1">
      <x:c r="A293" s="186" t="str">
        <x:v>VM-019</x:v>
      </x:c>
      <x:c r="B293" s="186" t="str">
        <x:f>IFERROR(INDEX(Prospectos!$F$2:$F$288,MATCH($A293,Prospectos!$A$2:$A$288,0)),"")</x:f>
        <x:v>C</x:v>
      </x:c>
      <x:c r="C293" s="186" t="str">
        <x:f>IFERROR(INDEX(Prospectos!$H$2:$H$288,MATCH($A293,Prospectos!$A$2:$A$288,0)),"")</x:f>
        <x:v>Hans Aberturas SRL</x:v>
      </x:c>
      <x:c r="D293" s="186" t="str">
        <x:f>IFERROR(INDEX(Prospectos!$J$2:$J$288,MATCH($A293,Prospectos!$A$2:$A$288,0)),"")</x:f>
        <x:v>Metalúrgica y fabricación</x:v>
      </x:c>
      <x:c r="E293" s="186" t="str">
        <x:f>IFERROR(INDEX(Prospectos!$C$2:$C$288,MATCH($A293,Prospectos!$A$2:$A$288,0)),"")</x:f>
        <x:v>Villa María / RP6</x:v>
      </x:c>
      <x:c r="F293" s="186" t="str">
        <x:f>IFERROR(INDEX(Prospectos!$E$2:$E$288,MATCH($A293,Prospectos!$A$2:$A$288,0)),"")</x:f>
        <x:v>Villa María</x:v>
      </x:c>
      <x:c r="G293" s="186" t="str">
        <x:f>IFERROR(INDEX(Prospectos!$K$2:$K$288,MATCH($A293,Prospectos!$A$2:$A$288,0)),"")</x:f>
        <x:v>+54 353 4446515</x:v>
      </x:c>
      <x:c r="H293" s="186" t="str">
        <x:f>IFERROR(INDEX(Prospectos!$M$2:$M$288,MATCH($A293,Prospectos!$A$2:$A$288,0)),"")</x:f>
        <x:v>producción / despacho</x:v>
      </x:c>
      <x:c r="I293" s="186" t="str">
        <x:f>IFERROR(INDEX(Prospectos!$N$2:$N$288,MATCH($A293,Prospectos!$A$2:$A$288,0)),"")</x:f>
        <x:v>Despacho seguro de estructuras, carrozados, tanques, piezas industriales y equipos sobre plataforma.</x:v>
      </x:c>
      <x:c r="J293" s="186" t="str">
        <x:f>IFERROR(INDEX(Prospectos!$AJ$2:$AJ$288,MATCH($A293,Prospectos!$A$2:$A$288,0)),"")</x:f>
        <x:v>Baja / visitar solo por cercanía</x:v>
      </x:c>
      <x:c r="K293" s="182"/>
      <x:c r="L293" s="136"/>
      <x:c r="M293" s="136"/>
      <x:c r="N293" s="158"/>
    </x:row>
    <x:row r="294" ht="34" customHeight="1">
      <x:c r="A294" s="136" t="str">
        <x:v>VM-020</x:v>
      </x:c>
      <x:c r="B294" s="136" t="str">
        <x:f>IFERROR(INDEX(Prospectos!$F$2:$F$288,MATCH($A294,Prospectos!$A$2:$A$288,0)),"")</x:f>
        <x:v>C</x:v>
      </x:c>
      <x:c r="C294" s="136" t="str">
        <x:f>IFERROR(INDEX(Prospectos!$H$2:$H$288,MATCH($A294,Prospectos!$A$2:$A$288,0)),"")</x:f>
        <x:v>Contemar</x:v>
      </x:c>
      <x:c r="D294" s="136" t="str">
        <x:f>IFERROR(INDEX(Prospectos!$J$2:$J$288,MATCH($A294,Prospectos!$A$2:$A$288,0)),"")</x:f>
        <x:v>Módulos y contenedores</x:v>
      </x:c>
      <x:c r="E294" s="136" t="str">
        <x:f>IFERROR(INDEX(Prospectos!$C$2:$C$288,MATCH($A294,Prospectos!$A$2:$A$288,0)),"")</x:f>
        <x:v>Villa María / RP6</x:v>
      </x:c>
      <x:c r="F294" s="136" t="str">
        <x:f>IFERROR(INDEX(Prospectos!$E$2:$E$288,MATCH($A294,Prospectos!$A$2:$A$288,0)),"")</x:f>
        <x:v>Villa María</x:v>
      </x:c>
      <x:c r="G294" s="136" t="str">
        <x:f>IFERROR(INDEX(Prospectos!$K$2:$K$288,MATCH($A294,Prospectos!$A$2:$A$288,0)),"")</x:f>
        <x:v>A relevar</x:v>
      </x:c>
      <x:c r="H294" s="136" t="str">
        <x:f>IFERROR(INDEX(Prospectos!$M$2:$M$288,MATCH($A294,Prospectos!$A$2:$A$288,0)),"")</x:f>
        <x:v>operaciones / entregas</x:v>
      </x:c>
      <x:c r="I294" s="136" t="str">
        <x:f>IFERROR(INDEX(Prospectos!$N$2:$N$288,MATCH($A294,Prospectos!$A$2:$A$288,0)),"")</x:f>
        <x:v>Entrega, descarga y posicionamiento de módulos/containers en obra o cliente final.</x:v>
      </x:c>
      <x:c r="J294" s="136" t="str">
        <x:f>IFERROR(INDEX(Prospectos!$AJ$2:$AJ$288,MATCH($A294,Prospectos!$A$2:$A$288,0)),"")</x:f>
        <x:v>Baja / visitar solo por cercanía</x:v>
      </x:c>
      <x:c r="K294" s="182"/>
      <x:c r="L294" s="136"/>
      <x:c r="M294" s="136"/>
      <x:c r="N294" s="158"/>
    </x:row>
    <x:row r="295" ht="34" customHeight="1">
      <x:c r="A295" s="183" t="str">
        <x:v>VN-001</x:v>
      </x:c>
      <x:c r="B295" s="183" t="str">
        <x:f>IFERROR(INDEX(Prospectos!$F$2:$F$288,MATCH($A295,Prospectos!$A$2:$A$288,0)),"")</x:f>
        <x:v>A</x:v>
      </x:c>
      <x:c r="C295" s="183" t="str">
        <x:f>IFERROR(INDEX(Prospectos!$H$2:$H$288,MATCH($A295,Prospectos!$A$2:$A$288,0)),"")</x:f>
        <x:v>Raúl Antonio Re e Hijos S.R.L.</x:v>
      </x:c>
      <x:c r="D295" s="183" t="str">
        <x:f>IFERROR(INDEX(Prospectos!$J$2:$J$288,MATCH($A295,Prospectos!$A$2:$A$288,0)),"")</x:f>
        <x:v>Maquinaria agrícola</x:v>
      </x:c>
      <x:c r="E295" s="183" t="str">
        <x:f>IFERROR(INDEX(Prospectos!$C$2:$C$288,MATCH($A295,Prospectos!$A$2:$A$288,0)),"")</x:f>
        <x:v>Villa María / RP6</x:v>
      </x:c>
      <x:c r="F295" s="183" t="str">
        <x:f>IFERROR(INDEX(Prospectos!$E$2:$E$288,MATCH($A295,Prospectos!$A$2:$A$288,0)),"")</x:f>
        <x:v>Villa Nueva</x:v>
      </x:c>
      <x:c r="G295" s="183" t="str">
        <x:f>IFERROR(INDEX(Prospectos!$K$2:$K$288,MATCH($A295,Prospectos!$A$2:$A$288,0)),"")</x:f>
        <x:v>0353 4912074</x:v>
      </x:c>
      <x:c r="H295" s="183" t="str">
        <x:f>IFERROR(INDEX(Prospectos!$M$2:$M$288,MATCH($A295,Prospectos!$A$2:$A$288,0)),"")</x:f>
        <x:v>logística / ventas / postventa</x:v>
      </x:c>
      <x:c r="I295" s="183" t="str">
        <x:f>IFERROR(INDEX(Prospectos!$N$2:$N$288,MATCH($A295,Prospectos!$A$2:$A$288,0)),"")</x:f>
        <x:v>Entrega y retiro de tractores, cosechadoras, pulverizadoras, sembradoras e implementos; movimientos por venta, service, canje, demostraciones o ferias.</x:v>
      </x:c>
      <x:c r="J295" s="183" t="str">
        <x:f>IFERROR(INDEX(Prospectos!$AJ$2:$AJ$288,MATCH($A295,Prospectos!$A$2:$A$288,0)),"")</x:f>
        <x:v>Alta</x:v>
      </x:c>
      <x:c r="K295" s="179"/>
      <x:c r="L295" s="3"/>
      <x:c r="M295" s="3"/>
      <x:c r="N295" s="161"/>
    </x:row>
  </x:sheetData>
  <x:mergeCells>
    <x:mergeCell ref="K4:L4"/>
    <x:mergeCell ref="K5:L5"/>
    <x:mergeCell ref="A1:K1"/>
    <x:mergeCell ref="A2:K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</x:mergeCells>
  <x:conditionalFormatting sqref="B9:B248">
    <x:cfRule type="cellIs" dxfId="6" priority="1">
      <x:formula>"A"</x:formula>
    </x:cfRule>
    <x:cfRule type="cellIs" dxfId="7" priority="2">
      <x:formula>"B"</x:formula>
    </x:cfRule>
    <x:cfRule type="cellIs" dxfId="8" priority="3">
      <x:formula>"C"</x:formula>
    </x:cfRule>
  </x:conditionalFormatting>
  <x:conditionalFormatting sqref="M9:M248">
    <x:cfRule type="cellIs" dxfId="9" priority="4">
      <x:formula>"Muy alta"</x:formula>
    </x:cfRule>
    <x:cfRule type="cellIs" dxfId="10" priority="5">
      <x:formula>"Alta"</x:formula>
    </x:cfRule>
    <x:cfRule type="cellIs" dxfId="11" priority="6">
      <x:formula>"Media"</x:formula>
    </x:cfRule>
  </x:conditionalFormatting>
  <x:conditionalFormatting sqref="B9:B295">
    <x:cfRule type="cellIs" dxfId="26" priority="7">
      <x:formula>"A"</x:formula>
    </x:cfRule>
    <x:cfRule type="cellIs" dxfId="27" priority="8">
      <x:formula>"B"</x:formula>
    </x:cfRule>
    <x:cfRule type="cellIs" dxfId="28" priority="9">
      <x:formula>"C"</x:formula>
    </x:cfRule>
  </x:conditionalFormatting>
  <x:conditionalFormatting sqref="J9:J295">
    <x:cfRule type="cellIs" dxfId="29" priority="10">
      <x:formula>"Muy alta"</x:formula>
    </x:cfRule>
    <x:cfRule type="cellIs" dxfId="30" priority="11">
      <x:formula>"Alta"</x:formula>
    </x:cfRule>
    <x:cfRule type="cellIs" dxfId="31" priority="12">
      <x:formula>"Media"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99187fb6e7465d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11" customWidth="1"/>
    <x:col min="2" max="2" width="18" customWidth="1"/>
    <x:col min="3" max="3" width="22" customWidth="1"/>
    <x:col min="4" max="4" width="26" customWidth="1"/>
    <x:col min="5" max="5" width="18" customWidth="1"/>
    <x:col min="6" max="6" width="7" customWidth="1"/>
    <x:col min="7" max="7" width="10" customWidth="1"/>
    <x:col min="8" max="8" width="30" customWidth="1"/>
    <x:col min="9" max="9" width="28" customWidth="1"/>
    <x:col min="10" max="10" width="26" customWidth="1"/>
    <x:col min="11" max="11" width="25" customWidth="1"/>
    <x:col min="12" max="12" width="14" customWidth="1"/>
    <x:col min="13" max="13" width="23" customWidth="1"/>
    <x:col min="14" max="14" width="38" customWidth="1"/>
    <x:col min="15" max="15" width="40" customWidth="1"/>
    <x:col min="16" max="17" width="38" customWidth="1"/>
    <x:col min="18" max="18" width="18" customWidth="1"/>
    <x:col min="19" max="19" width="30" customWidth="1"/>
    <x:col min="20" max="20" width="20" customWidth="1"/>
    <x:col min="21" max="21" width="15" customWidth="1"/>
    <x:col min="22" max="22" width="25" customWidth="1"/>
    <x:col min="23" max="23" width="32" customWidth="1"/>
    <x:col min="24" max="24" width="24" customWidth="1"/>
    <x:col min="25" max="25" width="28" customWidth="1"/>
    <x:col min="26" max="26" width="35" customWidth="1"/>
    <x:col min="27" max="27" width="28" customWidth="1"/>
    <x:col min="28" max="28" width="25" customWidth="1"/>
    <x:col min="29" max="29" width="28" customWidth="1"/>
    <x:col min="30" max="30" width="42" customWidth="1"/>
    <x:col min="31" max="31" width="16" customWidth="1"/>
    <x:col min="32" max="32" width="24" customWidth="1"/>
    <x:col min="33" max="33" width="42" customWidth="1"/>
    <x:col min="34" max="34" width="28" customWidth="1"/>
    <x:col min="35" max="35" width="18" customWidth="1"/>
    <x:col min="36" max="36" width="24" customWidth="1"/>
    <x:col min="37" max="37" width="38" customWidth="1"/>
    <x:col min="38" max="38" width="24" customWidth="1"/>
    <x:col min="39" max="39" width="34" customWidth="1"/>
  </x:cols>
  <x:sheetData>
    <x:row r="1" ht="34" customHeight="1">
      <x:c r="A1" s="157" t="str">
        <x:v>ID</x:v>
      </x:c>
      <x:c r="B1" s="157" t="str">
        <x:v>Estado de contacto</x:v>
      </x:c>
      <x:c r="C1" s="157" t="str">
        <x:v>Corredor</x:v>
      </x:c>
      <x:c r="D1" s="157" t="str">
        <x:v>Microzona</x:v>
      </x:c>
      <x:c r="E1" s="157" t="str">
        <x:v>Ciudad</x:v>
      </x:c>
      <x:c r="F1" s="157" t="str">
        <x:v>Clase</x:v>
      </x:c>
      <x:c r="G1" s="157" t="str">
        <x:v>Puntaje operativo</x:v>
      </x:c>
      <x:c r="H1" s="157" t="str">
        <x:v>Empresa</x:v>
      </x:c>
      <x:c r="I1" s="157" t="str">
        <x:v>Sector</x:v>
      </x:c>
      <x:c r="J1" s="157" t="str">
        <x:v>Categoría comercial</x:v>
      </x:c>
      <x:c r="K1" s="157" t="str">
        <x:v>Teléfonos</x:v>
      </x:c>
      <x:c r="L1" s="157" t="str">
        <x:v>Calidad del teléfono</x:v>
      </x:c>
      <x:c r="M1" s="157" t="str">
        <x:v>Preguntar por</x:v>
      </x:c>
      <x:c r="N1" s="157" t="str">
        <x:v>Necesidad probable</x:v>
      </x:c>
      <x:c r="O1" s="157" t="str">
        <x:v>Oferta PRESOL</x:v>
      </x:c>
      <x:c r="P1" s="157" t="str">
        <x:v>Gancho comercial</x:v>
      </x:c>
      <x:c r="Q1" s="157" t="str">
        <x:v>Acción sugerida</x:v>
      </x:c>
      <x:c r="R1" s="157" t="str">
        <x:v>Responsable</x:v>
      </x:c>
      <x:c r="S1" s="157" t="str">
        <x:v>Nota Dirección</x:v>
      </x:c>
      <x:c r="T1" s="157" t="str">
        <x:v>Resultado</x:v>
      </x:c>
      <x:c r="U1" s="157" t="str">
        <x:v>Fecha de visita</x:v>
      </x:c>
      <x:c r="V1" s="157" t="str">
        <x:v>Próximo paso</x:v>
      </x:c>
      <x:c r="W1" s="157" t="str">
        <x:v>Notas de campo</x:v>
      </x:c>
      <x:c r="X1" s="157" t="str">
        <x:v>Teléfono principal (tel:)</x:v>
      </x:c>
      <x:c r="Y1" s="157" t="str">
        <x:v>Links telefónicos</x:v>
      </x:c>
      <x:c r="Z1" s="157" t="str">
        <x:v>Dato pendiente</x:v>
      </x:c>
      <x:c r="AA1" s="157" t="str">
        <x:v>Google Maps</x:v>
      </x:c>
      <x:c r="AB1" s="157" t="str">
        <x:v>Fuente</x:v>
      </x:c>
      <x:c r="AC1" s="157" t="str">
        <x:v>URL fuente</x:v>
      </x:c>
      <x:c r="AD1" s="157" t="str">
        <x:v>Evidencia</x:v>
      </x:c>
      <x:c r="AE1" s="157" t="str">
        <x:v>Calidad del dato</x:v>
      </x:c>
      <x:c r="AF1" s="157" t="str">
        <x:v>Origen del registro</x:v>
      </x:c>
      <x:c r="AG1" s="157" t="str">
        <x:v>Servicios PRESOL a ofrecer</x:v>
      </x:c>
      <x:c r="AH1" s="157" t="str">
        <x:v>Rubro foco enriquecimiento</x:v>
      </x:c>
      <x:c r="AI1" s="157" t="str">
        <x:v>Ciudad foco solicitada</x:v>
      </x:c>
      <x:c r="AJ1" s="157" t="str">
        <x:v>Prioridad visita sugerida</x:v>
      </x:c>
      <x:c r="AK1" s="157" t="str">
        <x:v>Observación servicio nuevo</x:v>
      </x:c>
      <x:c r="AL1" s="157" t="str">
        <x:v>Fuente unificación</x:v>
      </x:c>
      <x:c r="AM1" s="157" t="str">
        <x:v>Notas de unificación</x:v>
      </x:c>
    </x:row>
    <x:row r="2" ht="36">
      <x:c r="A2" s="135" t="str">
        <x:v>RT-054</x:v>
      </x:c>
      <x:c r="B2" s="135" t="str">
        <x:v>Pendiente</x:v>
      </x:c>
      <x:c r="C2" s="135" t="str">
        <x:v>Base Río Tercero</x:v>
      </x:c>
      <x:c r="D2" s="135" t="str">
        <x:v>Río Tercero / zona industrial</x:v>
      </x:c>
      <x:c r="E2" s="135" t="str">
        <x:v>Río Tercero</x:v>
      </x:c>
      <x:c r="F2" s="135" t="str">
        <x:v>A</x:v>
      </x:c>
      <x:c r="G2" s="135" t="n">
        <x:v>100</x:v>
      </x:c>
      <x:c r="H2" s="135" t="str">
        <x:v>Ascanelli S.A.</x:v>
      </x:c>
      <x:c r="I2" s="135" t="str">
        <x:v>Fabricante de tolvas, sembradoras, mixers y embolsadoras</x:v>
      </x:c>
      <x:c r="J2" s="135" t="str">
        <x:v>Maquinaria agrícola</x:v>
      </x:c>
      <x:c r="K2" s="135" t="str">
        <x:v>03571 423691</x:v>
      </x:c>
      <x:c r="L2" s="135" t="str">
        <x:v>OK</x:v>
      </x:c>
      <x:c r="M2" s="135" t="str">
        <x:v>logística / ventas / postventa</x:v>
      </x:c>
      <x:c r="N2" s="135" t="str">
        <x:v>Despacho de implementos, tolvas, sembradoras, estructuras, equipos terminados y componentes de gran porte hacia concesionarios, clientes, ferias o campo.</x:v>
      </x:c>
      <x:c r="O2" s="135" t="str">
        <x:v>Plataforma 20 tn para maquinaria/implementos + malacate e hidrogrúa según maniobra + seguro de carga + trazabilidad GPS.</x:v>
      </x:c>
      <x:c r="P2" s="135" t="str">
        <x:v>Proponer a PRESOL como transporte tercerizado para entregas, picos de producción, ferias y movimientos especiales sin inmovilizar flota propia.</x:v>
      </x:c>
      <x:c r="Q2" s="135" t="str">
        <x:v>Llamada comercial prioritaria; pedir por logística/ventas/postventa y consultar próximo equipo a trasladar.</x:v>
      </x:c>
      <x:c r="R2" s="135"/>
      <x:c r="S2" s="158" t="str">
        <x:f>IFERROR(T(INDEX('Prospectos Resumen'!$K$9:$K$295,MATCH(A2,'Prospectos Resumen'!$A$9:$A$295,0))),"")</x:f>
      </x:c>
      <x:c r="T2" s="135"/>
      <x:c r="U2" s="135"/>
      <x:c r="V2" s="135"/>
      <x:c r="W2" s="135"/>
      <x:c r="X2" s="135" t="str">
        <x:v>tel:+543571423691</x:v>
      </x:c>
      <x:c r="Y2" s="135" t="str">
        <x:v>tel:+543571423691</x:v>
      </x:c>
      <x:c r="Z2" s="135" t="str">
        <x:v>Confirmar decisor y frecuencia de traslados.</x:v>
      </x:c>
      <x:c r="AA2" s="135" t="str">
        <x:v>https://www.google.com/maps/search/?api=1&amp;query=Ascanelli+S.A.+R%C3%ADo+Tercero+C%C3%B3rdoba+Argentina</x:v>
      </x:c>
      <x:c r="AB2" s="135" t="str">
        <x:v>AFAMAC / CIMCC</x:v>
      </x:c>
      <x:c r="AC2" s="135" t="str">
        <x:v>https://afamac.com.ar/catalogo/asociados-afamac/ascanelli/</x:v>
      </x:c>
      <x:c r="AD2" s="135" t="str">
        <x:v>Fabricante radicado en Río Tercero; produce tolvas autodescargables, sembradoras, mixers y embolsadoras.</x:v>
      </x:c>
      <x:c r="AE2" s="135" t="str">
        <x:v>Alta</x:v>
      </x:c>
      <x:c r="AF2" s="135" t="str">
        <x:v>Rastrillaje agro-maquinaria web 2026-09-07</x:v>
      </x:c>
      <x:c r="AG2" s="135" t="str">
        <x:v>plataforma 20 tn para maquinaria/implementos | hidrogrúa para maniobras | malacate | seguro de carga | trazabilidad GPS</x:v>
      </x:c>
      <x:c r="AH2" s="135" t="str">
        <x:v>fabricante/concesionario/servicio maquinaria agrícola</x:v>
      </x:c>
      <x:c r="AI2" s="135" t="str">
        <x:v>Sí</x:v>
      </x:c>
      <x:c r="AJ2" s="135" t="str">
        <x:v>Muy alta</x:v>
      </x:c>
      <x:c r="AK2" s="135" t="str">
        <x:v>Perfil específico maquinaria agrícola: validar pesos/dimensiones, tipo de carga y disponibilidad de medios de izaje antes de cotizar.</x:v>
      </x:c>
      <x:c r="AL2" s="135" t="str">
        <x:v>Rastrillaje agro-maquinaria 2026-09-07</x:v>
      </x:c>
      <x:c r="AM2" s="135" t="str">
        <x:v>Alta nueva luego de barrido específico de fabricantes, implementos, tractores, concesionarios y agropartes; cruzada contra la base maestra para evitar duplicados.</x:v>
      </x:c>
    </x:row>
    <x:row r="3" ht="48">
      <x:c r="A3" s="136" t="str">
        <x:v>RT-001</x:v>
      </x:c>
      <x:c r="B3" s="136" t="str">
        <x:v>Pendiente</x:v>
      </x:c>
      <x:c r="C3" s="136" t="str">
        <x:v>Base Río Tercero</x:v>
      </x:c>
      <x:c r="D3" s="136" t="str">
        <x:v>Río Tercero</x:v>
      </x:c>
      <x:c r="E3" s="136" t="str">
        <x:v>Río Tercero</x:v>
      </x:c>
      <x:c r="F3" s="136" t="str">
        <x:v>A</x:v>
      </x:c>
      <x:c r="G3" s="136" t="n">
        <x:v>100</x:v>
      </x:c>
      <x:c r="H3" s="136" t="str">
        <x:v>Hormicor</x:v>
      </x:c>
      <x:c r="I3" s="136" t="str">
        <x:v>Hormigón elaborado</x:v>
      </x:c>
      <x:c r="J3" s="136" t="str">
        <x:v>Hormigón, áridos y materiales</x:v>
      </x:c>
      <x:c r="K3" s="136" t="str">
        <x:v>03571 500888 / 03571 510066</x:v>
      </x:c>
      <x:c r="L3" s="136" t="str">
        <x:v>OK</x:v>
      </x:c>
      <x:c r="M3" s="136" t="str">
        <x:v>planta / mantenimiento</x:v>
      </x:c>
      <x:c r="N3" s="136" t="str">
        <x:v>Movimiento de premoldeados, equipos de planta/cantera, bombas, moldes y cargas pesadas.</x:v>
      </x:c>
      <x:c r="O3" s="136" t="str">
        <x:v>Movimiento de equipos de cantera/planta; transporte de material suelto sujeto a confirmar unidad o esquema operativo.</x:v>
      </x:c>
      <x:c r="P3" s="136" t="str">
        <x:v>Ofrecer respaldo para picos de obra y traslados de equipos.</x:v>
      </x:c>
      <x:c r="Q3" s="136" t="str">
        <x:v>Visita o llamada de validación; pedir próximo traslado concreto.</x:v>
      </x:c>
      <x:c r="R3" s="136"/>
      <x:c r="S3" s="158" t="str">
        <x:f>IFERROR(T(INDEX('Prospectos Resumen'!$K$9:$K$295,MATCH(A3,'Prospectos Resumen'!$A$9:$A$295,0))),"")</x:f>
      </x:c>
      <x:c r="T3" s="136"/>
      <x:c r="U3" s="136"/>
      <x:c r="V3" s="136"/>
      <x:c r="W3" s="136"/>
      <x:c r="X3" s="136" t="str">
        <x:v>tel:+543571500888</x:v>
      </x:c>
      <x:c r="Y3" s="136" t="str">
        <x:v>tel:+543571500888 | tel:+543571510066</x:v>
      </x:c>
      <x:c r="Z3" s="136" t="str">
        <x:v>Validar contacto decisor y necesidad inmediata.</x:v>
      </x:c>
      <x:c r="AA3" s="136" t="str">
        <x:v>https://www.google.com/maps/search/?api=1&amp;query=-32.178000,-64.111000</x:v>
      </x:c>
      <x:c r="AB3" s="136" t="str">
        <x:v>hormigonelaborado.com / Hormicor</x:v>
      </x:c>
      <x:c r="AC3" s="136"/>
      <x:c r="AD3" s="136" t="str">
        <x:v>Registro curado en documento de dirección PRESOL 2026-09.</x:v>
      </x:c>
      <x:c r="AE3" s="136" t="str">
        <x:v>Alta</x:v>
      </x:c>
      <x:c r="AF3" s="136" t="str">
        <x:v>Base curada PDF dirección</x:v>
      </x:c>
      <x:c r="AG3" s="136" t="str">
        <x:v>transporte de áridos/materiales | hidrogrúa para carga/descarga | percha para pallets/bolsones</x:v>
      </x:c>
      <x:c r="AH3" s="136" t="str">
        <x:v>áridos/construcción/premoldeados</x:v>
      </x:c>
      <x:c r="AI3" s="136" t="str">
        <x:v>Sí</x:v>
      </x:c>
      <x:c r="AJ3" s="136" t="str">
        <x:v>Muy alta</x:v>
      </x:c>
      <x:c r="AK3" s="136" t="str">
        <x:v>Áridos/materiales: confirmar modalidad de carga/descarga y tipo de unidad requerida antes de cotizar.</x:v>
      </x:c>
      <x:c r="AL3" s="136" t="str">
        <x:v>GPT adjunto + Hermes</x:v>
      </x:c>
      <x:c r="AM3" s="136" t="str">
        <x:v>Fusionado con base Hermes para completar teléfonos/fuentes/servicios.</x:v>
      </x:c>
    </x:row>
    <x:row r="4" ht="36">
      <x:c r="A4" s="135" t="str">
        <x:v>RT-002</x:v>
      </x:c>
      <x:c r="B4" s="135" t="str">
        <x:v>Pendiente</x:v>
      </x:c>
      <x:c r="C4" s="135" t="str">
        <x:v>Base Río Tercero</x:v>
      </x:c>
      <x:c r="D4" s="135" t="str">
        <x:v>Río Tercero / zona industrial</x:v>
      </x:c>
      <x:c r="E4" s="135" t="str">
        <x:v>Río Tercero</x:v>
      </x:c>
      <x:c r="F4" s="135" t="str">
        <x:v>A</x:v>
      </x:c>
      <x:c r="G4" s="135" t="n">
        <x:v>100</x:v>
      </x:c>
      <x:c r="H4" s="135" t="str">
        <x:v>Metalúrgica Monticelli</x:v>
      </x:c>
      <x:c r="I4" s="135" t="str">
        <x:v>Fabricación de implementos agrícolas</x:v>
      </x:c>
      <x:c r="J4" s="135" t="str">
        <x:v>Maquinaria agrícola</x:v>
      </x:c>
      <x:c r="K4" s="135" t="str">
        <x:v>+54 3571 613058 / +54 3571 613060</x:v>
      </x:c>
      <x:c r="L4" s="135" t="str">
        <x:v>OK</x:v>
      </x:c>
      <x:c r="M4" s="135" t="str">
        <x:v>logística / despacho / postventa</x:v>
      </x:c>
      <x:c r="N4" s="135" t="str">
        <x:v>Traslado de maquinaria, implementos, equipos terminados y componentes de gran porte entre planta, cliente, obra o feria.</x:v>
      </x:c>
      <x:c r="O4" s="135" t="str">
        <x:v>Plataforma 20 tn + malacate/hidrogrúa según maniobra + seguro de carga + trazabilidad GPS.</x:v>
      </x:c>
      <x:c r="P4" s="135" t="str">
        <x:v>Fabricante con más de 30 años, ubicado en RP6 km 3,5; produce rastras, rolos, terraceadoras y otros implementos.</x:v>
      </x:c>
      <x:c r="Q4" s="135" t="str">
        <x:v>Llamada prioritaria; pedir próximo traslado concreto y, si hay encaje, coordinar visita.</x:v>
      </x:c>
      <x:c r="R4" s="135"/>
      <x:c r="S4" s="158" t="str">
        <x:f>IFERROR(T(INDEX('Prospectos Resumen'!$K$9:$K$295,MATCH(A4,'Prospectos Resumen'!$A$9:$A$295,0))),"")</x:f>
      </x:c>
      <x:c r="T4" s="135"/>
      <x:c r="U4" s="135"/>
      <x:c r="V4" s="135"/>
      <x:c r="W4" s="135"/>
      <x:c r="X4" s="135" t="str">
        <x:v>tel:+543571613058</x:v>
      </x:c>
      <x:c r="Y4" s="135" t="str">
        <x:v>tel:+543571613058 | tel:+543571613060</x:v>
      </x:c>
      <x:c r="Z4" s="135" t="str">
        <x:v>Confirmar decisor, frecuencia de movimientos y vigencia del contacto antes de cotizar.</x:v>
      </x:c>
      <x:c r="AA4" s="135" t="str">
        <x:v>https://www.google.com/maps/search/?api=1&amp;query=Metal%C3%BArgica+Monticelli+R%C3%ADo+Tercero+C%C3%B3rdoba+Argentina</x:v>
      </x:c>
      <x:c r="AB4" s="135" t="str">
        <x:v>Web propia Metalúrgica Monticelli</x:v>
      </x:c>
      <x:c r="AC4" s="135" t="str">
        <x:v>https://www.metalmonticelli.site/</x:v>
      </x:c>
      <x:c r="AD4" s="135" t="str">
        <x:v>Fabricante con más de 30 años, ubicado en RP6 km 3,5; produce rastras, rolos, terraceadoras y otros implementos.</x:v>
      </x:c>
      <x:c r="AE4" s="135" t="str">
        <x:v>Alta</x:v>
      </x:c>
      <x:c r="AF4" s="135" t="str">
        <x:v>Enriquecimiento web 2026-09-07</x:v>
      </x:c>
      <x:c r="AG4" s="135" t="str">
        <x:v>transporte de áridos/materiales | hidrogrúa para carga/descarga | percha para pallets/bolsones | plataforma 20 tn para maquinaria/piezas | hidrogrúa para maniobras | percha para pallets</x:v>
      </x:c>
      <x:c r="AH4" s="135" t="str">
        <x:v>fabricante/servicio maquinaria agrícola</x:v>
      </x:c>
      <x:c r="AI4" s="135" t="str">
        <x:v>Sí</x:v>
      </x:c>
      <x:c r="AJ4" s="135" t="str">
        <x:v>Muy alta</x:v>
      </x:c>
      <x:c r="AK4" s="135"/>
      <x:c r="AL4" s="135" t="str">
        <x:v>GPT adjunto</x:v>
      </x:c>
      <x:c r="AM4" s="135"/>
    </x:row>
    <x:row r="5" ht="60">
      <x:c r="A5" s="136" t="str">
        <x:v>RT-003</x:v>
      </x:c>
      <x:c r="B5" s="136" t="str">
        <x:v>Pendiente</x:v>
      </x:c>
      <x:c r="C5" s="136" t="str">
        <x:v>Base Río Tercero</x:v>
      </x:c>
      <x:c r="D5" s="136" t="str">
        <x:v>Río Tercero</x:v>
      </x:c>
      <x:c r="E5" s="136" t="str">
        <x:v>Río Tercero</x:v>
      </x:c>
      <x:c r="F5" s="136" t="str">
        <x:v>A</x:v>
      </x:c>
      <x:c r="G5" s="136" t="n">
        <x:v>100</x:v>
      </x:c>
      <x:c r="H5" s="136" t="str">
        <x:v>Metalúrgica Novaretti</x:v>
      </x:c>
      <x:c r="I5" s="136" t="str">
        <x:v>Recipientes y equipos metalmecánicos</x:v>
      </x:c>
      <x:c r="J5" s="136" t="str">
        <x:v>Metalúrgica y fabricación</x:v>
      </x:c>
      <x:c r="K5" s="136" t="str">
        <x:v>03571 414282 / 03571 606930</x:v>
      </x:c>
      <x:c r="L5" s="136" t="str">
        <x:v>OK</x:v>
      </x:c>
      <x:c r="M5" s="136" t="str">
        <x:v>despacho / producción</x:v>
      </x:c>
      <x:c r="N5" s="136" t="str">
        <x:v>Despacho seguro de estructuras, carrozados, tanques, piezas industriales y equipos sobre plataforma.</x:v>
      </x:c>
      <x:c r="O5" s="136" t="str">
        <x:v>Despacho de estructuras, tanques, transformadores, piezas de ingeniería y equipos sobre plataforma 20 tn.</x:v>
      </x:c>
      <x:c r="P5" s="136" t="str">
        <x:v>Cotizar despacho recurrente a plantas/obras.</x:v>
      </x:c>
      <x:c r="Q5" s="136" t="str">
        <x:v>Visita o llamada de validación; pedir próximo traslado concreto.</x:v>
      </x:c>
      <x:c r="R5" s="136"/>
      <x:c r="S5" s="158" t="str">
        <x:f>IFERROR(T(INDEX('Prospectos Resumen'!$K$9:$K$295,MATCH(A5,'Prospectos Resumen'!$A$9:$A$295,0))),"")</x:f>
      </x:c>
      <x:c r="T5" s="136"/>
      <x:c r="U5" s="136"/>
      <x:c r="V5" s="136"/>
      <x:c r="W5" s="136"/>
      <x:c r="X5" s="136" t="str">
        <x:v>tel:+543571414282</x:v>
      </x:c>
      <x:c r="Y5" s="136" t="str">
        <x:v>tel:+543571414282 | tel:+543571606930</x:v>
      </x:c>
      <x:c r="Z5" s="136" t="str">
        <x:v>Validar contacto decisor y necesidad inmediata.</x:v>
      </x:c>
      <x:c r="AA5" s="136" t="str">
        <x:v>https://www.google.com/maps/search/?api=1&amp;query=-32.169000,-64.117000</x:v>
      </x:c>
      <x:c r="AB5" s="136" t="str">
        <x:v>novaretti.com.ar</x:v>
      </x:c>
      <x:c r="AC5" s="136"/>
      <x:c r="AD5" s="136" t="str">
        <x:v>Registro curado en documento de dirección PRESOL 2026-09.</x:v>
      </x:c>
      <x:c r="AE5" s="136" t="str">
        <x:v>Alta</x:v>
      </x:c>
      <x:c r="AF5" s="136" t="str">
        <x:v>Base curada PDF dirección</x:v>
      </x:c>
      <x:c r="AG5" s="136" t="str">
        <x:v>plataforma 20 tn para maquinaria/piezas | hidrogrúa para maniobras | percha para pallets</x:v>
      </x:c>
      <x:c r="AH5" s="136" t="str">
        <x:v>otro rubro factible</x:v>
      </x:c>
      <x:c r="AI5" s="136" t="str">
        <x:v>Sí</x:v>
      </x:c>
      <x:c r="AJ5" s="136" t="str">
        <x:v>Muy alta</x:v>
      </x:c>
      <x:c r="AK5" s="136"/>
      <x:c r="AL5" s="136" t="str">
        <x:v>GPT adjunto + Hermes</x:v>
      </x:c>
      <x:c r="AM5" s="136" t="str">
        <x:v>Fusionado con base Hermes para completar teléfonos/fuentes/servicios.</x:v>
      </x:c>
    </x:row>
    <x:row r="6" ht="48">
      <x:c r="A6" s="135" t="str">
        <x:v>RT-004</x:v>
      </x:c>
      <x:c r="B6" s="135" t="str">
        <x:v>Pendiente</x:v>
      </x:c>
      <x:c r="C6" s="135" t="str">
        <x:v>Base Río Tercero</x:v>
      </x:c>
      <x:c r="D6" s="135" t="str">
        <x:v>Parque Industrial Leonardo Da Vinci</x:v>
      </x:c>
      <x:c r="E6" s="135" t="str">
        <x:v>Río Tercero</x:v>
      </x:c>
      <x:c r="F6" s="135" t="str">
        <x:v>A</x:v>
      </x:c>
      <x:c r="G6" s="135" t="n">
        <x:v>100</x:v>
      </x:c>
      <x:c r="H6" s="135" t="str">
        <x:v>Metalúrgica Río Tercero S.A.</x:v>
      </x:c>
      <x:c r="I6" s="135" t="str">
        <x:v>Equipamiento minero, vial y agroindustrial / fundición</x:v>
      </x:c>
      <x:c r="J6" s="135" t="str">
        <x:v>Metalúrgica y fabricación</x:v>
      </x:c>
      <x:c r="K6" s="135" t="str">
        <x:v>03571 430558</x:v>
      </x:c>
      <x:c r="L6" s="135" t="str">
        <x:v>OK</x:v>
      </x:c>
      <x:c r="M6" s="135" t="str">
        <x:v>despacho / producción</x:v>
      </x:c>
      <x:c r="N6" s="135" t="str">
        <x:v>Traslado de equipos de planta, silos, repuestos pesados, balanzas, implementos y cargas especiales.</x:v>
      </x:c>
      <x:c r="O6" s="135" t="str">
        <x:v>Transporte de repuestos/equipos/silos/implementos + coordinación de retiro y descarga.</x:v>
      </x:c>
      <x:c r="P6" s="135" t="str">
        <x:v>Produce equipamiento e insumos para minería, vial y agroindustria; encaje directo con cargas pesadas.</x:v>
      </x:c>
      <x:c r="Q6" s="135" t="str">
        <x:v>Validar teléfono/contacto; si responde, pedir un caso concreto de traslado o próximo movimiento.</x:v>
      </x:c>
      <x:c r="R6" s="135"/>
      <x:c r="S6" s="158" t="str">
        <x:f>IFERROR(T(INDEX('Prospectos Resumen'!$K$9:$K$295,MATCH(A6,'Prospectos Resumen'!$A$9:$A$295,0))),"")</x:f>
      </x:c>
      <x:c r="T6" s="135"/>
      <x:c r="U6" s="135"/>
      <x:c r="V6" s="135"/>
      <x:c r="W6" s="135"/>
      <x:c r="X6" s="135" t="str">
        <x:v>tel:+543571430558</x:v>
      </x:c>
      <x:c r="Y6" s="135" t="str">
        <x:v>tel:+543571430558</x:v>
      </x:c>
      <x:c r="Z6" s="135" t="str">
        <x:v>Confirmar decisor y vigencia del dato antes de incluir en salida prioritaria.</x:v>
      </x:c>
      <x:c r="AA6" s="135" t="str">
        <x:v>https://www.google.com/maps/search/?api=1&amp;query=Metal%C3%BArgica+R%C3%ADo+Tercero+S.A.+R%C3%ADo+Tercero+C%C3%B3rdoba+Argentina</x:v>
      </x:c>
      <x:c r="AB6" s="135" t="str">
        <x:v>Maquinac / Parque Industrial Río Tercero</x:v>
      </x:c>
      <x:c r="AC6" s="135" t="str">
        <x:v>https://maquinac.com/empresas/metalurgica-rio-tercero</x:v>
      </x:c>
      <x:c r="AD6" s="135" t="str">
        <x:v>Maquinac informa dirección en Parque Industrial, teléfono y rubro minero/vial/agroindustrial.</x:v>
      </x:c>
      <x:c r="AE6" s="135" t="str">
        <x:v>Alta</x:v>
      </x:c>
      <x:c r="AF6" s="135" t="str">
        <x:v>Nuevo enriquecimiento 2026-09-02</x:v>
      </x:c>
      <x:c r="AG6" s="135" t="str">
        <x:v>plataforma 20 tn para maquinaria/piezas | hidrogrúa para maniobras | percha para pallets</x:v>
      </x:c>
      <x:c r="AH6" s="135" t="str">
        <x:v>otro rubro factible</x:v>
      </x:c>
      <x:c r="AI6" s="135" t="str">
        <x:v>Sí</x:v>
      </x:c>
      <x:c r="AJ6" s="135" t="str">
        <x:v>Muy alta</x:v>
      </x:c>
      <x:c r="AK6" s="135" t="str">
        <x:v>Percha pallets: útil para insumos, bolsones, repuestos y materiales palletizados.</x:v>
      </x:c>
      <x:c r="AL6" s="135" t="str">
        <x:v>GPT adjunto + Hermes</x:v>
      </x:c>
      <x:c r="AM6" s="135" t="str">
        <x:v>Fusionado con base Hermes para completar teléfonos/fuentes/servicios.</x:v>
      </x:c>
    </x:row>
    <x:row r="7" ht="48">
      <x:c r="A7" s="136" t="str">
        <x:v>RT-005</x:v>
      </x:c>
      <x:c r="B7" s="136" t="str">
        <x:v>Pendiente</x:v>
      </x:c>
      <x:c r="C7" s="136" t="str">
        <x:v>Base Río Tercero</x:v>
      </x:c>
      <x:c r="D7" s="136" t="str">
        <x:v>Río Tercero / Av. Savio</x:v>
      </x:c>
      <x:c r="E7" s="136" t="str">
        <x:v>Río Tercero</x:v>
      </x:c>
      <x:c r="F7" s="136" t="str">
        <x:v>A</x:v>
      </x:c>
      <x:c r="G7" s="136" t="n">
        <x:v>100</x:v>
      </x:c>
      <x:c r="H7" s="136" t="str">
        <x:v>NT Construcciones</x:v>
      </x:c>
      <x:c r="I7" s="136" t="str">
        <x:v>Obras civiles industriales / montaje</x:v>
      </x:c>
      <x:c r="J7" s="136" t="str">
        <x:v>Construcción y obra vial</x:v>
      </x:c>
      <x:c r="K7" s="136" t="str">
        <x:v>+54 9 3571 597645</x:v>
      </x:c>
      <x:c r="L7" s="136" t="str">
        <x:v>OK</x:v>
      </x:c>
      <x:c r="M7" s="136" t="str">
        <x:v>operaciones / jefe de obra</x:v>
      </x:c>
      <x:c r="N7" s="136" t="str">
        <x:v>Traslado de maquinaria, módulos de obrador, estructuras, equipos y cargas pesadas entre frentes.</x:v>
      </x:c>
      <x:c r="O7" s="136" t="str">
        <x:v>Transporte especial de equipos/obrador + apoyo de hidrogrúa según maniobra + seguro/GPS.</x:v>
      </x:c>
      <x:c r="P7" s="136" t="str">
        <x:v>Obras civiles industriales, montaje de naves y mantenimiento en complejos fabriles; clientes industriales regionales.</x:v>
      </x:c>
      <x:c r="Q7" s="136" t="str">
        <x:v>Validar teléfono/contacto; si responde, pedir un caso concreto de traslado o próximo movimiento.</x:v>
      </x:c>
      <x:c r="R7" s="136"/>
      <x:c r="S7" s="158" t="str">
        <x:f>IFERROR(T(INDEX('Prospectos Resumen'!$K$9:$K$295,MATCH(A7,'Prospectos Resumen'!$A$9:$A$295,0))),"")</x:f>
      </x:c>
      <x:c r="T7" s="136"/>
      <x:c r="U7" s="136"/>
      <x:c r="V7" s="136"/>
      <x:c r="W7" s="136"/>
      <x:c r="X7" s="136" t="str">
        <x:v>tel:+5493571597645</x:v>
      </x:c>
      <x:c r="Y7" s="136" t="str">
        <x:v>tel:+5493571597645</x:v>
      </x:c>
      <x:c r="Z7" s="136" t="str">
        <x:v>Confirmar decisor y vigencia del dato antes de incluir en salida prioritaria.</x:v>
      </x:c>
      <x:c r="AA7" s="136" t="str">
        <x:v>https://www.google.com/maps/search/?api=1&amp;query=NT+Construcciones+R%C3%ADo+Tercero+C%C3%B3rdoba+Argentina</x:v>
      </x:c>
      <x:c r="AB7" s="136" t="str">
        <x:v>Web propia NT Construcciones</x:v>
      </x:c>
      <x:c r="AC7" s="136" t="str">
        <x:v>https://ntconstrucciones.com</x:v>
      </x:c>
      <x:c r="AD7" s="136" t="str">
        <x:v>Servicios: obras civiles industriales, estructuras de hormigón, montaje de naves; teléfono y oficina publicados.</x:v>
      </x:c>
      <x:c r="AE7" s="136" t="str">
        <x:v>Alta</x:v>
      </x:c>
      <x:c r="AF7" s="136" t="str">
        <x:v>Nuevo enriquecimiento 2026-09-02</x:v>
      </x:c>
      <x:c r="AG7" s="136" t="str">
        <x:v>transporte de áridos/materiales | hidrogrúa para carga/descarga | percha para pallets/bolsones</x:v>
      </x:c>
      <x:c r="AH7" s="136" t="str">
        <x:v>otro rubro factible</x:v>
      </x:c>
      <x:c r="AI7" s="136" t="str">
        <x:v>Sí</x:v>
      </x:c>
      <x:c r="AJ7" s="136" t="str">
        <x:v>Muy alta</x:v>
      </x:c>
      <x:c r="AK7" s="136"/>
      <x:c r="AL7" s="136" t="str">
        <x:v>GPT adjunto + Hermes</x:v>
      </x:c>
      <x:c r="AM7" s="136" t="str">
        <x:v>Fusionado con base Hermes para completar teléfonos/fuentes/servicios.</x:v>
      </x:c>
    </x:row>
    <x:row r="8" ht="60">
      <x:c r="A8" s="135" t="str">
        <x:v>RT-064</x:v>
      </x:c>
      <x:c r="B8" s="135" t="str">
        <x:v>Pendiente</x:v>
      </x:c>
      <x:c r="C8" s="135" t="str">
        <x:v>Base Río Tercero</x:v>
      </x:c>
      <x:c r="D8" s="135" t="str">
        <x:v>Río Tercero / corredor agro</x:v>
      </x:c>
      <x:c r="E8" s="135" t="str">
        <x:v>Río Tercero</x:v>
      </x:c>
      <x:c r="F8" s="135" t="str">
        <x:v>A</x:v>
      </x:c>
      <x:c r="G8" s="135" t="n">
        <x:v>100</x:v>
      </x:c>
      <x:c r="H8" s="135" t="str">
        <x:v>SALA / Agrotecnología Sala — Río Tercero</x:v>
      </x:c>
      <x:c r="I8" s="135" t="str">
        <x:v>Concesionario John Deere / PLA / maquinaria agrícola / postventa</x:v>
      </x:c>
      <x:c r="J8" s="135" t="str">
        <x:v>Maquinaria agrícola</x:v>
      </x:c>
      <x:c r="K8" s="135" t="str">
        <x:v>+54 9 358 4843387</x:v>
      </x:c>
      <x:c r="L8" s="135" t="str">
        <x:v>OK</x:v>
      </x:c>
      <x:c r="M8" s="135" t="str">
        <x:v>logística / entregas / usados / postventa / gerente comercial</x:v>
      </x:c>
      <x:c r="N8" s="135" t="str">
        <x:v>Entrega y retiro de tractores, cosechadoras, pulverizadoras, sembradoras e implementos; movimientos por ventas, canjes, usados, service, demostraciones y ferias.</x:v>
      </x:c>
      <x:c r="O8" s="135" t="str">
        <x:v>Plataforma 20 tn para equipos e implementos + malacate/hidrogrúa según maniobra + seguro de carga + trazabilidad GPS + coordinación de entrega.</x:v>
      </x:c>
      <x:c r="P8" s="135" t="str">
        <x:v>Tercerizar entregas y retiros para no inmovilizar flota propia; absorber picos de campaña, ventas, canjes y service fuera de zona con un proveedor regional.</x:v>
      </x:c>
      <x:c r="Q8" s="135" t="str">
        <x:v>Llamada prioritaria; pedir por logística/ventas/postventa y consultar cómo resuelven hoy el próximo equipo a entregar o retirar.</x:v>
      </x:c>
      <x:c r="R8" s="135"/>
      <x:c r="S8" s="158" t="str">
        <x:f>IFERROR(T(INDEX('Prospectos Resumen'!$K$9:$K$295,MATCH(A8,'Prospectos Resumen'!$A$9:$A$295,0))),"")</x:f>
      </x:c>
      <x:c r="T8" s="135"/>
      <x:c r="U8" s="135"/>
      <x:c r="V8" s="135"/>
      <x:c r="W8" s="135"/>
      <x:c r="X8" s="135" t="str">
        <x:v>tel:+5493584843387</x:v>
      </x:c>
      <x:c r="Y8" s="135" t="str">
        <x:v>tel:+5493584843387</x:v>
      </x:c>
      <x:c r="Z8" s="135" t="str">
        <x:v>Confirmar decisor de logística/entregas y frecuencia mensual de movimientos de equipos.</x:v>
      </x:c>
      <x:c r="AA8" s="135" t="str">
        <x:v>https://www.google.com/maps/search/?api=1&amp;query=SALA+%2F+Agrotecnolog%C3%ADa+Sala+%E2%80%94+R%C3%ADo+Tercero+R%C3%ADo+Tercero+C%C3%B3rdoba+Argentina</x:v>
      </x:c>
      <x:c r="AB8" s="135" t="str">
        <x:v>Asociación de Concesionarios John Deere / SALA</x:v>
      </x:c>
      <x:c r="AC8" s="135" t="str">
        <x:v>https://acjd.com.ar/concesionarios/</x:v>
      </x:c>
      <x:c r="AD8" s="135" t="str">
        <x:v>La Asociación de Concesionarios John Deere publica a Agrotecnología Sala con sucursal en Río Tercero; punto local sobre RP6.</x:v>
      </x:c>
      <x:c r="AE8" s="135" t="str">
        <x:v>Alta</x:v>
      </x:c>
      <x:c r="AF8" s="135" t="str">
        <x:v>Rastrillaje concesionarios agro 2026-09-07</x:v>
      </x:c>
      <x:c r="AG8" s="135" t="str">
        <x:v>plataforma 20 tn para maquinaria agrícola | hidrogrúa para maniobras | malacate | seguro de carga | trazabilidad GPS | coordinación de entregas</x:v>
      </x:c>
      <x:c r="AH8" s="135" t="str">
        <x:v>concesionario agro / maquinaria agrícola</x:v>
      </x:c>
      <x:c r="AI8" s="135" t="str">
        <x:v>Sí</x:v>
      </x:c>
      <x:c r="AJ8" s="135" t="str">
        <x:v>Muy alta</x:v>
      </x:c>
      <x:c r="AK8" s="135" t="str">
        <x:v>Concesionario: preguntar específicamente cómo resuelven entregas, retiros de usados, canjes, service fuera de zona y traslados a exposiciones.</x:v>
      </x:c>
      <x:c r="AL8" s="135" t="str">
        <x:v>Rastrillaje concesionarios agro 2026-09-07</x:v>
      </x:c>
      <x:c r="AM8" s="135" t="str">
        <x:v>Alta nueva del barrido específico de concesionarios, sucursales y multimarca agro; cruzada contra la base maestra para evitar duplicados.</x:v>
      </x:c>
    </x:row>
    <x:row r="9" ht="48">
      <x:c r="A9" s="136" t="str">
        <x:v>RT-006</x:v>
      </x:c>
      <x:c r="B9" s="136" t="str">
        <x:v>Pendiente</x:v>
      </x:c>
      <x:c r="C9" s="136" t="str">
        <x:v>Base Río Tercero</x:v>
      </x:c>
      <x:c r="D9" s="136" t="str">
        <x:v>Río Tercero / zona industrial</x:v>
      </x:c>
      <x:c r="E9" s="136" t="str">
        <x:v>Río Tercero</x:v>
      </x:c>
      <x:c r="F9" s="136" t="str">
        <x:v>A</x:v>
      </x:c>
      <x:c r="G9" s="136" t="n">
        <x:v>100</x:v>
      </x:c>
      <x:c r="H9" s="136" t="str">
        <x:v>Sinfix SAS</x:v>
      </x:c>
      <x:c r="I9" s="136" t="str">
        <x:v>Sinfines para agro e industria</x:v>
      </x:c>
      <x:c r="J9" s="136" t="str">
        <x:v>Metalúrgica y fabricación</x:v>
      </x:c>
      <x:c r="K9" s="136" t="str">
        <x:v>+54 9 3571 405077</x:v>
      </x:c>
      <x:c r="L9" s="136" t="str">
        <x:v>OK</x:v>
      </x:c>
      <x:c r="M9" s="136" t="str">
        <x:v>despacho / producción</x:v>
      </x:c>
      <x:c r="N9" s="136" t="str">
        <x:v>Despacho de estructuras, piezas, equipos y conjuntos metalmecánicos de gran porte hacia obras o clientes.</x:v>
      </x:c>
      <x:c r="O9" s="136" t="str">
        <x:v>Plataforma 20 tn para piezas/estructuras + seguro de carga + trazabilidad GPS + apoyo de hidrogrúa según maniobra.</x:v>
      </x:c>
      <x:c r="P9" s="136" t="str">
        <x:v>Fabrica sinfines para sectores agrícola, ganadero, minero y alimenticio; despacho nacional de piezas y conjuntos.</x:v>
      </x:c>
      <x:c r="Q9" s="136" t="str">
        <x:v>Llamada prioritaria; pedir próximo traslado concreto y, si hay encaje, coordinar visita.</x:v>
      </x:c>
      <x:c r="R9" s="136"/>
      <x:c r="S9" s="158" t="str">
        <x:f>IFERROR(T(INDEX('Prospectos Resumen'!$K$9:$K$295,MATCH(A9,'Prospectos Resumen'!$A$9:$A$295,0))),"")</x:f>
      </x:c>
      <x:c r="T9" s="136"/>
      <x:c r="U9" s="136"/>
      <x:c r="V9" s="136"/>
      <x:c r="W9" s="136"/>
      <x:c r="X9" s="136" t="str">
        <x:v>tel:+5493571405077</x:v>
      </x:c>
      <x:c r="Y9" s="136" t="str">
        <x:v>tel:+5493571405077</x:v>
      </x:c>
      <x:c r="Z9" s="136" t="str">
        <x:v>Confirmar decisor, frecuencia de movimientos y vigencia del contacto antes de cotizar.</x:v>
      </x:c>
      <x:c r="AA9" s="136" t="str">
        <x:v>https://www.google.com/maps/search/?api=1&amp;query=Sinfix+SAS+R%C3%ADo+Tercero+C%C3%B3rdoba+Argentina</x:v>
      </x:c>
      <x:c r="AB9" s="136" t="str">
        <x:v>Web propia SINFIX</x:v>
      </x:c>
      <x:c r="AC9" s="136" t="str">
        <x:v>https://sinfix.com.ar/</x:v>
      </x:c>
      <x:c r="AD9" s="136" t="str">
        <x:v>Fabrica sinfines para sectores agrícola, ganadero, minero y alimenticio; despacho nacional de piezas y conjuntos.</x:v>
      </x:c>
      <x:c r="AE9" s="136" t="str">
        <x:v>Alta</x:v>
      </x:c>
      <x:c r="AF9" s="136" t="str">
        <x:v>Enriquecimiento web 2026-09-07</x:v>
      </x:c>
      <x:c r="AG9" s="136" t="str">
        <x:v>transporte de áridos/materiales | hidrogrúa para carga/descarga | percha para pallets/bolsones | plataforma 20 tn para maquinaria/piezas | hidrogrúa para maniobras | percha para pallets</x:v>
      </x:c>
      <x:c r="AH9" s="136" t="str">
        <x:v>otro rubro factible</x:v>
      </x:c>
      <x:c r="AI9" s="136" t="str">
        <x:v>Sí</x:v>
      </x:c>
      <x:c r="AJ9" s="136" t="str">
        <x:v>Muy alta</x:v>
      </x:c>
      <x:c r="AK9" s="136" t="str">
        <x:v>Percha pallets: útil para insumos, bolsones, repuestos y materiales palletizados.</x:v>
      </x:c>
      <x:c r="AL9" s="136" t="str">
        <x:v>GPT adjunto</x:v>
      </x:c>
      <x:c r="AM9" s="136"/>
    </x:row>
    <x:row r="10" ht="24">
      <x:c r="A10" s="135" t="str">
        <x:v>RT-007</x:v>
      </x:c>
      <x:c r="B10" s="135" t="str">
        <x:v>Pendiente</x:v>
      </x:c>
      <x:c r="C10" s="135" t="str">
        <x:v>Base Río Tercero</x:v>
      </x:c>
      <x:c r="D10" s="135" t="str">
        <x:v>Río Tercero / zona industrial</x:v>
      </x:c>
      <x:c r="E10" s="135" t="str">
        <x:v>Río Tercero</x:v>
      </x:c>
      <x:c r="F10" s="135" t="str">
        <x:v>A</x:v>
      </x:c>
      <x:c r="G10" s="135" t="n">
        <x:v>100</x:v>
      </x:c>
      <x:c r="H10" s="135" t="str">
        <x:v>Suragro - Implementos Agrícolas</x:v>
      </x:c>
      <x:c r="I10" s="135" t="str">
        <x:v>Fabricación de maquinaria agrícola</x:v>
      </x:c>
      <x:c r="J10" s="135" t="str">
        <x:v>Maquinaria agrícola</x:v>
      </x:c>
      <x:c r="K10" s="135" t="str">
        <x:v>03571 424574</x:v>
      </x:c>
      <x:c r="L10" s="135" t="str">
        <x:v>OK</x:v>
      </x:c>
      <x:c r="M10" s="135" t="str">
        <x:v>logística / despacho / postventa</x:v>
      </x:c>
      <x:c r="N10" s="135" t="str">
        <x:v>Traslado de maquinaria, implementos, equipos terminados y componentes de gran porte entre planta, cliente, obra o feria.</x:v>
      </x:c>
      <x:c r="O10" s="135" t="str">
        <x:v>Plataforma 20 tn + malacate/hidrogrúa según maniobra + seguro de carga + trazabilidad GPS.</x:v>
      </x:c>
      <x:c r="P10" s="135" t="str">
        <x:v>Fabricante local de maquinaria agrícola; alto potencial de despachos de equipos terminados.</x:v>
      </x:c>
      <x:c r="Q10" s="135" t="str">
        <x:v>Llamada prioritaria; pedir próximo traslado concreto y, si hay encaje, coordinar visita.</x:v>
      </x:c>
      <x:c r="R10" s="135"/>
      <x:c r="S10" s="158" t="str">
        <x:f>IFERROR(T(INDEX('Prospectos Resumen'!$K$9:$K$295,MATCH(A10,'Prospectos Resumen'!$A$9:$A$295,0))),"")</x:f>
      </x:c>
      <x:c r="T10" s="135"/>
      <x:c r="U10" s="135"/>
      <x:c r="V10" s="135"/>
      <x:c r="W10" s="135"/>
      <x:c r="X10" s="135" t="str">
        <x:v>tel:+543571424574</x:v>
      </x:c>
      <x:c r="Y10" s="135" t="str">
        <x:v>tel:+543571424574</x:v>
      </x:c>
      <x:c r="Z10" s="135" t="str">
        <x:v>Confirmar decisor, frecuencia de movimientos y vigencia del contacto antes de cotizar.</x:v>
      </x:c>
      <x:c r="AA10" s="135" t="str">
        <x:v>https://www.google.com/maps/search/?api=1&amp;query=Suragro+-+Implementos+Agr%C3%ADcolas+R%C3%ADo+Tercero+C%C3%B3rdoba+Argentina</x:v>
      </x:c>
      <x:c r="AB10" s="135" t="str">
        <x:v>Google Maps / ficha pública</x:v>
      </x:c>
      <x:c r="AC10" s="135" t="str">
        <x:v>https://www.google.com/maps/search/?api=1&amp;query=Suragro+Implementos+Agr%C3%ADcolas+R%C3%ADo+Tercero+C%C3%B3rdoba+Argentina</x:v>
      </x:c>
      <x:c r="AD10" s="135" t="str">
        <x:v>Fabricante local de maquinaria agrícola; alto potencial de despachos de equipos terminados.</x:v>
      </x:c>
      <x:c r="AE10" s="135" t="str">
        <x:v>Alta</x:v>
      </x:c>
      <x:c r="AF10" s="135" t="str">
        <x:v>Enriquecimiento web 2026-09-07</x:v>
      </x:c>
      <x:c r="AG10" s="135" t="str">
        <x:v>transporte de áridos/materiales | hidrogrúa para carga/descarga | percha para pallets/bolsones | plataforma 20 tn para maquinaria/piezas | hidrogrúa para maniobras | percha para pallets</x:v>
      </x:c>
      <x:c r="AH10" s="135" t="str">
        <x:v>fabricante/servicio maquinaria agrícola</x:v>
      </x:c>
      <x:c r="AI10" s="135" t="str">
        <x:v>Sí</x:v>
      </x:c>
      <x:c r="AJ10" s="135" t="str">
        <x:v>Muy alta</x:v>
      </x:c>
      <x:c r="AK10" s="135"/>
      <x:c r="AL10" s="135" t="str">
        <x:v>GPT adjunto</x:v>
      </x:c>
      <x:c r="AM10" s="135"/>
    </x:row>
    <x:row r="11" ht="60">
      <x:c r="A11" s="136" t="str">
        <x:v>RT-008</x:v>
      </x:c>
      <x:c r="B11" s="136" t="str">
        <x:v>Pendiente</x:v>
      </x:c>
      <x:c r="C11" s="136" t="str">
        <x:v>Base Río Tercero</x:v>
      </x:c>
      <x:c r="D11" s="136" t="str">
        <x:v>Río Tercero</x:v>
      </x:c>
      <x:c r="E11" s="136" t="str">
        <x:v>Río Tercero</x:v>
      </x:c>
      <x:c r="F11" s="136" t="str">
        <x:v>A</x:v>
      </x:c>
      <x:c r="G11" s="136" t="n">
        <x:v>100</x:v>
      </x:c>
      <x:c r="H11" s="136" t="str">
        <x:v>Tres Eme S.A.</x:v>
      </x:c>
      <x:c r="I11" s="136" t="str">
        <x:v>Silos y mecanización</x:v>
      </x:c>
      <x:c r="J11" s="136" t="str">
        <x:v>Agro, acopio y cooperativas</x:v>
      </x:c>
      <x:c r="K11" s="136" t="str">
        <x:v>03571 432190 / 03571 637720</x:v>
      </x:c>
      <x:c r="L11" s="136" t="str">
        <x:v>OK</x:v>
      </x:c>
      <x:c r="M11" s="136" t="str">
        <x:v>responsable de acopio / mantenimiento</x:v>
      </x:c>
      <x:c r="N11" s="136" t="str">
        <x:v>Traslado de equipos de planta, silos, repuestos pesados, balanzas, implementos y cargas especiales.</x:v>
      </x:c>
      <x:c r="O11" s="136" t="str">
        <x:v>Movimiento de equipos de planta, silos, balanzas, repuestos y cargas especiales para acopios/agroindustria.</x:v>
      </x:c>
      <x:c r="P11" s="136" t="str">
        <x:v>Ofrecer flete + descarga/posicionamiento en obra rural.</x:v>
      </x:c>
      <x:c r="Q11" s="136" t="str">
        <x:v>Visita o llamada de validación; pedir próximo traslado concreto.</x:v>
      </x:c>
      <x:c r="R11" s="136"/>
      <x:c r="S11" s="158" t="str">
        <x:f>IFERROR(T(INDEX('Prospectos Resumen'!$K$9:$K$295,MATCH(A11,'Prospectos Resumen'!$A$9:$A$295,0))),"")</x:f>
      </x:c>
      <x:c r="T11" s="136"/>
      <x:c r="U11" s="136"/>
      <x:c r="V11" s="136"/>
      <x:c r="W11" s="136"/>
      <x:c r="X11" s="136" t="str">
        <x:v>tel:+543571432190</x:v>
      </x:c>
      <x:c r="Y11" s="136" t="str">
        <x:v>tel:+543571432190 | tel:+543571637720</x:v>
      </x:c>
      <x:c r="Z11" s="136" t="str">
        <x:v>Validar contacto decisor y necesidad inmediata.</x:v>
      </x:c>
      <x:c r="AA11" s="136" t="str">
        <x:v>https://www.google.com/maps/search/?api=1&amp;query=-32.181000,-64.103000</x:v>
      </x:c>
      <x:c r="AB11" s="136" t="str">
        <x:v>parqueindustrial.riotercero.gob.ar/empresa/Tres-Eme-S.A.</x:v>
      </x:c>
      <x:c r="AC11" s="136"/>
      <x:c r="AD11" s="136" t="str">
        <x:v>Registro curado en documento de dirección PRESOL 2026-09.</x:v>
      </x:c>
      <x:c r="AE11" s="136" t="str">
        <x:v>Alta</x:v>
      </x:c>
      <x:c r="AF11" s="136" t="str">
        <x:v>Base curada PDF dirección</x:v>
      </x:c>
      <x:c r="AG11" s="136" t="str">
        <x:v>plataforma 20 tn para maquinaria/piezas | hidrogrúa para maniobras | percha para pallets | percha para pallets de insumos | hidrogrúa para equipos/mantenimiento | barquilla para trabajos en altura</x:v>
      </x:c>
      <x:c r="AH11" s="136" t="str">
        <x:v>otro rubro factible</x:v>
      </x:c>
      <x:c r="AI11" s="136" t="str">
        <x:v>Sí</x:v>
      </x:c>
      <x:c r="AJ11" s="136" t="str">
        <x:v>Muy alta</x:v>
      </x:c>
      <x:c r="AK11" s="136"/>
      <x:c r="AL11" s="136" t="str">
        <x:v>GPT adjunto + Hermes</x:v>
      </x:c>
      <x:c r="AM11" s="136" t="str">
        <x:v>Fusionado con base Hermes para completar teléfonos/fuentes/servicios.</x:v>
      </x:c>
    </x:row>
    <x:row r="12" ht="48">
      <x:c r="A12" s="135" t="str">
        <x:v>RT-009</x:v>
      </x:c>
      <x:c r="B12" s="135" t="str">
        <x:v>Pendiente</x:v>
      </x:c>
      <x:c r="C12" s="135" t="str">
        <x:v>Base Río Tercero</x:v>
      </x:c>
      <x:c r="D12" s="135" t="str">
        <x:v>Río Tercero</x:v>
      </x:c>
      <x:c r="E12" s="135" t="str">
        <x:v>Río Tercero</x:v>
      </x:c>
      <x:c r="F12" s="135" t="str">
        <x:v>A</x:v>
      </x:c>
      <x:c r="G12" s="135" t="n">
        <x:v>100</x:v>
      </x:c>
      <x:c r="H12" s="135" t="str">
        <x:v>Vial del Centro</x:v>
      </x:c>
      <x:c r="I12" s="135" t="str">
        <x:v>Obras de infraestructura vial</x:v>
      </x:c>
      <x:c r="J12" s="135" t="str">
        <x:v>Construcción y obra vial</x:v>
      </x:c>
      <x:c r="K12" s="135" t="str">
        <x:v>0351 6411413</x:v>
      </x:c>
      <x:c r="L12" s="135" t="str">
        <x:v>OK</x:v>
      </x:c>
      <x:c r="M12" s="135" t="str">
        <x:v>operaciones / entregas</x:v>
      </x:c>
      <x:c r="N12" s="135" t="str">
        <x:v>Traslado de maquinaria, módulos de obrador, estructuras, equipos y cargas pesadas entre frentes.</x:v>
      </x:c>
      <x:c r="O12" s="135" t="str">
        <x:v>Entrega y descarga de módulos/containers con plataforma, malacate e hidrogrúa según maniobra.</x:v>
      </x:c>
      <x:c r="P12" s="135" t="str">
        <x:v>Pedir próximo movimiento de maquinaria entre frentes.</x:v>
      </x:c>
      <x:c r="Q12" s="135" t="str">
        <x:v>Visita o llamada de validación; pedir próximo traslado concreto.</x:v>
      </x:c>
      <x:c r="R12" s="135"/>
      <x:c r="S12" s="158" t="str">
        <x:f>IFERROR(T(INDEX('Prospectos Resumen'!$K$9:$K$295,MATCH(A12,'Prospectos Resumen'!$A$9:$A$295,0))),"")</x:f>
      </x:c>
      <x:c r="T12" s="135"/>
      <x:c r="U12" s="135"/>
      <x:c r="V12" s="135"/>
      <x:c r="W12" s="135"/>
      <x:c r="X12" s="135" t="str">
        <x:v>tel:+543516411413</x:v>
      </x:c>
      <x:c r="Y12" s="135" t="str">
        <x:v>tel:+543516411413</x:v>
      </x:c>
      <x:c r="Z12" s="135" t="str">
        <x:v>Validar contacto decisor y necesidad inmediata.</x:v>
      </x:c>
      <x:c r="AA12" s="135" t="str">
        <x:v>https://www.google.com/maps/search/?api=1&amp;query=-32.183000,-64.101000</x:v>
      </x:c>
      <x:c r="AB12" s="135" t="str">
        <x:v>Parque Industrial Río Tercero</x:v>
      </x:c>
      <x:c r="AC12" s="135"/>
      <x:c r="AD12" s="135" t="str">
        <x:v>Registro curado en documento de dirección PRESOL 2026-09.</x:v>
      </x:c>
      <x:c r="AE12" s="135" t="str">
        <x:v>Alta</x:v>
      </x:c>
      <x:c r="AF12" s="135" t="str">
        <x:v>Base curada PDF dirección</x:v>
      </x:c>
      <x:c r="AG12" s="135" t="str">
        <x:v>transporte de áridos/materiales | hidrogrúa para carga/descarga | percha para pallets/bolsones</x:v>
      </x:c>
      <x:c r="AH12" s="135" t="str">
        <x:v>otro rubro factible</x:v>
      </x:c>
      <x:c r="AI12" s="135" t="str">
        <x:v>Sí</x:v>
      </x:c>
      <x:c r="AJ12" s="135" t="str">
        <x:v>Muy alta</x:v>
      </x:c>
      <x:c r="AK12" s="135"/>
      <x:c r="AL12" s="135" t="str">
        <x:v>GPT adjunto + Hermes</x:v>
      </x:c>
      <x:c r="AM12" s="135" t="str">
        <x:v>Fusionado con base Hermes para completar teléfonos/fuentes/servicios.</x:v>
      </x:c>
    </x:row>
    <x:row r="13" ht="60">
      <x:c r="A13" s="136" t="str">
        <x:v>RT-010</x:v>
      </x:c>
      <x:c r="B13" s="136" t="str">
        <x:v>Pendiente</x:v>
      </x:c>
      <x:c r="C13" s="136" t="str">
        <x:v>Base Río Tercero</x:v>
      </x:c>
      <x:c r="D13" s="136" t="str">
        <x:v>Río Tercero / zona industrial</x:v>
      </x:c>
      <x:c r="E13" s="136" t="str">
        <x:v>Río Tercero</x:v>
      </x:c>
      <x:c r="F13" s="136" t="str">
        <x:v>A</x:v>
      </x:c>
      <x:c r="G13" s="136" t="n">
        <x:v>96</x:v>
      </x:c>
      <x:c r="H13" s="136" t="str">
        <x:v>HORMIWORK S.A.</x:v>
      </x:c>
      <x:c r="I13" s="136" t="str">
        <x:v>Premoldeados de hormigón pulido</x:v>
      </x:c>
      <x:c r="J13" s="136" t="str">
        <x:v>Hormigón, áridos y materiales</x:v>
      </x:c>
      <x:c r="K13" s="136" t="str">
        <x:v>03571 565662 (portería parque)</x:v>
      </x:c>
      <x:c r="L13" s="136" t="str">
        <x:v>Verificar</x:v>
      </x:c>
      <x:c r="M13" s="136" t="str">
        <x:v>planta / despacho</x:v>
      </x:c>
      <x:c r="N13" s="136" t="str">
        <x:v>Movimiento de premoldeados, moldes, equipos de planta y cargas pesadas asociadas a obra.</x:v>
      </x:c>
      <x:c r="O13" s="136" t="str">
        <x:v>Transporte de premoldeados/equipos en plataforma + coordinación de descarga/posicionamiento con hidrogrúa cuando aplique.</x:v>
      </x:c>
      <x:c r="P13" s="136" t="str">
        <x:v>Empresa radicada para fabricar premoldeados de hormigón pulido; contacto por correo/parque.</x:v>
      </x:c>
      <x:c r="Q13" s="136" t="str">
        <x:v>Llamada prioritaria; pedir próximo traslado concreto y, si hay encaje, coordinar visita.</x:v>
      </x:c>
      <x:c r="R13" s="136"/>
      <x:c r="S13" s="158" t="str">
        <x:f>IFERROR(T(INDEX('Prospectos Resumen'!$K$9:$K$295,MATCH(A13,'Prospectos Resumen'!$A$9:$A$295,0))),"")</x:f>
      </x:c>
      <x:c r="T13" s="136"/>
      <x:c r="U13" s="136"/>
      <x:c r="V13" s="136"/>
      <x:c r="W13" s="136"/>
      <x:c r="X13" s="136" t="str">
        <x:v>tel:+543571565662</x:v>
      </x:c>
      <x:c r="Y13" s="136" t="str">
        <x:v>tel:+543571565662</x:v>
      </x:c>
      <x:c r="Z13" s="136" t="str">
        <x:v>Confirmar decisor, frecuencia de movimientos y vigencia del contacto antes de cotizar.</x:v>
      </x:c>
      <x:c r="AA13" s="136" t="str">
        <x:v>https://www.google.com/maps/search/?api=1&amp;query=HORMIWORK+S.A.+R%C3%ADo+Tercero+C%C3%B3rdoba+Argentina</x:v>
      </x:c>
      <x:c r="AB13" s="136" t="str">
        <x:v>Parque Industrial Río Tercero</x:v>
      </x:c>
      <x:c r="AC13" s="136" t="str">
        <x:v>https://parqueindustrial.riotercero.gob.ar/empresa/HORMIWORK-S.A.</x:v>
      </x:c>
      <x:c r="AD13" s="136" t="str">
        <x:v>Empresa radicada para fabricar premoldeados de hormigón pulido; contacto por correo/parque. | Ficha del parque: fabricación de premoldeados de hormigón pulido; dirección E. del Campo 1271; contacto hormiwork@gmail.com.</x:v>
      </x:c>
      <x:c r="AE13" s="136" t="str">
        <x:v>Media</x:v>
      </x:c>
      <x:c r="AF13" s="136" t="str">
        <x:v>Enriquecimiento web 2026-09-07</x:v>
      </x:c>
      <x:c r="AG13" s="136" t="str">
        <x:v>transporte de áridos/materiales | hidrogrúa para carga/descarga | percha para pallets/bolsones</x:v>
      </x:c>
      <x:c r="AH13" s="136" t="str">
        <x:v>áridos/construcción/premoldeados</x:v>
      </x:c>
      <x:c r="AI13" s="136" t="str">
        <x:v>Sí</x:v>
      </x:c>
      <x:c r="AJ13" s="136" t="str">
        <x:v>Alta</x:v>
      </x:c>
      <x:c r="AK13" s="136" t="str">
        <x:v>Áridos/materiales: confirmar modalidad de carga/descarga y tipo de unidad requerida antes de cotizar.</x:v>
      </x:c>
      <x:c r="AL13" s="136" t="str">
        <x:v>GPT adjunto + Hermes</x:v>
      </x:c>
      <x:c r="AM13" s="136" t="str">
        <x:v>Fusionado con base Hermes para completar teléfonos/fuentes/servicios. | ID fuente: RT-016</x:v>
      </x:c>
    </x:row>
    <x:row r="14" ht="48">
      <x:c r="A14" s="135" t="str">
        <x:v>RT-062</x:v>
      </x:c>
      <x:c r="B14" s="135" t="str">
        <x:v>Pendiente</x:v>
      </x:c>
      <x:c r="C14" s="135" t="str">
        <x:v>Base Río Tercero</x:v>
      </x:c>
      <x:c r="D14" s="135" t="str">
        <x:v>Río Tercero / zona industrial</x:v>
      </x:c>
      <x:c r="E14" s="135" t="str">
        <x:v>Río Tercero</x:v>
      </x:c>
      <x:c r="F14" s="135" t="str">
        <x:v>A</x:v>
      </x:c>
      <x:c r="G14" s="135" t="n">
        <x:v>95</x:v>
      </x:c>
      <x:c r="H14" s="135" t="str">
        <x:v>Bartolomé Cerutti SRL — Río Tercero</x:v>
      </x:c>
      <x:c r="I14" s="135" t="str">
        <x:v>Concesionario New Holland / maquinaria agrícola y construcción</x:v>
      </x:c>
      <x:c r="J14" s="135" t="str">
        <x:v>Maquinaria agrícola</x:v>
      </x:c>
      <x:c r="K14" s="135" t="str">
        <x:v>03571 644022</x:v>
      </x:c>
      <x:c r="L14" s="135" t="str">
        <x:v>OK</x:v>
      </x:c>
      <x:c r="M14" s="135" t="str">
        <x:v>logística / ventas / postventa</x:v>
      </x:c>
      <x:c r="N14" s="135" t="str">
        <x:v>Entrega y retiro de tractores, cosechadoras, pulverizadoras, sembradoras e implementos; movimientos por venta, service, canje, demostraciones o ferias.</x:v>
      </x:c>
      <x:c r="O14" s="135" t="str">
        <x:v>Plataforma 20 tn para maquinaria agrícola + malacate/hidrogrúa según maniobra + seguro de carga + trazabilidad GPS.</x:v>
      </x:c>
      <x:c r="P14" s="135" t="str">
        <x:v>Ofrecer transporte tercerizado para entregas a clientes y retiros de usados/service, especialmente en picos de campaña y operaciones fuera de zona.</x:v>
      </x:c>
      <x:c r="Q14" s="135" t="str">
        <x:v>Llamada comercial prioritaria; pedir por logística/ventas/postventa y consultar próximo equipo a trasladar.</x:v>
      </x:c>
      <x:c r="R14" s="135"/>
      <x:c r="S14" s="158" t="str">
        <x:f>IFERROR(T(INDEX('Prospectos Resumen'!$K$9:$K$295,MATCH(A14,'Prospectos Resumen'!$A$9:$A$295,0))),"")</x:f>
      </x:c>
      <x:c r="T14" s="135"/>
      <x:c r="U14" s="135"/>
      <x:c r="V14" s="135"/>
      <x:c r="W14" s="135"/>
      <x:c r="X14" s="135" t="str">
        <x:v>tel:+543571644022</x:v>
      </x:c>
      <x:c r="Y14" s="135" t="str">
        <x:v>tel:+543571644022</x:v>
      </x:c>
      <x:c r="Z14" s="135" t="str">
        <x:v>Confirmar decisor y frecuencia de traslados.</x:v>
      </x:c>
      <x:c r="AA14" s="135" t="str">
        <x:v>https://www.google.com/maps/search/?api=1&amp;query=Bartolom%C3%A9+Cerutti+SRL+%E2%80%94+R%C3%ADo+Tercero+R%C3%ADo+Tercero+C%C3%B3rdoba+Argentina</x:v>
      </x:c>
      <x:c r="AB14" s="135" t="str">
        <x:v>Web oficial Bartolomé Cerutti</x:v>
      </x:c>
      <x:c r="AC14" s="135" t="str">
        <x:v>https://bartolomecerutti.com.ar/empresa/</x:v>
      </x:c>
      <x:c r="AD14" s="135" t="str">
        <x:v>Sucursal Río Tercero de concesionario New Holland; punto comercial para maquinaria y equipos.</x:v>
      </x:c>
      <x:c r="AE14" s="135" t="str">
        <x:v>Alta</x:v>
      </x:c>
      <x:c r="AF14" s="135" t="str">
        <x:v>Rastrillaje agro-maquinaria web 2026-09-07</x:v>
      </x:c>
      <x:c r="AG14" s="135" t="str">
        <x:v>plataforma 20 tn para maquinaria/implementos | hidrogrúa para maniobras | malacate | seguro de carga | trazabilidad GPS</x:v>
      </x:c>
      <x:c r="AH14" s="135" t="str">
        <x:v>fabricante/concesionario/servicio maquinaria agrícola</x:v>
      </x:c>
      <x:c r="AI14" s="135" t="str">
        <x:v>Sí</x:v>
      </x:c>
      <x:c r="AJ14" s="135" t="str">
        <x:v>Muy alta</x:v>
      </x:c>
      <x:c r="AK14" s="135" t="str">
        <x:v>Perfil específico maquinaria agrícola: validar pesos/dimensiones, tipo de carga y disponibilidad de medios de izaje antes de cotizar.</x:v>
      </x:c>
      <x:c r="AL14" s="135" t="str">
        <x:v>Rastrillaje agro-maquinaria 2026-09-07</x:v>
      </x:c>
      <x:c r="AM14" s="135" t="str">
        <x:v>Alta nueva luego de barrido específico de fabricantes, implementos, tractores, concesionarios y agropartes; cruzada contra la base maestra para evitar duplicados.</x:v>
      </x:c>
    </x:row>
    <x:row r="15" ht="48">
      <x:c r="A15" s="136" t="str">
        <x:v>RT-055</x:v>
      </x:c>
      <x:c r="B15" s="136" t="str">
        <x:v>Pendiente</x:v>
      </x:c>
      <x:c r="C15" s="136" t="str">
        <x:v>Base Río Tercero</x:v>
      </x:c>
      <x:c r="D15" s="136" t="str">
        <x:v>Río Tercero / zona industrial</x:v>
      </x:c>
      <x:c r="E15" s="136" t="str">
        <x:v>Río Tercero</x:v>
      </x:c>
      <x:c r="F15" s="136" t="str">
        <x:v>A</x:v>
      </x:c>
      <x:c r="G15" s="136" t="n">
        <x:v>95</x:v>
      </x:c>
      <x:c r="H15" s="136" t="str">
        <x:v>Conax</x:v>
      </x:c>
      <x:c r="I15" s="136" t="str">
        <x:v>Venta e importación de tractores y maquinaria agrícola / vial</x:v>
      </x:c>
      <x:c r="J15" s="136" t="str">
        <x:v>Maquinaria agrícola</x:v>
      </x:c>
      <x:c r="K15" s="136" t="str">
        <x:v>+54 3571 348077</x:v>
      </x:c>
      <x:c r="L15" s="136" t="str">
        <x:v>OK</x:v>
      </x:c>
      <x:c r="M15" s="136" t="str">
        <x:v>logística / ventas / postventa</x:v>
      </x:c>
      <x:c r="N15" s="136" t="str">
        <x:v>Entrega y retiro de tractores, cosechadoras, pulverizadoras, sembradoras e implementos; movimientos por venta, service, canje, demostraciones o ferias.</x:v>
      </x:c>
      <x:c r="O15" s="136" t="str">
        <x:v>Plataforma 20 tn para maquinaria agrícola + malacate/hidrogrúa según maniobra + seguro de carga + trazabilidad GPS.</x:v>
      </x:c>
      <x:c r="P15" s="136" t="str">
        <x:v>Ofrecer transporte tercerizado para entregas a clientes y retiros de usados/service, especialmente en picos de campaña y operaciones fuera de zona.</x:v>
      </x:c>
      <x:c r="Q15" s="136" t="str">
        <x:v>Llamada comercial prioritaria; pedir por logística/ventas/postventa y consultar próximo equipo a trasladar.</x:v>
      </x:c>
      <x:c r="R15" s="136"/>
      <x:c r="S15" s="158" t="str">
        <x:f>IFERROR(T(INDEX('Prospectos Resumen'!$K$9:$K$295,MATCH(A15,'Prospectos Resumen'!$A$9:$A$295,0))),"")</x:f>
      </x:c>
      <x:c r="T15" s="136"/>
      <x:c r="U15" s="136"/>
      <x:c r="V15" s="136"/>
      <x:c r="W15" s="136"/>
      <x:c r="X15" s="136" t="str">
        <x:v>tel:+543571348077</x:v>
      </x:c>
      <x:c r="Y15" s="136" t="str">
        <x:v>tel:+543571348077</x:v>
      </x:c>
      <x:c r="Z15" s="136" t="str">
        <x:v>Confirmar decisor y frecuencia de traslados.</x:v>
      </x:c>
      <x:c r="AA15" s="136" t="str">
        <x:v>https://www.google.com/maps/search/?api=1&amp;query=Conax+R%C3%ADo+Tercero+C%C3%B3rdoba+Argentina</x:v>
      </x:c>
      <x:c r="AB15" s="136" t="str">
        <x:v>Web oficial CONAX</x:v>
      </x:c>
      <x:c r="AC15" s="136" t="str">
        <x:v>https://conax.com.ar/</x:v>
      </x:c>
      <x:c r="AD15" s="136" t="str">
        <x:v>Comercializa tractores, autoelevadores, minicargadoras y palas; centro de operaciones/showroom en Río Tercero.</x:v>
      </x:c>
      <x:c r="AE15" s="136" t="str">
        <x:v>Alta</x:v>
      </x:c>
      <x:c r="AF15" s="136" t="str">
        <x:v>Rastrillaje agro-maquinaria web 2026-09-07</x:v>
      </x:c>
      <x:c r="AG15" s="136" t="str">
        <x:v>plataforma 20 tn para maquinaria/implementos | hidrogrúa para maniobras | malacate | seguro de carga | trazabilidad GPS</x:v>
      </x:c>
      <x:c r="AH15" s="136" t="str">
        <x:v>fabricante/concesionario/servicio maquinaria agrícola</x:v>
      </x:c>
      <x:c r="AI15" s="136" t="str">
        <x:v>Sí</x:v>
      </x:c>
      <x:c r="AJ15" s="136" t="str">
        <x:v>Muy alta</x:v>
      </x:c>
      <x:c r="AK15" s="136" t="str">
        <x:v>Perfil específico maquinaria agrícola: validar pesos/dimensiones, tipo de carga y disponibilidad de medios de izaje antes de cotizar.</x:v>
      </x:c>
      <x:c r="AL15" s="136" t="str">
        <x:v>Rastrillaje agro-maquinaria 2026-09-07</x:v>
      </x:c>
      <x:c r="AM15" s="136" t="str">
        <x:v>Alta nueva luego de barrido específico de fabricantes, implementos, tractores, concesionarios y agropartes; cruzada contra la base maestra para evitar duplicados.</x:v>
      </x:c>
    </x:row>
    <x:row r="16" ht="48">
      <x:c r="A16" s="135" t="str">
        <x:v>RT-056</x:v>
      </x:c>
      <x:c r="B16" s="135" t="str">
        <x:v>Pendiente</x:v>
      </x:c>
      <x:c r="C16" s="135" t="str">
        <x:v>Base Río Tercero</x:v>
      </x:c>
      <x:c r="D16" s="135" t="str">
        <x:v>Río Tercero / zona industrial</x:v>
      </x:c>
      <x:c r="E16" s="135" t="str">
        <x:v>Río Tercero</x:v>
      </x:c>
      <x:c r="F16" s="135" t="str">
        <x:v>A</x:v>
      </x:c>
      <x:c r="G16" s="135" t="n">
        <x:v>95</x:v>
      </x:c>
      <x:c r="H16" s="135" t="str">
        <x:v>RSA Repuestos y Servicios</x:v>
      </x:c>
      <x:c r="I16" s="135" t="str">
        <x:v>Concesionario Ascanelli / maquinaria, repuestos y servicio técnico</x:v>
      </x:c>
      <x:c r="J16" s="135" t="str">
        <x:v>Maquinaria agrícola</x:v>
      </x:c>
      <x:c r="K16" s="135" t="str">
        <x:v>+54 9 3571 538080 / +54 9 3571 578870</x:v>
      </x:c>
      <x:c r="L16" s="135" t="str">
        <x:v>OK</x:v>
      </x:c>
      <x:c r="M16" s="135" t="str">
        <x:v>logística / ventas / postventa</x:v>
      </x:c>
      <x:c r="N16" s="135" t="str">
        <x:v>Entrega y retiro de tractores, cosechadoras, pulverizadoras, sembradoras e implementos; movimientos por venta, service, canje, demostraciones o ferias.</x:v>
      </x:c>
      <x:c r="O16" s="135" t="str">
        <x:v>Plataforma 20 tn para maquinaria agrícola + malacate/hidrogrúa según maniobra + seguro de carga + trazabilidad GPS.</x:v>
      </x:c>
      <x:c r="P16" s="135" t="str">
        <x:v>Ofrecer transporte tercerizado para entregas a clientes y retiros de usados/service, especialmente en picos de campaña y operaciones fuera de zona.</x:v>
      </x:c>
      <x:c r="Q16" s="135" t="str">
        <x:v>Llamada comercial prioritaria; pedir por logística/ventas/postventa y consultar próximo equipo a trasladar.</x:v>
      </x:c>
      <x:c r="R16" s="135"/>
      <x:c r="S16" s="158" t="str">
        <x:f>IFERROR(T(INDEX('Prospectos Resumen'!$K$9:$K$295,MATCH(A16,'Prospectos Resumen'!$A$9:$A$295,0))),"")</x:f>
      </x:c>
      <x:c r="T16" s="135"/>
      <x:c r="U16" s="135"/>
      <x:c r="V16" s="135"/>
      <x:c r="W16" s="135"/>
      <x:c r="X16" s="135" t="str">
        <x:v>tel:+5493571538080</x:v>
      </x:c>
      <x:c r="Y16" s="135" t="str">
        <x:v>tel:+5493571538080</x:v>
      </x:c>
      <x:c r="Z16" s="135" t="str">
        <x:v>Confirmar decisor y frecuencia de traslados.</x:v>
      </x:c>
      <x:c r="AA16" s="135" t="str">
        <x:v>https://www.google.com/maps/search/?api=1&amp;query=RSA+Repuestos+y+Servicios+R%C3%ADo+Tercero+C%C3%B3rdoba+Argentina</x:v>
      </x:c>
      <x:c r="AB16" s="135" t="str">
        <x:v>Web oficial RSA</x:v>
      </x:c>
      <x:c r="AC16" s="135" t="str">
        <x:v>https://rsaservicios.com.ar/</x:v>
      </x:c>
      <x:c r="AD16" s="135" t="str">
        <x:v>Concesionario oficial Ascanelli en Río Tercero; venta de máquinas e implementos, repuestos, servicio técnico y logística nacional.</x:v>
      </x:c>
      <x:c r="AE16" s="135" t="str">
        <x:v>Alta</x:v>
      </x:c>
      <x:c r="AF16" s="135" t="str">
        <x:v>Rastrillaje agro-maquinaria web 2026-09-07</x:v>
      </x:c>
      <x:c r="AG16" s="135" t="str">
        <x:v>plataforma 20 tn para maquinaria/implementos | hidrogrúa para maniobras | malacate | seguro de carga | trazabilidad GPS</x:v>
      </x:c>
      <x:c r="AH16" s="135" t="str">
        <x:v>fabricante/concesionario/servicio maquinaria agrícola</x:v>
      </x:c>
      <x:c r="AI16" s="135" t="str">
        <x:v>Sí</x:v>
      </x:c>
      <x:c r="AJ16" s="135" t="str">
        <x:v>Muy alta</x:v>
      </x:c>
      <x:c r="AK16" s="135" t="str">
        <x:v>Perfil específico maquinaria agrícola: validar pesos/dimensiones, tipo de carga y disponibilidad de medios de izaje antes de cotizar.</x:v>
      </x:c>
      <x:c r="AL16" s="135" t="str">
        <x:v>Rastrillaje agro-maquinaria 2026-09-07</x:v>
      </x:c>
      <x:c r="AM16" s="135" t="str">
        <x:v>Alta nueva luego de barrido específico de fabricantes, implementos, tractores, concesionarios y agropartes; cruzada contra la base maestra para evitar duplicados.</x:v>
      </x:c>
    </x:row>
    <x:row r="17" ht="24">
      <x:c r="A17" s="136" t="str">
        <x:v>RT-057</x:v>
      </x:c>
      <x:c r="B17" s="136" t="str">
        <x:v>Pendiente</x:v>
      </x:c>
      <x:c r="C17" s="136" t="str">
        <x:v>Base Río Tercero</x:v>
      </x:c>
      <x:c r="D17" s="136" t="str">
        <x:v>Río Tercero / zona industrial</x:v>
      </x:c>
      <x:c r="E17" s="136" t="str">
        <x:v>Río Tercero</x:v>
      </x:c>
      <x:c r="F17" s="136" t="str">
        <x:v>A</x:v>
      </x:c>
      <x:c r="G17" s="136" t="n">
        <x:v>90</x:v>
      </x:c>
      <x:c r="H17" s="136" t="str">
        <x:v>Viejo Tala S.R.L. — Río Tercero</x:v>
      </x:c>
      <x:c r="I17" s="136" t="str">
        <x:v>Concesionario Pauny / tractores y maquinaria agrícola</x:v>
      </x:c>
      <x:c r="J17" s="136" t="str">
        <x:v>Maquinaria agrícola</x:v>
      </x:c>
      <x:c r="K17" s="136" t="str">
        <x:v>03571 643332 / +54 9 353 4221837</x:v>
      </x:c>
      <x:c r="L17" s="136" t="str">
        <x:v>OK</x:v>
      </x:c>
      <x:c r="M17" s="136" t="str">
        <x:v>logística / ventas / postventa</x:v>
      </x:c>
      <x:c r="N17" s="136" t="str">
        <x:v>Entrega y retiro de tractores, cosechadoras, pulverizadoras, sembradoras e implementos; movimientos por venta, service, canje, demostraciones o ferias.</x:v>
      </x:c>
      <x:c r="O17" s="136" t="str">
        <x:v>Plataforma 20 tn para maquinaria agrícola + malacate/hidrogrúa según maniobra + seguro de carga + trazabilidad GPS.</x:v>
      </x:c>
      <x:c r="P17" s="136" t="str">
        <x:v>Ofrecer transporte tercerizado para entregas a clientes y retiros de usados/service, especialmente en picos de campaña y operaciones fuera de zona.</x:v>
      </x:c>
      <x:c r="Q17" s="136" t="str">
        <x:v>Llamada comercial prioritaria; pedir por logística/ventas/postventa y consultar próximo equipo a trasladar.</x:v>
      </x:c>
      <x:c r="R17" s="136"/>
      <x:c r="S17" s="158" t="str">
        <x:f>IFERROR(T(INDEX('Prospectos Resumen'!$K$9:$K$295,MATCH(A17,'Prospectos Resumen'!$A$9:$A$295,0))),"")</x:f>
      </x:c>
      <x:c r="T17" s="136"/>
      <x:c r="U17" s="136"/>
      <x:c r="V17" s="136"/>
      <x:c r="W17" s="136"/>
      <x:c r="X17" s="136" t="str">
        <x:v>tel:+543571643332</x:v>
      </x:c>
      <x:c r="Y17" s="136" t="str">
        <x:v>tel:+543571643332</x:v>
      </x:c>
      <x:c r="Z17" s="136" t="str">
        <x:v>Confirmar decisor y frecuencia de traslados.</x:v>
      </x:c>
      <x:c r="AA17" s="136" t="str">
        <x:v>https://www.google.com/maps/search/?api=1&amp;query=Viejo+Tala+S.R.L.+%E2%80%94+R%C3%ADo+Tercero+R%C3%ADo+Tercero+C%C3%B3rdoba+Argentina</x:v>
      </x:c>
      <x:c r="AB17" s="136" t="str">
        <x:v>Red de concesionarios Pauny</x:v>
      </x:c>
      <x:c r="AC17" s="136" t="str">
        <x:v>https://www.pauny.com.ar/</x:v>
      </x:c>
      <x:c r="AD17" s="136" t="str">
        <x:v>Sucursal Río Tercero publicada en la red de concesionarios Pauny; perfil directo de tractores y maquinaria.</x:v>
      </x:c>
      <x:c r="AE17" s="136" t="str">
        <x:v>Alta</x:v>
      </x:c>
      <x:c r="AF17" s="136" t="str">
        <x:v>Rastrillaje agro-maquinaria web 2026-09-07</x:v>
      </x:c>
      <x:c r="AG17" s="136" t="str">
        <x:v>plataforma 20 tn para maquinaria/implementos | hidrogrúa para maniobras | malacate | seguro de carga | trazabilidad GPS</x:v>
      </x:c>
      <x:c r="AH17" s="136" t="str">
        <x:v>fabricante/concesionario/servicio maquinaria agrícola</x:v>
      </x:c>
      <x:c r="AI17" s="136" t="str">
        <x:v>Sí</x:v>
      </x:c>
      <x:c r="AJ17" s="136" t="str">
        <x:v>Muy alta</x:v>
      </x:c>
      <x:c r="AK17" s="136" t="str">
        <x:v>Perfil específico maquinaria agrícola: validar pesos/dimensiones, tipo de carga y disponibilidad de medios de izaje antes de cotizar.</x:v>
      </x:c>
      <x:c r="AL17" s="136" t="str">
        <x:v>Rastrillaje agro-maquinaria 2026-09-07</x:v>
      </x:c>
      <x:c r="AM17" s="136" t="str">
        <x:v>Alta nueva luego de barrido específico de fabricantes, implementos, tractores, concesionarios y agropartes; cruzada contra la base maestra para evitar duplicados.</x:v>
      </x:c>
    </x:row>
    <x:row r="18" ht="48">
      <x:c r="A18" s="135" t="str">
        <x:v>RT-065</x:v>
      </x:c>
      <x:c r="B18" s="135" t="str">
        <x:v>Pendiente</x:v>
      </x:c>
      <x:c r="C18" s="135" t="str">
        <x:v>Base Río Tercero</x:v>
      </x:c>
      <x:c r="D18" s="135" t="str">
        <x:v>Río Tercero / corredor agro</x:v>
      </x:c>
      <x:c r="E18" s="135" t="str">
        <x:v>Río Tercero</x:v>
      </x:c>
      <x:c r="F18" s="135" t="str">
        <x:v>A</x:v>
      </x:c>
      <x:c r="G18" s="135" t="n">
        <x:v>88</x:v>
      </x:c>
      <x:c r="H18" s="135" t="str">
        <x:v>Rino Maquinaria</x:v>
      </x:c>
      <x:c r="I18" s="135" t="str">
        <x:v>Concesionario de tractores / maquinaria agrícola</x:v>
      </x:c>
      <x:c r="J18" s="135" t="str">
        <x:v>Maquinaria agrícola</x:v>
      </x:c>
      <x:c r="K18" s="135" t="str">
        <x:v>+54 9 3571 681323</x:v>
      </x:c>
      <x:c r="L18" s="135" t="str">
        <x:v>OK</x:v>
      </x:c>
      <x:c r="M18" s="135" t="str">
        <x:v>logística / entregas / usados / postventa / gerente comercial</x:v>
      </x:c>
      <x:c r="N18" s="135" t="str">
        <x:v>Entrega y retiro de tractores, cosechadoras, pulverizadoras, sembradoras e implementos; movimientos por ventas, canjes, usados, service, demostraciones y ferias.</x:v>
      </x:c>
      <x:c r="O18" s="135" t="str">
        <x:v>Plataforma 20 tn para equipos e implementos + malacate/hidrogrúa según maniobra + seguro de carga + trazabilidad GPS + coordinación de entrega.</x:v>
      </x:c>
      <x:c r="P18" s="135" t="str">
        <x:v>Tercerizar entregas y retiros para no inmovilizar flota propia; absorber picos de campaña, ventas, canjes y service fuera de zona con un proveedor regional.</x:v>
      </x:c>
      <x:c r="Q18" s="135" t="str">
        <x:v>Llamada prioritaria; pedir por logística/ventas/postventa y consultar cómo resuelven hoy el próximo equipo a entregar o retirar.</x:v>
      </x:c>
      <x:c r="R18" s="135"/>
      <x:c r="S18" s="158" t="str">
        <x:f>IFERROR(T(INDEX('Prospectos Resumen'!$K$9:$K$295,MATCH(A18,'Prospectos Resumen'!$A$9:$A$295,0))),"")</x:f>
      </x:c>
      <x:c r="T18" s="135"/>
      <x:c r="U18" s="135"/>
      <x:c r="V18" s="135"/>
      <x:c r="W18" s="135"/>
      <x:c r="X18" s="135" t="str">
        <x:v>tel:+5493571681323</x:v>
      </x:c>
      <x:c r="Y18" s="135" t="str">
        <x:v>tel:+5493571681323</x:v>
      </x:c>
      <x:c r="Z18" s="135" t="str">
        <x:v>Confirmar decisor de logística/entregas y frecuencia mensual de movimientos de equipos.</x:v>
      </x:c>
      <x:c r="AA18" s="135" t="str">
        <x:v>https://www.google.com/maps/search/?api=1&amp;query=Rino+Maquinaria+R%C3%ADo+Tercero+C%C3%B3rdoba+Argentina</x:v>
      </x:c>
      <x:c r="AB18" s="135" t="str">
        <x:v>Google Business / AgroCanje</x:v>
      </x:c>
      <x:c r="AC18" s="135" t="str">
        <x:v>https://www.google.com/maps/search/?api=1&amp;query=Rino+Maquinaria+Rio+Tercero</x:v>
      </x:c>
      <x:c r="AD18" s="135" t="str">
        <x:v>Punto comercial de tractores en Río Tercero; perfil directo para entregas y retiros de equipos.</x:v>
      </x:c>
      <x:c r="AE18" s="135" t="str">
        <x:v>Alta</x:v>
      </x:c>
      <x:c r="AF18" s="135" t="str">
        <x:v>Rastrillaje concesionarios agro 2026-09-07</x:v>
      </x:c>
      <x:c r="AG18" s="135" t="str">
        <x:v>plataforma 20 tn para maquinaria agrícola | hidrogrúa para maniobras | malacate | seguro de carga | trazabilidad GPS | coordinación de entregas</x:v>
      </x:c>
      <x:c r="AH18" s="135" t="str">
        <x:v>concesionario agro / maquinaria agrícola</x:v>
      </x:c>
      <x:c r="AI18" s="135" t="str">
        <x:v>Sí</x:v>
      </x:c>
      <x:c r="AJ18" s="135" t="str">
        <x:v>Alta</x:v>
      </x:c>
      <x:c r="AK18" s="135" t="str">
        <x:v>Concesionario: preguntar específicamente cómo resuelven entregas, retiros de usados, canjes, service fuera de zona y traslados a exposiciones.</x:v>
      </x:c>
      <x:c r="AL18" s="135" t="str">
        <x:v>Rastrillaje concesionarios agro 2026-09-07</x:v>
      </x:c>
      <x:c r="AM18" s="135" t="str">
        <x:v>Alta nueva del barrido específico de concesionarios, sucursales y multimarca agro; cruzada contra la base maestra para evitar duplicados.</x:v>
      </x:c>
    </x:row>
    <x:row r="19" ht="48">
      <x:c r="A19" s="136" t="str">
        <x:v>RT-011</x:v>
      </x:c>
      <x:c r="B19" s="136" t="str">
        <x:v>Pendiente</x:v>
      </x:c>
      <x:c r="C19" s="136" t="str">
        <x:v>Base Río Tercero</x:v>
      </x:c>
      <x:c r="D19" s="136" t="str">
        <x:v>Río Tercero / zona industrial</x:v>
      </x:c>
      <x:c r="E19" s="136" t="str">
        <x:v>Río Tercero</x:v>
      </x:c>
      <x:c r="F19" s="136" t="str">
        <x:v>A</x:v>
      </x:c>
      <x:c r="G19" s="136" t="n">
        <x:v>85</x:v>
      </x:c>
      <x:c r="H19" s="136" t="str">
        <x:v>Alpha Construcciones Industriales S.A.</x:v>
      </x:c>
      <x:c r="I19" s="136" t="str">
        <x:v>Construcción industrial / estructuras</x:v>
      </x:c>
      <x:c r="J19" s="136" t="str">
        <x:v>Construcción y obra vial</x:v>
      </x:c>
      <x:c r="K19" s="136" t="str">
        <x:v>A relevar</x:v>
      </x:c>
      <x:c r="L19" s="136" t="str">
        <x:v>A relevar</x:v>
      </x:c>
      <x:c r="M19" s="136" t="str">
        <x:v>jefe de obra / operaciones</x:v>
      </x:c>
      <x:c r="N19" s="136" t="str">
        <x:v>Traslado de maquinaria, módulos de obrador, estructuras y equipos entre depósitos y frentes de obra.</x:v>
      </x:c>
      <x:c r="O19" s="136" t="str">
        <x:v>Transporte especial de equipos/obrador + plataforma 20 tn + apoyo de hidrogrúa según maniobra + seguro/GPS.</x:v>
      </x:c>
      <x:c r="P19" s="136" t="str">
        <x:v>Ficha pública ubica fábrica/constructora industrial sobre Av. Savio en Río Tercero.</x:v>
      </x:c>
      <x:c r="Q19" s="136" t="str">
        <x:v>Llamada prioritaria; pedir próximo traslado concreto y, si hay encaje, coordinar visita.</x:v>
      </x:c>
      <x:c r="R19" s="136"/>
      <x:c r="S19" s="158" t="str">
        <x:f>IFERROR(T(INDEX('Prospectos Resumen'!$K$9:$K$295,MATCH(A19,'Prospectos Resumen'!$A$9:$A$295,0))),"")</x:f>
      </x:c>
      <x:c r="T19" s="136"/>
      <x:c r="U19" s="136"/>
      <x:c r="V19" s="136"/>
      <x:c r="W19" s="136"/>
      <x:c r="X19" s="136"/>
      <x:c r="Y19" s="136"/>
      <x:c r="Z19" s="136" t="str">
        <x:v>Confirmar decisor, frecuencia de movimientos y vigencia del contacto antes de cotizar.</x:v>
      </x:c>
      <x:c r="AA19" s="136" t="str">
        <x:v>https://www.google.com/maps/search/?api=1&amp;query=Alpha+Construcciones+Industriales+S.A.+R%C3%ADo+Tercero+C%C3%B3rdoba+Argentina</x:v>
      </x:c>
      <x:c r="AB19" s="136" t="str">
        <x:v>Google Maps / ficha pública</x:v>
      </x:c>
      <x:c r="AC19" s="136" t="str">
        <x:v>https://www.google.com/maps/search/?api=1&amp;query=Alpha+Construcciones+Industriales+SA+R%C3%ADo+Tercero+C%C3%B3rdoba+Argentina</x:v>
      </x:c>
      <x:c r="AD19" s="136" t="str">
        <x:v>Ficha pública ubica fábrica/constructora industrial sobre Av. Savio en Río Tercero.</x:v>
      </x:c>
      <x:c r="AE19" s="136" t="str">
        <x:v>Media</x:v>
      </x:c>
      <x:c r="AF19" s="136" t="str">
        <x:v>Enriquecimiento web 2026-09-07</x:v>
      </x:c>
      <x:c r="AG19" s="136" t="str">
        <x:v>transporte de áridos/materiales | hidrogrúa para carga/descarga | percha para pallets/bolsones</x:v>
      </x:c>
      <x:c r="AH19" s="136" t="str">
        <x:v>áridos/construcción/premoldeados</x:v>
      </x:c>
      <x:c r="AI19" s="136" t="str">
        <x:v>Sí</x:v>
      </x:c>
      <x:c r="AJ19" s="136" t="str">
        <x:v>Alta</x:v>
      </x:c>
      <x:c r="AK19" s="136"/>
      <x:c r="AL19" s="136" t="str">
        <x:v>GPT adjunto</x:v>
      </x:c>
      <x:c r="AM19" s="136" t="str">
        <x:v>ID fuente: RT-010</x:v>
      </x:c>
    </x:row>
    <x:row r="20" ht="48">
      <x:c r="A20" s="135" t="str">
        <x:v>RT-012</x:v>
      </x:c>
      <x:c r="B20" s="135" t="str">
        <x:v>Pendiente</x:v>
      </x:c>
      <x:c r="C20" s="135" t="str">
        <x:v>Base Río Tercero</x:v>
      </x:c>
      <x:c r="D20" s="135" t="str">
        <x:v>Río Tercero / zona industrial</x:v>
      </x:c>
      <x:c r="E20" s="135" t="str">
        <x:v>Río Tercero</x:v>
      </x:c>
      <x:c r="F20" s="135" t="str">
        <x:v>A</x:v>
      </x:c>
      <x:c r="G20" s="135" t="n">
        <x:v>85</x:v>
      </x:c>
      <x:c r="H20" s="135" t="str">
        <x:v>Caon - Concesionario Oficial CASE IH</x:v>
      </x:c>
      <x:c r="I20" s="135" t="str">
        <x:v>Maquinaria agrícola / servicio técnico</x:v>
      </x:c>
      <x:c r="J20" s="135" t="str">
        <x:v>Maquinaria agrícola</x:v>
      </x:c>
      <x:c r="K20" s="135" t="str">
        <x:v>03571 682141</x:v>
      </x:c>
      <x:c r="L20" s="135" t="str">
        <x:v>OK</x:v>
      </x:c>
      <x:c r="M20" s="135" t="str">
        <x:v>logística / entregas / postventa</x:v>
      </x:c>
      <x:c r="N20" s="135" t="str">
        <x:v>Traslado de maquinaria agrícola o vial entre sucursal, cliente, taller, campo y eventos.</x:v>
      </x:c>
      <x:c r="O20" s="135" t="str">
        <x:v>Traslado de maquinaria en plataforma 20 tn, coordinación de retiro/entrega y apoyo de hidrogrúa si corresponde.</x:v>
      </x:c>
      <x:c r="P20" s="135" t="str">
        <x:v>Concesionario CASE IH en Río Tercero; posible traslado de maquinaria a clientes, ferias o servicio.</x:v>
      </x:c>
      <x:c r="Q20" s="135" t="str">
        <x:v>Llamada prioritaria; pedir próximo traslado concreto y, si hay encaje, coordinar visita.</x:v>
      </x:c>
      <x:c r="R20" s="135"/>
      <x:c r="S20" s="158" t="str">
        <x:f>IFERROR(T(INDEX('Prospectos Resumen'!$K$9:$K$295,MATCH(A20,'Prospectos Resumen'!$A$9:$A$295,0))),"")</x:f>
      </x:c>
      <x:c r="T20" s="135"/>
      <x:c r="U20" s="135"/>
      <x:c r="V20" s="135"/>
      <x:c r="W20" s="135"/>
      <x:c r="X20" s="135" t="str">
        <x:v>tel:+543571682141</x:v>
      </x:c>
      <x:c r="Y20" s="135" t="str">
        <x:v>tel:+543571682141</x:v>
      </x:c>
      <x:c r="Z20" s="135" t="str">
        <x:v>Confirmar decisor, frecuencia de movimientos y vigencia del contacto antes de cotizar.</x:v>
      </x:c>
      <x:c r="AA20" s="135" t="str">
        <x:v>https://www.google.com/maps/search/?api=1&amp;query=Caon+-+Concesionario+Oficial+CASE+IH+R%C3%ADo+Tercero+C%C3%B3rdoba+Argentina</x:v>
      </x:c>
      <x:c r="AB20" s="135" t="str">
        <x:v>Google Maps / ficha pública</x:v>
      </x:c>
      <x:c r="AC20" s="135" t="str">
        <x:v>https://www.google.com/maps/search/?api=1&amp;query=Caon+CASE+IH+R%C3%ADo+Tercero+C%C3%B3rdoba+Argentina</x:v>
      </x:c>
      <x:c r="AD20" s="135" t="str">
        <x:v>Concesionario CASE IH en Río Tercero; posible traslado de maquinaria a clientes, ferias o servicio.</x:v>
      </x:c>
      <x:c r="AE20" s="135" t="str">
        <x:v>Alta</x:v>
      </x:c>
      <x:c r="AF20" s="135" t="str">
        <x:v>Enriquecimiento web 2026-09-07</x:v>
      </x:c>
      <x:c r="AG20" s="135" t="str">
        <x:v>plataforma 20 tn para maquinaria/piezas | hidrogrúa para maniobras | percha para pallets</x:v>
      </x:c>
      <x:c r="AH20" s="135" t="str">
        <x:v>fabricante/servicio maquinaria agrícola</x:v>
      </x:c>
      <x:c r="AI20" s="135" t="str">
        <x:v>Sí</x:v>
      </x:c>
      <x:c r="AJ20" s="135" t="str">
        <x:v>Muy alta</x:v>
      </x:c>
      <x:c r="AK20" s="135"/>
      <x:c r="AL20" s="135" t="str">
        <x:v>GPT adjunto</x:v>
      </x:c>
      <x:c r="AM20" s="135" t="str">
        <x:v>ID fuente: RT-011</x:v>
      </x:c>
    </x:row>
    <x:row r="21" ht="48">
      <x:c r="A21" s="136" t="str">
        <x:v>RT-013</x:v>
      </x:c>
      <x:c r="B21" s="136" t="str">
        <x:v>Pendiente</x:v>
      </x:c>
      <x:c r="C21" s="136" t="str">
        <x:v>Base Río Tercero</x:v>
      </x:c>
      <x:c r="D21" s="136" t="str">
        <x:v>Río Tercero / zona industrial</x:v>
      </x:c>
      <x:c r="E21" s="136" t="str">
        <x:v>Río Tercero</x:v>
      </x:c>
      <x:c r="F21" s="136" t="str">
        <x:v>A</x:v>
      </x:c>
      <x:c r="G21" s="136" t="n">
        <x:v>85</x:v>
      </x:c>
      <x:c r="H21" s="136" t="str">
        <x:v>Cimat SRL</x:v>
      </x:c>
      <x:c r="I21" s="136" t="str">
        <x:v>Equipos y maquinaria agrícola</x:v>
      </x:c>
      <x:c r="J21" s="136" t="str">
        <x:v>Maquinaria agrícola</x:v>
      </x:c>
      <x:c r="K21" s="136" t="str">
        <x:v>03571 422153</x:v>
      </x:c>
      <x:c r="L21" s="136" t="str">
        <x:v>OK</x:v>
      </x:c>
      <x:c r="M21" s="136" t="str">
        <x:v>logística / entregas / postventa</x:v>
      </x:c>
      <x:c r="N21" s="136" t="str">
        <x:v>Traslado de maquinaria agrícola o vial entre sucursal, cliente, taller, campo y eventos.</x:v>
      </x:c>
      <x:c r="O21" s="136" t="str">
        <x:v>Traslado de maquinaria en plataforma 20 tn, coordinación de retiro/entrega y apoyo de hidrogrúa si corresponde.</x:v>
      </x:c>
      <x:c r="P21" s="136" t="str">
        <x:v>Ficha pública en Río Tercero: proveedor de equipos agrícolas, con teléfono y local comercial.</x:v>
      </x:c>
      <x:c r="Q21" s="136" t="str">
        <x:v>Llamada prioritaria; pedir próximo traslado concreto y, si hay encaje, coordinar visita.</x:v>
      </x:c>
      <x:c r="R21" s="136"/>
      <x:c r="S21" s="158" t="str">
        <x:f>IFERROR(T(INDEX('Prospectos Resumen'!$K$9:$K$295,MATCH(A21,'Prospectos Resumen'!$A$9:$A$295,0))),"")</x:f>
      </x:c>
      <x:c r="T21" s="136"/>
      <x:c r="U21" s="136"/>
      <x:c r="V21" s="136"/>
      <x:c r="W21" s="136"/>
      <x:c r="X21" s="136" t="str">
        <x:v>tel:+543571422153</x:v>
      </x:c>
      <x:c r="Y21" s="136" t="str">
        <x:v>tel:+543571422153</x:v>
      </x:c>
      <x:c r="Z21" s="136" t="str">
        <x:v>Confirmar decisor, frecuencia de movimientos y vigencia del contacto antes de cotizar.</x:v>
      </x:c>
      <x:c r="AA21" s="136" t="str">
        <x:v>https://www.google.com/maps/search/?api=1&amp;query=Cimat+SRL+R%C3%ADo+Tercero+C%C3%B3rdoba+Argentina</x:v>
      </x:c>
      <x:c r="AB21" s="136" t="str">
        <x:v>Google Maps / ficha pública</x:v>
      </x:c>
      <x:c r="AC21" s="136" t="str">
        <x:v>https://www.google.com/maps/search/?api=1&amp;query=Cimat+SRL+R%C3%ADo+Tercero+C%C3%B3rdoba+Argentina</x:v>
      </x:c>
      <x:c r="AD21" s="136" t="str">
        <x:v>Ficha pública en Río Tercero: proveedor de equipos agrícolas, con teléfono y local comercial.</x:v>
      </x:c>
      <x:c r="AE21" s="136" t="str">
        <x:v>Alta</x:v>
      </x:c>
      <x:c r="AF21" s="136" t="str">
        <x:v>Enriquecimiento web 2026-09-07</x:v>
      </x:c>
      <x:c r="AG21" s="136" t="str">
        <x:v>plataforma 20 tn para maquinaria/piezas | hidrogrúa para maniobras | percha para pallets</x:v>
      </x:c>
      <x:c r="AH21" s="136" t="str">
        <x:v>fabricante/servicio maquinaria agrícola</x:v>
      </x:c>
      <x:c r="AI21" s="136" t="str">
        <x:v>Sí</x:v>
      </x:c>
      <x:c r="AJ21" s="136" t="str">
        <x:v>Muy alta</x:v>
      </x:c>
      <x:c r="AK21" s="136"/>
      <x:c r="AL21" s="136" t="str">
        <x:v>GPT adjunto</x:v>
      </x:c>
      <x:c r="AM21" s="136" t="str">
        <x:v>ID fuente: RT-012</x:v>
      </x:c>
    </x:row>
    <x:row r="22" ht="36">
      <x:c r="A22" s="135" t="str">
        <x:v>RT-014</x:v>
      </x:c>
      <x:c r="B22" s="135" t="str">
        <x:v>Pendiente</x:v>
      </x:c>
      <x:c r="C22" s="135" t="str">
        <x:v>Base Río Tercero</x:v>
      </x:c>
      <x:c r="D22" s="135" t="str">
        <x:v>Río Tercero / zona industrial</x:v>
      </x:c>
      <x:c r="E22" s="135" t="str">
        <x:v>Río Tercero</x:v>
      </x:c>
      <x:c r="F22" s="135" t="str">
        <x:v>A</x:v>
      </x:c>
      <x:c r="G22" s="135" t="n">
        <x:v>85</x:v>
      </x:c>
      <x:c r="H22" s="135" t="str">
        <x:v>D &amp; M ESTRUCTURAS</x:v>
      </x:c>
      <x:c r="I22" s="135" t="str">
        <x:v>Estructuras metálicas</x:v>
      </x:c>
      <x:c r="J22" s="135" t="str">
        <x:v>Metalúrgica y fabricación</x:v>
      </x:c>
      <x:c r="K22" s="135" t="str">
        <x:v>A relevar</x:v>
      </x:c>
      <x:c r="L22" s="135" t="str">
        <x:v>A relevar</x:v>
      </x:c>
      <x:c r="M22" s="135" t="str">
        <x:v>despacho / producción</x:v>
      </x:c>
      <x:c r="N22" s="135" t="str">
        <x:v>Despacho de estructuras, piezas, equipos y conjuntos metalmecánicos de gran porte hacia obras o clientes.</x:v>
      </x:c>
      <x:c r="O22" s="135" t="str">
        <x:v>Plataforma 20 tn para piezas/estructuras + seguro de carga + trazabilidad GPS + apoyo de hidrogrúa según maniobra.</x:v>
      </x:c>
      <x:c r="P22" s="135" t="str">
        <x:v>Ficha pública local identifica empresa de construcciones metálicas.</x:v>
      </x:c>
      <x:c r="Q22" s="135" t="str">
        <x:v>Llamada prioritaria; pedir próximo traslado concreto y, si hay encaje, coordinar visita.</x:v>
      </x:c>
      <x:c r="R22" s="135"/>
      <x:c r="S22" s="158" t="str">
        <x:f>IFERROR(T(INDEX('Prospectos Resumen'!$K$9:$K$295,MATCH(A22,'Prospectos Resumen'!$A$9:$A$295,0))),"")</x:f>
      </x:c>
      <x:c r="T22" s="135"/>
      <x:c r="U22" s="135"/>
      <x:c r="V22" s="135"/>
      <x:c r="W22" s="135"/>
      <x:c r="X22" s="135"/>
      <x:c r="Y22" s="135"/>
      <x:c r="Z22" s="135" t="str">
        <x:v>Confirmar decisor, frecuencia de movimientos y vigencia del contacto antes de cotizar.</x:v>
      </x:c>
      <x:c r="AA22" s="135" t="str">
        <x:v>https://www.google.com/maps/search/?api=1&amp;query=D+%26+M+ESTRUCTURAS+R%C3%ADo+Tercero+C%C3%B3rdoba+Argentina</x:v>
      </x:c>
      <x:c r="AB22" s="135" t="str">
        <x:v>Google Maps / ficha pública</x:v>
      </x:c>
      <x:c r="AC22" s="135" t="str">
        <x:v>https://www.google.com/maps/search/?api=1&amp;query=D+%26+M+ESTRUCTURAS+R%C3%ADo+Tercero+C%C3%B3rdoba+Argentina</x:v>
      </x:c>
      <x:c r="AD22" s="135" t="str">
        <x:v>Ficha pública local identifica empresa de construcciones metálicas.</x:v>
      </x:c>
      <x:c r="AE22" s="135" t="str">
        <x:v>Media</x:v>
      </x:c>
      <x:c r="AF22" s="135" t="str">
        <x:v>Enriquecimiento web 2026-09-07</x:v>
      </x:c>
      <x:c r="AG22" s="135" t="str">
        <x:v>transporte de áridos/materiales | hidrogrúa para carga/descarga | percha para pallets/bolsones | plataforma 20 tn para maquinaria/piezas | hidrogrúa para maniobras | percha para pallets</x:v>
      </x:c>
      <x:c r="AH22" s="135" t="str">
        <x:v>otro rubro factible</x:v>
      </x:c>
      <x:c r="AI22" s="135" t="str">
        <x:v>Sí</x:v>
      </x:c>
      <x:c r="AJ22" s="135" t="str">
        <x:v>Alta</x:v>
      </x:c>
      <x:c r="AK22" s="135"/>
      <x:c r="AL22" s="135" t="str">
        <x:v>GPT adjunto</x:v>
      </x:c>
      <x:c r="AM22" s="135" t="str">
        <x:v>ID fuente: RT-013</x:v>
      </x:c>
    </x:row>
    <x:row r="23" ht="48">
      <x:c r="A23" s="136" t="str">
        <x:v>RT-015</x:v>
      </x:c>
      <x:c r="B23" s="136" t="str">
        <x:v>Pendiente</x:v>
      </x:c>
      <x:c r="C23" s="136" t="str">
        <x:v>Base Río Tercero</x:v>
      </x:c>
      <x:c r="D23" s="136" t="str">
        <x:v>Río Tercero / zona industrial</x:v>
      </x:c>
      <x:c r="E23" s="136" t="str">
        <x:v>Río Tercero</x:v>
      </x:c>
      <x:c r="F23" s="136" t="str">
        <x:v>A</x:v>
      </x:c>
      <x:c r="G23" s="136" t="n">
        <x:v>85</x:v>
      </x:c>
      <x:c r="H23" s="136" t="str">
        <x:v>Duter S.A.</x:v>
      </x:c>
      <x:c r="I23" s="136" t="str">
        <x:v>Fabricación de repuestos agrícolas</x:v>
      </x:c>
      <x:c r="J23" s="136" t="str">
        <x:v>Maquinaria agrícola</x:v>
      </x:c>
      <x:c r="K23" s="136" t="str">
        <x:v>03571 565177</x:v>
      </x:c>
      <x:c r="L23" s="136" t="str">
        <x:v>OK</x:v>
      </x:c>
      <x:c r="M23" s="136" t="str">
        <x:v>logística / despacho / postventa</x:v>
      </x:c>
      <x:c r="N23" s="136" t="str">
        <x:v>Traslado de maquinaria, implementos, equipos terminados y componentes de gran porte entre planta, cliente, obra o feria.</x:v>
      </x:c>
      <x:c r="O23" s="136" t="str">
        <x:v>Plataforma 20 tn + malacate/hidrogrúa según maniobra + seguro de carga + trazabilidad GPS.</x:v>
      </x:c>
      <x:c r="P23" s="136" t="str">
        <x:v>Empresa radicada en el Parque Industrial para fabricación de repuestos agrícolas; teléfono público local.</x:v>
      </x:c>
      <x:c r="Q23" s="136" t="str">
        <x:v>Llamada prioritaria; pedir próximo traslado concreto y, si hay encaje, coordinar visita.</x:v>
      </x:c>
      <x:c r="R23" s="136"/>
      <x:c r="S23" s="158" t="str">
        <x:f>IFERROR(T(INDEX('Prospectos Resumen'!$K$9:$K$295,MATCH(A23,'Prospectos Resumen'!$A$9:$A$295,0))),"")</x:f>
      </x:c>
      <x:c r="T23" s="136"/>
      <x:c r="U23" s="136"/>
      <x:c r="V23" s="136"/>
      <x:c r="W23" s="136"/>
      <x:c r="X23" s="136" t="str">
        <x:v>tel:+543571565177</x:v>
      </x:c>
      <x:c r="Y23" s="136" t="str">
        <x:v>tel:+543571565177</x:v>
      </x:c>
      <x:c r="Z23" s="136" t="str">
        <x:v>Confirmar decisor, frecuencia de movimientos y vigencia del contacto antes de cotizar.</x:v>
      </x:c>
      <x:c r="AA23" s="136" t="str">
        <x:v>https://www.google.com/maps/search/?api=1&amp;query=Duter+S.A.+R%C3%ADo+Tercero+C%C3%B3rdoba+Argentina</x:v>
      </x:c>
      <x:c r="AB23" s="136" t="str">
        <x:v>Parque Industrial Río Tercero / ficha pública</x:v>
      </x:c>
      <x:c r="AC23" s="136" t="str">
        <x:v>https://parqueindustrial.riotercero.gob.ar/empresas</x:v>
      </x:c>
      <x:c r="AD23" s="136" t="str">
        <x:v>Empresa radicada en el Parque Industrial para fabricación de repuestos agrícolas; teléfono público local.</x:v>
      </x:c>
      <x:c r="AE23" s="136" t="str">
        <x:v>Alta</x:v>
      </x:c>
      <x:c r="AF23" s="136" t="str">
        <x:v>Enriquecimiento web 2026-09-07</x:v>
      </x:c>
      <x:c r="AG23" s="136" t="str">
        <x:v>transporte de áridos/materiales | hidrogrúa para carga/descarga | percha para pallets/bolsones | plataforma 20 tn para maquinaria/piezas | hidrogrúa para maniobras | percha para pallets</x:v>
      </x:c>
      <x:c r="AH23" s="136" t="str">
        <x:v>otro rubro factible</x:v>
      </x:c>
      <x:c r="AI23" s="136" t="str">
        <x:v>Sí</x:v>
      </x:c>
      <x:c r="AJ23" s="136" t="str">
        <x:v>Muy alta</x:v>
      </x:c>
      <x:c r="AK23" s="136" t="str">
        <x:v>Percha pallets: útil para insumos, bolsones, repuestos y materiales palletizados.</x:v>
      </x:c>
      <x:c r="AL23" s="136" t="str">
        <x:v>GPT adjunto</x:v>
      </x:c>
      <x:c r="AM23" s="136" t="str">
        <x:v>ID fuente: RT-014</x:v>
      </x:c>
    </x:row>
    <x:row r="24" ht="48">
      <x:c r="A24" s="135" t="str">
        <x:v>RT-016</x:v>
      </x:c>
      <x:c r="B24" s="135" t="str">
        <x:v>Pendiente</x:v>
      </x:c>
      <x:c r="C24" s="135" t="str">
        <x:v>Base Río Tercero</x:v>
      </x:c>
      <x:c r="D24" s="135" t="str">
        <x:v>Río Tercero</x:v>
      </x:c>
      <x:c r="E24" s="135" t="str">
        <x:v>Río Tercero</x:v>
      </x:c>
      <x:c r="F24" s="135" t="str">
        <x:v>A</x:v>
      </x:c>
      <x:c r="G24" s="135" t="n">
        <x:v>85</x:v>
      </x:c>
      <x:c r="H24" s="135" t="str">
        <x:v>ESISA</x:v>
      </x:c>
      <x:c r="I24" s="135" t="str">
        <x:v>Viviendas/módulos industrializados</x:v>
      </x:c>
      <x:c r="J24" s="135" t="str">
        <x:v>Módulos y contenedores</x:v>
      </x:c>
      <x:c r="K24" s="135" t="str">
        <x:v>Portería parque: 03571 565662; mail esisaservicios@gmail.com</x:v>
      </x:c>
      <x:c r="L24" s="135" t="str">
        <x:v>Verificar</x:v>
      </x:c>
      <x:c r="M24" s="135" t="str">
        <x:v>operaciones / entregas</x:v>
      </x:c>
      <x:c r="N24" s="135" t="str">
        <x:v>Entrega, descarga y posicionamiento de módulos/containers en obra o cliente final.</x:v>
      </x:c>
      <x:c r="O24" s="135" t="str">
        <x:v>Entrega y descarga de módulos/containers con plataforma, malacate e hidrogrúa según maniobra.</x:v>
      </x:c>
      <x:c r="P24" s="135" t="str">
        <x:v>Socio natural para entregas de módulos a obra.</x:v>
      </x:c>
      <x:c r="Q24" s="135" t="str">
        <x:v>Visita o llamada de validación; pedir próximo traslado concreto.</x:v>
      </x:c>
      <x:c r="R24" s="135"/>
      <x:c r="S24" s="158" t="str">
        <x:f>IFERROR(T(INDEX('Prospectos Resumen'!$K$9:$K$295,MATCH(A24,'Prospectos Resumen'!$A$9:$A$295,0))),"")</x:f>
      </x:c>
      <x:c r="T24" s="135"/>
      <x:c r="U24" s="135"/>
      <x:c r="V24" s="135"/>
      <x:c r="W24" s="135"/>
      <x:c r="X24" s="135" t="str">
        <x:v>tel:+543571565662</x:v>
      </x:c>
      <x:c r="Y24" s="135" t="str">
        <x:v>tel:+543571565662</x:v>
      </x:c>
      <x:c r="Z24" s="135" t="str">
        <x:v>Validar contacto decisor y necesidad inmediata.</x:v>
      </x:c>
      <x:c r="AA24" s="135" t="str">
        <x:v>https://www.google.com/maps/search/?api=1&amp;query=-32.182000,-64.107000</x:v>
      </x:c>
      <x:c r="AB24" s="135" t="str">
        <x:v>Parque Industrial Río Tercero</x:v>
      </x:c>
      <x:c r="AC24" s="135"/>
      <x:c r="AD24" s="135" t="str">
        <x:v>Registro curado en documento de dirección PRESOL 2026-09.</x:v>
      </x:c>
      <x:c r="AE24" s="135" t="str">
        <x:v>Media</x:v>
      </x:c>
      <x:c r="AF24" s="135" t="str">
        <x:v>Base curada PDF dirección</x:v>
      </x:c>
      <x:c r="AG24" s="135" t="str">
        <x:v>transporte de áridos/materiales | hidrogrúa para carga/descarga | percha para pallets/bolsones</x:v>
      </x:c>
      <x:c r="AH24" s="135" t="str">
        <x:v>otro rubro factible</x:v>
      </x:c>
      <x:c r="AI24" s="135" t="str">
        <x:v>Sí</x:v>
      </x:c>
      <x:c r="AJ24" s="135" t="str">
        <x:v>Muy alta</x:v>
      </x:c>
      <x:c r="AK24" s="135"/>
      <x:c r="AL24" s="135" t="str">
        <x:v>GPT adjunto + Hermes</x:v>
      </x:c>
      <x:c r="AM24" s="135" t="str">
        <x:v>Fusionado con base Hermes para completar teléfonos/fuentes/servicios. | ID fuente: RT-015</x:v>
      </x:c>
    </x:row>
    <x:row r="25" ht="48">
      <x:c r="A25" s="136" t="str">
        <x:v>RT-017</x:v>
      </x:c>
      <x:c r="B25" s="136" t="str">
        <x:v>Pendiente</x:v>
      </x:c>
      <x:c r="C25" s="136" t="str">
        <x:v>Base Río Tercero</x:v>
      </x:c>
      <x:c r="D25" s="136" t="str">
        <x:v>Río Tercero / zona industrial</x:v>
      </x:c>
      <x:c r="E25" s="136" t="str">
        <x:v>Río Tercero</x:v>
      </x:c>
      <x:c r="F25" s="136" t="str">
        <x:v>A</x:v>
      </x:c>
      <x:c r="G25" s="136" t="n">
        <x:v>85</x:v>
      </x:c>
      <x:c r="H25" s="136" t="str">
        <x:v>ISECO Construcción</x:v>
      </x:c>
      <x:c r="I25" s="136" t="str">
        <x:v>Construcción industrial</x:v>
      </x:c>
      <x:c r="J25" s="136" t="str">
        <x:v>Construcción y obra vial</x:v>
      </x:c>
      <x:c r="K25" s="136" t="str">
        <x:v>+54 9 3571 551917</x:v>
      </x:c>
      <x:c r="L25" s="136" t="str">
        <x:v>OK</x:v>
      </x:c>
      <x:c r="M25" s="136" t="str">
        <x:v>jefe de obra / operaciones</x:v>
      </x:c>
      <x:c r="N25" s="136" t="str">
        <x:v>Traslado de maquinaria, módulos de obrador, estructuras y equipos entre depósitos y frentes de obra.</x:v>
      </x:c>
      <x:c r="O25" s="136" t="str">
        <x:v>Transporte especial de equipos/obrador + plataforma 20 tn + apoyo de hidrogrúa según maniobra + seguro/GPS.</x:v>
      </x:c>
      <x:c r="P25" s="136" t="str">
        <x:v>Constructora localizada en el Parque Industrial; posible movimiento de estructuras, equipos y obradores.</x:v>
      </x:c>
      <x:c r="Q25" s="136" t="str">
        <x:v>Llamada prioritaria; pedir próximo traslado concreto y, si hay encaje, coordinar visita.</x:v>
      </x:c>
      <x:c r="R25" s="136"/>
      <x:c r="S25" s="158" t="str">
        <x:f>IFERROR(T(INDEX('Prospectos Resumen'!$K$9:$K$295,MATCH(A25,'Prospectos Resumen'!$A$9:$A$295,0))),"")</x:f>
      </x:c>
      <x:c r="T25" s="136"/>
      <x:c r="U25" s="136"/>
      <x:c r="V25" s="136"/>
      <x:c r="W25" s="136"/>
      <x:c r="X25" s="136" t="str">
        <x:v>tel:+5493571551917</x:v>
      </x:c>
      <x:c r="Y25" s="136" t="str">
        <x:v>tel:+5493571551917</x:v>
      </x:c>
      <x:c r="Z25" s="136" t="str">
        <x:v>Confirmar decisor, frecuencia de movimientos y vigencia del contacto antes de cotizar.</x:v>
      </x:c>
      <x:c r="AA25" s="136" t="str">
        <x:v>https://www.google.com/maps/search/?api=1&amp;query=ISECO+Construcci%C3%B3n+R%C3%ADo+Tercero+C%C3%B3rdoba+Argentina</x:v>
      </x:c>
      <x:c r="AB25" s="136" t="str">
        <x:v>Google Maps / ficha pública</x:v>
      </x:c>
      <x:c r="AC25" s="136" t="str">
        <x:v>https://www.google.com/maps/search/?api=1&amp;query=ISECO+Construcci%C3%B3n+R%C3%ADo+Tercero+C%C3%B3rdoba+Argentina</x:v>
      </x:c>
      <x:c r="AD25" s="136" t="str">
        <x:v>Constructora localizada en el Parque Industrial; posible movimiento de estructuras, equipos y obradores.</x:v>
      </x:c>
      <x:c r="AE25" s="136" t="str">
        <x:v>Alta</x:v>
      </x:c>
      <x:c r="AF25" s="136" t="str">
        <x:v>Enriquecimiento web 2026-09-07</x:v>
      </x:c>
      <x:c r="AG25" s="136" t="str">
        <x:v>transporte de áridos/materiales | hidrogrúa para carga/descarga | percha para pallets/bolsones</x:v>
      </x:c>
      <x:c r="AH25" s="136" t="str">
        <x:v>áridos/construcción/premoldeados</x:v>
      </x:c>
      <x:c r="AI25" s="136" t="str">
        <x:v>Sí</x:v>
      </x:c>
      <x:c r="AJ25" s="136" t="str">
        <x:v>Muy alta</x:v>
      </x:c>
      <x:c r="AK25" s="136"/>
      <x:c r="AL25" s="136" t="str">
        <x:v>GPT adjunto</x:v>
      </x:c>
      <x:c r="AM25" s="136"/>
    </x:row>
    <x:row r="26" ht="48">
      <x:c r="A26" s="135" t="str">
        <x:v>RT-018</x:v>
      </x:c>
      <x:c r="B26" s="135" t="str">
        <x:v>Pendiente</x:v>
      </x:c>
      <x:c r="C26" s="135" t="str">
        <x:v>Base Río Tercero</x:v>
      </x:c>
      <x:c r="D26" s="135" t="str">
        <x:v>Río Tercero / zona industrial</x:v>
      </x:c>
      <x:c r="E26" s="135" t="str">
        <x:v>Río Tercero</x:v>
      </x:c>
      <x:c r="F26" s="135" t="str">
        <x:v>A</x:v>
      </x:c>
      <x:c r="G26" s="135" t="n">
        <x:v>85</x:v>
      </x:c>
      <x:c r="H26" s="135" t="str">
        <x:v>Luzenti Hnos S.A.</x:v>
      </x:c>
      <x:c r="I26" s="135" t="str">
        <x:v>Montaje industrial / construcciones metálicas</x:v>
      </x:c>
      <x:c r="J26" s="135" t="str">
        <x:v>Construcción y obra vial</x:v>
      </x:c>
      <x:c r="K26" s="135" t="str">
        <x:v>03584 860532</x:v>
      </x:c>
      <x:c r="L26" s="135" t="str">
        <x:v>Verificar</x:v>
      </x:c>
      <x:c r="M26" s="135" t="str">
        <x:v>jefe de obra / operaciones</x:v>
      </x:c>
      <x:c r="N26" s="135" t="str">
        <x:v>Traslado de maquinaria, módulos de obrador, estructuras y equipos entre depósitos y frentes de obra.</x:v>
      </x:c>
      <x:c r="O26" s="135" t="str">
        <x:v>Transporte especial de equipos/obrador + plataforma 20 tn + apoyo de hidrogrúa según maniobra + seguro/GPS.</x:v>
      </x:c>
      <x:c r="P26" s="135" t="str">
        <x:v>Empresa de construcciones metálicas y montaje industrial radicada en Río Tercero.</x:v>
      </x:c>
      <x:c r="Q26" s="135" t="str">
        <x:v>Llamada prioritaria; pedir próximo traslado concreto y, si hay encaje, coordinar visita.</x:v>
      </x:c>
      <x:c r="R26" s="135"/>
      <x:c r="S26" s="158" t="str">
        <x:f>IFERROR(T(INDEX('Prospectos Resumen'!$K$9:$K$295,MATCH(A26,'Prospectos Resumen'!$A$9:$A$295,0))),"")</x:f>
      </x:c>
      <x:c r="T26" s="135"/>
      <x:c r="U26" s="135"/>
      <x:c r="V26" s="135"/>
      <x:c r="W26" s="135"/>
      <x:c r="X26" s="135" t="str">
        <x:v>tel:+543584860532</x:v>
      </x:c>
      <x:c r="Y26" s="135" t="str">
        <x:v>tel:+543584860532</x:v>
      </x:c>
      <x:c r="Z26" s="135" t="str">
        <x:v>Confirmar decisor, frecuencia de movimientos y vigencia del contacto antes de cotizar.</x:v>
      </x:c>
      <x:c r="AA26" s="135" t="str">
        <x:v>https://www.google.com/maps/search/?api=1&amp;query=Luzenti+Hnos+S.A.+R%C3%ADo+Tercero+C%C3%B3rdoba+Argentina</x:v>
      </x:c>
      <x:c r="AB26" s="135" t="str">
        <x:v>Google Maps / Parque Industrial</x:v>
      </x:c>
      <x:c r="AC26" s="135" t="str">
        <x:v>https://www.google.com/maps/search/?api=1&amp;query=Luzenti+Hnos+SA+R%C3%ADo+Tercero+C%C3%B3rdoba+Argentina</x:v>
      </x:c>
      <x:c r="AD26" s="135" t="str">
        <x:v>Empresa de construcciones metálicas y montaje industrial radicada en Río Tercero.</x:v>
      </x:c>
      <x:c r="AE26" s="135" t="str">
        <x:v>Media</x:v>
      </x:c>
      <x:c r="AF26" s="135" t="str">
        <x:v>Enriquecimiento web 2026-09-07</x:v>
      </x:c>
      <x:c r="AG26" s="135" t="str">
        <x:v>transporte de áridos/materiales | hidrogrúa para carga/descarga | percha para pallets/bolsones | plataforma 20 tn para maquinaria/piezas | hidrogrúa para maniobras | percha para pallets</x:v>
      </x:c>
      <x:c r="AH26" s="135" t="str">
        <x:v>áridos/construcción/premoldeados</x:v>
      </x:c>
      <x:c r="AI26" s="135" t="str">
        <x:v>Sí</x:v>
      </x:c>
      <x:c r="AJ26" s="135" t="str">
        <x:v>Muy alta</x:v>
      </x:c>
      <x:c r="AK26" s="135"/>
      <x:c r="AL26" s="135" t="str">
        <x:v>GPT adjunto</x:v>
      </x:c>
      <x:c r="AM26" s="135"/>
    </x:row>
    <x:row r="27" ht="48">
      <x:c r="A27" s="136" t="str">
        <x:v>RT-019</x:v>
      </x:c>
      <x:c r="B27" s="136" t="str">
        <x:v>Pendiente</x:v>
      </x:c>
      <x:c r="C27" s="136" t="str">
        <x:v>Base Río Tercero</x:v>
      </x:c>
      <x:c r="D27" s="136" t="str">
        <x:v>Río Tercero / zona industrial</x:v>
      </x:c>
      <x:c r="E27" s="136" t="str">
        <x:v>Río Tercero</x:v>
      </x:c>
      <x:c r="F27" s="136" t="str">
        <x:v>A</x:v>
      </x:c>
      <x:c r="G27" s="136" t="n">
        <x:v>85</x:v>
      </x:c>
      <x:c r="H27" s="136" t="str">
        <x:v>NEMETAL S.A.S</x:v>
      </x:c>
      <x:c r="I27" s="136" t="str">
        <x:v>Fabricación metalúrgica / reparación de maquinaria agrícola</x:v>
      </x:c>
      <x:c r="J27" s="136" t="str">
        <x:v>Maquinaria agrícola</x:v>
      </x:c>
      <x:c r="K27" s="136" t="str">
        <x:v>03571 550608</x:v>
      </x:c>
      <x:c r="L27" s="136" t="str">
        <x:v>OK</x:v>
      </x:c>
      <x:c r="M27" s="136" t="str">
        <x:v>despacho / producción</x:v>
      </x:c>
      <x:c r="N27" s="136" t="str">
        <x:v>Despacho de estructuras, piezas, equipos y conjuntos metalmecánicos de gran porte hacia obras o clientes.</x:v>
      </x:c>
      <x:c r="O27" s="136" t="str">
        <x:v>Plataforma 20 tn para piezas/estructuras + seguro de carga + trazabilidad GPS + apoyo de hidrogrúa según maniobra.</x:v>
      </x:c>
      <x:c r="P27" s="136" t="str">
        <x:v>Ficha pública en zona industrial; el listado del parque identifica NE Metalúrgica vinculada a reparación de maquinaria agrícola.</x:v>
      </x:c>
      <x:c r="Q27" s="136" t="str">
        <x:v>Llamada prioritaria; pedir próximo traslado concreto y, si hay encaje, coordinar visita.</x:v>
      </x:c>
      <x:c r="R27" s="136"/>
      <x:c r="S27" s="158" t="str">
        <x:f>IFERROR(T(INDEX('Prospectos Resumen'!$K$9:$K$295,MATCH(A27,'Prospectos Resumen'!$A$9:$A$295,0))),"")</x:f>
      </x:c>
      <x:c r="T27" s="136"/>
      <x:c r="U27" s="136"/>
      <x:c r="V27" s="136"/>
      <x:c r="W27" s="136"/>
      <x:c r="X27" s="136" t="str">
        <x:v>tel:+543571550608</x:v>
      </x:c>
      <x:c r="Y27" s="136" t="str">
        <x:v>tel:+543571550608</x:v>
      </x:c>
      <x:c r="Z27" s="136" t="str">
        <x:v>Confirmar decisor, frecuencia de movimientos y vigencia del contacto antes de cotizar.</x:v>
      </x:c>
      <x:c r="AA27" s="136" t="str">
        <x:v>https://www.google.com/maps/search/?api=1&amp;query=NEMETAL+S.A.S+R%C3%ADo+Tercero+C%C3%B3rdoba+Argentina</x:v>
      </x:c>
      <x:c r="AB27" s="136" t="str">
        <x:v>Google Maps / Parque Industrial Río Tercero</x:v>
      </x:c>
      <x:c r="AC27" s="136" t="str">
        <x:v>https://www.google.com/maps/search/?api=1&amp;query=NEMETAL+SAS+R%C3%ADo+Tercero+C%C3%B3rdoba+Argentina</x:v>
      </x:c>
      <x:c r="AD27" s="136" t="str">
        <x:v>Ficha pública en zona industrial; el listado del parque identifica NE Metalúrgica vinculada a reparación de maquinaria agrícola.</x:v>
      </x:c>
      <x:c r="AE27" s="136" t="str">
        <x:v>Alta</x:v>
      </x:c>
      <x:c r="AF27" s="136" t="str">
        <x:v>Enriquecimiento web 2026-09-07</x:v>
      </x:c>
      <x:c r="AG27" s="136" t="str">
        <x:v>transporte de áridos/materiales | hidrogrúa para carga/descarga | percha para pallets/bolsones | plataforma 20 tn para maquinaria/piezas | hidrogrúa para maniobras | percha para pallets</x:v>
      </x:c>
      <x:c r="AH27" s="136" t="str">
        <x:v>fabricante/servicio maquinaria agrícola</x:v>
      </x:c>
      <x:c r="AI27" s="136" t="str">
        <x:v>Sí</x:v>
      </x:c>
      <x:c r="AJ27" s="136" t="str">
        <x:v>Muy alta</x:v>
      </x:c>
      <x:c r="AK27" s="136"/>
      <x:c r="AL27" s="136" t="str">
        <x:v>GPT adjunto</x:v>
      </x:c>
      <x:c r="AM27" s="136"/>
    </x:row>
    <x:row r="28" ht="48">
      <x:c r="A28" s="135" t="str">
        <x:v>RT-058</x:v>
      </x:c>
      <x:c r="B28" s="135" t="str">
        <x:v>Pendiente</x:v>
      </x:c>
      <x:c r="C28" s="135" t="str">
        <x:v>Base Río Tercero</x:v>
      </x:c>
      <x:c r="D28" s="135" t="str">
        <x:v>Río Tercero / zona industrial</x:v>
      </x:c>
      <x:c r="E28" s="135" t="str">
        <x:v>Río Tercero</x:v>
      </x:c>
      <x:c r="F28" s="135" t="str">
        <x:v>A</x:v>
      </x:c>
      <x:c r="G28" s="135" t="n">
        <x:v>85</x:v>
      </x:c>
      <x:c r="H28" s="135" t="str">
        <x:v>Paulucci Máquinas Agrícolas</x:v>
      </x:c>
      <x:c r="I28" s="135" t="str">
        <x:v>Venta de maquinaria e implementos agrícolas</x:v>
      </x:c>
      <x:c r="J28" s="135" t="str">
        <x:v>Maquinaria agrícola</x:v>
      </x:c>
      <x:c r="K28" s="135" t="str">
        <x:v>03571 424384</x:v>
      </x:c>
      <x:c r="L28" s="135" t="str">
        <x:v>OK</x:v>
      </x:c>
      <x:c r="M28" s="135" t="str">
        <x:v>logística / ventas / postventa</x:v>
      </x:c>
      <x:c r="N28" s="135" t="str">
        <x:v>Entrega y retiro de tractores, cosechadoras, pulverizadoras, sembradoras e implementos; movimientos por venta, service, canje, demostraciones o ferias.</x:v>
      </x:c>
      <x:c r="O28" s="135" t="str">
        <x:v>Plataforma 20 tn para maquinaria agrícola + malacate/hidrogrúa según maniobra + seguro de carga + trazabilidad GPS.</x:v>
      </x:c>
      <x:c r="P28" s="135" t="str">
        <x:v>Ofrecer transporte tercerizado para entregas a clientes y retiros de usados/service, especialmente en picos de campaña y operaciones fuera de zona.</x:v>
      </x:c>
      <x:c r="Q28" s="135" t="str">
        <x:v>Llamada comercial prioritaria; pedir por logística/ventas/postventa y consultar próximo equipo a trasladar.</x:v>
      </x:c>
      <x:c r="R28" s="135"/>
      <x:c r="S28" s="158" t="str">
        <x:f>IFERROR(T(INDEX('Prospectos Resumen'!$K$9:$K$295,MATCH(A28,'Prospectos Resumen'!$A$9:$A$295,0))),"")</x:f>
      </x:c>
      <x:c r="T28" s="135"/>
      <x:c r="U28" s="135"/>
      <x:c r="V28" s="135"/>
      <x:c r="W28" s="135"/>
      <x:c r="X28" s="135" t="str">
        <x:v>tel:+543571424384</x:v>
      </x:c>
      <x:c r="Y28" s="135" t="str">
        <x:v>tel:+543571424384</x:v>
      </x:c>
      <x:c r="Z28" s="135" t="str">
        <x:v>Confirmar decisor y frecuencia de traslados.</x:v>
      </x:c>
      <x:c r="AA28" s="135" t="str">
        <x:v>https://www.google.com/maps/search/?api=1&amp;query=Paulucci+M%C3%A1quinas+Agr%C3%ADcolas+R%C3%ADo+Tercero+C%C3%B3rdoba+Argentina</x:v>
      </x:c>
      <x:c r="AB28" s="135" t="str">
        <x:v>Red de concesionarios Conese</x:v>
      </x:c>
      <x:c r="AC28" s="135" t="str">
        <x:v>https://conese.com.ar/</x:v>
      </x:c>
      <x:c r="AD28" s="135" t="str">
        <x:v>Punto comercial de maquinaria agrícola en Av. Fuerza Aérea, Río Tercero.</x:v>
      </x:c>
      <x:c r="AE28" s="135" t="str">
        <x:v>Alta</x:v>
      </x:c>
      <x:c r="AF28" s="135" t="str">
        <x:v>Rastrillaje agro-maquinaria web 2026-09-07</x:v>
      </x:c>
      <x:c r="AG28" s="135" t="str">
        <x:v>plataforma 20 tn para maquinaria/implementos | hidrogrúa para maniobras | malacate | seguro de carga | trazabilidad GPS</x:v>
      </x:c>
      <x:c r="AH28" s="135" t="str">
        <x:v>fabricante/concesionario/servicio maquinaria agrícola</x:v>
      </x:c>
      <x:c r="AI28" s="135" t="str">
        <x:v>Sí</x:v>
      </x:c>
      <x:c r="AJ28" s="135" t="str">
        <x:v>Alta</x:v>
      </x:c>
      <x:c r="AK28" s="135" t="str">
        <x:v>Perfil específico maquinaria agrícola: validar pesos/dimensiones, tipo de carga y disponibilidad de medios de izaje antes de cotizar.</x:v>
      </x:c>
      <x:c r="AL28" s="135" t="str">
        <x:v>Rastrillaje agro-maquinaria 2026-09-07</x:v>
      </x:c>
      <x:c r="AM28" s="135" t="str">
        <x:v>Alta nueva luego de barrido específico de fabricantes, implementos, tractores, concesionarios y agropartes; cruzada contra la base maestra para evitar duplicados.</x:v>
      </x:c>
    </x:row>
    <x:row r="29" ht="36">
      <x:c r="A29" s="136" t="str">
        <x:v>RT-059</x:v>
      </x:c>
      <x:c r="B29" s="136" t="str">
        <x:v>Pendiente</x:v>
      </x:c>
      <x:c r="C29" s="136" t="str">
        <x:v>Base Río Tercero</x:v>
      </x:c>
      <x:c r="D29" s="136" t="str">
        <x:v>Río Tercero / zona industrial</x:v>
      </x:c>
      <x:c r="E29" s="136" t="str">
        <x:v>Río Tercero</x:v>
      </x:c>
      <x:c r="F29" s="136" t="str">
        <x:v>A</x:v>
      </x:c>
      <x:c r="G29" s="136" t="n">
        <x:v>85</x:v>
      </x:c>
      <x:c r="H29" s="136" t="str">
        <x:v>SAEMMA</x:v>
      </x:c>
      <x:c r="I29" s="136" t="str">
        <x:v>Maquinaria agrícola, construcción y minería / repuestos</x:v>
      </x:c>
      <x:c r="J29" s="136" t="str">
        <x:v>Maquinaria agrícola</x:v>
      </x:c>
      <x:c r="K29" s="136" t="str">
        <x:v>03571 432338</x:v>
      </x:c>
      <x:c r="L29" s="136" t="str">
        <x:v>Verificar</x:v>
      </x:c>
      <x:c r="M29" s="136" t="str">
        <x:v>logística / ventas / postventa</x:v>
      </x:c>
      <x:c r="N29" s="136" t="str">
        <x:v>Entrega y retiro de tractores, cosechadoras, pulverizadoras, sembradoras e implementos; movimientos por venta, service, canje, demostraciones o ferias.</x:v>
      </x:c>
      <x:c r="O29" s="136" t="str">
        <x:v>Plataforma 20 tn para maquinaria agrícola + malacate/hidrogrúa según maniobra + seguro de carga + trazabilidad GPS.</x:v>
      </x:c>
      <x:c r="P29" s="136" t="str">
        <x:v>Ofrecer transporte tercerizado para entregas a clientes y retiros de usados/service, especialmente en picos de campaña y operaciones fuera de zona.</x:v>
      </x:c>
      <x:c r="Q29" s="136" t="str">
        <x:v>Llamada comercial prioritaria; pedir por logística/ventas/postventa y consultar próximo equipo a trasladar.</x:v>
      </x:c>
      <x:c r="R29" s="136"/>
      <x:c r="S29" s="158" t="str">
        <x:f>IFERROR(T(INDEX('Prospectos Resumen'!$K$9:$K$295,MATCH(A29,'Prospectos Resumen'!$A$9:$A$295,0))),"")</x:f>
      </x:c>
      <x:c r="T29" s="136"/>
      <x:c r="U29" s="136"/>
      <x:c r="V29" s="136"/>
      <x:c r="W29" s="136"/>
      <x:c r="X29" s="136" t="str">
        <x:v>tel:+543571432338</x:v>
      </x:c>
      <x:c r="Y29" s="136" t="str">
        <x:v>tel:+543571432338</x:v>
      </x:c>
      <x:c r="Z29" s="136" t="str">
        <x:v>Confirmar teléfono, decisor y vigencia del punto de venta.</x:v>
      </x:c>
      <x:c r="AA29" s="136" t="str">
        <x:v>https://www.google.com/maps/search/?api=1&amp;query=SAEMMA+R%C3%ADo+Tercero+C%C3%B3rdoba+Argentina</x:v>
      </x:c>
      <x:c r="AB29" s="136" t="str">
        <x:v>SAEMMA / directorios empresariales</x:v>
      </x:c>
      <x:c r="AC29" s="136" t="str">
        <x:v>https://www.saemma.com/</x:v>
      </x:c>
      <x:c r="AD29" s="136" t="str">
        <x:v>Empresa de Río Tercero vinculada a maquinaria especializada para agro, construcción y minería; validar contacto comercial actual.</x:v>
      </x:c>
      <x:c r="AE29" s="136" t="str">
        <x:v>Alta</x:v>
      </x:c>
      <x:c r="AF29" s="136" t="str">
        <x:v>Rastrillaje agro-maquinaria web 2026-09-07</x:v>
      </x:c>
      <x:c r="AG29" s="136" t="str">
        <x:v>plataforma 20 tn para maquinaria/implementos | hidrogrúa para maniobras | malacate | seguro de carga | trazabilidad GPS</x:v>
      </x:c>
      <x:c r="AH29" s="136" t="str">
        <x:v>fabricante/concesionario/servicio maquinaria agrícola</x:v>
      </x:c>
      <x:c r="AI29" s="136" t="str">
        <x:v>Sí</x:v>
      </x:c>
      <x:c r="AJ29" s="136" t="str">
        <x:v>Alta</x:v>
      </x:c>
      <x:c r="AK29" s="136" t="str">
        <x:v>Perfil específico maquinaria agrícola: validar pesos/dimensiones, tipo de carga y disponibilidad de medios de izaje antes de cotizar.</x:v>
      </x:c>
      <x:c r="AL29" s="136" t="str">
        <x:v>Rastrillaje agro-maquinaria 2026-09-07</x:v>
      </x:c>
      <x:c r="AM29" s="136" t="str">
        <x:v>Alta nueva luego de barrido específico de fabricantes, implementos, tractores, concesionarios y agropartes; cruzada contra la base maestra para evitar duplicados.</x:v>
      </x:c>
    </x:row>
    <x:row r="30" ht="36">
      <x:c r="A30" s="135" t="str">
        <x:v>RT-020</x:v>
      </x:c>
      <x:c r="B30" s="135" t="str">
        <x:v>Pendiente</x:v>
      </x:c>
      <x:c r="C30" s="135" t="str">
        <x:v>Base Río Tercero</x:v>
      </x:c>
      <x:c r="D30" s="135" t="str">
        <x:v>Río Tercero / zona industrial</x:v>
      </x:c>
      <x:c r="E30" s="135" t="str">
        <x:v>Río Tercero</x:v>
      </x:c>
      <x:c r="F30" s="135" t="str">
        <x:v>A</x:v>
      </x:c>
      <x:c r="G30" s="135" t="n">
        <x:v>85</x:v>
      </x:c>
      <x:c r="H30" s="135" t="str">
        <x:v>Sclauzero Metalúrgica</x:v>
      </x:c>
      <x:c r="I30" s="135" t="str">
        <x:v>Fabricación y provisión de máquinas / metalurgia</x:v>
      </x:c>
      <x:c r="J30" s="135" t="str">
        <x:v>Metalúrgica y fabricación</x:v>
      </x:c>
      <x:c r="K30" s="135" t="str">
        <x:v>03571 414014</x:v>
      </x:c>
      <x:c r="L30" s="135" t="str">
        <x:v>OK</x:v>
      </x:c>
      <x:c r="M30" s="135" t="str">
        <x:v>despacho / producción</x:v>
      </x:c>
      <x:c r="N30" s="135" t="str">
        <x:v>Despacho de estructuras, piezas, equipos y conjuntos metalmecánicos de gran porte hacia obras o clientes.</x:v>
      </x:c>
      <x:c r="O30" s="135" t="str">
        <x:v>Plataforma 20 tn para piezas/estructuras + seguro de carga + trazabilidad GPS + apoyo de hidrogrúa según maniobra.</x:v>
      </x:c>
      <x:c r="P30" s="135" t="str">
        <x:v>Ficha pública local: proveedor de máquinas de metal, con teléfono.</x:v>
      </x:c>
      <x:c r="Q30" s="135" t="str">
        <x:v>Llamada prioritaria; pedir próximo traslado concreto y, si hay encaje, coordinar visita.</x:v>
      </x:c>
      <x:c r="R30" s="135"/>
      <x:c r="S30" s="158" t="str">
        <x:f>IFERROR(T(INDEX('Prospectos Resumen'!$K$9:$K$295,MATCH(A30,'Prospectos Resumen'!$A$9:$A$295,0))),"")</x:f>
      </x:c>
      <x:c r="T30" s="135"/>
      <x:c r="U30" s="135"/>
      <x:c r="V30" s="135"/>
      <x:c r="W30" s="135"/>
      <x:c r="X30" s="135" t="str">
        <x:v>tel:+543571414014</x:v>
      </x:c>
      <x:c r="Y30" s="135" t="str">
        <x:v>tel:+543571414014</x:v>
      </x:c>
      <x:c r="Z30" s="135" t="str">
        <x:v>Confirmar decisor, frecuencia de movimientos y vigencia del contacto antes de cotizar.</x:v>
      </x:c>
      <x:c r="AA30" s="135" t="str">
        <x:v>https://www.google.com/maps/search/?api=1&amp;query=Sclauzero+Metal%C3%BArgica+R%C3%ADo+Tercero+C%C3%B3rdoba+Argentina</x:v>
      </x:c>
      <x:c r="AB30" s="135" t="str">
        <x:v>Google Maps / ficha pública</x:v>
      </x:c>
      <x:c r="AC30" s="135" t="str">
        <x:v>https://www.google.com/maps/search/?api=1&amp;query=Sclauzero+Metal%C3%BArgica+R%C3%ADo+Tercero+C%C3%B3rdoba+Argentina</x:v>
      </x:c>
      <x:c r="AD30" s="135" t="str">
        <x:v>Ficha pública local: proveedor de máquinas de metal, con teléfono.</x:v>
      </x:c>
      <x:c r="AE30" s="135" t="str">
        <x:v>Alta</x:v>
      </x:c>
      <x:c r="AF30" s="135" t="str">
        <x:v>Enriquecimiento web 2026-09-07</x:v>
      </x:c>
      <x:c r="AG30" s="135" t="str">
        <x:v>transporte de áridos/materiales | hidrogrúa para carga/descarga | percha para pallets/bolsones | plataforma 20 tn para maquinaria/piezas | hidrogrúa para maniobras | percha para pallets</x:v>
      </x:c>
      <x:c r="AH30" s="135" t="str">
        <x:v>otro rubro factible</x:v>
      </x:c>
      <x:c r="AI30" s="135" t="str">
        <x:v>Sí</x:v>
      </x:c>
      <x:c r="AJ30" s="135" t="str">
        <x:v>Muy alta</x:v>
      </x:c>
      <x:c r="AK30" s="135"/>
      <x:c r="AL30" s="135" t="str">
        <x:v>GPT adjunto</x:v>
      </x:c>
      <x:c r="AM30" s="135"/>
    </x:row>
    <x:row r="31" ht="48">
      <x:c r="A31" s="136" t="str">
        <x:v>RT-060</x:v>
      </x:c>
      <x:c r="B31" s="136" t="str">
        <x:v>Pendiente</x:v>
      </x:c>
      <x:c r="C31" s="136" t="str">
        <x:v>Base Río Tercero</x:v>
      </x:c>
      <x:c r="D31" s="136" t="str">
        <x:v>Río Tercero / zona industrial</x:v>
      </x:c>
      <x:c r="E31" s="136" t="str">
        <x:v>Río Tercero</x:v>
      </x:c>
      <x:c r="F31" s="136" t="str">
        <x:v>A</x:v>
      </x:c>
      <x:c r="G31" s="136" t="n">
        <x:v>82</x:v>
      </x:c>
      <x:c r="H31" s="136" t="str">
        <x:v>Barrax Argentina S.A.</x:v>
      </x:c>
      <x:c r="I31" s="136" t="str">
        <x:v>Fabricante de sistemas de corte y agropartes para cosechadoras</x:v>
      </x:c>
      <x:c r="J31" s="136" t="str">
        <x:v>Maquinaria agrícola</x:v>
      </x:c>
      <x:c r="K31" s="136" t="str">
        <x:v>03571 421774 / 03571 420576</x:v>
      </x:c>
      <x:c r="L31" s="136" t="str">
        <x:v>OK</x:v>
      </x:c>
      <x:c r="M31" s="136" t="str">
        <x:v>logística / ventas / postventa</x:v>
      </x:c>
      <x:c r="N31" s="136" t="str">
        <x:v>Movimiento de agropartes, repuestos pesados, conjuntos y eventualmente implementos/equipos entre planta, concesionarios y clientes.</x:v>
      </x:c>
      <x:c r="O31" s="136" t="str">
        <x:v>Plataforma e hidrogrúa para conjuntos pesados + percha/pallets para repuestos + seguro y trazabilidad.</x:v>
      </x:c>
      <x:c r="P31" s="136" t="str">
        <x:v>Ofrecer respaldo flexible para despachos voluminosos y cargas que exceden el transporte convencional de repuestos.</x:v>
      </x:c>
      <x:c r="Q31" s="136" t="str">
        <x:v>Llamada comercial prioritaria; pedir por logística/ventas/postventa y consultar próximo equipo a trasladar.</x:v>
      </x:c>
      <x:c r="R31" s="136"/>
      <x:c r="S31" s="158" t="str">
        <x:f>IFERROR(T(INDEX('Prospectos Resumen'!$K$9:$K$295,MATCH(A31,'Prospectos Resumen'!$A$9:$A$295,0))),"")</x:f>
      </x:c>
      <x:c r="T31" s="136"/>
      <x:c r="U31" s="136"/>
      <x:c r="V31" s="136"/>
      <x:c r="W31" s="136"/>
      <x:c r="X31" s="136" t="str">
        <x:v>tel:+543571421774</x:v>
      </x:c>
      <x:c r="Y31" s="136" t="str">
        <x:v>tel:+543571421774</x:v>
      </x:c>
      <x:c r="Z31" s="136" t="str">
        <x:v>Confirmar decisor y frecuencia de traslados.</x:v>
      </x:c>
      <x:c r="AA31" s="136" t="str">
        <x:v>https://www.google.com/maps/search/?api=1&amp;query=Barrax+Argentina+S.A.+R%C3%ADo+Tercero+C%C3%B3rdoba+Argentina</x:v>
      </x:c>
      <x:c r="AB31" s="136" t="str">
        <x:v>Web oficial Barrax</x:v>
      </x:c>
      <x:c r="AC31" s="136" t="str">
        <x:v>https://www.barraxweb.com/</x:v>
      </x:c>
      <x:c r="AD31" s="136" t="str">
        <x:v>Fabricante local de sistemas de corte y componentes para cosechadoras; despacho de conjuntos y agropartes.</x:v>
      </x:c>
      <x:c r="AE31" s="136" t="str">
        <x:v>Alta</x:v>
      </x:c>
      <x:c r="AF31" s="136" t="str">
        <x:v>Rastrillaje agro-maquinaria web 2026-09-07</x:v>
      </x:c>
      <x:c r="AG31" s="136" t="str">
        <x:v>plataforma 20 tn para maquinaria/implementos | hidrogrúa para maniobras | malacate | seguro de carga | trazabilidad GPS</x:v>
      </x:c>
      <x:c r="AH31" s="136" t="str">
        <x:v>fabricante/concesionario/servicio maquinaria agrícola</x:v>
      </x:c>
      <x:c r="AI31" s="136" t="str">
        <x:v>Sí</x:v>
      </x:c>
      <x:c r="AJ31" s="136" t="str">
        <x:v>Alta</x:v>
      </x:c>
      <x:c r="AK31" s="136" t="str">
        <x:v>Perfil específico maquinaria agrícola: validar pesos/dimensiones, tipo de carga y disponibilidad de medios de izaje antes de cotizar.</x:v>
      </x:c>
      <x:c r="AL31" s="136" t="str">
        <x:v>Rastrillaje agro-maquinaria 2026-09-07</x:v>
      </x:c>
      <x:c r="AM31" s="136" t="str">
        <x:v>Alta nueva luego de barrido específico de fabricantes, implementos, tractores, concesionarios y agropartes; cruzada contra la base maestra para evitar duplicados.</x:v>
      </x:c>
    </x:row>
    <x:row r="32" ht="48">
      <x:c r="A32" s="135" t="str">
        <x:v>RT-021</x:v>
      </x:c>
      <x:c r="B32" s="135" t="str">
        <x:v>Pendiente</x:v>
      </x:c>
      <x:c r="C32" s="135" t="str">
        <x:v>Base Río Tercero</x:v>
      </x:c>
      <x:c r="D32" s="135" t="str">
        <x:v>Río Tercero</x:v>
      </x:c>
      <x:c r="E32" s="135" t="str">
        <x:v>Río Tercero</x:v>
      </x:c>
      <x:c r="F32" s="135" t="str">
        <x:v>A</x:v>
      </x:c>
      <x:c r="G32" s="135" t="n">
        <x:v>75</x:v>
      </x:c>
      <x:c r="H32" s="135" t="str">
        <x:v>IMBAL S.A.</x:v>
      </x:c>
      <x:c r="I32" s="135" t="str">
        <x:v>Estructuras metálicas / montaje</x:v>
      </x:c>
      <x:c r="J32" s="135" t="str">
        <x:v>Metalúrgica y fabricación</x:v>
      </x:c>
      <x:c r="K32" s="135" t="str">
        <x:v>A relevar en terreno</x:v>
      </x:c>
      <x:c r="L32" s="135" t="str">
        <x:v>A relevar</x:v>
      </x:c>
      <x:c r="M32" s="135" t="str">
        <x:v>despacho / producción</x:v>
      </x:c>
      <x:c r="N32" s="135" t="str">
        <x:v>Despacho seguro de estructuras, carrozados, tanques, piezas industriales y equipos sobre plataforma.</x:v>
      </x:c>
      <x:c r="O32" s="135" t="str">
        <x:v>Despacho de estructuras, tanques, transformadores, piezas de ingeniería y equipos sobre plataforma 20 tn.</x:v>
      </x:c>
      <x:c r="P32" s="135" t="str">
        <x:v>Fabrican y montan; pedir responsable de despacho/montaje.</x:v>
      </x:c>
      <x:c r="Q32" s="135" t="str">
        <x:v>Visita o llamada de validación; pedir próximo traslado concreto.</x:v>
      </x:c>
      <x:c r="R32" s="135"/>
      <x:c r="S32" s="158" t="str">
        <x:f>IFERROR(T(INDEX('Prospectos Resumen'!$K$9:$K$295,MATCH(A32,'Prospectos Resumen'!$A$9:$A$295,0))),"")</x:f>
      </x:c>
      <x:c r="T32" s="135"/>
      <x:c r="U32" s="135"/>
      <x:c r="V32" s="135"/>
      <x:c r="W32" s="135"/>
      <x:c r="X32" s="135"/>
      <x:c r="Y32" s="135"/>
      <x:c r="Z32" s="135" t="str">
        <x:v>Validar contacto decisor y necesidad inmediata.</x:v>
      </x:c>
      <x:c r="AA32" s="135" t="str">
        <x:v>https://www.google.com/maps/search/?api=1&amp;query=-32.180000,-64.106000</x:v>
      </x:c>
      <x:c r="AB32" s="135" t="str">
        <x:v>Parque Industrial Río Tercero / LinkedIn comercial</x:v>
      </x:c>
      <x:c r="AC32" s="135"/>
      <x:c r="AD32" s="135" t="str">
        <x:v>Registro curado en documento de dirección PRESOL 2026-09.</x:v>
      </x:c>
      <x:c r="AE32" s="135" t="str">
        <x:v>Media</x:v>
      </x:c>
      <x:c r="AF32" s="135" t="str">
        <x:v>Base curada PDF dirección</x:v>
      </x:c>
      <x:c r="AG32" s="135" t="str">
        <x:v>plataforma 20 tn para maquinaria/piezas | hidrogrúa para maniobras | percha para pallets</x:v>
      </x:c>
      <x:c r="AH32" s="135" t="str">
        <x:v>otro rubro factible</x:v>
      </x:c>
      <x:c r="AI32" s="135" t="str">
        <x:v>Sí</x:v>
      </x:c>
      <x:c r="AJ32" s="135" t="str">
        <x:v>Alta</x:v>
      </x:c>
      <x:c r="AK32" s="135"/>
      <x:c r="AL32" s="135" t="str">
        <x:v>GPT adjunto + Hermes</x:v>
      </x:c>
      <x:c r="AM32" s="135" t="str">
        <x:v>Fusionado con base Hermes para completar teléfonos/fuentes/servicios.</x:v>
      </x:c>
    </x:row>
    <x:row r="33" ht="48">
      <x:c r="A33" s="136" t="str">
        <x:v>RT-022</x:v>
      </x:c>
      <x:c r="B33" s="136" t="str">
        <x:v>Pendiente</x:v>
      </x:c>
      <x:c r="C33" s="136" t="str">
        <x:v>Base Río Tercero</x:v>
      </x:c>
      <x:c r="D33" s="136" t="str">
        <x:v>Parque Industrial / PRFV</x:v>
      </x:c>
      <x:c r="E33" s="136" t="str">
        <x:v>Río Tercero</x:v>
      </x:c>
      <x:c r="F33" s="136" t="str">
        <x:v>B</x:v>
      </x:c>
      <x:c r="G33" s="136" t="n">
        <x:v>85</x:v>
      </x:c>
      <x:c r="H33" s="136" t="str">
        <x:v>J.A.F. Plásticos Reforzados</x:v>
      </x:c>
      <x:c r="I33" s="136" t="str">
        <x:v>Plástico reforzado con fibra de vidrio / PRFV / piezas industriales y piletas</x:v>
      </x:c>
      <x:c r="J33" s="136" t="str">
        <x:v>PRFV y plásticos</x:v>
      </x:c>
      <x:c r="K33" s="136" t="str">
        <x:v>3571 533624 / 3571 579801 / portería parque 03571 565662</x:v>
      </x:c>
      <x:c r="L33" s="136" t="str">
        <x:v>OK</x:v>
      </x:c>
      <x:c r="M33" s="136" t="str">
        <x:v>producción / logística</x:v>
      </x:c>
      <x:c r="N33" s="136" t="str">
        <x:v>Retiro, traslado y descarga de piletas/fibra o piezas voluminosas livianas, con cuidado de maniobra.</x:v>
      </x:c>
      <x:c r="O33" s="136" t="str">
        <x:v>Plataforma + hidrogrúa para trasladar y descargar piletas/piezas PRFV; coordinar maniobra sin golpes.</x:v>
      </x:c>
      <x:c r="P33" s="136" t="str">
        <x:v>PRFV con aplicaciones industriales, tanques, piletones y piletas; piezas voluminosas de bajo peso con necesidad de cuidado en maniobra.</x:v>
      </x:c>
      <x:c r="Q33" s="136" t="str">
        <x:v>Pedir por producción/logística y consultar si tercerizan traslados de piezas PRFV o entregas especiales.</x:v>
      </x:c>
      <x:c r="R33" s="136"/>
      <x:c r="S33" s="158" t="str">
        <x:f>IFERROR(T(INDEX('Prospectos Resumen'!$K$9:$K$295,MATCH(A33,'Prospectos Resumen'!$A$9:$A$295,0))),"")</x:f>
      </x:c>
      <x:c r="T33" s="136"/>
      <x:c r="U33" s="136"/>
      <x:c r="V33" s="136"/>
      <x:c r="W33" s="136"/>
      <x:c r="X33" s="136" t="str">
        <x:v>tel:+543571533624</x:v>
      </x:c>
      <x:c r="Y33" s="136" t="str">
        <x:v>tel:+543571533624 | tel:+543571579801 | tel:+543571565662</x:v>
      </x:c>
      <x:c r="Z33" s="136" t="str">
        <x:v>Confirmar punto operativo: ficha del parque Río Tercero y web con domicilio en Almafuerte.</x:v>
      </x:c>
      <x:c r="AA33" s="136" t="str">
        <x:v>https://www.google.com/maps/search/?api=1&amp;query=J.A.F.+Pl%C3%A1sticos+Reforzados+R%C3%ADo+Tercero+C%C3%B3rdoba+Argentina</x:v>
      </x:c>
      <x:c r="AB33" s="136" t="str">
        <x:v>Web propia + Parque Industrial Río Tercero</x:v>
      </x:c>
      <x:c r="AC33" s="136" t="str">
        <x:v>https://jafplasticosreforzados.com</x:v>
      </x:c>
      <x:c r="AD33" s="136" t="str">
        <x:v>Web informa PRFV, piletas/piezas, transporte/logística propia y teléfonos 3571 533624 / 3571 579801; ficha parque lista J.A.F. Plásticos Reforzados.</x:v>
      </x:c>
      <x:c r="AE33" s="136" t="str">
        <x:v>Alta</x:v>
      </x:c>
      <x:c r="AF33" s="136" t="str">
        <x:v>Nuevo enriquecimiento zonas priorizadas 2026-09</x:v>
      </x:c>
      <x:c r="AG33" s="136" t="str">
        <x:v>plataforma para piletas/fibra | hidrogrúa para descarga/posicionamiento</x:v>
      </x:c>
      <x:c r="AH33" s="136" t="str">
        <x:v>piletas/plástico/PRFV</x:v>
      </x:c>
      <x:c r="AI33" s="136" t="str">
        <x:v>Sí</x:v>
      </x:c>
      <x:c r="AJ33" s="136" t="str">
        <x:v>Alta</x:v>
      </x:c>
      <x:c r="AK33" s="136"/>
      <x:c r="AL33" s="136" t="str">
        <x:v>Hermes único</x:v>
      </x:c>
      <x:c r="AM33" s="136" t="str">
        <x:v>Alta única desde base Hermes; no estaba en el Excel GPT adjunto. | ID fuente: PRESOL-120</x:v>
      </x:c>
    </x:row>
    <x:row r="34" ht="48">
      <x:c r="A34" s="135" t="str">
        <x:v>RT-023</x:v>
      </x:c>
      <x:c r="B34" s="135" t="str">
        <x:v>Pendiente</x:v>
      </x:c>
      <x:c r="C34" s="135" t="str">
        <x:v>Base Río Tercero</x:v>
      </x:c>
      <x:c r="D34" s="135" t="str">
        <x:v>Río Tercero / piletas y PRFV</x:v>
      </x:c>
      <x:c r="E34" s="135" t="str">
        <x:v>Río Tercero</x:v>
      </x:c>
      <x:c r="F34" s="135" t="str">
        <x:v>B</x:v>
      </x:c>
      <x:c r="G34" s="135" t="n">
        <x:v>85</x:v>
      </x:c>
      <x:c r="H34" s="135" t="str">
        <x:v>Tecnipiscinas</x:v>
      </x:c>
      <x:c r="I34" s="135" t="str">
        <x:v>Piletas de fibra / piscinas / accesorios</x:v>
      </x:c>
      <x:c r="J34" s="135" t="str">
        <x:v>PRFV y plásticos</x:v>
      </x:c>
      <x:c r="K34" s="135" t="str">
        <x:v>+54 3571 412563</x:v>
      </x:c>
      <x:c r="L34" s="135" t="str">
        <x:v>OK</x:v>
      </x:c>
      <x:c r="M34" s="135" t="str">
        <x:v>ventas / logística / dueño</x:v>
      </x:c>
      <x:c r="N34" s="135" t="str">
        <x:v>Retiro, traslado y descarga de piletas/fibra o piezas voluminosas livianas, con cuidado de maniobra.</x:v>
      </x:c>
      <x:c r="O34" s="135" t="str">
        <x:v>Plataforma + hidrogrúa para trasladar y descargar piletas/piezas PRFV; coordinar maniobra sin golpes.</x:v>
      </x:c>
      <x:c r="P34" s="135" t="str">
        <x:v>Piletas de fibra y equipamiento; traslado y descarga de cascos/piezas voluminosas puede tercerizarse por temporada.</x:v>
      </x:c>
      <x:c r="Q34" s="135" t="str">
        <x:v>Llamar y preguntar por entregas fuera de Río Tercero y si tercerizan traslado/descarga de cascos.</x:v>
      </x:c>
      <x:c r="R34" s="135"/>
      <x:c r="S34" s="158" t="str">
        <x:f>IFERROR(T(INDEX('Prospectos Resumen'!$K$9:$K$295,MATCH(A34,'Prospectos Resumen'!$A$9:$A$295,0))),"")</x:f>
      </x:c>
      <x:c r="T34" s="135"/>
      <x:c r="U34" s="135"/>
      <x:c r="V34" s="135"/>
      <x:c r="W34" s="135"/>
      <x:c r="X34" s="135" t="str">
        <x:v>tel:+543571412563</x:v>
      </x:c>
      <x:c r="Y34" s="135" t="str">
        <x:v>tel:+543571412563</x:v>
      </x:c>
      <x:c r="Z34" s="135" t="str">
        <x:v>Confirmar si fabrica localmente o actúa como punto de venta y volumen mensual de entregas.</x:v>
      </x:c>
      <x:c r="AA34" s="135" t="str">
        <x:v>https://www.google.com/maps/search/?api=1&amp;query=Tecnipiscinas+R%C3%ADo+Tercero+C%C3%B3rdoba+Argentina</x:v>
      </x:c>
      <x:c r="AB34" s="135" t="str">
        <x:v>Web propia / Moldear</x:v>
      </x:c>
      <x:c r="AC34" s="135" t="str">
        <x:v>https://www.tecnipiscinas.com.ar</x:v>
      </x:c>
      <x:c r="AD34" s="135" t="str">
        <x:v>Contacto publicado: Av. Pío X 485, Río Tercero; teléfono +54 3571 412563; rubro piscinas.</x:v>
      </x:c>
      <x:c r="AE34" s="135" t="str">
        <x:v>Alta</x:v>
      </x:c>
      <x:c r="AF34" s="135" t="str">
        <x:v>Nuevo enriquecimiento zonas priorizadas 2026-09</x:v>
      </x:c>
      <x:c r="AG34" s="135" t="str">
        <x:v>plataforma para piletas/fibra | hidrogrúa para descarga/posicionamiento</x:v>
      </x:c>
      <x:c r="AH34" s="135" t="str">
        <x:v>piletas/plástico/PRFV</x:v>
      </x:c>
      <x:c r="AI34" s="135" t="str">
        <x:v>Sí</x:v>
      </x:c>
      <x:c r="AJ34" s="135" t="str">
        <x:v>Alta</x:v>
      </x:c>
      <x:c r="AK34" s="135"/>
      <x:c r="AL34" s="135" t="str">
        <x:v>Hermes único</x:v>
      </x:c>
      <x:c r="AM34" s="135" t="str">
        <x:v>Alta única desde base Hermes; no estaba en el Excel GPT adjunto. | ID fuente: PRESOL-118</x:v>
      </x:c>
    </x:row>
    <x:row r="35" ht="48">
      <x:c r="A35" s="136" t="str">
        <x:v>RT-024</x:v>
      </x:c>
      <x:c r="B35" s="136" t="str">
        <x:v>Pendiente</x:v>
      </x:c>
      <x:c r="C35" s="136" t="str">
        <x:v>Base Río Tercero</x:v>
      </x:c>
      <x:c r="D35" s="136" t="str">
        <x:v>Río Tercero / piletas y PRFV</x:v>
      </x:c>
      <x:c r="E35" s="136" t="str">
        <x:v>Río Tercero</x:v>
      </x:c>
      <x:c r="F35" s="136" t="str">
        <x:v>B</x:v>
      </x:c>
      <x:c r="G35" s="136" t="n">
        <x:v>81</x:v>
      </x:c>
      <x:c r="H35" s="136" t="str">
        <x:v>Indusplast Río Tercero</x:v>
      </x:c>
      <x:c r="I35" s="136" t="str">
        <x:v>Piletas de fibra / plástico reforzado</x:v>
      </x:c>
      <x:c r="J35" s="136" t="str">
        <x:v>PRFV y plásticos</x:v>
      </x:c>
      <x:c r="K35" s="136" t="str">
        <x:v>+54 3571 57-5556</x:v>
      </x:c>
      <x:c r="L35" s="136" t="str">
        <x:v>Verificar</x:v>
      </x:c>
      <x:c r="M35" s="136" t="str">
        <x:v>ventas / dueño</x:v>
      </x:c>
      <x:c r="N35" s="136" t="str">
        <x:v>Retiro, traslado y descarga de piletas/fibra o piezas voluminosas livianas, con cuidado de maniobra.</x:v>
      </x:c>
      <x:c r="O35" s="136" t="str">
        <x:v>Plataforma + hidrogrúa para trasladar y descargar piletas/piezas PRFV; coordinar maniobra sin golpes.</x:v>
      </x:c>
      <x:c r="P35" s="136" t="str">
        <x:v>Fabricación/venta de piscinas de fibra; encaje para plataforma e hidrogrúa en temporada.</x:v>
      </x:c>
      <x:c r="Q35" s="136" t="str">
        <x:v>Verificar teléfono por llamado corto y preguntar por entregas a clientes finales.</x:v>
      </x:c>
      <x:c r="R35" s="136"/>
      <x:c r="S35" s="158" t="str">
        <x:f>IFERROR(T(INDEX('Prospectos Resumen'!$K$9:$K$295,MATCH(A35,'Prospectos Resumen'!$A$9:$A$295,0))),"")</x:f>
      </x:c>
      <x:c r="T35" s="136"/>
      <x:c r="U35" s="136"/>
      <x:c r="V35" s="136"/>
      <x:c r="W35" s="136"/>
      <x:c r="X35" s="136" t="str">
        <x:v>tel:+543571575556</x:v>
      </x:c>
      <x:c r="Y35" s="136" t="str">
        <x:v>tel:+543571575556</x:v>
      </x:c>
      <x:c r="Z35" s="136" t="str">
        <x:v>Confirmar dirección operativa y si mueve cascos completos.</x:v>
      </x:c>
      <x:c r="AA35" s="136" t="str">
        <x:v>https://www.google.com/maps/search/?api=1&amp;query=Indusplast+R%C3%ADo+Tercero+R%C3%ADo+Tercero+C%C3%B3rdoba+Argentina</x:v>
      </x:c>
      <x:c r="AB35" s="136" t="str">
        <x:v>Facebook público / resultado de búsqueda</x:v>
      </x:c>
      <x:c r="AC35" s="136" t="str">
        <x:v>https://www.facebook.com/indusplastrio3?locale=es_LA</x:v>
      </x:c>
      <x:c r="AD35" s="136" t="str">
        <x:v>Resultado público informa Indusplast Río Tercero y contacto +54 3571 57-5556; rubro piscinas de fibra.</x:v>
      </x:c>
      <x:c r="AE35" s="136" t="str">
        <x:v>Media</x:v>
      </x:c>
      <x:c r="AF35" s="136" t="str">
        <x:v>Nuevo enriquecimiento zonas priorizadas 2026-09</x:v>
      </x:c>
      <x:c r="AG35" s="136" t="str">
        <x:v>plataforma para piletas/fibra | hidrogrúa para descarga/posicionamiento</x:v>
      </x:c>
      <x:c r="AH35" s="136" t="str">
        <x:v>piletas/plástico/PRFV</x:v>
      </x:c>
      <x:c r="AI35" s="136" t="str">
        <x:v>Sí</x:v>
      </x:c>
      <x:c r="AJ35" s="136" t="str">
        <x:v>Alta</x:v>
      </x:c>
      <x:c r="AK35" s="136"/>
      <x:c r="AL35" s="136" t="str">
        <x:v>Hermes único</x:v>
      </x:c>
      <x:c r="AM35" s="136" t="str">
        <x:v>Alta única desde base Hermes; no estaba en el Excel GPT adjunto. | ID fuente: PRESOL-119</x:v>
      </x:c>
    </x:row>
    <x:row r="36" ht="60">
      <x:c r="A36" s="135" t="str">
        <x:v>RT-025</x:v>
      </x:c>
      <x:c r="B36" s="135" t="str">
        <x:v>Pendiente</x:v>
      </x:c>
      <x:c r="C36" s="135" t="str">
        <x:v>Base Río Tercero</x:v>
      </x:c>
      <x:c r="D36" s="135" t="str">
        <x:v>Río Tercero / zona industrial</x:v>
      </x:c>
      <x:c r="E36" s="135" t="str">
        <x:v>Río Tercero</x:v>
      </x:c>
      <x:c r="F36" s="135" t="str">
        <x:v>B</x:v>
      </x:c>
      <x:c r="G36" s="135" t="n">
        <x:v>75</x:v>
      </x:c>
      <x:c r="H36" s="135" t="str">
        <x:v>AGROTRAZIONE S.A.S</x:v>
      </x:c>
      <x:c r="I36" s="135" t="str">
        <x:v>Maquinaria e implementos agrícolas</x:v>
      </x:c>
      <x:c r="J36" s="135" t="str">
        <x:v>Maquinaria agrícola</x:v>
      </x:c>
      <x:c r="K36" s="135" t="str">
        <x:v>03571 528350</x:v>
      </x:c>
      <x:c r="L36" s="135" t="str">
        <x:v>OK</x:v>
      </x:c>
      <x:c r="M36" s="135" t="str">
        <x:v>logística / entregas / postventa</x:v>
      </x:c>
      <x:c r="N36" s="135" t="str">
        <x:v>Traslado de maquinaria agrícola o vial entre sucursal, cliente, taller, campo y eventos.</x:v>
      </x:c>
      <x:c r="O36" s="135" t="str">
        <x:v>Traslado de maquinaria en plataforma 20 tn, coordinación de retiro/entrega y apoyo de hidrogrúa si corresponde.</x:v>
      </x:c>
      <x:c r="P36" s="135" t="str">
        <x:v>Listado de servicios del sector agrícola ubica AGROTRAZIONE en 2 de Abril 1638, Río Tercero, con teléfono.</x:v>
      </x:c>
      <x:c r="Q36" s="135" t="str">
        <x:v>Llamar para validar necesidad y frecuencia; visitar si confirma movimientos de equipos/cargas.</x:v>
      </x:c>
      <x:c r="R36" s="135"/>
      <x:c r="S36" s="158" t="str">
        <x:f>IFERROR(T(INDEX('Prospectos Resumen'!$K$9:$K$295,MATCH(A36,'Prospectos Resumen'!$A$9:$A$295,0))),"")</x:f>
      </x:c>
      <x:c r="T36" s="135"/>
      <x:c r="U36" s="135"/>
      <x:c r="V36" s="135"/>
      <x:c r="W36" s="135"/>
      <x:c r="X36" s="135" t="str">
        <x:v>tel:+543571528350</x:v>
      </x:c>
      <x:c r="Y36" s="135" t="str">
        <x:v>tel:+543571528350</x:v>
      </x:c>
      <x:c r="Z36" s="135" t="str">
        <x:v>Confirmar decisor, frecuencia de movimientos y vigencia del contacto antes de cotizar.</x:v>
      </x:c>
      <x:c r="AA36" s="135" t="str">
        <x:v>https://www.google.com/maps/search/?api=1&amp;query=AGROTRAZIONE+S.A.S+R%C3%ADo+Tercero+C%C3%B3rdoba+Argentina</x:v>
      </x:c>
      <x:c r="AB36" s="135" t="str">
        <x:v>Red de servicios Piersanti</x:v>
      </x:c>
      <x:c r="AC36" s="135" t="str">
        <x:v>https://piersanti.com.ar/en/en_services/</x:v>
      </x:c>
      <x:c r="AD36" s="135" t="str">
        <x:v>Listado de servicios del sector agrícola ubica AGROTRAZIONE en 2 de Abril 1638, Río Tercero, con teléfono.</x:v>
      </x:c>
      <x:c r="AE36" s="135" t="str">
        <x:v>Alta</x:v>
      </x:c>
      <x:c r="AF36" s="135" t="str">
        <x:v>Enriquecimiento web 2026-09-07</x:v>
      </x:c>
      <x:c r="AG36" s="135" t="str">
        <x:v>plataforma 20 tn para maquinaria/piezas | hidrogrúa para maniobras | percha para pallets</x:v>
      </x:c>
      <x:c r="AH36" s="135" t="str">
        <x:v>fabricante/servicio maquinaria agrícola</x:v>
      </x:c>
      <x:c r="AI36" s="135" t="str">
        <x:v>Sí</x:v>
      </x:c>
      <x:c r="AJ36" s="135" t="str">
        <x:v>Alta</x:v>
      </x:c>
      <x:c r="AK36" s="135"/>
      <x:c r="AL36" s="135" t="str">
        <x:v>GPT adjunto</x:v>
      </x:c>
      <x:c r="AM36" s="135" t="str">
        <x:v>ID fuente: RT-022</x:v>
      </x:c>
    </x:row>
    <x:row r="37" ht="48">
      <x:c r="A37" s="136" t="str">
        <x:v>RT-026</x:v>
      </x:c>
      <x:c r="B37" s="136" t="str">
        <x:v>Pendiente</x:v>
      </x:c>
      <x:c r="C37" s="136" t="str">
        <x:v>Base Río Tercero</x:v>
      </x:c>
      <x:c r="D37" s="136" t="str">
        <x:v>Río Tercero / zona industrial</x:v>
      </x:c>
      <x:c r="E37" s="136" t="str">
        <x:v>Río Tercero</x:v>
      </x:c>
      <x:c r="F37" s="136" t="str">
        <x:v>B</x:v>
      </x:c>
      <x:c r="G37" s="136" t="n">
        <x:v>75</x:v>
      </x:c>
      <x:c r="H37" s="136" t="str">
        <x:v>Cementados Juan Nadalin e Hijos S.A.</x:v>
      </x:c>
      <x:c r="I37" s="136" t="str">
        <x:v>Cementados / reparación de piezas agroindustriales</x:v>
      </x:c>
      <x:c r="J37" s="136" t="str">
        <x:v>Agroindustria y alimentos</x:v>
      </x:c>
      <x:c r="K37" s="136" t="str">
        <x:v>03571 420931</x:v>
      </x:c>
      <x:c r="L37" s="136" t="str">
        <x:v>OK</x:v>
      </x:c>
      <x:c r="M37" s="136" t="str">
        <x:v>logística / despacho / postventa</x:v>
      </x:c>
      <x:c r="N37" s="136" t="str">
        <x:v>Traslado de maquinaria, implementos, equipos terminados y componentes de gran porte entre planta, cliente, obra o feria.</x:v>
      </x:c>
      <x:c r="O37" s="136" t="str">
        <x:v>Plataforma 20 tn + malacate/hidrogrúa según maniobra + seguro de carga + trazabilidad GPS.</x:v>
      </x:c>
      <x:c r="P37" s="136" t="str">
        <x:v>Planta industrial local con actividad de cementados; teléfono público.</x:v>
      </x:c>
      <x:c r="Q37" s="136" t="str">
        <x:v>Llamar para validar necesidad y frecuencia; visitar si confirma movimientos de equipos/cargas.</x:v>
      </x:c>
      <x:c r="R37" s="136"/>
      <x:c r="S37" s="158" t="str">
        <x:f>IFERROR(T(INDEX('Prospectos Resumen'!$K$9:$K$295,MATCH(A37,'Prospectos Resumen'!$A$9:$A$295,0))),"")</x:f>
      </x:c>
      <x:c r="T37" s="136"/>
      <x:c r="U37" s="136"/>
      <x:c r="V37" s="136"/>
      <x:c r="W37" s="136"/>
      <x:c r="X37" s="136" t="str">
        <x:v>tel:+543571420931</x:v>
      </x:c>
      <x:c r="Y37" s="136" t="str">
        <x:v>tel:+543571420931</x:v>
      </x:c>
      <x:c r="Z37" s="136" t="str">
        <x:v>Confirmar decisor, frecuencia de movimientos y vigencia del contacto antes de cotizar.</x:v>
      </x:c>
      <x:c r="AA37" s="136" t="str">
        <x:v>https://www.google.com/maps/search/?api=1&amp;query=Cementados+Juan+Nadalin+e+Hijos+S.A.+R%C3%ADo+Tercero+C%C3%B3rdoba+Argentina</x:v>
      </x:c>
      <x:c r="AB37" s="136" t="str">
        <x:v>Google Maps / Parque Industrial</x:v>
      </x:c>
      <x:c r="AC37" s="136" t="str">
        <x:v>https://www.google.com/maps/search/?api=1&amp;query=Cementados+Juan+Nadalin+e+Hijos+R%C3%ADo+Tercero+C%C3%B3rdoba+Argentina</x:v>
      </x:c>
      <x:c r="AD37" s="136" t="str">
        <x:v>Planta industrial local con actividad de cementados; teléfono público.</x:v>
      </x:c>
      <x:c r="AE37" s="136" t="str">
        <x:v>Alta</x:v>
      </x:c>
      <x:c r="AF37" s="136" t="str">
        <x:v>Enriquecimiento web 2026-09-07</x:v>
      </x:c>
      <x:c r="AG37" s="136" t="str">
        <x:v>transporte de áridos/materiales | hidrogrúa para carga/descarga | percha para pallets/bolsones | plataforma 20 tn para maquinaria/piezas | hidrogrúa para maniobras | percha para pallets</x:v>
      </x:c>
      <x:c r="AH37" s="136" t="str">
        <x:v>otro rubro factible</x:v>
      </x:c>
      <x:c r="AI37" s="136" t="str">
        <x:v>Sí</x:v>
      </x:c>
      <x:c r="AJ37" s="136" t="str">
        <x:v>Alta</x:v>
      </x:c>
      <x:c r="AK37" s="136" t="str">
        <x:v>Percha pallets: útil para insumos, bolsones, repuestos y materiales palletizados.</x:v>
      </x:c>
      <x:c r="AL37" s="136" t="str">
        <x:v>GPT adjunto</x:v>
      </x:c>
      <x:c r="AM37" s="136" t="str">
        <x:v>ID fuente: RT-023</x:v>
      </x:c>
    </x:row>
    <x:row r="38" ht="48">
      <x:c r="A38" s="135" t="str">
        <x:v>RT-027</x:v>
      </x:c>
      <x:c r="B38" s="135" t="str">
        <x:v>Pendiente</x:v>
      </x:c>
      <x:c r="C38" s="135" t="str">
        <x:v>Base Río Tercero</x:v>
      </x:c>
      <x:c r="D38" s="135" t="str">
        <x:v>Río Tercero / zona industrial</x:v>
      </x:c>
      <x:c r="E38" s="135" t="str">
        <x:v>Río Tercero</x:v>
      </x:c>
      <x:c r="F38" s="135" t="str">
        <x:v>B</x:v>
      </x:c>
      <x:c r="G38" s="135" t="n">
        <x:v>75</x:v>
      </x:c>
      <x:c r="H38" s="135" t="str">
        <x:v>Cementados Río Tercero</x:v>
      </x:c>
      <x:c r="I38" s="135" t="str">
        <x:v>Cementado agroindustrial</x:v>
      </x:c>
      <x:c r="J38" s="135" t="str">
        <x:v>Agroindustria y alimentos</x:v>
      </x:c>
      <x:c r="K38" s="135" t="str">
        <x:v>03571 319490</x:v>
      </x:c>
      <x:c r="L38" s="135" t="str">
        <x:v>OK</x:v>
      </x:c>
      <x:c r="M38" s="135" t="str">
        <x:v>logística / despacho / postventa</x:v>
      </x:c>
      <x:c r="N38" s="135" t="str">
        <x:v>Traslado de maquinaria, implementos, equipos terminados y componentes de gran porte entre planta, cliente, obra o feria.</x:v>
      </x:c>
      <x:c r="O38" s="135" t="str">
        <x:v>Plataforma 20 tn + malacate/hidrogrúa según maniobra + seguro de carga + trazabilidad GPS.</x:v>
      </x:c>
      <x:c r="P38" s="135" t="str">
        <x:v>Empresa local de cementados vinculados al agro; potencial traslado de piezas, sinfines e implementos.</x:v>
      </x:c>
      <x:c r="Q38" s="135" t="str">
        <x:v>Llamar para validar necesidad y frecuencia; visitar si confirma movimientos de equipos/cargas.</x:v>
      </x:c>
      <x:c r="R38" s="135"/>
      <x:c r="S38" s="158" t="str">
        <x:f>IFERROR(T(INDEX('Prospectos Resumen'!$K$9:$K$295,MATCH(A38,'Prospectos Resumen'!$A$9:$A$295,0))),"")</x:f>
      </x:c>
      <x:c r="T38" s="135"/>
      <x:c r="U38" s="135"/>
      <x:c r="V38" s="135"/>
      <x:c r="W38" s="135"/>
      <x:c r="X38" s="135" t="str">
        <x:v>tel:+543571319490</x:v>
      </x:c>
      <x:c r="Y38" s="135" t="str">
        <x:v>tel:+543571319490</x:v>
      </x:c>
      <x:c r="Z38" s="135" t="str">
        <x:v>Confirmar decisor, frecuencia de movimientos y vigencia del contacto antes de cotizar.</x:v>
      </x:c>
      <x:c r="AA38" s="135" t="str">
        <x:v>https://www.google.com/maps/search/?api=1&amp;query=Cementados+R%C3%ADo+Tercero+R%C3%ADo+Tercero+C%C3%B3rdoba+Argentina</x:v>
      </x:c>
      <x:c r="AB38" s="135" t="str">
        <x:v>Parque Industrial / Google Maps</x:v>
      </x:c>
      <x:c r="AC38" s="135" t="str">
        <x:v>https://parqueindustrial.riotercero.gob.ar/empresas</x:v>
      </x:c>
      <x:c r="AD38" s="135" t="str">
        <x:v>Empresa local de cementados vinculados al agro; potencial traslado de piezas, sinfines e implementos.</x:v>
      </x:c>
      <x:c r="AE38" s="135" t="str">
        <x:v>Alta</x:v>
      </x:c>
      <x:c r="AF38" s="135" t="str">
        <x:v>Enriquecimiento web 2026-09-07</x:v>
      </x:c>
      <x:c r="AG38" s="135" t="str">
        <x:v>transporte de áridos/materiales | hidrogrúa para carga/descarga | percha para pallets/bolsones | plataforma 20 tn para maquinaria/piezas | hidrogrúa para maniobras | percha para pallets</x:v>
      </x:c>
      <x:c r="AH38" s="135" t="str">
        <x:v>otro rubro factible</x:v>
      </x:c>
      <x:c r="AI38" s="135" t="str">
        <x:v>Sí</x:v>
      </x:c>
      <x:c r="AJ38" s="135" t="str">
        <x:v>Alta</x:v>
      </x:c>
      <x:c r="AK38" s="135" t="str">
        <x:v>Percha pallets: útil para insumos, bolsones, repuestos y materiales palletizados.</x:v>
      </x:c>
      <x:c r="AL38" s="135" t="str">
        <x:v>GPT adjunto</x:v>
      </x:c>
      <x:c r="AM38" s="135" t="str">
        <x:v>ID fuente: RT-024</x:v>
      </x:c>
    </x:row>
    <x:row r="39" ht="36">
      <x:c r="A39" s="136" t="str">
        <x:v>RT-028</x:v>
      </x:c>
      <x:c r="B39" s="136" t="str">
        <x:v>Pendiente</x:v>
      </x:c>
      <x:c r="C39" s="136" t="str">
        <x:v>Base Río Tercero</x:v>
      </x:c>
      <x:c r="D39" s="136" t="str">
        <x:v>Río Tercero</x:v>
      </x:c>
      <x:c r="E39" s="136" t="str">
        <x:v>Río Tercero</x:v>
      </x:c>
      <x:c r="F39" s="136" t="str">
        <x:v>B</x:v>
      </x:c>
      <x:c r="G39" s="136" t="n">
        <x:v>75</x:v>
      </x:c>
      <x:c r="H39" s="136" t="str">
        <x:v>Hidrobull</x:v>
      </x:c>
      <x:c r="I39" s="136" t="str">
        <x:v>Accesorios para minicargadoras</x:v>
      </x:c>
      <x:c r="J39" s="136" t="str">
        <x:v>Industria y mantenimiento</x:v>
      </x:c>
      <x:c r="K39" s="136" t="str">
        <x:v>03571 549612</x:v>
      </x:c>
      <x:c r="L39" s="136" t="str">
        <x:v>OK</x:v>
      </x:c>
      <x:c r="M39" s="136" t="str">
        <x:v>responsable de logística/compras</x:v>
      </x:c>
      <x:c r="N39" s="136" t="str">
        <x:v>Movimientos especiales de mantenimiento, repuestos pesados y mudanzas internas de equipos.</x:v>
      </x:c>
      <x:c r="O39" s="136" t="str">
        <x:v>Detectar el próximo movimiento pesado y convertirlo en cotización concreta.</x:v>
      </x:c>
      <x:c r="P39" s="136" t="str">
        <x:v>Preguntar si entregan accesorios con terceros.</x:v>
      </x:c>
      <x:c r="Q39" s="136" t="str">
        <x:v>Visita o llamada de validación; pedir próximo traslado concreto.</x:v>
      </x:c>
      <x:c r="R39" s="136"/>
      <x:c r="S39" s="158" t="str">
        <x:f>IFERROR(T(INDEX('Prospectos Resumen'!$K$9:$K$295,MATCH(A39,'Prospectos Resumen'!$A$9:$A$295,0))),"")</x:f>
      </x:c>
      <x:c r="T39" s="136"/>
      <x:c r="U39" s="136"/>
      <x:c r="V39" s="136"/>
      <x:c r="W39" s="136"/>
      <x:c r="X39" s="136" t="str">
        <x:v>tel:+543571549612</x:v>
      </x:c>
      <x:c r="Y39" s="136" t="str">
        <x:v>tel:+543571549612</x:v>
      </x:c>
      <x:c r="Z39" s="136" t="str">
        <x:v>Validar contacto decisor y necesidad inmediata.</x:v>
      </x:c>
      <x:c r="AA39" s="136" t="str">
        <x:v>https://www.google.com/maps/search/?api=1&amp;query=-32.171500,-64.116500</x:v>
      </x:c>
      <x:c r="AB39" s="136" t="str">
        <x:v>Facebook Hidrobull</x:v>
      </x:c>
      <x:c r="AC39" s="136"/>
      <x:c r="AD39" s="136" t="str">
        <x:v>Registro curado en documento de dirección PRESOL 2026-09.</x:v>
      </x:c>
      <x:c r="AE39" s="136" t="str">
        <x:v>Alta</x:v>
      </x:c>
      <x:c r="AF39" s="136" t="str">
        <x:v>Base curada PDF dirección</x:v>
      </x:c>
      <x:c r="AG39" s="136" t="str">
        <x:v>plataforma 20 tn para maquinaria/piezas | hidrogrúa para maniobras | percha para pallets</x:v>
      </x:c>
      <x:c r="AH39" s="136" t="str">
        <x:v>otro rubro factible</x:v>
      </x:c>
      <x:c r="AI39" s="136" t="str">
        <x:v>Sí</x:v>
      </x:c>
      <x:c r="AJ39" s="136" t="str">
        <x:v>Alta</x:v>
      </x:c>
      <x:c r="AK39" s="136"/>
      <x:c r="AL39" s="136" t="str">
        <x:v>GPT adjunto + Hermes</x:v>
      </x:c>
      <x:c r="AM39" s="136" t="str">
        <x:v>Fusionado con base Hermes para completar teléfonos/fuentes/servicios. | ID fuente: RT-025</x:v>
      </x:c>
    </x:row>
    <x:row r="40" ht="36">
      <x:c r="A40" s="135" t="str">
        <x:v>RT-029</x:v>
      </x:c>
      <x:c r="B40" s="135" t="str">
        <x:v>Pendiente</x:v>
      </x:c>
      <x:c r="C40" s="135" t="str">
        <x:v>Base Río Tercero</x:v>
      </x:c>
      <x:c r="D40" s="135" t="str">
        <x:v>Río Tercero</x:v>
      </x:c>
      <x:c r="E40" s="135" t="str">
        <x:v>Río Tercero</x:v>
      </x:c>
      <x:c r="F40" s="135" t="str">
        <x:v>B</x:v>
      </x:c>
      <x:c r="G40" s="135" t="n">
        <x:v>75</x:v>
      </x:c>
      <x:c r="H40" s="135" t="str">
        <x:v>MetalMec S.R.L.</x:v>
      </x:c>
      <x:c r="I40" s="135" t="str">
        <x:v>Implementos y accesorios</x:v>
      </x:c>
      <x:c r="J40" s="135" t="str">
        <x:v>Industria y mantenimiento</x:v>
      </x:c>
      <x:c r="K40" s="135" t="str">
        <x:v>03571 681577 / 03571 506656</x:v>
      </x:c>
      <x:c r="L40" s="135" t="str">
        <x:v>OK</x:v>
      </x:c>
      <x:c r="M40" s="135" t="str">
        <x:v>despacho / producción</x:v>
      </x:c>
      <x:c r="N40" s="135" t="str">
        <x:v>Movimientos especiales de mantenimiento, repuestos pesados y mudanzas internas de equipos.</x:v>
      </x:c>
      <x:c r="O40" s="135" t="str">
        <x:v>Despacho de estructuras, tanques, transformadores, piezas de ingeniería y equipos sobre plataforma 20 tn.</x:v>
      </x:c>
      <x:c r="P40" s="135" t="str">
        <x:v>Ofrecer retiro/entrega con monitoreo GPS.</x:v>
      </x:c>
      <x:c r="Q40" s="135" t="str">
        <x:v>Visita o llamada de validación; pedir próximo traslado concreto.</x:v>
      </x:c>
      <x:c r="R40" s="135"/>
      <x:c r="S40" s="158" t="str">
        <x:f>IFERROR(T(INDEX('Prospectos Resumen'!$K$9:$K$295,MATCH(A40,'Prospectos Resumen'!$A$9:$A$295,0))),"")</x:f>
      </x:c>
      <x:c r="T40" s="135"/>
      <x:c r="U40" s="135"/>
      <x:c r="V40" s="135"/>
      <x:c r="W40" s="135"/>
      <x:c r="X40" s="135" t="str">
        <x:v>tel:+543571681577</x:v>
      </x:c>
      <x:c r="Y40" s="135" t="str">
        <x:v>tel:+543571681577 | tel:+543571506656</x:v>
      </x:c>
      <x:c r="Z40" s="135" t="str">
        <x:v>Validar contacto decisor y necesidad inmediata.</x:v>
      </x:c>
      <x:c r="AA40" s="135" t="str">
        <x:v>https://www.google.com/maps/search/?api=1&amp;query=-32.170500,-64.118500</x:v>
      </x:c>
      <x:c r="AB40" s="135" t="str">
        <x:v>Facebook MetalMec</x:v>
      </x:c>
      <x:c r="AC40" s="135"/>
      <x:c r="AD40" s="135" t="str">
        <x:v>Registro curado en documento de dirección PRESOL 2026-09.</x:v>
      </x:c>
      <x:c r="AE40" s="135" t="str">
        <x:v>Alta</x:v>
      </x:c>
      <x:c r="AF40" s="135" t="str">
        <x:v>Base curada PDF dirección</x:v>
      </x:c>
      <x:c r="AG40" s="135" t="str">
        <x:v>plataforma 20 tn para maquinaria/piezas | hidrogrúa para maniobras | percha para pallets</x:v>
      </x:c>
      <x:c r="AH40" s="135" t="str">
        <x:v>fabricante/servicio maquinaria agrícola</x:v>
      </x:c>
      <x:c r="AI40" s="135" t="str">
        <x:v>Sí</x:v>
      </x:c>
      <x:c r="AJ40" s="135" t="str">
        <x:v>Alta</x:v>
      </x:c>
      <x:c r="AK40" s="135"/>
      <x:c r="AL40" s="135" t="str">
        <x:v>GPT adjunto + Hermes</x:v>
      </x:c>
      <x:c r="AM40" s="135" t="str">
        <x:v>Fusionado con base Hermes para completar teléfonos/fuentes/servicios. | ID fuente: RT-026</x:v>
      </x:c>
    </x:row>
    <x:row r="41" ht="48">
      <x:c r="A41" s="136" t="str">
        <x:v>RT-030</x:v>
      </x:c>
      <x:c r="B41" s="136" t="str">
        <x:v>Pendiente</x:v>
      </x:c>
      <x:c r="C41" s="136" t="str">
        <x:v>Base Río Tercero</x:v>
      </x:c>
      <x:c r="D41" s="136" t="str">
        <x:v>Río Tercero</x:v>
      </x:c>
      <x:c r="E41" s="136" t="str">
        <x:v>Río Tercero</x:v>
      </x:c>
      <x:c r="F41" s="136" t="str">
        <x:v>B</x:v>
      </x:c>
      <x:c r="G41" s="136" t="n">
        <x:v>75</x:v>
      </x:c>
      <x:c r="H41" s="136" t="str">
        <x:v>Oleos San José S.R.L.</x:v>
      </x:c>
      <x:c r="I41" s="136" t="str">
        <x:v>Extrusado/aceite de soja</x:v>
      </x:c>
      <x:c r="J41" s="136" t="str">
        <x:v>Agroindustria y alimentos</x:v>
      </x:c>
      <x:c r="K41" s="136" t="str">
        <x:v>03571 692471 / 03571 640630</x:v>
      </x:c>
      <x:c r="L41" s="136" t="str">
        <x:v>OK</x:v>
      </x:c>
      <x:c r="M41" s="136" t="str">
        <x:v>responsable de acopio / mantenimiento</x:v>
      </x:c>
      <x:c r="N41" s="136" t="str">
        <x:v>Movimientos especiales de mantenimiento, repuestos pesados y mudanzas internas de equipos.</x:v>
      </x:c>
      <x:c r="O41" s="136" t="str">
        <x:v>Movimiento de equipos de planta, silos, balanzas, repuestos y cargas especiales para acopios/agroindustria.</x:v>
      </x:c>
      <x:c r="P41" s="136" t="str">
        <x:v>Entrar por mantenimiento/planta.</x:v>
      </x:c>
      <x:c r="Q41" s="136" t="str">
        <x:v>Visita o llamada de validación; pedir próximo traslado concreto.</x:v>
      </x:c>
      <x:c r="R41" s="136"/>
      <x:c r="S41" s="158" t="str">
        <x:f>IFERROR(T(INDEX('Prospectos Resumen'!$K$9:$K$295,MATCH(A41,'Prospectos Resumen'!$A$9:$A$295,0))),"")</x:f>
      </x:c>
      <x:c r="T41" s="136"/>
      <x:c r="U41" s="136"/>
      <x:c r="V41" s="136"/>
      <x:c r="W41" s="136"/>
      <x:c r="X41" s="136" t="str">
        <x:v>tel:+543571692471</x:v>
      </x:c>
      <x:c r="Y41" s="136" t="str">
        <x:v>tel:+543571692471 | tel:+543571640630</x:v>
      </x:c>
      <x:c r="Z41" s="136" t="str">
        <x:v>Validar contacto decisor y necesidad inmediata.</x:v>
      </x:c>
      <x:c r="AA41" s="136" t="str">
        <x:v>https://www.google.com/maps/search/?api=1&amp;query=-32.182600,-64.102500</x:v>
      </x:c>
      <x:c r="AB41" s="136" t="str">
        <x:v>Parque Industrial Río Tercero</x:v>
      </x:c>
      <x:c r="AC41" s="136"/>
      <x:c r="AD41" s="136" t="str">
        <x:v>Registro curado en documento de dirección PRESOL 2026-09.</x:v>
      </x:c>
      <x:c r="AE41" s="136" t="str">
        <x:v>Alta</x:v>
      </x:c>
      <x:c r="AF41" s="136" t="str">
        <x:v>Base curada PDF dirección</x:v>
      </x:c>
      <x:c r="AG41" s="136" t="str">
        <x:v>plataforma 20 tn para maquinaria/piezas | hidrogrúa para maniobras | percha para pallets | percha para pallets de insumos | hidrogrúa para equipos/mantenimiento | barquilla para trabajos en altura</x:v>
      </x:c>
      <x:c r="AH41" s="136" t="str">
        <x:v>otro rubro factible</x:v>
      </x:c>
      <x:c r="AI41" s="136" t="str">
        <x:v>Sí</x:v>
      </x:c>
      <x:c r="AJ41" s="136" t="str">
        <x:v>Alta</x:v>
      </x:c>
      <x:c r="AK41" s="136"/>
      <x:c r="AL41" s="136" t="str">
        <x:v>GPT adjunto + Hermes</x:v>
      </x:c>
      <x:c r="AM41" s="136" t="str">
        <x:v>Fusionado con base Hermes para completar teléfonos/fuentes/servicios. | ID fuente: RT-027</x:v>
      </x:c>
    </x:row>
    <x:row r="42" ht="48">
      <x:c r="A42" s="135" t="str">
        <x:v>RT-031</x:v>
      </x:c>
      <x:c r="B42" s="135" t="str">
        <x:v>Pendiente</x:v>
      </x:c>
      <x:c r="C42" s="135" t="str">
        <x:v>Base Río Tercero</x:v>
      </x:c>
      <x:c r="D42" s="135" t="str">
        <x:v>Río Tercero / zona industrial</x:v>
      </x:c>
      <x:c r="E42" s="135" t="str">
        <x:v>Río Tercero</x:v>
      </x:c>
      <x:c r="F42" s="135" t="str">
        <x:v>B</x:v>
      </x:c>
      <x:c r="G42" s="135" t="n">
        <x:v>75</x:v>
      </x:c>
      <x:c r="H42" s="135" t="str">
        <x:v>Premolfran Premoldeados by d'Eco</x:v>
      </x:c>
      <x:c r="I42" s="135" t="str">
        <x:v>Premoldeados de hormigón</x:v>
      </x:c>
      <x:c r="J42" s="135" t="str">
        <x:v>Hormigón, áridos y materiales</x:v>
      </x:c>
      <x:c r="K42" s="135" t="str">
        <x:v>03571 327594</x:v>
      </x:c>
      <x:c r="L42" s="135" t="str">
        <x:v>OK</x:v>
      </x:c>
      <x:c r="M42" s="135" t="str">
        <x:v>planta / despacho</x:v>
      </x:c>
      <x:c r="N42" s="135" t="str">
        <x:v>Movimiento de premoldeados, moldes, equipos de planta y cargas pesadas asociadas a obra.</x:v>
      </x:c>
      <x:c r="O42" s="135" t="str">
        <x:v>Transporte de premoldeados/equipos en plataforma + coordinación de descarga/posicionamiento con hidrogrúa cuando aplique.</x:v>
      </x:c>
      <x:c r="P42" s="135" t="str">
        <x:v>Ficha pública local identifica actividad de premoldeados y teléfono.</x:v>
      </x:c>
      <x:c r="Q42" s="135" t="str">
        <x:v>Llamar para validar necesidad y frecuencia; visitar si confirma movimientos de equipos/cargas.</x:v>
      </x:c>
      <x:c r="R42" s="135"/>
      <x:c r="S42" s="158" t="str">
        <x:f>IFERROR(T(INDEX('Prospectos Resumen'!$K$9:$K$295,MATCH(A42,'Prospectos Resumen'!$A$9:$A$295,0))),"")</x:f>
      </x:c>
      <x:c r="T42" s="135"/>
      <x:c r="U42" s="135"/>
      <x:c r="V42" s="135"/>
      <x:c r="W42" s="135"/>
      <x:c r="X42" s="135" t="str">
        <x:v>tel:+543571327594</x:v>
      </x:c>
      <x:c r="Y42" s="135" t="str">
        <x:v>tel:+543571327594</x:v>
      </x:c>
      <x:c r="Z42" s="135" t="str">
        <x:v>Confirmar decisor, frecuencia de movimientos y vigencia del contacto antes de cotizar.</x:v>
      </x:c>
      <x:c r="AA42" s="135" t="str">
        <x:v>https://www.google.com/maps/search/?api=1&amp;query=Premolfran+Premoldeados+by+d%27Eco+R%C3%ADo+Tercero+C%C3%B3rdoba+Argentina</x:v>
      </x:c>
      <x:c r="AB42" s="135" t="str">
        <x:v>Google Maps / ficha pública</x:v>
      </x:c>
      <x:c r="AC42" s="135" t="str">
        <x:v>https://www.google.com/maps/search/?api=1&amp;query=Premolfran+Premoldeados+by+d%27Eco+R%C3%ADo+Tercero+C%C3%B3rdoba+Argentina</x:v>
      </x:c>
      <x:c r="AD42" s="135" t="str">
        <x:v>Ficha pública local identifica actividad de premoldeados y teléfono.</x:v>
      </x:c>
      <x:c r="AE42" s="135" t="str">
        <x:v>Alta</x:v>
      </x:c>
      <x:c r="AF42" s="135" t="str">
        <x:v>Enriquecimiento web 2026-09-07</x:v>
      </x:c>
      <x:c r="AG42" s="135" t="str">
        <x:v>transporte de áridos/materiales | hidrogrúa para carga/descarga | percha para pallets/bolsones</x:v>
      </x:c>
      <x:c r="AH42" s="135" t="str">
        <x:v>áridos/construcción/premoldeados</x:v>
      </x:c>
      <x:c r="AI42" s="135" t="str">
        <x:v>Sí</x:v>
      </x:c>
      <x:c r="AJ42" s="135" t="str">
        <x:v>Alta</x:v>
      </x:c>
      <x:c r="AK42" s="135" t="str">
        <x:v>Áridos/materiales: confirmar modalidad de carga/descarga y tipo de unidad requerida antes de cotizar.</x:v>
      </x:c>
      <x:c r="AL42" s="135" t="str">
        <x:v>GPT adjunto</x:v>
      </x:c>
      <x:c r="AM42" s="135" t="str">
        <x:v>ID fuente: RT-028</x:v>
      </x:c>
    </x:row>
    <x:row r="43" ht="48">
      <x:c r="A43" s="136" t="str">
        <x:v>RT-032</x:v>
      </x:c>
      <x:c r="B43" s="136" t="str">
        <x:v>Pendiente</x:v>
      </x:c>
      <x:c r="C43" s="136" t="str">
        <x:v>Base Río Tercero</x:v>
      </x:c>
      <x:c r="D43" s="136" t="str">
        <x:v>Parque Industrial Leonardo Da Vinci</x:v>
      </x:c>
      <x:c r="E43" s="136" t="str">
        <x:v>Río Tercero</x:v>
      </x:c>
      <x:c r="F43" s="136" t="str">
        <x:v>B</x:v>
      </x:c>
      <x:c r="G43" s="136" t="n">
        <x:v>75</x:v>
      </x:c>
      <x:c r="H43" s="136" t="str">
        <x:v>Río Metal</x:v>
      </x:c>
      <x:c r="I43" s="136" t="str">
        <x:v>Estructuras metálicas</x:v>
      </x:c>
      <x:c r="J43" s="136" t="str">
        <x:v>Metalúrgica y fabricación</x:v>
      </x:c>
      <x:c r="K43" s="136" t="str">
        <x:v>+54 9 3571 52-9444</x:v>
      </x:c>
      <x:c r="L43" s="136" t="str">
        <x:v>OK</x:v>
      </x:c>
      <x:c r="M43" s="136" t="str">
        <x:v>despacho / producción</x:v>
      </x:c>
      <x:c r="N43" s="136" t="str">
        <x:v>Despacho seguro de estructuras, carrozados, tanques, piezas industriales y equipos sobre plataforma.</x:v>
      </x:c>
      <x:c r="O43" s="136" t="str">
        <x:v>Plataforma 20 tn para piezas/estructuras + seguro de carga + trazabilidad GPS.</x:v>
      </x:c>
      <x:c r="P43" s="136" t="str">
        <x:v>Fabricación de estructuras metálicas: posible salida de piezas a obra.</x:v>
      </x:c>
      <x:c r="Q43" s="136" t="str">
        <x:v>Validar teléfono/contacto; si responde, pedir un caso concreto de traslado o próximo movimiento.</x:v>
      </x:c>
      <x:c r="R43" s="136"/>
      <x:c r="S43" s="158" t="str">
        <x:f>IFERROR(T(INDEX('Prospectos Resumen'!$K$9:$K$295,MATCH(A43,'Prospectos Resumen'!$A$9:$A$295,0))),"")</x:f>
      </x:c>
      <x:c r="T43" s="136"/>
      <x:c r="U43" s="136"/>
      <x:c r="V43" s="136"/>
      <x:c r="W43" s="136"/>
      <x:c r="X43" s="136" t="str">
        <x:v>tel:+5493571529444</x:v>
      </x:c>
      <x:c r="Y43" s="136" t="str">
        <x:v>tel:+5493571529444</x:v>
      </x:c>
      <x:c r="Z43" s="136" t="str">
        <x:v>Confirmar decisor y vigencia del dato antes de incluir en salida prioritaria.</x:v>
      </x:c>
      <x:c r="AA43" s="136" t="str">
        <x:v>https://www.google.com/maps/search/?api=1&amp;query=R%C3%ADo+Metal+R%C3%ADo+Tercero+C%C3%B3rdoba+Argentina</x:v>
      </x:c>
      <x:c r="AB43" s="136" t="str">
        <x:v>Parque Industrial Río Tercero / Facebook público</x:v>
      </x:c>
      <x:c r="AC43" s="136" t="str">
        <x:v>https://parqueindustrial.riotercero.gob.ar/empresas</x:v>
      </x:c>
      <x:c r="AD43" s="136" t="str">
        <x:v>Listado del parque + ficha social pública con teléfono informado.</x:v>
      </x:c>
      <x:c r="AE43" s="136" t="str">
        <x:v>Alta</x:v>
      </x:c>
      <x:c r="AF43" s="136" t="str">
        <x:v>Nuevo enriquecimiento 2026-09-02</x:v>
      </x:c>
      <x:c r="AG43" s="136" t="str">
        <x:v>plataforma 20 tn para maquinaria/piezas | hidrogrúa para maniobras | percha para pallets</x:v>
      </x:c>
      <x:c r="AH43" s="136" t="str">
        <x:v>otro rubro factible</x:v>
      </x:c>
      <x:c r="AI43" s="136" t="str">
        <x:v>Sí</x:v>
      </x:c>
      <x:c r="AJ43" s="136" t="str">
        <x:v>Alta</x:v>
      </x:c>
      <x:c r="AK43" s="136"/>
      <x:c r="AL43" s="136" t="str">
        <x:v>GPT adjunto + Hermes</x:v>
      </x:c>
      <x:c r="AM43" s="136" t="str">
        <x:v>Fusionado con base Hermes para completar teléfonos/fuentes/servicios. | ID fuente: RT-029</x:v>
      </x:c>
    </x:row>
    <x:row r="44" ht="48">
      <x:c r="A44" s="135" t="str">
        <x:v>RT-033</x:v>
      </x:c>
      <x:c r="B44" s="135" t="str">
        <x:v>Pendiente</x:v>
      </x:c>
      <x:c r="C44" s="135" t="str">
        <x:v>Base Río Tercero</x:v>
      </x:c>
      <x:c r="D44" s="135" t="str">
        <x:v>Río Tercero / zona industrial</x:v>
      </x:c>
      <x:c r="E44" s="135" t="str">
        <x:v>Río Tercero</x:v>
      </x:c>
      <x:c r="F44" s="135" t="str">
        <x:v>B</x:v>
      </x:c>
      <x:c r="G44" s="135" t="n">
        <x:v>75</x:v>
      </x:c>
      <x:c r="H44" s="135" t="str">
        <x:v>SILMAR Industrial</x:v>
      </x:c>
      <x:c r="I44" s="135" t="str">
        <x:v>Fabricación industrial</x:v>
      </x:c>
      <x:c r="J44" s="135" t="str">
        <x:v>Metalúrgica y fabricación</x:v>
      </x:c>
      <x:c r="K44" s="135" t="str">
        <x:v>03571 411073</x:v>
      </x:c>
      <x:c r="L44" s="135" t="str">
        <x:v>OK</x:v>
      </x:c>
      <x:c r="M44" s="135" t="str">
        <x:v>mantenimiento / despacho</x:v>
      </x:c>
      <x:c r="N44" s="135" t="str">
        <x:v>Movimientos especiales de mantenimiento, repuestos pesados, equipos y mudanzas internas o entre plantas.</x:v>
      </x:c>
      <x:c r="O44" s="135" t="str">
        <x:v>Traslados especiales de equipos y repuestos con plataforma 20 tn, seguro/GPS y apoyo de hidrogrúa.</x:v>
      </x:c>
      <x:c r="P44" s="135" t="str">
        <x:v>Fábrica local con teléfono público; validar tipo de piezas/equipos y frecuencia de despachos.</x:v>
      </x:c>
      <x:c r="Q44" s="135" t="str">
        <x:v>Llamar para validar necesidad y frecuencia; visitar si confirma movimientos de equipos/cargas.</x:v>
      </x:c>
      <x:c r="R44" s="135"/>
      <x:c r="S44" s="158" t="str">
        <x:f>IFERROR(T(INDEX('Prospectos Resumen'!$K$9:$K$295,MATCH(A44,'Prospectos Resumen'!$A$9:$A$295,0))),"")</x:f>
      </x:c>
      <x:c r="T44" s="135"/>
      <x:c r="U44" s="135"/>
      <x:c r="V44" s="135"/>
      <x:c r="W44" s="135"/>
      <x:c r="X44" s="135" t="str">
        <x:v>tel:+543571411073</x:v>
      </x:c>
      <x:c r="Y44" s="135" t="str">
        <x:v>tel:+543571411073</x:v>
      </x:c>
      <x:c r="Z44" s="135" t="str">
        <x:v>Confirmar decisor, frecuencia de movimientos y vigencia del contacto antes de cotizar.</x:v>
      </x:c>
      <x:c r="AA44" s="135" t="str">
        <x:v>https://www.google.com/maps/search/?api=1&amp;query=SILMAR+Industrial+R%C3%ADo+Tercero+C%C3%B3rdoba+Argentina</x:v>
      </x:c>
      <x:c r="AB44" s="135" t="str">
        <x:v>Google Maps / ficha pública</x:v>
      </x:c>
      <x:c r="AC44" s="135" t="str">
        <x:v>https://www.google.com/maps/search/?api=1&amp;query=SILMAR+Industrial+R%C3%ADo+Tercero+C%C3%B3rdoba+Argentina</x:v>
      </x:c>
      <x:c r="AD44" s="135" t="str">
        <x:v>Fábrica local con teléfono público; validar tipo de piezas/equipos y frecuencia de despachos.</x:v>
      </x:c>
      <x:c r="AE44" s="135" t="str">
        <x:v>Alta</x:v>
      </x:c>
      <x:c r="AF44" s="135" t="str">
        <x:v>Enriquecimiento web 2026-09-07</x:v>
      </x:c>
      <x:c r="AG44" s="135" t="str">
        <x:v>plataforma 20 tn para maquinaria/piezas | hidrogrúa para maniobras | percha para pallets</x:v>
      </x:c>
      <x:c r="AH44" s="135" t="str">
        <x:v>otro rubro factible</x:v>
      </x:c>
      <x:c r="AI44" s="135" t="str">
        <x:v>Sí</x:v>
      </x:c>
      <x:c r="AJ44" s="135" t="str">
        <x:v>Alta</x:v>
      </x:c>
      <x:c r="AK44" s="135"/>
      <x:c r="AL44" s="135" t="str">
        <x:v>GPT adjunto</x:v>
      </x:c>
      <x:c r="AM44" s="135" t="str">
        <x:v>ID fuente: RT-030</x:v>
      </x:c>
    </x:row>
    <x:row r="45" ht="48">
      <x:c r="A45" s="136" t="str">
        <x:v>RT-034</x:v>
      </x:c>
      <x:c r="B45" s="136" t="str">
        <x:v>Pendiente</x:v>
      </x:c>
      <x:c r="C45" s="136" t="str">
        <x:v>Base Río Tercero</x:v>
      </x:c>
      <x:c r="D45" s="136" t="str">
        <x:v>Río Tercero / zona industrial</x:v>
      </x:c>
      <x:c r="E45" s="136" t="str">
        <x:v>Río Tercero</x:v>
      </x:c>
      <x:c r="F45" s="136" t="str">
        <x:v>B</x:v>
      </x:c>
      <x:c r="G45" s="136" t="n">
        <x:v>75</x:v>
      </x:c>
      <x:c r="H45" s="136" t="str">
        <x:v>TALFUND S.A.</x:v>
      </x:c>
      <x:c r="I45" s="136" t="str">
        <x:v>Tornería, matricería y fundición de aluminio</x:v>
      </x:c>
      <x:c r="J45" s="136" t="str">
        <x:v>Metalúrgica y fabricación</x:v>
      </x:c>
      <x:c r="K45" s="136" t="str">
        <x:v>03571 690418 / 03571 642555</x:v>
      </x:c>
      <x:c r="L45" s="136" t="str">
        <x:v>OK</x:v>
      </x:c>
      <x:c r="M45" s="136" t="str">
        <x:v>despacho / producción</x:v>
      </x:c>
      <x:c r="N45" s="136" t="str">
        <x:v>Despacho de estructuras, piezas, equipos y conjuntos metalmecánicos de gran porte hacia obras o clientes.</x:v>
      </x:c>
      <x:c r="O45" s="136" t="str">
        <x:v>Plataforma 20 tn para piezas/estructuras + seguro de carga + trazabilidad GPS + apoyo de hidrogrúa según maniobra.</x:v>
      </x:c>
      <x:c r="P45" s="136" t="str">
        <x:v>Produce componentes metálicos para agroindustria y exportación; teléfonos publicados por el parque.</x:v>
      </x:c>
      <x:c r="Q45" s="136" t="str">
        <x:v>Llamar para validar necesidad y frecuencia; visitar si confirma movimientos de equipos/cargas.</x:v>
      </x:c>
      <x:c r="R45" s="136"/>
      <x:c r="S45" s="158" t="str">
        <x:f>IFERROR(T(INDEX('Prospectos Resumen'!$K$9:$K$295,MATCH(A45,'Prospectos Resumen'!$A$9:$A$295,0))),"")</x:f>
      </x:c>
      <x:c r="T45" s="136"/>
      <x:c r="U45" s="136"/>
      <x:c r="V45" s="136"/>
      <x:c r="W45" s="136"/>
      <x:c r="X45" s="136" t="str">
        <x:v>tel:+543571690418</x:v>
      </x:c>
      <x:c r="Y45" s="136" t="str">
        <x:v>tel:+543571690418 | tel:+543571642555</x:v>
      </x:c>
      <x:c r="Z45" s="136" t="str">
        <x:v>Confirmar decisor, frecuencia de movimientos y vigencia del contacto antes de cotizar.</x:v>
      </x:c>
      <x:c r="AA45" s="136" t="str">
        <x:v>https://www.google.com/maps/search/?api=1&amp;query=TALFUND+S.A.+R%C3%ADo+Tercero+C%C3%B3rdoba+Argentina</x:v>
      </x:c>
      <x:c r="AB45" s="136" t="str">
        <x:v>Parque Industrial Río Tercero</x:v>
      </x:c>
      <x:c r="AC45" s="136" t="str">
        <x:v>https://parqueindustrial.riotercero.gob.ar/empresa/TALFUND-S.A.</x:v>
      </x:c>
      <x:c r="AD45" s="136" t="str">
        <x:v>Produce componentes metálicos para agroindustria y exportación; teléfonos publicados por el parque.</x:v>
      </x:c>
      <x:c r="AE45" s="136" t="str">
        <x:v>Alta</x:v>
      </x:c>
      <x:c r="AF45" s="136" t="str">
        <x:v>Enriquecimiento web 2026-09-07</x:v>
      </x:c>
      <x:c r="AG45" s="136" t="str">
        <x:v>transporte de áridos/materiales | hidrogrúa para carga/descarga | percha para pallets/bolsones | plataforma 20 tn para maquinaria/piezas | hidrogrúa para maniobras | percha para pallets</x:v>
      </x:c>
      <x:c r="AH45" s="136" t="str">
        <x:v>otro rubro factible</x:v>
      </x:c>
      <x:c r="AI45" s="136" t="str">
        <x:v>Sí</x:v>
      </x:c>
      <x:c r="AJ45" s="136" t="str">
        <x:v>Alta</x:v>
      </x:c>
      <x:c r="AK45" s="136"/>
      <x:c r="AL45" s="136" t="str">
        <x:v>GPT adjunto</x:v>
      </x:c>
      <x:c r="AM45" s="136" t="str">
        <x:v>ID fuente: RT-031</x:v>
      </x:c>
    </x:row>
    <x:row r="46" ht="60">
      <x:c r="A46" s="135" t="str">
        <x:v>RT-035</x:v>
      </x:c>
      <x:c r="B46" s="135" t="str">
        <x:v>Pendiente</x:v>
      </x:c>
      <x:c r="C46" s="135" t="str">
        <x:v>Base Río Tercero</x:v>
      </x:c>
      <x:c r="D46" s="135" t="str">
        <x:v>Río Tercero / zona industrial</x:v>
      </x:c>
      <x:c r="E46" s="135" t="str">
        <x:v>Río Tercero</x:v>
      </x:c>
      <x:c r="F46" s="135" t="str">
        <x:v>B</x:v>
      </x:c>
      <x:c r="G46" s="135" t="n">
        <x:v>75</x:v>
      </x:c>
      <x:c r="H46" s="135" t="str">
        <x:v>Tello SRL Premoldeados de Hormigón</x:v>
      </x:c>
      <x:c r="I46" s="135" t="str">
        <x:v>Premoldeados de hormigón</x:v>
      </x:c>
      <x:c r="J46" s="135" t="str">
        <x:v>Hormigón, áridos y materiales</x:v>
      </x:c>
      <x:c r="K46" s="135" t="str">
        <x:v>0351 4576859</x:v>
      </x:c>
      <x:c r="L46" s="135" t="str">
        <x:v>OK</x:v>
      </x:c>
      <x:c r="M46" s="135" t="str">
        <x:v>planta / despacho</x:v>
      </x:c>
      <x:c r="N46" s="135" t="str">
        <x:v>Movimiento de premoldeados, moldes, equipos de planta y cargas pesadas asociadas a obra.</x:v>
      </x:c>
      <x:c r="O46" s="135" t="str">
        <x:v>Transporte de premoldeados/equipos en plataforma + coordinación de descarga/posicionamiento con hidrogrúa cuando aplique.</x:v>
      </x:c>
      <x:c r="P46" s="135" t="str">
        <x:v>Ficha pública ubica proveedor/contratista de premoldeados en Av. Savio, Río Tercero.</x:v>
      </x:c>
      <x:c r="Q46" s="135" t="str">
        <x:v>Llamar para validar necesidad y frecuencia; visitar si confirma movimientos de equipos/cargas.</x:v>
      </x:c>
      <x:c r="R46" s="135"/>
      <x:c r="S46" s="158" t="str">
        <x:f>IFERROR(T(INDEX('Prospectos Resumen'!$K$9:$K$295,MATCH(A46,'Prospectos Resumen'!$A$9:$A$295,0))),"")</x:f>
      </x:c>
      <x:c r="T46" s="135"/>
      <x:c r="U46" s="135"/>
      <x:c r="V46" s="135"/>
      <x:c r="W46" s="135"/>
      <x:c r="X46" s="135" t="str">
        <x:v>tel:+543514576859</x:v>
      </x:c>
      <x:c r="Y46" s="135" t="str">
        <x:v>tel:+543514576859</x:v>
      </x:c>
      <x:c r="Z46" s="135" t="str">
        <x:v>Confirmar decisor, frecuencia de movimientos y vigencia del contacto antes de cotizar.</x:v>
      </x:c>
      <x:c r="AA46" s="135" t="str">
        <x:v>https://www.google.com/maps/search/?api=1&amp;query=Tello+SRL+Premoldeados+de+Hormig%C3%B3n+R%C3%ADo+Tercero+C%C3%B3rdoba+Argentina</x:v>
      </x:c>
      <x:c r="AB46" s="135" t="str">
        <x:v>Google Maps / ficha pública</x:v>
      </x:c>
      <x:c r="AC46" s="135" t="str">
        <x:v>https://www.google.com/maps/search/?api=1&amp;query=Tello+SRL+Premoldeados+de+Hormig%C3%B3n+R%C3%ADo+Tercero+C%C3%B3rdoba+Argentina</x:v>
      </x:c>
      <x:c r="AD46" s="135" t="str">
        <x:v>Ficha pública ubica proveedor/contratista de premoldeados en Av. Savio, Río Tercero.</x:v>
      </x:c>
      <x:c r="AE46" s="135" t="str">
        <x:v>Alta</x:v>
      </x:c>
      <x:c r="AF46" s="135" t="str">
        <x:v>Enriquecimiento web 2026-09-07</x:v>
      </x:c>
      <x:c r="AG46" s="135" t="str">
        <x:v>transporte de áridos/materiales | hidrogrúa para carga/descarga | percha para pallets/bolsones</x:v>
      </x:c>
      <x:c r="AH46" s="135" t="str">
        <x:v>áridos/construcción/premoldeados</x:v>
      </x:c>
      <x:c r="AI46" s="135" t="str">
        <x:v>Sí</x:v>
      </x:c>
      <x:c r="AJ46" s="135" t="str">
        <x:v>Alta</x:v>
      </x:c>
      <x:c r="AK46" s="135" t="str">
        <x:v>Áridos/materiales: confirmar modalidad de carga/descarga y tipo de unidad requerida antes de cotizar.</x:v>
      </x:c>
      <x:c r="AL46" s="135" t="str">
        <x:v>GPT adjunto</x:v>
      </x:c>
      <x:c r="AM46" s="135" t="str">
        <x:v>ID fuente: RT-032</x:v>
      </x:c>
    </x:row>
    <x:row r="47" ht="36">
      <x:c r="A47" s="136" t="str">
        <x:v>RT-061</x:v>
      </x:c>
      <x:c r="B47" s="136" t="str">
        <x:v>Pendiente</x:v>
      </x:c>
      <x:c r="C47" s="136" t="str">
        <x:v>Base Río Tercero</x:v>
      </x:c>
      <x:c r="D47" s="136" t="str">
        <x:v>Río Tercero / zona industrial</x:v>
      </x:c>
      <x:c r="E47" s="136" t="str">
        <x:v>Río Tercero</x:v>
      </x:c>
      <x:c r="F47" s="136" t="str">
        <x:v>B</x:v>
      </x:c>
      <x:c r="G47" s="136" t="n">
        <x:v>72</x:v>
      </x:c>
      <x:c r="H47" s="136" t="str">
        <x:v>Formia Repuestos</x:v>
      </x:c>
      <x:c r="I47" s="136" t="str">
        <x:v>Repuestos para tractores y maquinaria agrícola</x:v>
      </x:c>
      <x:c r="J47" s="136" t="str">
        <x:v>Maquinaria agrícola</x:v>
      </x:c>
      <x:c r="K47" s="136" t="str">
        <x:v>03571 422102</x:v>
      </x:c>
      <x:c r="L47" s="136" t="str">
        <x:v>Verificar</x:v>
      </x:c>
      <x:c r="M47" s="136" t="str">
        <x:v>logística / ventas / postventa</x:v>
      </x:c>
      <x:c r="N47" s="136" t="str">
        <x:v>Movimiento de agropartes, repuestos pesados, conjuntos y eventualmente implementos/equipos entre planta, concesionarios y clientes.</x:v>
      </x:c>
      <x:c r="O47" s="136" t="str">
        <x:v>Plataforma e hidrogrúa para conjuntos pesados + percha/pallets para repuestos + seguro y trazabilidad.</x:v>
      </x:c>
      <x:c r="P47" s="136" t="str">
        <x:v>Ofrecer respaldo flexible para despachos voluminosos y cargas que exceden el transporte convencional de repuestos.</x:v>
      </x:c>
      <x:c r="Q47" s="136" t="str">
        <x:v>Validar contacto y volumen de movimientos; si hay encaje, pedir un traslado concreto para cotizar.</x:v>
      </x:c>
      <x:c r="R47" s="136"/>
      <x:c r="S47" s="158" t="str">
        <x:f>IFERROR(T(INDEX('Prospectos Resumen'!$K$9:$K$295,MATCH(A47,'Prospectos Resumen'!$A$9:$A$295,0))),"")</x:f>
      </x:c>
      <x:c r="T47" s="136"/>
      <x:c r="U47" s="136"/>
      <x:c r="V47" s="136"/>
      <x:c r="W47" s="136"/>
      <x:c r="X47" s="136" t="str">
        <x:v>tel:+543571422102</x:v>
      </x:c>
      <x:c r="Y47" s="136" t="str">
        <x:v>tel:+543571422102</x:v>
      </x:c>
      <x:c r="Z47" s="136" t="str">
        <x:v>Confirmar teléfono, decisor y vigencia del punto de venta.</x:v>
      </x:c>
      <x:c r="AA47" s="136" t="str">
        <x:v>https://www.google.com/maps/search/?api=1&amp;query=Formia+Repuestos+R%C3%ADo+Tercero+C%C3%B3rdoba+Argentina</x:v>
      </x:c>
      <x:c r="AB47" s="136" t="str">
        <x:v>Guía Urbana / ficha comercial</x:v>
      </x:c>
      <x:c r="AC47" s="136" t="str">
        <x:v>https://www.guiaurbana.com.ar/empresas/formia-repuestos-rio-tercero</x:v>
      </x:c>
      <x:c r="AD47" s="136" t="str">
        <x:v>Comercio de repuestos para tractores y líneas Deutz, AGCO, Valtra y Massey Ferguson.</x:v>
      </x:c>
      <x:c r="AE47" s="136" t="str">
        <x:v>Media</x:v>
      </x:c>
      <x:c r="AF47" s="136" t="str">
        <x:v>Rastrillaje agro-maquinaria web 2026-09-07</x:v>
      </x:c>
      <x:c r="AG47" s="136" t="str">
        <x:v>plataforma 20 tn para maquinaria/implementos | hidrogrúa para maniobras | malacate | seguro de carga | trazabilidad GPS</x:v>
      </x:c>
      <x:c r="AH47" s="136" t="str">
        <x:v>fabricante/concesionario/servicio maquinaria agrícola</x:v>
      </x:c>
      <x:c r="AI47" s="136" t="str">
        <x:v>Sí</x:v>
      </x:c>
      <x:c r="AJ47" s="136" t="str">
        <x:v>Media</x:v>
      </x:c>
      <x:c r="AK47" s="136" t="str">
        <x:v>Perfil específico maquinaria agrícola: validar pesos/dimensiones, tipo de carga y disponibilidad de medios de izaje antes de cotizar.</x:v>
      </x:c>
      <x:c r="AL47" s="136" t="str">
        <x:v>Rastrillaje agro-maquinaria 2026-09-07</x:v>
      </x:c>
      <x:c r="AM47" s="136" t="str">
        <x:v>Alta nueva luego de barrido específico de fabricantes, implementos, tractores, concesionarios y agropartes; cruzada contra la base maestra para evitar duplicados.</x:v>
      </x:c>
    </x:row>
    <x:row r="48" ht="48">
      <x:c r="A48" s="135" t="str">
        <x:v>RT-063</x:v>
      </x:c>
      <x:c r="B48" s="135" t="str">
        <x:v>Pendiente</x:v>
      </x:c>
      <x:c r="C48" s="135" t="str">
        <x:v>Base Río Tercero</x:v>
      </x:c>
      <x:c r="D48" s="135" t="str">
        <x:v>Río Tercero / zona industrial</x:v>
      </x:c>
      <x:c r="E48" s="135" t="str">
        <x:v>Río Tercero</x:v>
      </x:c>
      <x:c r="F48" s="135" t="str">
        <x:v>B</x:v>
      </x:c>
      <x:c r="G48" s="135" t="n">
        <x:v>68</x:v>
      </x:c>
      <x:c r="H48" s="135" t="str">
        <x:v>Hidráulica Río Tercero</x:v>
      </x:c>
      <x:c r="I48" s="135" t="str">
        <x:v>Hidráulica y repuestos para maquinaria agrícola</x:v>
      </x:c>
      <x:c r="J48" s="135" t="str">
        <x:v>Maquinaria agrícola</x:v>
      </x:c>
      <x:c r="K48" s="135" t="str">
        <x:v>03571 432041</x:v>
      </x:c>
      <x:c r="L48" s="135" t="str">
        <x:v>Verificar</x:v>
      </x:c>
      <x:c r="M48" s="135" t="str">
        <x:v>logística / ventas / postventa</x:v>
      </x:c>
      <x:c r="N48" s="135" t="str">
        <x:v>Movimiento de agropartes, repuestos pesados, conjuntos y eventualmente implementos/equipos entre planta, concesionarios y clientes.</x:v>
      </x:c>
      <x:c r="O48" s="135" t="str">
        <x:v>Plataforma e hidrogrúa para conjuntos pesados + percha/pallets para repuestos + seguro y trazabilidad.</x:v>
      </x:c>
      <x:c r="P48" s="135" t="str">
        <x:v>Ofrecer respaldo flexible para despachos voluminosos y cargas que exceden el transporte convencional de repuestos.</x:v>
      </x:c>
      <x:c r="Q48" s="135" t="str">
        <x:v>Validar contacto y volumen de movimientos; si hay encaje, pedir un traslado concreto para cotizar.</x:v>
      </x:c>
      <x:c r="R48" s="135"/>
      <x:c r="S48" s="158" t="str">
        <x:f>IFERROR(T(INDEX('Prospectos Resumen'!$K$9:$K$295,MATCH(A48,'Prospectos Resumen'!$A$9:$A$295,0))),"")</x:f>
      </x:c>
      <x:c r="T48" s="135"/>
      <x:c r="U48" s="135"/>
      <x:c r="V48" s="135"/>
      <x:c r="W48" s="135"/>
      <x:c r="X48" s="135" t="str">
        <x:v>tel:+543571432041</x:v>
      </x:c>
      <x:c r="Y48" s="135" t="str">
        <x:v>tel:+543571432041</x:v>
      </x:c>
      <x:c r="Z48" s="135" t="str">
        <x:v>Confirmar teléfono, decisor y vigencia del punto de venta.</x:v>
      </x:c>
      <x:c r="AA48" s="135" t="str">
        <x:v>https://www.google.com/maps/search/?api=1&amp;query=Hidr%C3%A1ulica+R%C3%ADo+Tercero+R%C3%ADo+Tercero+C%C3%B3rdoba+Argentina</x:v>
      </x:c>
      <x:c r="AB48" s="135" t="str">
        <x:v>Directorio comercial / Google Maps</x:v>
      </x:c>
      <x:c r="AC48" s="135" t="str">
        <x:v>https://www.google.com/maps/search/?api=1&amp;query=Hidr%C3%A1ulica+R%C3%ADo+Tercero+R%C3%ADo+Tercero+C%C3%B3rdoba+Argentina</x:v>
      </x:c>
      <x:c r="AD48" s="135" t="str">
        <x:v>Taller/comercio hidráulico asociado a reparación y repuestos de maquinaria agrícola; validar vigencia.</x:v>
      </x:c>
      <x:c r="AE48" s="135" t="str">
        <x:v>Media</x:v>
      </x:c>
      <x:c r="AF48" s="135" t="str">
        <x:v>Rastrillaje agro-maquinaria web 2026-09-07</x:v>
      </x:c>
      <x:c r="AG48" s="135" t="str">
        <x:v>plataforma 20 tn para maquinaria/implementos | hidrogrúa para maniobras | malacate | seguro de carga | trazabilidad GPS</x:v>
      </x:c>
      <x:c r="AH48" s="135" t="str">
        <x:v>fabricante/concesionario/servicio maquinaria agrícola</x:v>
      </x:c>
      <x:c r="AI48" s="135" t="str">
        <x:v>Sí</x:v>
      </x:c>
      <x:c r="AJ48" s="135" t="str">
        <x:v>Media</x:v>
      </x:c>
      <x:c r="AK48" s="135" t="str">
        <x:v>Perfil específico maquinaria agrícola: validar pesos/dimensiones, tipo de carga y disponibilidad de medios de izaje antes de cotizar.</x:v>
      </x:c>
      <x:c r="AL48" s="135" t="str">
        <x:v>Rastrillaje agro-maquinaria 2026-09-07</x:v>
      </x:c>
      <x:c r="AM48" s="135" t="str">
        <x:v>Alta nueva luego de barrido específico de fabricantes, implementos, tractores, concesionarios y agropartes; cruzada contra la base maestra para evitar duplicados.</x:v>
      </x:c>
    </x:row>
    <x:row r="49" ht="48">
      <x:c r="A49" s="136" t="str">
        <x:v>RT-036</x:v>
      </x:c>
      <x:c r="B49" s="136" t="str">
        <x:v>Pendiente</x:v>
      </x:c>
      <x:c r="C49" s="136" t="str">
        <x:v>Base Río Tercero</x:v>
      </x:c>
      <x:c r="D49" s="136" t="str">
        <x:v>Río Tercero</x:v>
      </x:c>
      <x:c r="E49" s="136" t="str">
        <x:v>Río Tercero</x:v>
      </x:c>
      <x:c r="F49" s="136" t="str">
        <x:v>B</x:v>
      </x:c>
      <x:c r="G49" s="136" t="n">
        <x:v>60</x:v>
      </x:c>
      <x:c r="H49" s="136" t="str">
        <x:v>Baudino Hnos.</x:v>
      </x:c>
      <x:c r="I49" s="136" t="str">
        <x:v>Estructuras metálicas</x:v>
      </x:c>
      <x:c r="J49" s="136" t="str">
        <x:v>Metalúrgica y fabricación</x:v>
      </x:c>
      <x:c r="K49" s="136" t="str">
        <x:v>03571 15600693 / 3571 457279 / 3571 458732</x:v>
      </x:c>
      <x:c r="L49" s="136" t="str">
        <x:v>Verificar</x:v>
      </x:c>
      <x:c r="M49" s="136" t="str">
        <x:v>despacho / producción</x:v>
      </x:c>
      <x:c r="N49" s="136" t="str">
        <x:v>Despacho seguro de estructuras, carrozados, tanques, piezas industriales y equipos sobre plataforma.</x:v>
      </x:c>
      <x:c r="O49" s="136" t="str">
        <x:v>Plataforma 20 tn para piezas/estructuras + seguro de carga + trazabilidad GPS.</x:v>
      </x:c>
      <x:c r="P49" s="136" t="str">
        <x:v>Estructuras metálicas locales; buen encaje para transporte de piezas y montaje.</x:v>
      </x:c>
      <x:c r="Q49" s="136" t="str">
        <x:v>Validar teléfono/contacto; si responde, pedir un caso concreto de traslado o próximo movimiento.</x:v>
      </x:c>
      <x:c r="R49" s="136"/>
      <x:c r="S49" s="158" t="str">
        <x:f>IFERROR(T(INDEX('Prospectos Resumen'!$K$9:$K$295,MATCH(A49,'Prospectos Resumen'!$A$9:$A$295,0))),"")</x:f>
      </x:c>
      <x:c r="T49" s="136"/>
      <x:c r="U49" s="136"/>
      <x:c r="V49" s="136"/>
      <x:c r="W49" s="136"/>
      <x:c r="X49" s="136" t="str">
        <x:v>tel:+5493571600693</x:v>
      </x:c>
      <x:c r="Y49" s="136" t="str">
        <x:v>tel:+5493571600693 | tel:+543571457279 | tel:+543571458732</x:v>
      </x:c>
      <x:c r="Z49" s="136" t="str">
        <x:v>Confirmar decisor y vigencia del dato antes de incluir en salida prioritaria.</x:v>
      </x:c>
      <x:c r="AA49" s="136" t="str">
        <x:v>https://www.google.com/maps/search/?api=1&amp;query=Baudino+Hnos.+R%C3%ADo+Tercero+C%C3%B3rdoba+Argentina</x:v>
      </x:c>
      <x:c r="AB49" s="136" t="str">
        <x:v>Web pública Baudino Hnos. / resultado de búsqueda</x:v>
      </x:c>
      <x:c r="AC49" s="136" t="str">
        <x:v>https://baudinohnos.wixsite.com/baudinohnos</x:v>
      </x:c>
      <x:c r="AD49" s="136" t="str">
        <x:v>Resultado público indica dirección y teléfonos; verificar vigencia antes de visita.</x:v>
      </x:c>
      <x:c r="AE49" s="136" t="str">
        <x:v>Media</x:v>
      </x:c>
      <x:c r="AF49" s="136" t="str">
        <x:v>Nuevo enriquecimiento 2026-09-02</x:v>
      </x:c>
      <x:c r="AG49" s="136" t="str">
        <x:v>plataforma 20 tn para maquinaria/piezas | hidrogrúa para maniobras | percha para pallets</x:v>
      </x:c>
      <x:c r="AH49" s="136" t="str">
        <x:v>otro rubro factible</x:v>
      </x:c>
      <x:c r="AI49" s="136" t="str">
        <x:v>Sí</x:v>
      </x:c>
      <x:c r="AJ49" s="136" t="str">
        <x:v>Media</x:v>
      </x:c>
      <x:c r="AK49" s="136"/>
      <x:c r="AL49" s="136" t="str">
        <x:v>GPT adjunto + Hermes</x:v>
      </x:c>
      <x:c r="AM49" s="136" t="str">
        <x:v>Fusionado con base Hermes para completar teléfonos/fuentes/servicios. | ID fuente: RT-033</x:v>
      </x:c>
    </x:row>
    <x:row r="50" ht="48">
      <x:c r="A50" s="135" t="str">
        <x:v>RT-037</x:v>
      </x:c>
      <x:c r="B50" s="135" t="str">
        <x:v>Pendiente</x:v>
      </x:c>
      <x:c r="C50" s="135" t="str">
        <x:v>Base Río Tercero</x:v>
      </x:c>
      <x:c r="D50" s="135" t="str">
        <x:v>Río Tercero</x:v>
      </x:c>
      <x:c r="E50" s="135" t="str">
        <x:v>Río Tercero</x:v>
      </x:c>
      <x:c r="F50" s="135" t="str">
        <x:v>B</x:v>
      </x:c>
      <x:c r="G50" s="135" t="n">
        <x:v>60</x:v>
      </x:c>
      <x:c r="H50" s="135" t="str">
        <x:v>Charrúa Implementos Agrícolas</x:v>
      </x:c>
      <x:c r="I50" s="135" t="str">
        <x:v>Implementos agrícolas</x:v>
      </x:c>
      <x:c r="J50" s="135" t="str">
        <x:v>Maquinaria agrícola</x:v>
      </x:c>
      <x:c r="K50" s="135" t="str">
        <x:v>03571 619149 / 03571 503663 (a confirmar) / +54 9 3571 61 9149 / +54 9 3571 31 0086</x:v>
      </x:c>
      <x:c r="L50" s="135" t="str">
        <x:v>OK</x:v>
      </x:c>
      <x:c r="M50" s="135" t="str">
        <x:v>responsable de acopio / mantenimiento</x:v>
      </x:c>
      <x:c r="N50" s="135" t="str">
        <x:v>Movimientos especiales de mantenimiento, repuestos pesados y mudanzas internas de equipos.</x:v>
      </x:c>
      <x:c r="O50" s="135" t="str">
        <x:v>Movimiento de equipos de planta, silos, balanzas, repuestos y cargas especiales para acopios/agroindustria.</x:v>
      </x:c>
      <x:c r="P50" s="135" t="str">
        <x:v>Pedir frecuencia de entregas a concesionarios/campos.</x:v>
      </x:c>
      <x:c r="Q50" s="135" t="str">
        <x:v>Visita o llamada de validación; pedir próximo traslado concreto.</x:v>
      </x:c>
      <x:c r="R50" s="135"/>
      <x:c r="S50" s="158" t="str">
        <x:f>IFERROR(T(INDEX('Prospectos Resumen'!$K$9:$K$295,MATCH(A50,'Prospectos Resumen'!$A$9:$A$295,0))),"")</x:f>
      </x:c>
      <x:c r="T50" s="135"/>
      <x:c r="U50" s="135"/>
      <x:c r="V50" s="135"/>
      <x:c r="W50" s="135"/>
      <x:c r="X50" s="135" t="str">
        <x:v>tel:+543571619149</x:v>
      </x:c>
      <x:c r="Y50" s="135" t="str">
        <x:v>tel:+543571619149 | tel:+543571503663 | tel:+5493571619149 | tel:+5493571310086</x:v>
      </x:c>
      <x:c r="Z50" s="135" t="str">
        <x:v>Validar contacto decisor y necesidad inmediata.</x:v>
      </x:c>
      <x:c r="AA50" s="135" t="str">
        <x:v>https://www.google.com/maps/search/?api=1&amp;query=-32.168609,-64.118792</x:v>
      </x:c>
      <x:c r="AB50" s="135" t="str">
        <x:v>Web/Facebook Charrúa | Web propia Charrúa Implementos Agrícolas</x:v>
      </x:c>
      <x:c r="AC50" s="135" t="str">
        <x:v>https://charruaimplementosagricolas.com.ar</x:v>
      </x:c>
      <x:c r="AD50" s="135" t="str">
        <x:v>Registro curado en documento de dirección PRESOL 2026-09. | Sitio propio: Catamarca 2167, Parque Industrial Río Tercero; teléfonos +54 9 3571 61-9149 / 31-0086; implementos agrícolas.</x:v>
      </x:c>
      <x:c r="AE50" s="135" t="str">
        <x:v>Media</x:v>
      </x:c>
      <x:c r="AF50" s="135" t="str">
        <x:v>Base curada PDF dirección</x:v>
      </x:c>
      <x:c r="AG50" s="135" t="str">
        <x:v>plataforma 20 tn para maquinaria/piezas | hidrogrúa para maniobras | percha para pallets | percha para pallets de insumos | hidrogrúa para equipos/mantenimiento | barquilla para trabajos en altura</x:v>
      </x:c>
      <x:c r="AH50" s="135" t="str">
        <x:v>fabricante/servicio maquinaria agrícola</x:v>
      </x:c>
      <x:c r="AI50" s="135" t="str">
        <x:v>Sí</x:v>
      </x:c>
      <x:c r="AJ50" s="135" t="str">
        <x:v>Media</x:v>
      </x:c>
      <x:c r="AK50" s="135"/>
      <x:c r="AL50" s="135" t="str">
        <x:v>GPT adjunto + Hermes</x:v>
      </x:c>
      <x:c r="AM50" s="135" t="str">
        <x:v>Fusionado con base Hermes para completar teléfonos/fuentes/servicios. | ID fuente: RT-034</x:v>
      </x:c>
    </x:row>
    <x:row r="51" ht="48">
      <x:c r="A51" s="136" t="str">
        <x:v>RT-038</x:v>
      </x:c>
      <x:c r="B51" s="136" t="str">
        <x:v>Pendiente</x:v>
      </x:c>
      <x:c r="C51" s="136" t="str">
        <x:v>Base Río Tercero</x:v>
      </x:c>
      <x:c r="D51" s="136" t="str">
        <x:v>Río Tercero</x:v>
      </x:c>
      <x:c r="E51" s="136" t="str">
        <x:v>Río Tercero</x:v>
      </x:c>
      <x:c r="F51" s="136" t="str">
        <x:v>B</x:v>
      </x:c>
      <x:c r="G51" s="136" t="n">
        <x:v>60</x:v>
      </x:c>
      <x:c r="H51" s="136" t="str">
        <x:v>HIDROSERVIS</x:v>
      </x:c>
      <x:c r="I51" s="136" t="str">
        <x:v>Cilindros hidráulicos</x:v>
      </x:c>
      <x:c r="J51" s="136" t="str">
        <x:v>Metalúrgica y fabricación</x:v>
      </x:c>
      <x:c r="K51" s="136" t="str">
        <x:v>Portería parque: 03571 565662</x:v>
      </x:c>
      <x:c r="L51" s="136" t="str">
        <x:v>Verificar</x:v>
      </x:c>
      <x:c r="M51" s="136" t="str">
        <x:v>responsable de logística/compras</x:v>
      </x:c>
      <x:c r="N51" s="136" t="str">
        <x:v>Movimientos especiales de mantenimiento, repuestos pesados y mudanzas internas de equipos.</x:v>
      </x:c>
      <x:c r="O51" s="136" t="str">
        <x:v>Detectar el próximo movimiento pesado y convertirlo en cotización concreta.</x:v>
      </x:c>
      <x:c r="P51" s="136" t="str">
        <x:v>Ofrecer servicio de retiro/entrega de equipos pesados.</x:v>
      </x:c>
      <x:c r="Q51" s="136" t="str">
        <x:v>Visita o llamada de validación; pedir próximo traslado concreto.</x:v>
      </x:c>
      <x:c r="R51" s="136"/>
      <x:c r="S51" s="158" t="str">
        <x:f>IFERROR(T(INDEX('Prospectos Resumen'!$K$9:$K$295,MATCH(A51,'Prospectos Resumen'!$A$9:$A$295,0))),"")</x:f>
      </x:c>
      <x:c r="T51" s="136"/>
      <x:c r="U51" s="136"/>
      <x:c r="V51" s="136"/>
      <x:c r="W51" s="136"/>
      <x:c r="X51" s="136" t="str">
        <x:v>tel:+543571565662</x:v>
      </x:c>
      <x:c r="Y51" s="136" t="str">
        <x:v>tel:+543571565662</x:v>
      </x:c>
      <x:c r="Z51" s="136" t="str">
        <x:v>Validar contacto decisor y necesidad inmediata.</x:v>
      </x:c>
      <x:c r="AA51" s="136" t="str">
        <x:v>https://www.google.com/maps/search/?api=1&amp;query=-32.181800,-64.104800</x:v>
      </x:c>
      <x:c r="AB51" s="136" t="str">
        <x:v>Parque Industrial Río Tercero</x:v>
      </x:c>
      <x:c r="AC51" s="136"/>
      <x:c r="AD51" s="136" t="str">
        <x:v>Registro curado en documento de dirección PRESOL 2026-09.</x:v>
      </x:c>
      <x:c r="AE51" s="136" t="str">
        <x:v>Media</x:v>
      </x:c>
      <x:c r="AF51" s="136" t="str">
        <x:v>Base curada PDF dirección</x:v>
      </x:c>
      <x:c r="AG51" s="136" t="str">
        <x:v>plataforma 20 tn para maquinaria/piezas | hidrogrúa para maniobras | percha para pallets</x:v>
      </x:c>
      <x:c r="AH51" s="136" t="str">
        <x:v>otro rubro factible</x:v>
      </x:c>
      <x:c r="AI51" s="136" t="str">
        <x:v>Sí</x:v>
      </x:c>
      <x:c r="AJ51" s="136" t="str">
        <x:v>Media</x:v>
      </x:c>
      <x:c r="AK51" s="136"/>
      <x:c r="AL51" s="136" t="str">
        <x:v>GPT adjunto + Hermes</x:v>
      </x:c>
      <x:c r="AM51" s="136" t="str">
        <x:v>Fusionado con base Hermes para completar teléfonos/fuentes/servicios. | ID fuente: RT-035</x:v>
      </x:c>
    </x:row>
    <x:row r="52" ht="48">
      <x:c r="A52" s="135" t="str">
        <x:v>RT-039</x:v>
      </x:c>
      <x:c r="B52" s="135" t="str">
        <x:v>Pendiente</x:v>
      </x:c>
      <x:c r="C52" s="135" t="str">
        <x:v>Base Río Tercero</x:v>
      </x:c>
      <x:c r="D52" s="135" t="str">
        <x:v>Río Tercero</x:v>
      </x:c>
      <x:c r="E52" s="135" t="str">
        <x:v>Río Tercero</x:v>
      </x:c>
      <x:c r="F52" s="135" t="str">
        <x:v>B</x:v>
      </x:c>
      <x:c r="G52" s="135" t="n">
        <x:v>60</x:v>
      </x:c>
      <x:c r="H52" s="135" t="str">
        <x:v>Hormilas S.A.</x:v>
      </x:c>
      <x:c r="I52" s="135" t="str">
        <x:v>Hormigón elaborado</x:v>
      </x:c>
      <x:c r="J52" s="135" t="str">
        <x:v>Hormigón, áridos y materiales</x:v>
      </x:c>
      <x:c r="K52" s="135" t="str">
        <x:v>03571 573231 (a confirmar)</x:v>
      </x:c>
      <x:c r="L52" s="135" t="str">
        <x:v>Verificar</x:v>
      </x:c>
      <x:c r="M52" s="135" t="str">
        <x:v>operaciones / planta</x:v>
      </x:c>
      <x:c r="N52" s="135" t="str">
        <x:v>Movimiento de premoldeados, equipos de planta/cantera, bombas, moldes y cargas pesadas.</x:v>
      </x:c>
      <x:c r="O52" s="135" t="str">
        <x:v>Traslado de equipos de planta, bombas, premoldeados y apoyo a picos de obra.</x:v>
      </x:c>
      <x:c r="P52" s="135" t="str">
        <x:v>Visita breve: detectar si tercerizan fletes de planta.</x:v>
      </x:c>
      <x:c r="Q52" s="135" t="str">
        <x:v>Visita o llamada de validación; pedir próximo traslado concreto.</x:v>
      </x:c>
      <x:c r="R52" s="135"/>
      <x:c r="S52" s="158" t="str">
        <x:f>IFERROR(T(INDEX('Prospectos Resumen'!$K$9:$K$295,MATCH(A52,'Prospectos Resumen'!$A$9:$A$295,0))),"")</x:f>
      </x:c>
      <x:c r="T52" s="135"/>
      <x:c r="U52" s="135"/>
      <x:c r="V52" s="135"/>
      <x:c r="W52" s="135"/>
      <x:c r="X52" s="135" t="str">
        <x:v>tel:+543571573231</x:v>
      </x:c>
      <x:c r="Y52" s="135" t="str">
        <x:v>tel:+543571573231</x:v>
      </x:c>
      <x:c r="Z52" s="135" t="str">
        <x:v>Validar contacto decisor y necesidad inmediata.</x:v>
      </x:c>
      <x:c r="AA52" s="135" t="str">
        <x:v>https://www.google.com/maps/search/?api=1&amp;query=-32.163876,-64.106999</x:v>
      </x:c>
      <x:c r="AB52" s="135" t="str">
        <x:v>Parque Industrial Río Tercero / búsqueda web</x:v>
      </x:c>
      <x:c r="AC52" s="135"/>
      <x:c r="AD52" s="135" t="str">
        <x:v>Registro curado en documento de dirección PRESOL 2026-09.</x:v>
      </x:c>
      <x:c r="AE52" s="135" t="str">
        <x:v>Media</x:v>
      </x:c>
      <x:c r="AF52" s="135" t="str">
        <x:v>Base curada PDF dirección</x:v>
      </x:c>
      <x:c r="AG52" s="135" t="str">
        <x:v>transporte de áridos/materiales | hidrogrúa para carga/descarga | percha para pallets/bolsones</x:v>
      </x:c>
      <x:c r="AH52" s="135" t="str">
        <x:v>áridos/construcción/premoldeados</x:v>
      </x:c>
      <x:c r="AI52" s="135" t="str">
        <x:v>Sí</x:v>
      </x:c>
      <x:c r="AJ52" s="135" t="str">
        <x:v>Media</x:v>
      </x:c>
      <x:c r="AK52" s="135" t="str">
        <x:v>Áridos/materiales: confirmar modalidad de carga/descarga y tipo de unidad requerida antes de cotizar.</x:v>
      </x:c>
      <x:c r="AL52" s="135" t="str">
        <x:v>GPT adjunto + Hermes</x:v>
      </x:c>
      <x:c r="AM52" s="135" t="str">
        <x:v>Fusionado con base Hermes para completar teléfonos/fuentes/servicios. | ID fuente: RT-036</x:v>
      </x:c>
    </x:row>
    <x:row r="53" ht="48">
      <x:c r="A53" s="136" t="str">
        <x:v>RT-040</x:v>
      </x:c>
      <x:c r="B53" s="136" t="str">
        <x:v>Pendiente</x:v>
      </x:c>
      <x:c r="C53" s="136" t="str">
        <x:v>Base Río Tercero</x:v>
      </x:c>
      <x:c r="D53" s="136" t="str">
        <x:v>Río Tercero / zona industrial</x:v>
      </x:c>
      <x:c r="E53" s="136" t="str">
        <x:v>Río Tercero</x:v>
      </x:c>
      <x:c r="F53" s="136" t="str">
        <x:v>B</x:v>
      </x:c>
      <x:c r="G53" s="136" t="n">
        <x:v>60</x:v>
      </x:c>
      <x:c r="H53" s="136" t="str">
        <x:v>MoliCor</x:v>
      </x:c>
      <x:c r="I53" s="136" t="str">
        <x:v>Accesorios para industrias molineras</x:v>
      </x:c>
      <x:c r="J53" s="136" t="str">
        <x:v>Metalúrgica y fabricación</x:v>
      </x:c>
      <x:c r="K53" s="136" t="str">
        <x:v>A relevar vía parque</x:v>
      </x:c>
      <x:c r="L53" s="136" t="str">
        <x:v>A relevar</x:v>
      </x:c>
      <x:c r="M53" s="136" t="str">
        <x:v>despacho / producción</x:v>
      </x:c>
      <x:c r="N53" s="136" t="str">
        <x:v>Despacho de estructuras, piezas, equipos y conjuntos metalmecánicos de gran porte hacia obras o clientes.</x:v>
      </x:c>
      <x:c r="O53" s="136" t="str">
        <x:v>Plataforma 20 tn para piezas/estructuras + seguro de carga + trazabilidad GPS + apoyo de hidrogrúa según maniobra.</x:v>
      </x:c>
      <x:c r="P53" s="136" t="str">
        <x:v>Listado oficial del parque: accesorios para industrias molineras; contacto directo pendiente.</x:v>
      </x:c>
      <x:c r="Q53" s="136" t="str">
        <x:v>Llamar para validar necesidad y frecuencia; visitar si confirma movimientos de equipos/cargas.</x:v>
      </x:c>
      <x:c r="R53" s="136"/>
      <x:c r="S53" s="158" t="str">
        <x:f>IFERROR(T(INDEX('Prospectos Resumen'!$K$9:$K$295,MATCH(A53,'Prospectos Resumen'!$A$9:$A$295,0))),"")</x:f>
      </x:c>
      <x:c r="T53" s="136"/>
      <x:c r="U53" s="136"/>
      <x:c r="V53" s="136"/>
      <x:c r="W53" s="136"/>
      <x:c r="X53" s="136"/>
      <x:c r="Y53" s="136"/>
      <x:c r="Z53" s="136" t="str">
        <x:v>Confirmar decisor, frecuencia de movimientos y vigencia del contacto antes de cotizar.</x:v>
      </x:c>
      <x:c r="AA53" s="136" t="str">
        <x:v>https://www.google.com/maps/search/?api=1&amp;query=MoliCor+R%C3%ADo+Tercero+C%C3%B3rdoba+Argentina</x:v>
      </x:c>
      <x:c r="AB53" s="136" t="str">
        <x:v>Parque Industrial Río Tercero</x:v>
      </x:c>
      <x:c r="AC53" s="136" t="str">
        <x:v>https://parqueindustrial.riotercero.gob.ar/empresas</x:v>
      </x:c>
      <x:c r="AD53" s="136" t="str">
        <x:v>Listado oficial del parque: accesorios para industrias molineras; contacto directo pendiente.</x:v>
      </x:c>
      <x:c r="AE53" s="136" t="str">
        <x:v>Media</x:v>
      </x:c>
      <x:c r="AF53" s="136" t="str">
        <x:v>Enriquecimiento web 2026-09-07</x:v>
      </x:c>
      <x:c r="AG53" s="136" t="str">
        <x:v>transporte de áridos/materiales | hidrogrúa para carga/descarga | percha para pallets/bolsones | plataforma 20 tn para maquinaria/piezas | hidrogrúa para maniobras | percha para pallets</x:v>
      </x:c>
      <x:c r="AH53" s="136" t="str">
        <x:v>otro rubro factible</x:v>
      </x:c>
      <x:c r="AI53" s="136" t="str">
        <x:v>Sí</x:v>
      </x:c>
      <x:c r="AJ53" s="136" t="str">
        <x:v>Media</x:v>
      </x:c>
      <x:c r="AK53" s="136"/>
      <x:c r="AL53" s="136" t="str">
        <x:v>GPT adjunto</x:v>
      </x:c>
      <x:c r="AM53" s="136" t="str">
        <x:v>ID fuente: RT-037</x:v>
      </x:c>
    </x:row>
    <x:row r="54" ht="36">
      <x:c r="A54" s="135" t="str">
        <x:v>RT-041</x:v>
      </x:c>
      <x:c r="B54" s="135" t="str">
        <x:v>Pendiente</x:v>
      </x:c>
      <x:c r="C54" s="135" t="str">
        <x:v>Base Río Tercero</x:v>
      </x:c>
      <x:c r="D54" s="135" t="str">
        <x:v>Río Tercero / zona industrial</x:v>
      </x:c>
      <x:c r="E54" s="135" t="str">
        <x:v>Río Tercero</x:v>
      </x:c>
      <x:c r="F54" s="135" t="str">
        <x:v>B</x:v>
      </x:c>
      <x:c r="G54" s="135" t="n">
        <x:v>60</x:v>
      </x:c>
      <x:c r="H54" s="135" t="str">
        <x:v>Taller RS S.A.</x:v>
      </x:c>
      <x:c r="I54" s="135" t="str">
        <x:v>Mantenimiento y calibración de válvulas industriales</x:v>
      </x:c>
      <x:c r="J54" s="135" t="str">
        <x:v>Industria y mantenimiento</x:v>
      </x:c>
      <x:c r="K54" s="135" t="str">
        <x:v>03571 422065</x:v>
      </x:c>
      <x:c r="L54" s="135" t="str">
        <x:v>OK</x:v>
      </x:c>
      <x:c r="M54" s="135" t="str">
        <x:v>mantenimiento / despacho</x:v>
      </x:c>
      <x:c r="N54" s="135" t="str">
        <x:v>Movimientos especiales de mantenimiento, repuestos pesados, equipos y mudanzas internas o entre plantas.</x:v>
      </x:c>
      <x:c r="O54" s="135" t="str">
        <x:v>Traslados especiales de equipos y repuestos con plataforma 20 tn, seguro/GPS y apoyo de hidrogrúa.</x:v>
      </x:c>
      <x:c r="P54" s="135" t="str">
        <x:v>Empresa del parque dedicada a válvulas industriales; potencial de movimientos de equipos y repuestos.</x:v>
      </x:c>
      <x:c r="Q54" s="135" t="str">
        <x:v>Llamar para validar necesidad y frecuencia; visitar si confirma movimientos de equipos/cargas.</x:v>
      </x:c>
      <x:c r="R54" s="135"/>
      <x:c r="S54" s="158" t="str">
        <x:f>IFERROR(T(INDEX('Prospectos Resumen'!$K$9:$K$295,MATCH(A54,'Prospectos Resumen'!$A$9:$A$295,0))),"")</x:f>
      </x:c>
      <x:c r="T54" s="135"/>
      <x:c r="U54" s="135"/>
      <x:c r="V54" s="135"/>
      <x:c r="W54" s="135"/>
      <x:c r="X54" s="135" t="str">
        <x:v>tel:+543571422065</x:v>
      </x:c>
      <x:c r="Y54" s="135" t="str">
        <x:v>tel:+543571422065</x:v>
      </x:c>
      <x:c r="Z54" s="135" t="str">
        <x:v>Confirmar decisor, frecuencia de movimientos y vigencia del contacto antes de cotizar.</x:v>
      </x:c>
      <x:c r="AA54" s="135" t="str">
        <x:v>https://www.google.com/maps/search/?api=1&amp;query=Taller+RS+S.A.+R%C3%ADo+Tercero+C%C3%B3rdoba+Argentina</x:v>
      </x:c>
      <x:c r="AB54" s="135" t="str">
        <x:v>Parque Industrial / Google Maps</x:v>
      </x:c>
      <x:c r="AC54" s="135" t="str">
        <x:v>https://parqueindustrial.riotercero.gob.ar/empresas</x:v>
      </x:c>
      <x:c r="AD54" s="135" t="str">
        <x:v>Empresa del parque dedicada a válvulas industriales; potencial de movimientos de equipos y repuestos.</x:v>
      </x:c>
      <x:c r="AE54" s="135" t="str">
        <x:v>Alta</x:v>
      </x:c>
      <x:c r="AF54" s="135" t="str">
        <x:v>Enriquecimiento web 2026-09-07</x:v>
      </x:c>
      <x:c r="AG54" s="135" t="str">
        <x:v>plataforma 20 tn para maquinaria/piezas | hidrogrúa para maniobras | percha para pallets</x:v>
      </x:c>
      <x:c r="AH54" s="135" t="str">
        <x:v>otro rubro factible</x:v>
      </x:c>
      <x:c r="AI54" s="135" t="str">
        <x:v>Sí</x:v>
      </x:c>
      <x:c r="AJ54" s="135" t="str">
        <x:v>Alta</x:v>
      </x:c>
      <x:c r="AK54" s="135"/>
      <x:c r="AL54" s="135" t="str">
        <x:v>GPT adjunto</x:v>
      </x:c>
      <x:c r="AM54" s="135" t="str">
        <x:v>ID fuente: RT-038</x:v>
      </x:c>
    </x:row>
    <x:row r="55" ht="48">
      <x:c r="A55" s="6" t="str">
        <x:v>RT-042</x:v>
      </x:c>
      <x:c r="B55" s="6" t="str">
        <x:v>Pendiente</x:v>
      </x:c>
      <x:c r="C55" s="6" t="str">
        <x:v>Base Río Tercero</x:v>
      </x:c>
      <x:c r="D55" s="6" t="str">
        <x:v>Río Tercero</x:v>
      </x:c>
      <x:c r="E55" s="6" t="str">
        <x:v>Río Tercero</x:v>
      </x:c>
      <x:c r="F55" s="6" t="str">
        <x:v>B</x:v>
      </x:c>
      <x:c r="G55" s="6" t="n">
        <x:v>50</x:v>
      </x:c>
      <x:c r="H55" s="6" t="str">
        <x:v>Atanor / Albaugh</x:v>
      </x:c>
      <x:c r="I55" s="6" t="str">
        <x:v>Química / agroquímicos</x:v>
      </x:c>
      <x:c r="J55" s="6" t="str">
        <x:v>Agro, acopio y cooperativas</x:v>
      </x:c>
      <x:c r="K55" s="6" t="str">
        <x:v>A relevar</x:v>
      </x:c>
      <x:c r="L55" s="6" t="str">
        <x:v>A relevar</x:v>
      </x:c>
      <x:c r="M55" s="6" t="str">
        <x:v>responsable de acopio / mantenimiento</x:v>
      </x:c>
      <x:c r="N55" s="6" t="str">
        <x:v>Traslado de equipos de planta, silos, repuestos pesados, balanzas, implementos y cargas especiales.</x:v>
      </x:c>
      <x:c r="O55" s="6" t="str">
        <x:v>Movimiento de equipos de planta, silos, balanzas, repuestos y cargas especiales para acopios/agroindustria.</x:v>
      </x:c>
      <x:c r="P55" s="6" t="str">
        <x:v>No vender por puerta fría baja; pedir compras/mantenimiento.</x:v>
      </x:c>
      <x:c r="Q55" s="6" t="str">
        <x:v>Visita o llamada de validación; pedir próximo traslado concreto.</x:v>
      </x:c>
      <x:c r="R55" s="6"/>
      <x:c r="S55" s="159" t="str">
        <x:f>IFERROR(T(INDEX('Prospectos Resumen'!$K$9:$K$295,MATCH(A55,'Prospectos Resumen'!$A$9:$A$295,0))),"")</x:f>
      </x:c>
      <x:c r="T55" s="6"/>
      <x:c r="U55" s="6"/>
      <x:c r="V55" s="6"/>
      <x:c r="W55" s="6"/>
      <x:c r="X55" s="6"/>
      <x:c r="Y55" s="6"/>
      <x:c r="Z55" s="6" t="str">
        <x:v>Validar contacto decisor y necesidad inmediata.</x:v>
      </x:c>
      <x:c r="AA55" s="6" t="str">
        <x:v>https://www.google.com/maps/search/?api=1&amp;query=-32.173000,-64.110000</x:v>
      </x:c>
      <x:c r="AB55" s="6" t="str">
        <x:v>Albaugh / noticias sectoriales</x:v>
      </x:c>
      <x:c r="AC55" s="6"/>
      <x:c r="AD55" s="6" t="str">
        <x:v>Registro curado en documento de dirección PRESOL 2026-09.</x:v>
      </x:c>
      <x:c r="AE55" s="6" t="str">
        <x:v>Media</x:v>
      </x:c>
      <x:c r="AF55" s="6" t="str">
        <x:v>Base curada PDF dirección</x:v>
      </x:c>
      <x:c r="AG55" s="6" t="str">
        <x:v>plataforma 20 tn para maquinaria/piezas | hidrogrúa para maniobras | percha para pallets | percha para pallets de insumos | hidrogrúa para equipos/mantenimiento | barquilla para trabajos en altura</x:v>
      </x:c>
      <x:c r="AH55" s="6" t="str">
        <x:v>otro rubro factible</x:v>
      </x:c>
      <x:c r="AI55" s="6" t="str">
        <x:v>Sí</x:v>
      </x:c>
      <x:c r="AJ55" s="6" t="str">
        <x:v>Media</x:v>
      </x:c>
      <x:c r="AK55" s="6" t="str">
        <x:v>Percha pallets: útil para insumos, bolsones, repuestos y materiales palletizados.</x:v>
      </x:c>
      <x:c r="AL55" s="6" t="str">
        <x:v>GPT adjunto + Hermes</x:v>
      </x:c>
      <x:c r="AM55" s="6" t="str">
        <x:v>Fusionado con base Hermes para completar teléfonos/fuentes/servicios. | ID fuente: RT-039</x:v>
      </x:c>
    </x:row>
    <x:row r="56" ht="48">
      <x:c r="A56" s="135" t="str">
        <x:v>RT-043</x:v>
      </x:c>
      <x:c r="B56" s="135" t="str">
        <x:v>Pendiente</x:v>
      </x:c>
      <x:c r="C56" s="135" t="str">
        <x:v>Base Río Tercero</x:v>
      </x:c>
      <x:c r="D56" s="135" t="str">
        <x:v>Parque Industrial Leonardo Da Vinci</x:v>
      </x:c>
      <x:c r="E56" s="135" t="str">
        <x:v>Río Tercero</x:v>
      </x:c>
      <x:c r="F56" s="135" t="str">
        <x:v>B</x:v>
      </x:c>
      <x:c r="G56" s="135" t="n">
        <x:v>50</x:v>
      </x:c>
      <x:c r="H56" s="135" t="str">
        <x:v>Bravo Gustavo y Guillermo</x:v>
      </x:c>
      <x:c r="I56" s="135" t="str">
        <x:v>Premoldeados</x:v>
      </x:c>
      <x:c r="J56" s="135" t="str">
        <x:v>Hormigón, áridos y materiales</x:v>
      </x:c>
      <x:c r="K56" s="135" t="str">
        <x:v>A relevar vía parque</x:v>
      </x:c>
      <x:c r="L56" s="135" t="str">
        <x:v>A relevar</x:v>
      </x:c>
      <x:c r="M56" s="135" t="str">
        <x:v>planta / despacho</x:v>
      </x:c>
      <x:c r="N56" s="135" t="str">
        <x:v>Movimiento de premoldeados, equipos de planta/cantera, bombas, moldes y cargas pesadas.</x:v>
      </x:c>
      <x:c r="O56" s="135" t="str">
        <x:v>Transporte de premoldeados/equipos; áridos sueltos solo sujeto a validar caja volcadora o tercerización.</x:v>
      </x:c>
      <x:c r="P56" s="135" t="str">
        <x:v>Premoldeados locales: potencial de transporte de piezas y reparto pesado regional.</x:v>
      </x:c>
      <x:c r="Q56" s="135" t="str">
        <x:v>Validar teléfono/contacto; si responde, pedir un caso concreto de traslado o próximo movimiento.</x:v>
      </x:c>
      <x:c r="R56" s="135"/>
      <x:c r="S56" s="158" t="str">
        <x:f>IFERROR(T(INDEX('Prospectos Resumen'!$K$9:$K$295,MATCH(A56,'Prospectos Resumen'!$A$9:$A$295,0))),"")</x:f>
      </x:c>
      <x:c r="T56" s="135"/>
      <x:c r="U56" s="135"/>
      <x:c r="V56" s="135"/>
      <x:c r="W56" s="135"/>
      <x:c r="X56" s="135"/>
      <x:c r="Y56" s="135"/>
      <x:c r="Z56" s="135" t="str">
        <x:v>Confirmar decisor y vigencia del dato antes de incluir en salida prioritaria.</x:v>
      </x:c>
      <x:c r="AA56" s="135" t="str">
        <x:v>https://www.google.com/maps/search/?api=1&amp;query=Bravo+Gustavo+y+Guillermo+R%C3%ADo+Tercero+C%C3%B3rdoba+Argentina</x:v>
      </x:c>
      <x:c r="AB56" s="135" t="str">
        <x:v>Parque Industrial Río Tercero</x:v>
      </x:c>
      <x:c r="AC56" s="135" t="str">
        <x:v>https://parqueindustrial.riotercero.gob.ar/empresas</x:v>
      </x:c>
      <x:c r="AD56" s="135" t="str">
        <x:v>Listado del parque indica fabricación de premoldeados.</x:v>
      </x:c>
      <x:c r="AE56" s="135" t="str">
        <x:v>Media</x:v>
      </x:c>
      <x:c r="AF56" s="135" t="str">
        <x:v>Nuevo enriquecimiento 2026-09-02</x:v>
      </x:c>
      <x:c r="AG56" s="135" t="str">
        <x:v>transporte de áridos/materiales | hidrogrúa para carga/descarga | percha para pallets/bolsones</x:v>
      </x:c>
      <x:c r="AH56" s="135" t="str">
        <x:v>áridos/construcción/premoldeados</x:v>
      </x:c>
      <x:c r="AI56" s="135" t="str">
        <x:v>Sí</x:v>
      </x:c>
      <x:c r="AJ56" s="135" t="str">
        <x:v>Media</x:v>
      </x:c>
      <x:c r="AK56" s="135"/>
      <x:c r="AL56" s="135" t="str">
        <x:v>GPT adjunto + Hermes</x:v>
      </x:c>
      <x:c r="AM56" s="135" t="str">
        <x:v>Fusionado con base Hermes para completar teléfonos/fuentes/servicios. | ID fuente: RT-040</x:v>
      </x:c>
    </x:row>
    <x:row r="57" ht="60">
      <x:c r="A57" s="7" t="str">
        <x:v>RT-044</x:v>
      </x:c>
      <x:c r="B57" s="7" t="str">
        <x:v>Pendiente</x:v>
      </x:c>
      <x:c r="C57" s="7" t="str">
        <x:v>Base Río Tercero</x:v>
      </x:c>
      <x:c r="D57" s="7" t="str">
        <x:v>Parque Industrial Leonardo Da Vinci</x:v>
      </x:c>
      <x:c r="E57" s="7" t="str">
        <x:v>Río Tercero</x:v>
      </x:c>
      <x:c r="F57" s="7" t="str">
        <x:v>B</x:v>
      </x:c>
      <x:c r="G57" s="7" t="n">
        <x:v>50</x:v>
      </x:c>
      <x:c r="H57" s="7" t="str">
        <x:v>Construcciones Sermanter S.R.L.</x:v>
      </x:c>
      <x:c r="I57" s="7" t="str">
        <x:v>Construcción, montaje y mantenimiento</x:v>
      </x:c>
      <x:c r="J57" s="7" t="str">
        <x:v>Metalúrgica y fabricación</x:v>
      </x:c>
      <x:c r="K57" s="7" t="str">
        <x:v>A relevar vía parque</x:v>
      </x:c>
      <x:c r="L57" s="7" t="str">
        <x:v>A relevar</x:v>
      </x:c>
      <x:c r="M57" s="7" t="str">
        <x:v>jefe de obra / mantenimiento</x:v>
      </x:c>
      <x:c r="N57" s="7" t="str">
        <x:v>Despacho seguro de estructuras, carrozados, tanques, piezas industriales y equipos sobre plataforma.</x:v>
      </x:c>
      <x:c r="O57" s="7" t="str">
        <x:v>Plataforma 20 tn para piezas/estructuras + seguro de carga + trazabilidad GPS.</x:v>
      </x:c>
      <x:c r="P57" s="7" t="str">
        <x:v>Constructor/montajista local: puede demandar traslado de equipos, estructuras y materiales pesados.</x:v>
      </x:c>
      <x:c r="Q57" s="7" t="str">
        <x:v>Validar teléfono/contacto; si responde, pedir un caso concreto de traslado o próximo movimiento.</x:v>
      </x:c>
      <x:c r="R57" s="7"/>
      <x:c r="S57" s="160" t="str">
        <x:f>IFERROR(T(INDEX('Prospectos Resumen'!$K$9:$K$295,MATCH(A57,'Prospectos Resumen'!$A$9:$A$295,0))),"")</x:f>
      </x:c>
      <x:c r="T57" s="7"/>
      <x:c r="U57" s="7"/>
      <x:c r="V57" s="7"/>
      <x:c r="W57" s="7"/>
      <x:c r="X57" s="7"/>
      <x:c r="Y57" s="7"/>
      <x:c r="Z57" s="7" t="str">
        <x:v>Confirmar decisor y vigencia del dato antes de incluir en salida prioritaria.</x:v>
      </x:c>
      <x:c r="AA57" s="7" t="str">
        <x:v>https://www.google.com/maps/search/?api=1&amp;query=Construcciones+Sermanter+S.R.L.+R%C3%ADo+Tercero+C%C3%B3rdoba+Argentina</x:v>
      </x:c>
      <x:c r="AB57" s="7" t="str">
        <x:v>Parque Industrial Río Tercero</x:v>
      </x:c>
      <x:c r="AC57" s="7" t="str">
        <x:v>https://parqueindustrial.riotercero.gob.ar/empresas</x:v>
      </x:c>
      <x:c r="AD57" s="7" t="str">
        <x:v>Empresa listada en Parque Industrial como construcción, montaje y mantenimiento.</x:v>
      </x:c>
      <x:c r="AE57" s="7" t="str">
        <x:v>Media</x:v>
      </x:c>
      <x:c r="AF57" s="7" t="str">
        <x:v>Nuevo enriquecimiento 2026-09-02</x:v>
      </x:c>
      <x:c r="AG57" s="7" t="str">
        <x:v>transporte de áridos/materiales | hidrogrúa para carga/descarga | percha para pallets/bolsones</x:v>
      </x:c>
      <x:c r="AH57" s="7" t="str">
        <x:v>áridos/construcción/premoldeados</x:v>
      </x:c>
      <x:c r="AI57" s="7" t="str">
        <x:v>Sí</x:v>
      </x:c>
      <x:c r="AJ57" s="7" t="str">
        <x:v>Media</x:v>
      </x:c>
      <x:c r="AK57" s="7"/>
      <x:c r="AL57" s="7" t="str">
        <x:v>GPT adjunto + Hermes</x:v>
      </x:c>
      <x:c r="AM57" s="7" t="str">
        <x:v>Fusionado con base Hermes para completar teléfonos/fuentes/servicios. | ID fuente: RT-041</x:v>
      </x:c>
    </x:row>
    <x:row r="58" ht="48">
      <x:c r="A58" s="135" t="str">
        <x:v>RT-045</x:v>
      </x:c>
      <x:c r="B58" s="135" t="str">
        <x:v>Pendiente</x:v>
      </x:c>
      <x:c r="C58" s="135" t="str">
        <x:v>Base Río Tercero</x:v>
      </x:c>
      <x:c r="D58" s="135" t="str">
        <x:v>Parque Industrial Leonardo Da Vinci</x:v>
      </x:c>
      <x:c r="E58" s="135" t="str">
        <x:v>Río Tercero</x:v>
      </x:c>
      <x:c r="F58" s="135" t="str">
        <x:v>B</x:v>
      </x:c>
      <x:c r="G58" s="135" t="n">
        <x:v>50</x:v>
      </x:c>
      <x:c r="H58" s="135" t="str">
        <x:v>Fabri-Mec</x:v>
      </x:c>
      <x:c r="I58" s="135" t="str">
        <x:v>Tornería / hoyadoras hidráulicas para grúas y minicargadoras</x:v>
      </x:c>
      <x:c r="J58" s="135" t="str">
        <x:v>Metalúrgica y fabricación</x:v>
      </x:c>
      <x:c r="K58" s="135" t="str">
        <x:v>03571 412302 / 03571 579685</x:v>
      </x:c>
      <x:c r="L58" s="135" t="str">
        <x:v>OK</x:v>
      </x:c>
      <x:c r="M58" s="135" t="str">
        <x:v>despacho / producción</x:v>
      </x:c>
      <x:c r="N58" s="135" t="str">
        <x:v>Movimientos especiales de mantenimiento, repuestos pesados y mudanzas internas de equipos.</x:v>
      </x:c>
      <x:c r="O58" s="135" t="str">
        <x:v>Traslados especiales de mantenimiento, equipos y repuestos con seguro/GPS.</x:v>
      </x:c>
      <x:c r="P58" s="135" t="str">
        <x:v>Fabrica implementos hidráulicos vinculados a grúas/minicargadoras; probable movimiento de piezas/equipos.</x:v>
      </x:c>
      <x:c r="Q58" s="135" t="str">
        <x:v>Validar teléfono/contacto; si responde, pedir un caso concreto de traslado o próximo movimiento.</x:v>
      </x:c>
      <x:c r="R58" s="135"/>
      <x:c r="S58" s="158" t="str">
        <x:f>IFERROR(T(INDEX('Prospectos Resumen'!$K$9:$K$295,MATCH(A58,'Prospectos Resumen'!$A$9:$A$295,0))),"")</x:f>
      </x:c>
      <x:c r="T58" s="135"/>
      <x:c r="U58" s="135"/>
      <x:c r="V58" s="135"/>
      <x:c r="W58" s="135"/>
      <x:c r="X58" s="135" t="str">
        <x:v>tel:+543571412302</x:v>
      </x:c>
      <x:c r="Y58" s="135" t="str">
        <x:v>tel:+543571412302 | tel:+543571579685</x:v>
      </x:c>
      <x:c r="Z58" s="135" t="str">
        <x:v>Confirmar decisor y vigencia del dato antes de incluir en salida prioritaria.</x:v>
      </x:c>
      <x:c r="AA58" s="135" t="str">
        <x:v>https://www.google.com/maps/search/?api=1&amp;query=Fabri-Mec+R%C3%ADo+Tercero+C%C3%B3rdoba+Argentina</x:v>
      </x:c>
      <x:c r="AB58" s="135" t="str">
        <x:v>Parque Industrial Río Tercero</x:v>
      </x:c>
      <x:c r="AC58" s="135" t="str">
        <x:v>https://parqueindustrial.riotercero.gob.ar/empresas | https://parqueindustrial.riotercero.gob.ar/empresa/Fabri-Mec</x:v>
      </x:c>
      <x:c r="AD58" s="135" t="str">
        <x:v>Listado del parque describe hoyadoras hidráulicas adaptables a grúas/minicargadoras. | Ficha del parque: hoyadoras hidráulicas adaptables a grúas, minicargadoras y tractores; teléfonos 03571412302 / 03571579685.</x:v>
      </x:c>
      <x:c r="AE58" s="135" t="str">
        <x:v>Media</x:v>
      </x:c>
      <x:c r="AF58" s="135" t="str">
        <x:v>Nuevo enriquecimiento 2026-09-02</x:v>
      </x:c>
      <x:c r="AG58" s="135" t="str">
        <x:v>plataforma 20 tn para maquinaria/piezas | hidrogrúa para maniobras | percha para pallets</x:v>
      </x:c>
      <x:c r="AH58" s="135" t="str">
        <x:v>fabricante/servicio maquinaria agrícola</x:v>
      </x:c>
      <x:c r="AI58" s="135" t="str">
        <x:v>Sí</x:v>
      </x:c>
      <x:c r="AJ58" s="135" t="str">
        <x:v>Media</x:v>
      </x:c>
      <x:c r="AK58" s="135"/>
      <x:c r="AL58" s="135" t="str">
        <x:v>GPT adjunto + Hermes</x:v>
      </x:c>
      <x:c r="AM58" s="135" t="str">
        <x:v>Fusionado con base Hermes para completar teléfonos/fuentes/servicios. | ID fuente: RT-042</x:v>
      </x:c>
    </x:row>
    <x:row r="59" ht="60">
      <x:c r="A59" s="136" t="str">
        <x:v>RT-046</x:v>
      </x:c>
      <x:c r="B59" s="136" t="str">
        <x:v>Pendiente</x:v>
      </x:c>
      <x:c r="C59" s="136" t="str">
        <x:v>Base Río Tercero</x:v>
      </x:c>
      <x:c r="D59" s="136" t="str">
        <x:v>Río Tercero</x:v>
      </x:c>
      <x:c r="E59" s="136" t="str">
        <x:v>Río Tercero</x:v>
      </x:c>
      <x:c r="F59" s="136" t="str">
        <x:v>B</x:v>
      </x:c>
      <x:c r="G59" s="136" t="n">
        <x:v>50</x:v>
      </x:c>
      <x:c r="H59" s="136" t="str">
        <x:v>Fábrica Militar Río Tercero</x:v>
      </x:c>
      <x:c r="I59" s="136" t="str">
        <x:v>Industria estatal / metalmecánica pesada</x:v>
      </x:c>
      <x:c r="J59" s="136" t="str">
        <x:v>Metalúrgica y fabricación</x:v>
      </x:c>
      <x:c r="K59" s="136" t="str">
        <x:v>A relevar</x:v>
      </x:c>
      <x:c r="L59" s="136" t="str">
        <x:v>A relevar</x:v>
      </x:c>
      <x:c r="M59" s="136" t="str">
        <x:v>despacho / producción</x:v>
      </x:c>
      <x:c r="N59" s="136" t="str">
        <x:v>Despacho seguro de estructuras, carrozados, tanques, piezas industriales y equipos sobre plataforma.</x:v>
      </x:c>
      <x:c r="O59" s="136" t="str">
        <x:v>Despacho de estructuras, tanques, transformadores, piezas de ingeniería y equipos sobre plataforma 20 tn.</x:v>
      </x:c>
      <x:c r="P59" s="136" t="str">
        <x:v>Entrar por proveedores/subcontratistas antes que compra directa estatal.</x:v>
      </x:c>
      <x:c r="Q59" s="136" t="str">
        <x:v>Visita o llamada de validación; pedir próximo traslado concreto.</x:v>
      </x:c>
      <x:c r="R59" s="136"/>
      <x:c r="S59" s="158" t="str">
        <x:f>IFERROR(T(INDEX('Prospectos Resumen'!$K$9:$K$295,MATCH(A59,'Prospectos Resumen'!$A$9:$A$295,0))),"")</x:f>
      </x:c>
      <x:c r="T59" s="136"/>
      <x:c r="U59" s="136"/>
      <x:c r="V59" s="136"/>
      <x:c r="W59" s="136"/>
      <x:c r="X59" s="136"/>
      <x:c r="Y59" s="136"/>
      <x:c r="Z59" s="136" t="str">
        <x:v>Validar contacto decisor y necesidad inmediata.</x:v>
      </x:c>
      <x:c r="AA59" s="136" t="str">
        <x:v>https://www.google.com/maps/search/?api=1&amp;query=-32.181966,-64.113216</x:v>
      </x:c>
      <x:c r="AB59" s="136" t="str">
        <x:v>Fabricaciones Militares / informes previos</x:v>
      </x:c>
      <x:c r="AC59" s="136"/>
      <x:c r="AD59" s="136" t="str">
        <x:v>Registro curado en documento de dirección PRESOL 2026-09.</x:v>
      </x:c>
      <x:c r="AE59" s="136" t="str">
        <x:v>Media</x:v>
      </x:c>
      <x:c r="AF59" s="136" t="str">
        <x:v>Base curada PDF dirección</x:v>
      </x:c>
      <x:c r="AG59" s="136" t="str">
        <x:v>plataforma 20 tn para maquinaria/piezas | hidrogrúa para maniobras | percha para pallets</x:v>
      </x:c>
      <x:c r="AH59" s="136" t="str">
        <x:v>otro rubro factible</x:v>
      </x:c>
      <x:c r="AI59" s="136" t="str">
        <x:v>Sí</x:v>
      </x:c>
      <x:c r="AJ59" s="136" t="str">
        <x:v>Media</x:v>
      </x:c>
      <x:c r="AK59" s="136"/>
      <x:c r="AL59" s="136" t="str">
        <x:v>GPT adjunto + Hermes</x:v>
      </x:c>
      <x:c r="AM59" s="136" t="str">
        <x:v>Fusionado con base Hermes para completar teléfonos/fuentes/servicios. | ID fuente: RT-043</x:v>
      </x:c>
    </x:row>
    <x:row r="60" ht="48">
      <x:c r="A60" s="135" t="str">
        <x:v>RT-047</x:v>
      </x:c>
      <x:c r="B60" s="135" t="str">
        <x:v>Pendiente</x:v>
      </x:c>
      <x:c r="C60" s="135" t="str">
        <x:v>Base Río Tercero</x:v>
      </x:c>
      <x:c r="D60" s="135" t="str">
        <x:v>Parque Industrial Leonardo Da Vinci</x:v>
      </x:c>
      <x:c r="E60" s="135" t="str">
        <x:v>Río Tercero</x:v>
      </x:c>
      <x:c r="F60" s="135" t="str">
        <x:v>B</x:v>
      </x:c>
      <x:c r="G60" s="135" t="n">
        <x:v>50</x:v>
      </x:c>
      <x:c r="H60" s="135" t="str">
        <x:v>LiftingMach S.A.</x:v>
      </x:c>
      <x:c r="I60" s="135" t="str">
        <x:v>Autoelevadores / maquinaria industrial</x:v>
      </x:c>
      <x:c r="J60" s="135" t="str">
        <x:v>Industria y mantenimiento</x:v>
      </x:c>
      <x:c r="K60" s="135" t="str">
        <x:v>A relevar vía parque</x:v>
      </x:c>
      <x:c r="L60" s="135" t="str">
        <x:v>A relevar</x:v>
      </x:c>
      <x:c r="M60" s="135" t="str">
        <x:v>despacho / producción</x:v>
      </x:c>
      <x:c r="N60" s="135" t="str">
        <x:v>Movimientos especiales de mantenimiento, repuestos pesados y mudanzas internas de equipos.</x:v>
      </x:c>
      <x:c r="O60" s="135" t="str">
        <x:v>Traslados especiales de mantenimiento, equipos y repuestos con seguro/GPS.</x:v>
      </x:c>
      <x:c r="P60" s="135" t="str">
        <x:v>Fabricación de autoelevadores vinculada a Metalúrgica Río Tercero / LiuGong; posible movimiento de equipos.</x:v>
      </x:c>
      <x:c r="Q60" s="135" t="str">
        <x:v>Validar teléfono/contacto; si responde, pedir un caso concreto de traslado o próximo movimiento.</x:v>
      </x:c>
      <x:c r="R60" s="135"/>
      <x:c r="S60" s="158" t="str">
        <x:f>IFERROR(T(INDEX('Prospectos Resumen'!$K$9:$K$295,MATCH(A60,'Prospectos Resumen'!$A$9:$A$295,0))),"")</x:f>
      </x:c>
      <x:c r="T60" s="135"/>
      <x:c r="U60" s="135"/>
      <x:c r="V60" s="135"/>
      <x:c r="W60" s="135"/>
      <x:c r="X60" s="135"/>
      <x:c r="Y60" s="135"/>
      <x:c r="Z60" s="135" t="str">
        <x:v>Confirmar decisor y vigencia del dato antes de incluir en salida prioritaria.</x:v>
      </x:c>
      <x:c r="AA60" s="135" t="str">
        <x:v>https://www.google.com/maps/search/?api=1&amp;query=LiftingMach+S.A.+R%C3%ADo+Tercero+C%C3%B3rdoba+Argentina</x:v>
      </x:c>
      <x:c r="AB60" s="135" t="str">
        <x:v>Parque Industrial Río Tercero / Maquinac</x:v>
      </x:c>
      <x:c r="AC60" s="135" t="str">
        <x:v>https://parqueindustrial.riotercero.gob.ar/empresas</x:v>
      </x:c>
      <x:c r="AD60" s="135" t="str">
        <x:v>Listado de empresas del Parque Industrial; Maquinac menciona conformación LiftingMach para autoelevadores.</x:v>
      </x:c>
      <x:c r="AE60" s="135" t="str">
        <x:v>Media</x:v>
      </x:c>
      <x:c r="AF60" s="135" t="str">
        <x:v>Nuevo enriquecimiento 2026-09-02</x:v>
      </x:c>
      <x:c r="AG60" s="135" t="str">
        <x:v>plataforma 20 tn para maquinaria/piezas | hidrogrúa para maniobras | percha para pallets</x:v>
      </x:c>
      <x:c r="AH60" s="135" t="str">
        <x:v>otro rubro factible</x:v>
      </x:c>
      <x:c r="AI60" s="135" t="str">
        <x:v>Sí</x:v>
      </x:c>
      <x:c r="AJ60" s="135" t="str">
        <x:v>Media</x:v>
      </x:c>
      <x:c r="AK60" s="135"/>
      <x:c r="AL60" s="135" t="str">
        <x:v>GPT adjunto + Hermes</x:v>
      </x:c>
      <x:c r="AM60" s="135" t="str">
        <x:v>Fusionado con base Hermes para completar teléfonos/fuentes/servicios. | ID fuente: RT-044</x:v>
      </x:c>
    </x:row>
    <x:row r="61" ht="60">
      <x:c r="A61" s="136" t="str">
        <x:v>RT-048</x:v>
      </x:c>
      <x:c r="B61" s="136" t="str">
        <x:v>Pendiente</x:v>
      </x:c>
      <x:c r="C61" s="136" t="str">
        <x:v>Base Río Tercero</x:v>
      </x:c>
      <x:c r="D61" s="136" t="str">
        <x:v>Parque Industrial Leonardo Da Vinci</x:v>
      </x:c>
      <x:c r="E61" s="136" t="str">
        <x:v>Río Tercero</x:v>
      </x:c>
      <x:c r="F61" s="136" t="str">
        <x:v>B</x:v>
      </x:c>
      <x:c r="G61" s="136" t="n">
        <x:v>50</x:v>
      </x:c>
      <x:c r="H61" s="136" t="str">
        <x:v>PROMETVA S.R.L.</x:v>
      </x:c>
      <x:c r="I61" s="136" t="str">
        <x:v>Ingeniería / fabricación industrial</x:v>
      </x:c>
      <x:c r="J61" s="136" t="str">
        <x:v>Metalúrgica y fabricación</x:v>
      </x:c>
      <x:c r="K61" s="136" t="str">
        <x:v>A relevar vía parque</x:v>
      </x:c>
      <x:c r="L61" s="136" t="str">
        <x:v>A relevar</x:v>
      </x:c>
      <x:c r="M61" s="136" t="str">
        <x:v>despacho / producción</x:v>
      </x:c>
      <x:c r="N61" s="136" t="str">
        <x:v>Movimientos especiales de mantenimiento, repuestos pesados y mudanzas internas de equipos.</x:v>
      </x:c>
      <x:c r="O61" s="136" t="str">
        <x:v>Traslados especiales de mantenimiento, equipos y repuestos con seguro/GPS.</x:v>
      </x:c>
      <x:c r="P61" s="136" t="str">
        <x:v>Ingeniería y fabricación: potencial despacho de piezas, estructuras o equipos.</x:v>
      </x:c>
      <x:c r="Q61" s="136" t="str">
        <x:v>Validar teléfono/contacto; si responde, pedir un caso concreto de traslado o próximo movimiento.</x:v>
      </x:c>
      <x:c r="R61" s="136"/>
      <x:c r="S61" s="158" t="str">
        <x:f>IFERROR(T(INDEX('Prospectos Resumen'!$K$9:$K$295,MATCH(A61,'Prospectos Resumen'!$A$9:$A$295,0))),"")</x:f>
      </x:c>
      <x:c r="T61" s="136"/>
      <x:c r="U61" s="136"/>
      <x:c r="V61" s="136"/>
      <x:c r="W61" s="136"/>
      <x:c r="X61" s="136"/>
      <x:c r="Y61" s="136"/>
      <x:c r="Z61" s="136" t="str">
        <x:v>Confirmar decisor y vigencia del dato antes de incluir en salida prioritaria.</x:v>
      </x:c>
      <x:c r="AA61" s="136" t="str">
        <x:v>https://www.google.com/maps/search/?api=1&amp;query=PROMETVA+S.R.L.+R%C3%ADo+Tercero+C%C3%B3rdoba+Argentina</x:v>
      </x:c>
      <x:c r="AB61" s="136" t="str">
        <x:v>Parque Industrial Río Tercero</x:v>
      </x:c>
      <x:c r="AC61" s="136" t="str">
        <x:v>https://parqueindustrial.riotercero.gob.ar/empresas</x:v>
      </x:c>
      <x:c r="AD61" s="136" t="str">
        <x:v>Listado del parque indica experiencia en ingeniería y fabricación.</x:v>
      </x:c>
      <x:c r="AE61" s="136" t="str">
        <x:v>Media</x:v>
      </x:c>
      <x:c r="AF61" s="136" t="str">
        <x:v>Nuevo enriquecimiento 2026-09-02</x:v>
      </x:c>
      <x:c r="AG61" s="136" t="str">
        <x:v>plataforma 20 tn para maquinaria/piezas | hidrogrúa para maniobras | percha para pallets</x:v>
      </x:c>
      <x:c r="AH61" s="136" t="str">
        <x:v>otro rubro factible</x:v>
      </x:c>
      <x:c r="AI61" s="136" t="str">
        <x:v>Sí</x:v>
      </x:c>
      <x:c r="AJ61" s="136" t="str">
        <x:v>Media</x:v>
      </x:c>
      <x:c r="AK61" s="136"/>
      <x:c r="AL61" s="136" t="str">
        <x:v>GPT adjunto + Hermes</x:v>
      </x:c>
      <x:c r="AM61" s="136" t="str">
        <x:v>Fusionado con base Hermes para completar teléfonos/fuentes/servicios. | ID fuente: RT-045</x:v>
      </x:c>
    </x:row>
    <x:row r="62" ht="48">
      <x:c r="A62" s="135" t="str">
        <x:v>RT-049</x:v>
      </x:c>
      <x:c r="B62" s="135" t="str">
        <x:v>Pendiente</x:v>
      </x:c>
      <x:c r="C62" s="135" t="str">
        <x:v>Base Río Tercero</x:v>
      </x:c>
      <x:c r="D62" s="135" t="str">
        <x:v>Parque Industrial Leonardo Da Vinci</x:v>
      </x:c>
      <x:c r="E62" s="135" t="str">
        <x:v>Río Tercero</x:v>
      </x:c>
      <x:c r="F62" s="135" t="str">
        <x:v>B</x:v>
      </x:c>
      <x:c r="G62" s="135" t="n">
        <x:v>50</x:v>
      </x:c>
      <x:c r="H62" s="135" t="str">
        <x:v>Taller Sarmiento</x:v>
      </x:c>
      <x:c r="I62" s="135" t="str">
        <x:v>Servicios industriales / mantenimiento</x:v>
      </x:c>
      <x:c r="J62" s="135" t="str">
        <x:v>Industria y mantenimiento</x:v>
      </x:c>
      <x:c r="K62" s="135" t="str">
        <x:v>A relevar vía parque</x:v>
      </x:c>
      <x:c r="L62" s="135" t="str">
        <x:v>A relevar</x:v>
      </x:c>
      <x:c r="M62" s="135" t="str">
        <x:v>mantenimiento / compras</x:v>
      </x:c>
      <x:c r="N62" s="135" t="str">
        <x:v>Movimientos especiales de mantenimiento, repuestos pesados y mudanzas internas de equipos.</x:v>
      </x:c>
      <x:c r="O62" s="135" t="str">
        <x:v>Traslados especiales de mantenimiento, equipos y repuestos con seguro/GPS.</x:v>
      </x:c>
      <x:c r="P62" s="135" t="str">
        <x:v>Prestación de servicios industriales dentro del parque; posible movimiento de equipos o repuestos pesados.</x:v>
      </x:c>
      <x:c r="Q62" s="135" t="str">
        <x:v>Validar teléfono/contacto; si responde, pedir un caso concreto de traslado o próximo movimiento.</x:v>
      </x:c>
      <x:c r="R62" s="135"/>
      <x:c r="S62" s="158" t="str">
        <x:f>IFERROR(T(INDEX('Prospectos Resumen'!$K$9:$K$295,MATCH(A62,'Prospectos Resumen'!$A$9:$A$295,0))),"")</x:f>
      </x:c>
      <x:c r="T62" s="135"/>
      <x:c r="U62" s="135"/>
      <x:c r="V62" s="135"/>
      <x:c r="W62" s="135"/>
      <x:c r="X62" s="135"/>
      <x:c r="Y62" s="135"/>
      <x:c r="Z62" s="135" t="str">
        <x:v>Confirmar decisor y vigencia del dato antes de incluir en salida prioritaria.</x:v>
      </x:c>
      <x:c r="AA62" s="135" t="str">
        <x:v>https://www.google.com/maps/search/?api=1&amp;query=Taller+Sarmiento+R%C3%ADo+Tercero+C%C3%B3rdoba+Argentina</x:v>
      </x:c>
      <x:c r="AB62" s="135" t="str">
        <x:v>Parque Industrial Río Tercero</x:v>
      </x:c>
      <x:c r="AC62" s="135" t="str">
        <x:v>https://parqueindustrial.riotercero.gob.ar/empresas</x:v>
      </x:c>
      <x:c r="AD62" s="135" t="str">
        <x:v>Empresa listada en Parque Industrial: servicios industriales desde 1992.</x:v>
      </x:c>
      <x:c r="AE62" s="135" t="str">
        <x:v>Media</x:v>
      </x:c>
      <x:c r="AF62" s="135" t="str">
        <x:v>Nuevo enriquecimiento 2026-09-02</x:v>
      </x:c>
      <x:c r="AG62" s="135" t="str">
        <x:v>plataforma 20 tn para maquinaria/piezas | hidrogrúa para maniobras | percha para pallets</x:v>
      </x:c>
      <x:c r="AH62" s="135" t="str">
        <x:v>otro rubro factible</x:v>
      </x:c>
      <x:c r="AI62" s="135" t="str">
        <x:v>Sí</x:v>
      </x:c>
      <x:c r="AJ62" s="135" t="str">
        <x:v>Media</x:v>
      </x:c>
      <x:c r="AK62" s="135"/>
      <x:c r="AL62" s="135" t="str">
        <x:v>GPT adjunto + Hermes</x:v>
      </x:c>
      <x:c r="AM62" s="135" t="str">
        <x:v>Fusionado con base Hermes para completar teléfonos/fuentes/servicios. | ID fuente: RT-046</x:v>
      </x:c>
    </x:row>
    <x:row r="63" ht="48">
      <x:c r="A63" s="136" t="str">
        <x:v>RT-050</x:v>
      </x:c>
      <x:c r="B63" s="136" t="str">
        <x:v>Pendiente</x:v>
      </x:c>
      <x:c r="C63" s="136" t="str">
        <x:v>Base Río Tercero</x:v>
      </x:c>
      <x:c r="D63" s="136" t="str">
        <x:v>Río Tercero</x:v>
      </x:c>
      <x:c r="E63" s="136" t="str">
        <x:v>Río Tercero</x:v>
      </x:c>
      <x:c r="F63" s="136" t="str">
        <x:v>C</x:v>
      </x:c>
      <x:c r="G63" s="136" t="n">
        <x:v>40</x:v>
      </x:c>
      <x:c r="H63" s="136" t="str">
        <x:v>Grupo AVO S.A.</x:v>
      </x:c>
      <x:c r="I63" s="136" t="str">
        <x:v>Aceite de soja / balanceados</x:v>
      </x:c>
      <x:c r="J63" s="136" t="str">
        <x:v>Agroindustria y alimentos</x:v>
      </x:c>
      <x:c r="K63" s="136" t="str">
        <x:v>Portería parque: 03571 565662</x:v>
      </x:c>
      <x:c r="L63" s="136" t="str">
        <x:v>Verificar</x:v>
      </x:c>
      <x:c r="M63" s="136" t="str">
        <x:v>responsable de acopio / mantenimiento</x:v>
      </x:c>
      <x:c r="N63" s="136" t="str">
        <x:v>Movimientos especiales de mantenimiento, repuestos pesados y mudanzas internas de equipos.</x:v>
      </x:c>
      <x:c r="O63" s="136" t="str">
        <x:v>Movimiento de equipos de planta, silos, balanzas, repuestos y cargas especiales para acopios/agroindustria.</x:v>
      </x:c>
      <x:c r="P63" s="136" t="str">
        <x:v>Visitar si queda en ruta del parque.</x:v>
      </x:c>
      <x:c r="Q63" s="136" t="str">
        <x:v>Visita o llamada de validación; pedir próximo traslado concreto.</x:v>
      </x:c>
      <x:c r="R63" s="136"/>
      <x:c r="S63" s="158" t="str">
        <x:f>IFERROR(T(INDEX('Prospectos Resumen'!$K$9:$K$295,MATCH(A63,'Prospectos Resumen'!$A$9:$A$295,0))),"")</x:f>
      </x:c>
      <x:c r="T63" s="136"/>
      <x:c r="U63" s="136"/>
      <x:c r="V63" s="136"/>
      <x:c r="W63" s="136"/>
      <x:c r="X63" s="136" t="str">
        <x:v>tel:+543571565662</x:v>
      </x:c>
      <x:c r="Y63" s="136" t="str">
        <x:v>tel:+543571565662</x:v>
      </x:c>
      <x:c r="Z63" s="136" t="str">
        <x:v>Validar contacto decisor y necesidad inmediata.</x:v>
      </x:c>
      <x:c r="AA63" s="136" t="str">
        <x:v>https://www.google.com/maps/search/?api=1&amp;query=-32.175431,-64.127787</x:v>
      </x:c>
      <x:c r="AB63" s="136" t="str">
        <x:v>Parque Industrial Río Tercero</x:v>
      </x:c>
      <x:c r="AC63" s="136"/>
      <x:c r="AD63" s="136" t="str">
        <x:v>Registro curado en documento de dirección PRESOL 2026-09.</x:v>
      </x:c>
      <x:c r="AE63" s="136" t="str">
        <x:v>Media</x:v>
      </x:c>
      <x:c r="AF63" s="136" t="str">
        <x:v>Base curada PDF dirección</x:v>
      </x:c>
      <x:c r="AG63" s="136" t="str">
        <x:v>plataforma 20 tn para maquinaria/piezas | hidrogrúa para maniobras | percha para pallets | percha para pallets de insumos | hidrogrúa para equipos/mantenimiento | barquilla para trabajos en altura</x:v>
      </x:c>
      <x:c r="AH63" s="136" t="str">
        <x:v>otro rubro factible</x:v>
      </x:c>
      <x:c r="AI63" s="136" t="str">
        <x:v>Sí</x:v>
      </x:c>
      <x:c r="AJ63" s="136" t="str">
        <x:v>Baja / visitar solo por cercanía</x:v>
      </x:c>
      <x:c r="AK63" s="136"/>
      <x:c r="AL63" s="136" t="str">
        <x:v>GPT adjunto + Hermes</x:v>
      </x:c>
      <x:c r="AM63" s="136" t="str">
        <x:v>Fusionado con base Hermes para completar teléfonos/fuentes/servicios. | ID fuente: RT-047</x:v>
      </x:c>
    </x:row>
    <x:row r="64" ht="48">
      <x:c r="A64" s="135" t="str">
        <x:v>RT-051</x:v>
      </x:c>
      <x:c r="B64" s="135" t="str">
        <x:v>Pendiente</x:v>
      </x:c>
      <x:c r="C64" s="135" t="str">
        <x:v>Base Río Tercero</x:v>
      </x:c>
      <x:c r="D64" s="135" t="str">
        <x:v>Parque Industrial Leonardo Da Vinci</x:v>
      </x:c>
      <x:c r="E64" s="135" t="str">
        <x:v>Río Tercero</x:v>
      </x:c>
      <x:c r="F64" s="135" t="str">
        <x:v>C</x:v>
      </x:c>
      <x:c r="G64" s="135" t="n">
        <x:v>30</x:v>
      </x:c>
      <x:c r="H64" s="135" t="str">
        <x:v>Transporte Sosa</x:v>
      </x:c>
      <x:c r="I64" s="135" t="str">
        <x:v>Fabricación y reparación de cajas volcadoras</x:v>
      </x:c>
      <x:c r="J64" s="135" t="str">
        <x:v>Metalúrgica y fabricación</x:v>
      </x:c>
      <x:c r="K64" s="135" t="str">
        <x:v>A relevar vía parque</x:v>
      </x:c>
      <x:c r="L64" s="135" t="str">
        <x:v>A relevar</x:v>
      </x:c>
      <x:c r="M64" s="135" t="str">
        <x:v>dueño / taller</x:v>
      </x:c>
      <x:c r="N64" s="135" t="str">
        <x:v>Movimientos especiales de mantenimiento, repuestos pesados y mudanzas internas de equipos.</x:v>
      </x:c>
      <x:c r="O64" s="135" t="str">
        <x:v>Traslados especiales de mantenimiento, equipos y repuestos con seguro/GPS.</x:v>
      </x:c>
      <x:c r="P64" s="135" t="str">
        <x:v>Contacto útil para validar/tercerizar caja volcadora o entender oferta local de volcadoras.</x:v>
      </x:c>
      <x:c r="Q64" s="135" t="str">
        <x:v>Validar teléfono/contacto; si responde, pedir un caso concreto de traslado o próximo movimiento.</x:v>
      </x:c>
      <x:c r="R64" s="135"/>
      <x:c r="S64" s="158" t="str">
        <x:f>IFERROR(T(INDEX('Prospectos Resumen'!$K$9:$K$295,MATCH(A64,'Prospectos Resumen'!$A$9:$A$295,0))),"")</x:f>
      </x:c>
      <x:c r="T64" s="135"/>
      <x:c r="U64" s="135"/>
      <x:c r="V64" s="135"/>
      <x:c r="W64" s="135"/>
      <x:c r="X64" s="135"/>
      <x:c r="Y64" s="135"/>
      <x:c r="Z64" s="135" t="str">
        <x:v>Confirmar decisor y vigencia del dato antes de incluir en salida prioritaria.</x:v>
      </x:c>
      <x:c r="AA64" s="135" t="str">
        <x:v>https://www.google.com/maps/search/?api=1&amp;query=Transporte+Sosa+R%C3%ADo+Tercero+C%C3%B3rdoba+Argentina</x:v>
      </x:c>
      <x:c r="AB64" s="135" t="str">
        <x:v>Parque Industrial Río Tercero</x:v>
      </x:c>
      <x:c r="AC64" s="135" t="str">
        <x:v>https://parqueindustrial.riotercero.gob.ar/empresas</x:v>
      </x:c>
      <x:c r="AD64" s="135" t="str">
        <x:v>Listado del parque indica fabricación y reparación de cajas volcadoras.</x:v>
      </x:c>
      <x:c r="AE64" s="135" t="str">
        <x:v>Media</x:v>
      </x:c>
      <x:c r="AF64" s="135" t="str">
        <x:v>Nuevo enriquecimiento 2026-09-02</x:v>
      </x:c>
      <x:c r="AG64" s="135" t="str">
        <x:v>plataforma 20 tn para maquinaria/piezas | hidrogrúa para maniobras | percha para pallets</x:v>
      </x:c>
      <x:c r="AH64" s="135" t="str">
        <x:v>otro rubro factible</x:v>
      </x:c>
      <x:c r="AI64" s="135" t="str">
        <x:v>Sí</x:v>
      </x:c>
      <x:c r="AJ64" s="135" t="str">
        <x:v>Baja / visitar solo por cercanía</x:v>
      </x:c>
      <x:c r="AK64" s="135"/>
      <x:c r="AL64" s="135" t="str">
        <x:v>GPT adjunto + Hermes</x:v>
      </x:c>
      <x:c r="AM64" s="135" t="str">
        <x:v>Fusionado con base Hermes para completar teléfonos/fuentes/servicios. | ID fuente: RT-049</x:v>
      </x:c>
    </x:row>
    <x:row r="65" ht="48">
      <x:c r="A65" s="6" t="str">
        <x:v>RT-052</x:v>
      </x:c>
      <x:c r="B65" s="6" t="str">
        <x:v>Pendiente</x:v>
      </x:c>
      <x:c r="C65" s="6" t="str">
        <x:v>Base Río Tercero</x:v>
      </x:c>
      <x:c r="D65" s="6" t="str">
        <x:v>Parque Industrial Leonardo Da Vinci</x:v>
      </x:c>
      <x:c r="E65" s="6" t="str">
        <x:v>Río Tercero</x:v>
      </x:c>
      <x:c r="F65" s="6" t="str">
        <x:v>C</x:v>
      </x:c>
      <x:c r="G65" s="6" t="n">
        <x:v>30</x:v>
      </x:c>
      <x:c r="H65" s="6" t="str">
        <x:v>Volonte Marcelo</x:v>
      </x:c>
      <x:c r="I65" s="6" t="str">
        <x:v>Arenado, pintura industrial y servicio de izaje</x:v>
      </x:c>
      <x:c r="J65" s="6" t="str">
        <x:v>Industria y mantenimiento</x:v>
      </x:c>
      <x:c r="K65" s="6" t="str">
        <x:v>A relevar vía parque</x:v>
      </x:c>
      <x:c r="L65" s="6" t="str">
        <x:v>A relevar</x:v>
      </x:c>
      <x:c r="M65" s="6" t="str">
        <x:v>operaciones / taller</x:v>
      </x:c>
      <x:c r="N65" s="6" t="str">
        <x:v>Movimientos especiales de mantenimiento, repuestos pesados y mudanzas internas de equipos.</x:v>
      </x:c>
      <x:c r="O65" s="6" t="str">
        <x:v>Traslados especiales de mantenimiento, equipos y repuestos con seguro/GPS.</x:v>
      </x:c>
      <x:c r="P65" s="6" t="str">
        <x:v>Más que cliente, posible referencia/alianza/competencia para izajes y maniobras.</x:v>
      </x:c>
      <x:c r="Q65" s="6" t="str">
        <x:v>Validar teléfono/contacto; si responde, pedir un caso concreto de traslado o próximo movimiento.</x:v>
      </x:c>
      <x:c r="R65" s="6"/>
      <x:c r="S65" s="159" t="str">
        <x:f>IFERROR(T(INDEX('Prospectos Resumen'!$K$9:$K$295,MATCH(A65,'Prospectos Resumen'!$A$9:$A$295,0))),"")</x:f>
      </x:c>
      <x:c r="T65" s="6"/>
      <x:c r="U65" s="6"/>
      <x:c r="V65" s="6"/>
      <x:c r="W65" s="6"/>
      <x:c r="X65" s="6"/>
      <x:c r="Y65" s="6"/>
      <x:c r="Z65" s="6" t="str">
        <x:v>Confirmar decisor y vigencia del dato antes de incluir en salida prioritaria.</x:v>
      </x:c>
      <x:c r="AA65" s="6" t="str">
        <x:v>https://www.google.com/maps/search/?api=1&amp;query=Volonte+Marcelo+R%C3%ADo+Tercero+C%C3%B3rdoba+Argentina</x:v>
      </x:c>
      <x:c r="AB65" s="6" t="str">
        <x:v>Parque Industrial Río Tercero</x:v>
      </x:c>
      <x:c r="AC65" s="6" t="str">
        <x:v>https://parqueindustrial.riotercero.gob.ar/empresas</x:v>
      </x:c>
      <x:c r="AD65" s="6" t="str">
        <x:v>Listado del parque: arenado, pintura industrial y servicio de izaje.</x:v>
      </x:c>
      <x:c r="AE65" s="6" t="str">
        <x:v>Media</x:v>
      </x:c>
      <x:c r="AF65" s="6" t="str">
        <x:v>Nuevo enriquecimiento 2026-09-02</x:v>
      </x:c>
      <x:c r="AG65" s="6" t="str">
        <x:v>plataforma 20 tn para maquinaria/piezas | hidrogrúa para maniobras | percha para pallets</x:v>
      </x:c>
      <x:c r="AH65" s="6" t="str">
        <x:v>otro rubro factible</x:v>
      </x:c>
      <x:c r="AI65" s="6" t="str">
        <x:v>Sí</x:v>
      </x:c>
      <x:c r="AJ65" s="6" t="str">
        <x:v>Baja / visitar solo por cercanía</x:v>
      </x:c>
      <x:c r="AK65" s="6"/>
      <x:c r="AL65" s="6" t="str">
        <x:v>GPT adjunto + Hermes</x:v>
      </x:c>
      <x:c r="AM65" s="6" t="str">
        <x:v>Fusionado con base Hermes para completar teléfonos/fuentes/servicios. | ID fuente: RT-050</x:v>
      </x:c>
    </x:row>
    <x:row r="66" ht="60">
      <x:c r="A66" s="135" t="str">
        <x:v>RT-053</x:v>
      </x:c>
      <x:c r="B66" s="135" t="str">
        <x:v>Pendiente</x:v>
      </x:c>
      <x:c r="C66" s="135" t="str">
        <x:v>Base Río Tercero</x:v>
      </x:c>
      <x:c r="D66" s="135" t="str">
        <x:v>Río Tercero</x:v>
      </x:c>
      <x:c r="E66" s="135" t="str">
        <x:v>Río Tercero</x:v>
      </x:c>
      <x:c r="F66" s="135" t="str">
        <x:v>C</x:v>
      </x:c>
      <x:c r="G66" s="135" t="n">
        <x:v>30</x:v>
      </x:c>
      <x:c r="H66" s="135" t="str">
        <x:v>Áridos S.A.</x:v>
      </x:c>
      <x:c r="I66" s="135" t="str">
        <x:v>Áridos / cantera</x:v>
      </x:c>
      <x:c r="J66" s="135" t="str">
        <x:v>Hormigón, áridos y materiales</x:v>
      </x:c>
      <x:c r="K66" s="135" t="str">
        <x:v>A relevar</x:v>
      </x:c>
      <x:c r="L66" s="135" t="str">
        <x:v>A relevar</x:v>
      </x:c>
      <x:c r="M66" s="135" t="str">
        <x:v>planta / mantenimiento</x:v>
      </x:c>
      <x:c r="N66" s="135" t="str">
        <x:v>Movimiento de premoldeados, equipos de planta/cantera, bombas, moldes y cargas pesadas.</x:v>
      </x:c>
      <x:c r="O66" s="135" t="str">
        <x:v>Movimiento de equipos de cantera/planta; transporte de material suelto sujeto a confirmar unidad o esquema operativo.</x:v>
      </x:c>
      <x:c r="P66" s="135" t="str">
        <x:v>Solo vender si se confirma caja volcadora o servicio tercerizable.</x:v>
      </x:c>
      <x:c r="Q66" s="135" t="str">
        <x:v>Visita o llamada de validación; pedir próximo traslado concreto.</x:v>
      </x:c>
      <x:c r="R66" s="135"/>
      <x:c r="S66" s="158" t="str">
        <x:f>IFERROR(T(INDEX('Prospectos Resumen'!$K$9:$K$295,MATCH(A66,'Prospectos Resumen'!$A$9:$A$295,0))),"")</x:f>
      </x:c>
      <x:c r="T66" s="135"/>
      <x:c r="U66" s="135"/>
      <x:c r="V66" s="135"/>
      <x:c r="W66" s="135"/>
      <x:c r="X66" s="135"/>
      <x:c r="Y66" s="135"/>
      <x:c r="Z66" s="135" t="str">
        <x:v>Validar contacto decisor y necesidad inmediata.</x:v>
      </x:c>
      <x:c r="AA66" s="135" t="str">
        <x:v>https://www.google.com/maps/search/?api=1&amp;query=-32.175149,-64.110626</x:v>
      </x:c>
      <x:c r="AB66" s="135" t="str">
        <x:v>EMIS / Instagram @aridos.sa</x:v>
      </x:c>
      <x:c r="AC66" s="135"/>
      <x:c r="AD66" s="135" t="str">
        <x:v>Registro curado en documento de dirección PRESOL 2026-09.</x:v>
      </x:c>
      <x:c r="AE66" s="135" t="str">
        <x:v>Media</x:v>
      </x:c>
      <x:c r="AF66" s="135" t="str">
        <x:v>Base curada PDF dirección</x:v>
      </x:c>
      <x:c r="AG66" s="135" t="str">
        <x:v>transporte de áridos/materiales | hidrogrúa para carga/descarga | percha para pallets/bolsones</x:v>
      </x:c>
      <x:c r="AH66" s="135" t="str">
        <x:v>áridos/construcción/premoldeados</x:v>
      </x:c>
      <x:c r="AI66" s="135" t="str">
        <x:v>Sí</x:v>
      </x:c>
      <x:c r="AJ66" s="135" t="str">
        <x:v>Baja / visitar solo por cercanía</x:v>
      </x:c>
      <x:c r="AK66" s="135" t="str">
        <x:v>Áridos/materiales: confirmar modalidad de carga/descarga y tipo de unidad requerida antes de cotizar.</x:v>
      </x:c>
      <x:c r="AL66" s="135" t="str">
        <x:v>GPT adjunto + Hermes</x:v>
      </x:c>
      <x:c r="AM66" s="135" t="str">
        <x:v>Fusionado con base Hermes para completar teléfonos/fuentes/servicios. | ID fuente: RT-048</x:v>
      </x:c>
    </x:row>
    <x:row r="67" ht="36">
      <x:c r="A67" s="7" t="str">
        <x:v>COR-001</x:v>
      </x:c>
      <x:c r="B67" s="7" t="str">
        <x:v>Pendiente</x:v>
      </x:c>
      <x:c r="C67" s="7" t="str">
        <x:v>Corralito / acceso secundario RN36</x:v>
      </x:c>
      <x:c r="D67" s="7" t="str">
        <x:v>Corralito · S-253 / S-372 hacia Autovía 36</x:v>
      </x:c>
      <x:c r="E67" s="7" t="str">
        <x:v>Corralito</x:v>
      </x:c>
      <x:c r="F67" s="7" t="str">
        <x:v>A</x:v>
      </x:c>
      <x:c r="G67" s="7" t="n">
        <x:v>100</x:v>
      </x:c>
      <x:c r="H67" s="7" t="str">
        <x:v>AGD — Planta de Acopio Corralito</x:v>
      </x:c>
      <x:c r="I67" s="7" t="str">
        <x:v>Acopio agroindustrial</x:v>
      </x:c>
      <x:c r="J67" s="7" t="str">
        <x:v>Agroindustria y alimentos</x:v>
      </x:c>
      <x:c r="K67" s="7" t="str">
        <x:v>03571 492144 / 492172 / 492228</x:v>
      </x:c>
      <x:c r="L67" s="7" t="str">
        <x:v>OK</x:v>
      </x:c>
      <x:c r="M67" s="7" t="str">
        <x:v>responsable de acopio / mantenimiento</x:v>
      </x:c>
      <x:c r="N67" s="7" t="str">
        <x:v>Traslado de equipos de planta, silos, repuestos pesados, balanzas, implementos y cargas especiales.</x:v>
      </x:c>
      <x:c r="O67" s="7" t="str">
        <x:v>Movimiento de equipos de planta, silos, balanzas, repuestos y cargas especiales para acopios/agroindustria.</x:v>
      </x:c>
      <x:c r="P67" s="7" t="str">
        <x:v>Acopio AGD; pedir operaciones/mantenimiento.</x:v>
      </x:c>
      <x:c r="Q67" s="7" t="str">
        <x:v>Visita o llamada de validación; pedir próximo traslado concreto.</x:v>
      </x:c>
      <x:c r="R67" s="7"/>
      <x:c r="S67" s="160" t="str">
        <x:f>IFERROR(T(INDEX('Prospectos Resumen'!$K$9:$K$295,MATCH(A67,'Prospectos Resumen'!$A$9:$A$295,0))),"")</x:f>
      </x:c>
      <x:c r="T67" s="7"/>
      <x:c r="U67" s="7"/>
      <x:c r="V67" s="7"/>
      <x:c r="W67" s="7"/>
      <x:c r="X67" s="7" t="str">
        <x:v>tel:+543571492144</x:v>
      </x:c>
      <x:c r="Y67" s="7" t="str">
        <x:v>tel:+543571492144</x:v>
      </x:c>
      <x:c r="Z67" s="7" t="str">
        <x:v>Validar contacto decisor y necesidad inmediata.</x:v>
      </x:c>
      <x:c r="AA67" s="7" t="str">
        <x:v>https://www.google.com/maps/search/?api=1&amp;query=-32.022500,-64.191000</x:v>
      </x:c>
      <x:c r="AB67" s="7" t="str">
        <x:v>agd.com.ar/es/corralito-acopio</x:v>
      </x:c>
      <x:c r="AC67" s="7"/>
      <x:c r="AD67" s="7" t="str">
        <x:v>Registro curado en documento de dirección PRESOL 2026-09.</x:v>
      </x:c>
      <x:c r="AE67" s="7" t="str">
        <x:v>Alta</x:v>
      </x:c>
      <x:c r="AF67" s="7" t="str">
        <x:v>Base curada PDF dirección</x:v>
      </x:c>
      <x:c r="AG67" s="7" t="str">
        <x:v>plataforma 20 tn para maquinaria/piezas | hidrogrúa para maniobras | percha para pallets | percha para pallets de insumos | hidrogrúa para equipos/mantenimiento | barquilla para trabajos en altura</x:v>
      </x:c>
      <x:c r="AH67" s="7" t="str">
        <x:v>cooperativa/acopio</x:v>
      </x:c>
      <x:c r="AI67" s="7"/>
      <x:c r="AJ67" s="7" t="str">
        <x:v>Muy alta</x:v>
      </x:c>
      <x:c r="AK67" s="7" t="str">
        <x:v>Barquilla: validar seguridad, seguro, permiso de trabajo y alcance de maniobra antes de cotizar. Percha pallets: útil para insumos, bolsones, repuestos y materiales palletizados.</x:v>
      </x:c>
      <x:c r="AL67" s="7" t="str">
        <x:v>GPT adjunto + Hermes</x:v>
      </x:c>
      <x:c r="AM67" s="7" t="str">
        <x:v>Fusionado con base Hermes para completar teléfonos/fuentes/servicios.</x:v>
      </x:c>
    </x:row>
    <x:row r="68" ht="48">
      <x:c r="A68" s="135" t="str">
        <x:v>COR-002</x:v>
      </x:c>
      <x:c r="B68" s="135" t="str">
        <x:v>Pendiente</x:v>
      </x:c>
      <x:c r="C68" s="135" t="str">
        <x:v>Corralito / acceso secundario RN36</x:v>
      </x:c>
      <x:c r="D68" s="135" t="str">
        <x:v>Corralito · S-253 / S-372 hacia Autovía 36</x:v>
      </x:c>
      <x:c r="E68" s="135" t="str">
        <x:v>Corralito</x:v>
      </x:c>
      <x:c r="F68" s="135" t="str">
        <x:v>B</x:v>
      </x:c>
      <x:c r="G68" s="135" t="n">
        <x:v>75</x:v>
      </x:c>
      <x:c r="H68" s="135" t="str">
        <x:v>Trisoil S.A.</x:v>
      </x:c>
      <x:c r="I68" s="135" t="str">
        <x:v>Alimentos balanceados / aceite</x:v>
      </x:c>
      <x:c r="J68" s="135" t="str">
        <x:v>Agroindustria y alimentos</x:v>
      </x:c>
      <x:c r="K68" s="135" t="str">
        <x:v>03571 502525 / 502526</x:v>
      </x:c>
      <x:c r="L68" s="135" t="str">
        <x:v>OK</x:v>
      </x:c>
      <x:c r="M68" s="135" t="str">
        <x:v>mantenimiento / compras</x:v>
      </x:c>
      <x:c r="N68" s="135" t="str">
        <x:v>Traslado de equipos de planta, silos, repuestos pesados, balanzas, implementos y cargas especiales.</x:v>
      </x:c>
      <x:c r="O68" s="135" t="str">
        <x:v>Traslados especiales de mantenimiento, repuestos pesados, mudanzas internas y cargas con seguro/GPS.</x:v>
      </x:c>
      <x:c r="P68" s="135" t="str">
        <x:v>Ofrecer fletes de repuestos/equipos y cargas especiales.</x:v>
      </x:c>
      <x:c r="Q68" s="135" t="str">
        <x:v>Visita o llamada de validación; pedir próximo traslado concreto.</x:v>
      </x:c>
      <x:c r="R68" s="135"/>
      <x:c r="S68" s="158" t="str">
        <x:f>IFERROR(T(INDEX('Prospectos Resumen'!$K$9:$K$295,MATCH(A68,'Prospectos Resumen'!$A$9:$A$295,0))),"")</x:f>
      </x:c>
      <x:c r="T68" s="135"/>
      <x:c r="U68" s="135"/>
      <x:c r="V68" s="135"/>
      <x:c r="W68" s="135"/>
      <x:c r="X68" s="135" t="str">
        <x:v>tel:+543571502525</x:v>
      </x:c>
      <x:c r="Y68" s="135" t="str">
        <x:v>tel:+543571502525</x:v>
      </x:c>
      <x:c r="Z68" s="135" t="str">
        <x:v>Validar contacto decisor y necesidad inmediata.</x:v>
      </x:c>
      <x:c r="AA68" s="135" t="str">
        <x:v>https://www.google.com/maps/search/?api=1&amp;query=-32.030000,-64.183000</x:v>
      </x:c>
      <x:c r="AB68" s="135" t="str">
        <x:v>trisoil.com.ar</x:v>
      </x:c>
      <x:c r="AC68" s="135"/>
      <x:c r="AD68" s="135" t="str">
        <x:v>Registro curado en documento de dirección PRESOL 2026-09.</x:v>
      </x:c>
      <x:c r="AE68" s="135" t="str">
        <x:v>Alta</x:v>
      </x:c>
      <x:c r="AF68" s="135" t="str">
        <x:v>Base curada PDF dirección</x:v>
      </x:c>
      <x:c r="AG68" s="135" t="str">
        <x:v>plataforma 20 tn para maquinaria/piezas | hidrogrúa para maniobras | percha para pallets | percha para pallets de insumos | hidrogrúa para equipos/mantenimiento | barquilla para trabajos en altura</x:v>
      </x:c>
      <x:c r="AH68" s="135" t="str">
        <x:v>planta agroindustrial</x:v>
      </x:c>
      <x:c r="AI68" s="135"/>
      <x:c r="AJ68" s="135" t="str">
        <x:v>Alta</x:v>
      </x:c>
      <x:c r="AK68" s="135" t="str">
        <x:v>Percha pallets: útil para insumos, bolsones, repuestos y materiales palletizados.</x:v>
      </x:c>
      <x:c r="AL68" s="135" t="str">
        <x:v>GPT adjunto + Hermes</x:v>
      </x:c>
      <x:c r="AM68" s="135" t="str">
        <x:v>Fusionado con base Hermes para completar teléfonos/fuentes/servicios.</x:v>
      </x:c>
    </x:row>
    <x:row r="69" ht="24">
      <x:c r="A69" s="6" t="str">
        <x:v>TAN-001</x:v>
      </x:c>
      <x:c r="B69" s="6" t="str">
        <x:v>Pendiente</x:v>
      </x:c>
      <x:c r="C69" s="6" t="str">
        <x:v>Corralito / acceso secundario RN36</x:v>
      </x:c>
      <x:c r="D69" s="6" t="str">
        <x:v>Tancacha / RP6 - satélite agroindustrial</x:v>
      </x:c>
      <x:c r="E69" s="6" t="str">
        <x:v>Tancacha</x:v>
      </x:c>
      <x:c r="F69" s="6" t="str">
        <x:v>A</x:v>
      </x:c>
      <x:c r="G69" s="6" t="n">
        <x:v>100</x:v>
      </x:c>
      <x:c r="H69" s="6" t="str">
        <x:v>A&amp;F / BRUNI Implementos Agrícolas</x:v>
      </x:c>
      <x:c r="I69" s="6" t="str">
        <x:v>Repuestos e implementos agrícolas</x:v>
      </x:c>
      <x:c r="J69" s="6" t="str">
        <x:v>Maquinaria agrícola</x:v>
      </x:c>
      <x:c r="K69" s="6" t="str">
        <x:v>+54 3571 576545 / +54 9 3571 314413</x:v>
      </x:c>
      <x:c r="L69" s="6" t="str">
        <x:v>OK</x:v>
      </x:c>
      <x:c r="M69" s="6" t="str">
        <x:v>logística / despacho / postventa</x:v>
      </x:c>
      <x:c r="N69" s="6" t="str">
        <x:v>Traslado de maquinaria, implementos, equipos terminados y componentes de gran porte entre planta, cliente, obra o feria.</x:v>
      </x:c>
      <x:c r="O69" s="6" t="str">
        <x:v>Plataforma 20 tn + malacate/hidrogrúa según maniobra + seguro de carga + trazabilidad GPS.</x:v>
      </x:c>
      <x:c r="P69" s="6" t="str">
        <x:v>Fabricante local con 50 años de experiencia en repuestos e implementos agrícolas.</x:v>
      </x:c>
      <x:c r="Q69" s="6" t="str">
        <x:v>Llamada prioritaria; pedir próximo traslado concreto y, si hay encaje, coordinar visita.</x:v>
      </x:c>
      <x:c r="R69" s="6"/>
      <x:c r="S69" s="159" t="str">
        <x:f>IFERROR(T(INDEX('Prospectos Resumen'!$K$9:$K$295,MATCH(A69,'Prospectos Resumen'!$A$9:$A$295,0))),"")</x:f>
      </x:c>
      <x:c r="T69" s="6"/>
      <x:c r="U69" s="6"/>
      <x:c r="V69" s="6"/>
      <x:c r="W69" s="6"/>
      <x:c r="X69" s="6" t="str">
        <x:v>tel:+543571576545</x:v>
      </x:c>
      <x:c r="Y69" s="6" t="str">
        <x:v>tel:+543571576545 | tel:+5493571314413</x:v>
      </x:c>
      <x:c r="Z69" s="6" t="str">
        <x:v>Confirmar decisor, frecuencia de movimientos y vigencia del contacto antes de cotizar.</x:v>
      </x:c>
      <x:c r="AA69" s="6" t="str">
        <x:v>https://www.google.com/maps/search/?api=1&amp;query=A%26F+Implementos+Agr%C3%ADcolas+Tancacha+C%C3%B3rdoba+Argentina</x:v>
      </x:c>
      <x:c r="AB69" s="6" t="str">
        <x:v>Web propia A&amp;F | Google Maps / ficha pública</x:v>
      </x:c>
      <x:c r="AC69" s="6" t="str">
        <x:v>https://implementosayf.com.ar/ | https://www.google.com/maps/search/?api=1&amp;query=BRUNI+implementos+Agricolas+Tancacha+C%C3%B3rdoba+Argentina</x:v>
      </x:c>
      <x:c r="AD69" s="6" t="str">
        <x:v>Fabricante local con 50 años de experiencia en repuestos e implementos agrícolas. | Fabricante/proveedor local de implementos agrícolas con teléfono público. | Sitio propio: Tucumán 745, Tancacha; +54 3571 57 6545; fabricación de implementos agrícolas y repuestos.</x:v>
      </x:c>
      <x:c r="AE69" s="6" t="str">
        <x:v>Alta</x:v>
      </x:c>
      <x:c r="AF69" s="6" t="str">
        <x:v>Enriquecimiento web 2026-09-07</x:v>
      </x:c>
      <x:c r="AG69" s="6" t="str">
        <x:v>transporte de áridos/materiales | hidrogrúa para carga/descarga | percha para pallets/bolsones | plataforma 20 tn para maquinaria/piezas | hidrogrúa para maniobras | percha para pallets</x:v>
      </x:c>
      <x:c r="AH69" s="6" t="str">
        <x:v>fabricante/servicio maquinaria agrícola</x:v>
      </x:c>
      <x:c r="AI69" s="6" t="str">
        <x:v>Sí</x:v>
      </x:c>
      <x:c r="AJ69" s="6" t="str">
        <x:v>Muy alta</x:v>
      </x:c>
      <x:c r="AK69" s="6" t="str">
        <x:v>Percha pallets: útil para insumos, bolsones, repuestos y materiales palletizados.</x:v>
      </x:c>
      <x:c r="AL69" s="6" t="str">
        <x:v>GPT adjunto + Hermes</x:v>
      </x:c>
      <x:c r="AM69" s="6" t="str">
        <x:v>Alias GPT fusionado: A&amp;F Implementos Agrícolas + BRUNI Implementos Agrícolas | Fusionado con base Hermes para completar teléfonos/fuentes/servicios.</x:v>
      </x:c>
    </x:row>
    <x:row r="70" ht="48">
      <x:c r="A70" s="135" t="str">
        <x:v>TAN-002</x:v>
      </x:c>
      <x:c r="B70" s="135" t="str">
        <x:v>Pendiente</x:v>
      </x:c>
      <x:c r="C70" s="135" t="str">
        <x:v>Corralito / acceso secundario RN36</x:v>
      </x:c>
      <x:c r="D70" s="135" t="str">
        <x:v>Tancacha / RP6 - satélite agroindustrial</x:v>
      </x:c>
      <x:c r="E70" s="135" t="str">
        <x:v>Tancacha</x:v>
      </x:c>
      <x:c r="F70" s="135" t="str">
        <x:v>A</x:v>
      </x:c>
      <x:c r="G70" s="135" t="n">
        <x:v>85</x:v>
      </x:c>
      <x:c r="H70" s="135" t="str">
        <x:v>DIEZTREINTA S.A.S.</x:v>
      </x:c>
      <x:c r="I70" s="135" t="str">
        <x:v>Construcción de redes / obras</x:v>
      </x:c>
      <x:c r="J70" s="135" t="str">
        <x:v>Construcción y obra vial</x:v>
      </x:c>
      <x:c r="K70" s="135" t="str">
        <x:v>03571 460582 / 03571 15 545575 / 03571 15 514877</x:v>
      </x:c>
      <x:c r="L70" s="135" t="str">
        <x:v>OK</x:v>
      </x:c>
      <x:c r="M70" s="135" t="str">
        <x:v>jefe de obra / operaciones</x:v>
      </x:c>
      <x:c r="N70" s="135" t="str">
        <x:v>Traslado de maquinaria, módulos de obrador, estructuras y equipos entre depósitos y frentes de obra.</x:v>
      </x:c>
      <x:c r="O70" s="135" t="str">
        <x:v>Transporte especial de equipos/obrador + plataforma 20 tn + apoyo de hidrogrúa según maniobra + seguro/GPS.</x:v>
      </x:c>
      <x:c r="P70" s="135" t="str">
        <x:v>Empresa constructora habilitada en Tancacha para obras de redes; teléfonos y domicilio publicados en registro 2026.</x:v>
      </x:c>
      <x:c r="Q70" s="135" t="str">
        <x:v>Llamada prioritaria; pedir próximo traslado concreto y, si hay encaje, coordinar visita.</x:v>
      </x:c>
      <x:c r="R70" s="135"/>
      <x:c r="S70" s="158" t="str">
        <x:f>IFERROR(T(INDEX('Prospectos Resumen'!$K$9:$K$295,MATCH(A70,'Prospectos Resumen'!$A$9:$A$295,0))),"")</x:f>
      </x:c>
      <x:c r="T70" s="135"/>
      <x:c r="U70" s="135"/>
      <x:c r="V70" s="135"/>
      <x:c r="W70" s="135"/>
      <x:c r="X70" s="135" t="str">
        <x:v>tel:+543571460582</x:v>
      </x:c>
      <x:c r="Y70" s="135" t="str">
        <x:v>tel:+543571460582 | tel:+5493571545575 | tel:+5493571514877</x:v>
      </x:c>
      <x:c r="Z70" s="135" t="str">
        <x:v>Confirmar decisor, frecuencia de movimientos y vigencia del contacto antes de cotizar.</x:v>
      </x:c>
      <x:c r="AA70" s="135" t="str">
        <x:v>https://www.google.com/maps/search/?api=1&amp;query=DIEZTREINTA+S.A.S.+Tancacha+C%C3%B3rdoba+Argentina</x:v>
      </x:c>
      <x:c r="AB70" s="135" t="str">
        <x:v>Registro Ecogas 2026</x:v>
      </x:c>
      <x:c r="AC70" s="135" t="str">
        <x:v>https://www.ecogas.com.ar/appweb/leo/ui-empresas-constructoras.php</x:v>
      </x:c>
      <x:c r="AD70" s="135" t="str">
        <x:v>Empresa constructora habilitada en Tancacha para obras de redes; teléfonos y domicilio publicados en registro 2026.</x:v>
      </x:c>
      <x:c r="AE70" s="135" t="str">
        <x:v>Alta</x:v>
      </x:c>
      <x:c r="AF70" s="135" t="str">
        <x:v>Enriquecimiento web 2026-09-07</x:v>
      </x:c>
      <x:c r="AG70" s="135" t="str">
        <x:v>transporte de áridos/materiales | hidrogrúa para carga/descarga | percha para pallets/bolsones | barquilla de hidrogrúa para mantenimiento en altura | hidrogrúa para postes/equipos</x:v>
      </x:c>
      <x:c r="AH70" s="135" t="str">
        <x:v>áridos/construcción/premoldeados | mantenimiento en altura/redes</x:v>
      </x:c>
      <x:c r="AI70" s="135" t="str">
        <x:v>Sí</x:v>
      </x:c>
      <x:c r="AJ70" s="135" t="str">
        <x:v>Muy alta</x:v>
      </x:c>
      <x:c r="AK70" s="135" t="str">
        <x:v>Barquilla: validar seguridad, seguro, permiso de trabajo y alcance de maniobra antes de cotizar.</x:v>
      </x:c>
      <x:c r="AL70" s="135" t="str">
        <x:v>GPT adjunto</x:v>
      </x:c>
      <x:c r="AM70" s="135" t="str">
        <x:v>ID fuente: TAN-003</x:v>
      </x:c>
    </x:row>
    <x:row r="71" ht="24">
      <x:c r="A71" s="136" t="str">
        <x:v>TAN-003</x:v>
      </x:c>
      <x:c r="B71" s="136" t="str">
        <x:v>Pendiente</x:v>
      </x:c>
      <x:c r="C71" s="136" t="str">
        <x:v>Corralito / acceso secundario RN36</x:v>
      </x:c>
      <x:c r="D71" s="136" t="str">
        <x:v>Tancacha / RP6 - satélite agroindustrial</x:v>
      </x:c>
      <x:c r="E71" s="136" t="str">
        <x:v>Tancacha</x:v>
      </x:c>
      <x:c r="F71" s="136" t="str">
        <x:v>A</x:v>
      </x:c>
      <x:c r="G71" s="136" t="n">
        <x:v>85</x:v>
      </x:c>
      <x:c r="H71" s="136" t="str">
        <x:v>El Álamo S.R.L. - Tancacha</x:v>
      </x:c>
      <x:c r="I71" s="136" t="str">
        <x:v>Acopio, fertilizantes, semillas y combustibles</x:v>
      </x:c>
      <x:c r="J71" s="136" t="str">
        <x:v>Agro, acopio y cooperativas</x:v>
      </x:c>
      <x:c r="K71" s="136" t="str">
        <x:v>03571 460730</x:v>
      </x:c>
      <x:c r="L71" s="136" t="str">
        <x:v>OK</x:v>
      </x:c>
      <x:c r="M71" s="136" t="str">
        <x:v>responsable de acopio / mantenimiento</x:v>
      </x:c>
      <x:c r="N71" s="136" t="str">
        <x:v>Traslado de equipos de planta, silos, repuestos pesados, balanzas, implementos y cargas especiales.</x:v>
      </x:c>
      <x:c r="O71" s="136" t="str">
        <x:v>Movimiento de equipos de planta, silos, balanzas, repuestos e implementos con plataforma e hidrogrúa según necesidad.</x:v>
      </x:c>
      <x:c r="P71" s="136" t="str">
        <x:v>Sucursal Tancacha en intersección RP E79 y RP6; opera acopio, fertilizantes e insumos.</x:v>
      </x:c>
      <x:c r="Q71" s="136" t="str">
        <x:v>Llamada prioritaria; pedir próximo traslado concreto y, si hay encaje, coordinar visita.</x:v>
      </x:c>
      <x:c r="R71" s="136"/>
      <x:c r="S71" s="158" t="str">
        <x:f>IFERROR(T(INDEX('Prospectos Resumen'!$K$9:$K$295,MATCH(A71,'Prospectos Resumen'!$A$9:$A$295,0))),"")</x:f>
      </x:c>
      <x:c r="T71" s="136"/>
      <x:c r="U71" s="136"/>
      <x:c r="V71" s="136"/>
      <x:c r="W71" s="136"/>
      <x:c r="X71" s="136" t="str">
        <x:v>tel:+543571460730</x:v>
      </x:c>
      <x:c r="Y71" s="136" t="str">
        <x:v>tel:+543571460730</x:v>
      </x:c>
      <x:c r="Z71" s="136" t="str">
        <x:v>Confirmar decisor, frecuencia de movimientos y vigencia del contacto antes de cotizar.</x:v>
      </x:c>
      <x:c r="AA71" s="136" t="str">
        <x:v>https://www.google.com/maps/search/?api=1&amp;query=El+%C3%81lamo+S.R.L.+-+Tancacha+Tancacha+C%C3%B3rdoba+Argentina</x:v>
      </x:c>
      <x:c r="AB71" s="136" t="str">
        <x:v>Web propia El Álamo</x:v>
      </x:c>
      <x:c r="AC71" s="136" t="str">
        <x:v>https://www.elalamosrl.com.ar/</x:v>
      </x:c>
      <x:c r="AD71" s="136" t="str">
        <x:v>Sucursal Tancacha en intersección RP E79 y RP6; opera acopio, fertilizantes e insumos.</x:v>
      </x:c>
      <x:c r="AE71" s="136" t="str">
        <x:v>Alta</x:v>
      </x:c>
      <x:c r="AF71" s="136" t="str">
        <x:v>Enriquecimiento web 2026-09-07</x:v>
      </x:c>
      <x:c r="AG71" s="136" t="str">
        <x:v>plataforma 20 tn para maquinaria/piezas | hidrogrúa para maniobras | percha para pallets | percha para pallets de insumos | hidrogrúa para equipos/mantenimiento | barquilla para trabajos en altura</x:v>
      </x:c>
      <x:c r="AH71" s="136" t="str">
        <x:v>cooperativa/acopio | planta agroindustrial</x:v>
      </x:c>
      <x:c r="AI71" s="136" t="str">
        <x:v>Sí</x:v>
      </x:c>
      <x:c r="AJ71" s="136" t="str">
        <x:v>Muy alta</x:v>
      </x:c>
      <x:c r="AK71" s="136" t="str">
        <x:v>Barquilla: validar seguridad, seguro, permiso de trabajo y alcance de maniobra antes de cotizar. Percha pallets: útil para insumos, bolsones, repuestos y materiales palletizados.</x:v>
      </x:c>
      <x:c r="AL71" s="136" t="str">
        <x:v>GPT adjunto</x:v>
      </x:c>
      <x:c r="AM71" s="136" t="str">
        <x:v>ID fuente: TAN-004</x:v>
      </x:c>
    </x:row>
    <x:row r="72" ht="36">
      <x:c r="A72" s="135" t="str">
        <x:v>TAN-004</x:v>
      </x:c>
      <x:c r="B72" s="135" t="str">
        <x:v>Pendiente</x:v>
      </x:c>
      <x:c r="C72" s="135" t="str">
        <x:v>Corralito / acceso secundario RN36</x:v>
      </x:c>
      <x:c r="D72" s="135" t="str">
        <x:v>Tancacha / RP6 - satélite agroindustrial</x:v>
      </x:c>
      <x:c r="E72" s="135" t="str">
        <x:v>Tancacha</x:v>
      </x:c>
      <x:c r="F72" s="135" t="str">
        <x:v>A</x:v>
      </x:c>
      <x:c r="G72" s="135" t="n">
        <x:v>85</x:v>
      </x:c>
      <x:c r="H72" s="135" t="str">
        <x:v>Metalúrgica Gentilini</x:v>
      </x:c>
      <x:c r="I72" s="135" t="str">
        <x:v>Piezas y conjuntos metálicos de precisión</x:v>
      </x:c>
      <x:c r="J72" s="135" t="str">
        <x:v>Metalúrgica y fabricación</x:v>
      </x:c>
      <x:c r="K72" s="135" t="str">
        <x:v>03571 550083</x:v>
      </x:c>
      <x:c r="L72" s="135" t="str">
        <x:v>OK</x:v>
      </x:c>
      <x:c r="M72" s="135" t="str">
        <x:v>despacho / producción</x:v>
      </x:c>
      <x:c r="N72" s="135" t="str">
        <x:v>Despacho de estructuras, piezas, equipos y conjuntos metalmecánicos de gran porte hacia obras o clientes.</x:v>
      </x:c>
      <x:c r="O72" s="135" t="str">
        <x:v>Plataforma 20 tn para piezas/estructuras + seguro de carga + trazabilidad GPS + apoyo de hidrogrúa según maniobra.</x:v>
      </x:c>
      <x:c r="P72" s="135" t="str">
        <x:v>Metalúrgica radicada en Tancacha, fabrica piezas y conjuntos metálicos para empresas regionales y nacionales.</x:v>
      </x:c>
      <x:c r="Q72" s="135" t="str">
        <x:v>Llamada prioritaria; pedir próximo traslado concreto y, si hay encaje, coordinar visita.</x:v>
      </x:c>
      <x:c r="R72" s="135"/>
      <x:c r="S72" s="158" t="str">
        <x:f>IFERROR(T(INDEX('Prospectos Resumen'!$K$9:$K$295,MATCH(A72,'Prospectos Resumen'!$A$9:$A$295,0))),"")</x:f>
      </x:c>
      <x:c r="T72" s="135"/>
      <x:c r="U72" s="135"/>
      <x:c r="V72" s="135"/>
      <x:c r="W72" s="135"/>
      <x:c r="X72" s="135" t="str">
        <x:v>tel:+543571550083</x:v>
      </x:c>
      <x:c r="Y72" s="135" t="str">
        <x:v>tel:+543571550083</x:v>
      </x:c>
      <x:c r="Z72" s="135" t="str">
        <x:v>Confirmar decisor, frecuencia de movimientos y vigencia del contacto antes de cotizar.</x:v>
      </x:c>
      <x:c r="AA72" s="135" t="str">
        <x:v>https://www.google.com/maps/search/?api=1&amp;query=Metal%C3%BArgica+Gentilini+Tancacha+C%C3%B3rdoba+Argentina</x:v>
      </x:c>
      <x:c r="AB72" s="135" t="str">
        <x:v>Web propia Metalúrgica Gentilini</x:v>
      </x:c>
      <x:c r="AC72" s="135" t="str">
        <x:v>https://metalurgicagentilini.com.ar/</x:v>
      </x:c>
      <x:c r="AD72" s="135" t="str">
        <x:v>Metalúrgica radicada en Tancacha, fabrica piezas y conjuntos metálicos para empresas regionales y nacionales.</x:v>
      </x:c>
      <x:c r="AE72" s="135" t="str">
        <x:v>Alta</x:v>
      </x:c>
      <x:c r="AF72" s="135" t="str">
        <x:v>Enriquecimiento web 2026-09-07</x:v>
      </x:c>
      <x:c r="AG72" s="135" t="str">
        <x:v>transporte de áridos/materiales | hidrogrúa para carga/descarga | percha para pallets/bolsones | plataforma 20 tn para maquinaria/piezas | hidrogrúa para maniobras | percha para pallets</x:v>
      </x:c>
      <x:c r="AH72" s="135" t="str">
        <x:v>otro rubro factible</x:v>
      </x:c>
      <x:c r="AI72" s="135" t="str">
        <x:v>Sí</x:v>
      </x:c>
      <x:c r="AJ72" s="135" t="str">
        <x:v>Muy alta</x:v>
      </x:c>
      <x:c r="AK72" s="135"/>
      <x:c r="AL72" s="135" t="str">
        <x:v>GPT adjunto</x:v>
      </x:c>
      <x:c r="AM72" s="135" t="str">
        <x:v>ID fuente: TAN-005</x:v>
      </x:c>
    </x:row>
    <x:row r="73" ht="48">
      <x:c r="A73" s="136" t="str">
        <x:v>TAN-005</x:v>
      </x:c>
      <x:c r="B73" s="136" t="str">
        <x:v>Pendiente</x:v>
      </x:c>
      <x:c r="C73" s="136" t="str">
        <x:v>Corralito / acceso secundario RN36</x:v>
      </x:c>
      <x:c r="D73" s="136" t="str">
        <x:v>Tancacha / RP6 - satélite agroindustrial</x:v>
      </x:c>
      <x:c r="E73" s="136" t="str">
        <x:v>Tancacha</x:v>
      </x:c>
      <x:c r="F73" s="136" t="str">
        <x:v>B</x:v>
      </x:c>
      <x:c r="G73" s="136" t="n">
        <x:v>81</x:v>
      </x:c>
      <x:c r="H73" s="136" t="str">
        <x:v>IMEGEN</x:v>
      </x:c>
      <x:c r="I73" s="136" t="str">
        <x:v>Metalurgia / servicios industriales</x:v>
      </x:c>
      <x:c r="J73" s="136" t="str">
        <x:v>Metalúrgica y fabricación</x:v>
      </x:c>
      <x:c r="K73" s="136" t="str">
        <x:v>03571 460242 / +54 3571 460242</x:v>
      </x:c>
      <x:c r="L73" s="136" t="str">
        <x:v>OK</x:v>
      </x:c>
      <x:c r="M73" s="136" t="str">
        <x:v>despacho / producción</x:v>
      </x:c>
      <x:c r="N73" s="136" t="str">
        <x:v>Despacho de estructuras, piezas, equipos y conjuntos metalmecánicos de gran porte hacia obras o clientes.</x:v>
      </x:c>
      <x:c r="O73" s="136" t="str">
        <x:v>Plataforma 20 tn para piezas/estructuras + seguro de carga + trazabilidad GPS + apoyo de hidrogrúa según maniobra.</x:v>
      </x:c>
      <x:c r="P73" s="136" t="str">
        <x:v>Taller metalúrgico sobre RP6 con teléfono público.</x:v>
      </x:c>
      <x:c r="Q73" s="136" t="str">
        <x:v>Llamar para validar necesidad y frecuencia; visitar si confirma movimientos de equipos/cargas.</x:v>
      </x:c>
      <x:c r="R73" s="136"/>
      <x:c r="S73" s="158" t="str">
        <x:f>IFERROR(T(INDEX('Prospectos Resumen'!$K$9:$K$295,MATCH(A73,'Prospectos Resumen'!$A$9:$A$295,0))),"")</x:f>
      </x:c>
      <x:c r="T73" s="136"/>
      <x:c r="U73" s="136"/>
      <x:c r="V73" s="136"/>
      <x:c r="W73" s="136"/>
      <x:c r="X73" s="136" t="str">
        <x:v>tel:+543571460242</x:v>
      </x:c>
      <x:c r="Y73" s="136" t="str">
        <x:v>tel:+543571460242</x:v>
      </x:c>
      <x:c r="Z73" s="136" t="str">
        <x:v>Confirmar decisor, frecuencia de movimientos y vigencia del contacto antes de cotizar.</x:v>
      </x:c>
      <x:c r="AA73" s="136" t="str">
        <x:v>https://www.google.com/maps/search/?api=1&amp;query=IMEGEN+Tancacha+C%C3%B3rdoba+Argentina</x:v>
      </x:c>
      <x:c r="AB73" s="136" t="str">
        <x:v>Google Maps / ficha pública | Maquinac</x:v>
      </x:c>
      <x:c r="AC73" s="136" t="str">
        <x:v>https://www.google.com/maps/search/?api=1&amp;query=IMEGEN+Tancacha+C%C3%B3rdoba+Argentina | https://maquinac.com/empresas/imegen</x:v>
      </x:c>
      <x:c r="AD73" s="136" t="str">
        <x:v>Taller metalúrgico sobre RP6 con teléfono público. | Maquinac: Ruta Prov. 6 Km 27, Tancacha; +54 3571 460242; equipos industriales.</x:v>
      </x:c>
      <x:c r="AE73" s="136" t="str">
        <x:v>Alta</x:v>
      </x:c>
      <x:c r="AF73" s="136" t="str">
        <x:v>Enriquecimiento web 2026-09-07</x:v>
      </x:c>
      <x:c r="AG73" s="136" t="str">
        <x:v>transporte de áridos/materiales | hidrogrúa para carga/descarga | percha para pallets/bolsones | plataforma 20 tn para maquinaria/piezas | hidrogrúa para maniobras | percha para pallets</x:v>
      </x:c>
      <x:c r="AH73" s="136" t="str">
        <x:v>otro rubro factible</x:v>
      </x:c>
      <x:c r="AI73" s="136" t="str">
        <x:v>Sí</x:v>
      </x:c>
      <x:c r="AJ73" s="136" t="str">
        <x:v>Alta</x:v>
      </x:c>
      <x:c r="AK73" s="136"/>
      <x:c r="AL73" s="136" t="str">
        <x:v>GPT adjunto + Hermes</x:v>
      </x:c>
      <x:c r="AM73" s="136" t="str">
        <x:v>Fusionado con base Hermes para completar teléfonos/fuentes/servicios. | ID fuente: TAN-007</x:v>
      </x:c>
    </x:row>
    <x:row r="74" ht="24">
      <x:c r="A74" s="135" t="str">
        <x:v>TAN-006</x:v>
      </x:c>
      <x:c r="B74" s="135" t="str">
        <x:v>Pendiente</x:v>
      </x:c>
      <x:c r="C74" s="135" t="str">
        <x:v>Corralito / acceso secundario RN36</x:v>
      </x:c>
      <x:c r="D74" s="135" t="str">
        <x:v>Tancacha / RP6 - satélite agroindustrial</x:v>
      </x:c>
      <x:c r="E74" s="135" t="str">
        <x:v>Tancacha</x:v>
      </x:c>
      <x:c r="F74" s="135" t="str">
        <x:v>B</x:v>
      </x:c>
      <x:c r="G74" s="135" t="n">
        <x:v>75</x:v>
      </x:c>
      <x:c r="H74" s="135" t="str">
        <x:v>Alimentos Tancacha</x:v>
      </x:c>
      <x:c r="I74" s="135" t="str">
        <x:v>Alimentos balanceados / planta industrial</x:v>
      </x:c>
      <x:c r="J74" s="135" t="str">
        <x:v>Agroindustria y alimentos</x:v>
      </x:c>
      <x:c r="K74" s="135" t="str">
        <x:v>+54 3571 50-2272</x:v>
      </x:c>
      <x:c r="L74" s="135" t="str">
        <x:v>OK</x:v>
      </x:c>
      <x:c r="M74" s="135" t="str">
        <x:v>mantenimiento / logística</x:v>
      </x:c>
      <x:c r="N74" s="135" t="str">
        <x:v>Traslado de equipos de planta, silos, repuestos pesados, balanzas, implementos y cargas especiales.</x:v>
      </x:c>
      <x:c r="O74" s="135" t="str">
        <x:v>Transporte de repuestos/equipos/silos/implementos + coordinación de retiro y descarga.</x:v>
      </x:c>
      <x:c r="P74" s="135" t="str">
        <x:v>Planta industrial en Tancacha; potencial de repuestos/equipos y movimientos especiales.</x:v>
      </x:c>
      <x:c r="Q74" s="135" t="str">
        <x:v>Validar teléfono/contacto; si responde, pedir un caso concreto de traslado o próximo movimiento.</x:v>
      </x:c>
      <x:c r="R74" s="135"/>
      <x:c r="S74" s="158" t="str">
        <x:f>IFERROR(T(INDEX('Prospectos Resumen'!$K$9:$K$295,MATCH(A74,'Prospectos Resumen'!$A$9:$A$295,0))),"")</x:f>
      </x:c>
      <x:c r="T74" s="135"/>
      <x:c r="U74" s="135"/>
      <x:c r="V74" s="135"/>
      <x:c r="W74" s="135"/>
      <x:c r="X74" s="135" t="str">
        <x:v>tel:+543571502272</x:v>
      </x:c>
      <x:c r="Y74" s="135" t="str">
        <x:v>tel:+543571502272</x:v>
      </x:c>
      <x:c r="Z74" s="135" t="str">
        <x:v>Confirmar decisor y vigencia del dato antes de incluir en salida prioritaria.</x:v>
      </x:c>
      <x:c r="AA74" s="135" t="str">
        <x:v>https://www.google.com/maps/search/?api=1&amp;query=Alimentos+Tancacha+Tancacha+C%C3%B3rdoba+Argentina</x:v>
      </x:c>
      <x:c r="AB74" s="135" t="str">
        <x:v>Web propia Alimentos Tancacha</x:v>
      </x:c>
      <x:c r="AC74" s="135" t="str">
        <x:v>http://www.alimentostancacha.com/contacto</x:v>
      </x:c>
      <x:c r="AD74" s="135" t="str">
        <x:v>Sitio propio publica teléfono, mail y dirección de planta industrial en Tancacha. | Sitio propio: planta industrial 9 de Julio 1490, Tancacha; teléfono +54 3571 50-2272; alimentos/expeller/aceite/premezclas.</x:v>
      </x:c>
      <x:c r="AE74" s="135" t="str">
        <x:v>Alta</x:v>
      </x:c>
      <x:c r="AF74" s="135" t="str">
        <x:v>Nuevo enriquecimiento 2026-09-02</x:v>
      </x:c>
      <x:c r="AG74" s="135" t="str">
        <x:v>plataforma 20 tn para maquinaria/piezas | hidrogrúa para maniobras | percha para pallets | percha para pallets de insumos | hidrogrúa para equipos/mantenimiento | barquilla para trabajos en altura</x:v>
      </x:c>
      <x:c r="AH74" s="135" t="str">
        <x:v>planta agroindustrial</x:v>
      </x:c>
      <x:c r="AI74" s="135" t="str">
        <x:v>Sí</x:v>
      </x:c>
      <x:c r="AJ74" s="135" t="str">
        <x:v>Alta</x:v>
      </x:c>
      <x:c r="AK74" s="135" t="str">
        <x:v>Barquilla: validar seguridad, seguro, permiso de trabajo y alcance de maniobra antes de cotizar. Percha pallets: útil para insumos, bolsones, repuestos y materiales palletizados.</x:v>
      </x:c>
      <x:c r="AL74" s="135" t="str">
        <x:v>GPT adjunto + Hermes</x:v>
      </x:c>
      <x:c r="AM74" s="135" t="str">
        <x:v>Fusionado con base Hermes para completar teléfonos/fuentes/servicios.</x:v>
      </x:c>
    </x:row>
    <x:row r="75" ht="36">
      <x:c r="A75" s="136" t="str">
        <x:v>TAN-007</x:v>
      </x:c>
      <x:c r="B75" s="136" t="str">
        <x:v>Pendiente</x:v>
      </x:c>
      <x:c r="C75" s="136" t="str">
        <x:v>Corralito / acceso secundario RN36</x:v>
      </x:c>
      <x:c r="D75" s="136" t="str">
        <x:v>Tancacha / RP6 - satélite agroindustrial</x:v>
      </x:c>
      <x:c r="E75" s="136" t="str">
        <x:v>Tancacha</x:v>
      </x:c>
      <x:c r="F75" s="136" t="str">
        <x:v>B</x:v>
      </x:c>
      <x:c r="G75" s="136" t="n">
        <x:v>60</x:v>
      </x:c>
      <x:c r="H75" s="136" t="str">
        <x:v>Agroinsumos Tancacha SRL</x:v>
      </x:c>
      <x:c r="I75" s="136" t="str">
        <x:v>Agroquímicos e insumos agrícolas</x:v>
      </x:c>
      <x:c r="J75" s="136" t="str">
        <x:v>Agro, acopio y cooperativas</x:v>
      </x:c>
      <x:c r="K75" s="136" t="str">
        <x:v>03571 461128</x:v>
      </x:c>
      <x:c r="L75" s="136" t="str">
        <x:v>OK</x:v>
      </x:c>
      <x:c r="M75" s="136" t="str">
        <x:v>responsable de acopio / mantenimiento</x:v>
      </x:c>
      <x:c r="N75" s="136" t="str">
        <x:v>Traslado de equipos de planta, silos, repuestos pesados, balanzas, implementos y cargas especiales.</x:v>
      </x:c>
      <x:c r="O75" s="136" t="str">
        <x:v>Movimiento de equipos de planta, silos, balanzas, repuestos e implementos con plataforma e hidrogrúa según necesidad.</x:v>
      </x:c>
      <x:c r="P75" s="136" t="str">
        <x:v>Proveedor agropecuario local; fit para movimientos de equipos y cargas especiales de planta.</x:v>
      </x:c>
      <x:c r="Q75" s="136" t="str">
        <x:v>Llamar para validar necesidad y frecuencia; visitar si confirma movimientos de equipos/cargas.</x:v>
      </x:c>
      <x:c r="R75" s="136"/>
      <x:c r="S75" s="158" t="str">
        <x:f>IFERROR(T(INDEX('Prospectos Resumen'!$K$9:$K$295,MATCH(A75,'Prospectos Resumen'!$A$9:$A$295,0))),"")</x:f>
      </x:c>
      <x:c r="T75" s="136"/>
      <x:c r="U75" s="136"/>
      <x:c r="V75" s="136"/>
      <x:c r="W75" s="136"/>
      <x:c r="X75" s="136" t="str">
        <x:v>tel:+543571461128</x:v>
      </x:c>
      <x:c r="Y75" s="136" t="str">
        <x:v>tel:+543571461128</x:v>
      </x:c>
      <x:c r="Z75" s="136" t="str">
        <x:v>Confirmar decisor, frecuencia de movimientos y vigencia del contacto antes de cotizar.</x:v>
      </x:c>
      <x:c r="AA75" s="136" t="str">
        <x:v>https://www.google.com/maps/search/?api=1&amp;query=Agroinsumos+Tancacha+SRL+Tancacha+C%C3%B3rdoba+Argentina</x:v>
      </x:c>
      <x:c r="AB75" s="136" t="str">
        <x:v>Google Maps / ficha pública</x:v>
      </x:c>
      <x:c r="AC75" s="136" t="str">
        <x:v>https://www.google.com/maps/search/?api=1&amp;query=Agroinsumos+Tancacha+SRL+Tancacha+C%C3%B3rdoba+Argentina</x:v>
      </x:c>
      <x:c r="AD75" s="136" t="str">
        <x:v>Proveedor agropecuario local; fit para movimientos de equipos y cargas especiales de planta.</x:v>
      </x:c>
      <x:c r="AE75" s="136" t="str">
        <x:v>Alta</x:v>
      </x:c>
      <x:c r="AF75" s="136" t="str">
        <x:v>Enriquecimiento web 2026-09-07</x:v>
      </x:c>
      <x:c r="AG75" s="136" t="str">
        <x:v>plataforma 20 tn para maquinaria/piezas | hidrogrúa para maniobras | percha para pallets | percha para pallets de insumos | hidrogrúa para equipos/mantenimiento | barquilla para trabajos en altura</x:v>
      </x:c>
      <x:c r="AH75" s="136" t="str">
        <x:v>otro rubro factible</x:v>
      </x:c>
      <x:c r="AI75" s="136" t="str">
        <x:v>Sí</x:v>
      </x:c>
      <x:c r="AJ75" s="136" t="str">
        <x:v>Alta</x:v>
      </x:c>
      <x:c r="AK75" s="136" t="str">
        <x:v>Percha pallets: útil para insumos, bolsones, repuestos y materiales palletizados.</x:v>
      </x:c>
      <x:c r="AL75" s="136" t="str">
        <x:v>GPT adjunto</x:v>
      </x:c>
      <x:c r="AM75" s="136" t="str">
        <x:v>ID fuente: TAN-008</x:v>
      </x:c>
    </x:row>
    <x:row r="76" ht="60">
      <x:c r="A76" s="8" t="str">
        <x:v>TAN-008</x:v>
      </x:c>
      <x:c r="B76" s="8" t="str">
        <x:v>Pendiente</x:v>
      </x:c>
      <x:c r="C76" s="8" t="str">
        <x:v>Corralito / acceso secundario RN36</x:v>
      </x:c>
      <x:c r="D76" s="8" t="str">
        <x:v>Tancacha / RP6 - satélite agroindustrial</x:v>
      </x:c>
      <x:c r="E76" s="8" t="str">
        <x:v>Tancacha</x:v>
      </x:c>
      <x:c r="F76" s="8" t="str">
        <x:v>B</x:v>
      </x:c>
      <x:c r="G76" s="8" t="n">
        <x:v>60</x:v>
      </x:c>
      <x:c r="H76" s="8" t="str">
        <x:v>RG Rodolfo Grosso</x:v>
      </x:c>
      <x:c r="I76" s="8" t="str">
        <x:v>Agroindustria / maquinaria o insumos</x:v>
      </x:c>
      <x:c r="J76" s="8" t="str">
        <x:v>Agroindustria y alimentos</x:v>
      </x:c>
      <x:c r="K76" s="8" t="str">
        <x:v>3571 521091</x:v>
      </x:c>
      <x:c r="L76" s="8" t="str">
        <x:v>Verificar</x:v>
      </x:c>
      <x:c r="M76" s="8" t="str">
        <x:v>dueño / operaciones</x:v>
      </x:c>
      <x:c r="N76" s="8" t="str">
        <x:v>Traslado de equipos de planta, silos, repuestos pesados, balanzas, implementos y cargas especiales.</x:v>
      </x:c>
      <x:c r="O76" s="8" t="str">
        <x:v>Transporte de repuestos/equipos/silos/implementos + coordinación de retiro y descarga.</x:v>
      </x:c>
      <x:c r="P76" s="8" t="str">
        <x:v>Empresa agroindustrial local; validar movimientos de equipos, repuestos o implementos.</x:v>
      </x:c>
      <x:c r="Q76" s="8" t="str">
        <x:v>Validar teléfono/contacto; si responde, pedir un caso concreto de traslado o próximo movimiento.</x:v>
      </x:c>
      <x:c r="R76" s="8"/>
      <x:c r="S76" s="160" t="str">
        <x:f>IFERROR(T(INDEX('Prospectos Resumen'!$K$9:$K$295,MATCH(A76,'Prospectos Resumen'!$A$9:$A$295,0))),"")</x:f>
      </x:c>
      <x:c r="T76" s="8"/>
      <x:c r="U76" s="8"/>
      <x:c r="V76" s="8"/>
      <x:c r="W76" s="8"/>
      <x:c r="X76" s="8" t="str">
        <x:v>tel:+543571521091</x:v>
      </x:c>
      <x:c r="Y76" s="8" t="str">
        <x:v>tel:+543571521091</x:v>
      </x:c>
      <x:c r="Z76" s="8" t="str">
        <x:v>Confirmar decisor y vigencia del dato antes de incluir en salida prioritaria.</x:v>
      </x:c>
      <x:c r="AA76" s="8" t="str">
        <x:v>https://www.google.com/maps/search/?api=1&amp;query=RG+Rodolfo+Grosso+Tancacha+C%C3%B3rdoba+Argentina</x:v>
      </x:c>
      <x:c r="AB76" s="8" t="str">
        <x:v>Facebook público / resultado de búsqueda</x:v>
      </x:c>
      <x:c r="AC76" s="8" t="str">
        <x:v>https://www.facebook.com/rgrodolfogrosso?locale=es_LA</x:v>
      </x:c>
      <x:c r="AD76" s="8" t="str">
        <x:v>Resultado público indica ubicación Tancacha y WhatsApp 3571521091; verificar vigencia.</x:v>
      </x:c>
      <x:c r="AE76" s="8" t="str">
        <x:v>Media</x:v>
      </x:c>
      <x:c r="AF76" s="8" t="str">
        <x:v>Nuevo enriquecimiento 2026-09-02</x:v>
      </x:c>
      <x:c r="AG76" s="8" t="str">
        <x:v>plataforma 20 tn para maquinaria/piezas | hidrogrúa para maniobras | percha para pallets | percha para pallets de insumos | hidrogrúa para equipos/mantenimiento | barquilla para trabajos en altura</x:v>
      </x:c>
      <x:c r="AH76" s="8" t="str">
        <x:v>otro rubro factible</x:v>
      </x:c>
      <x:c r="AI76" s="8" t="str">
        <x:v>Sí</x:v>
      </x:c>
      <x:c r="AJ76" s="8" t="str">
        <x:v>Media</x:v>
      </x:c>
      <x:c r="AK76" s="8" t="str">
        <x:v>Percha pallets: útil para insumos, bolsones, repuestos y materiales palletizados.</x:v>
      </x:c>
      <x:c r="AL76" s="8" t="str">
        <x:v>GPT adjunto + Hermes</x:v>
      </x:c>
      <x:c r="AM76" s="8" t="str">
        <x:v>Fusionado con base Hermes para completar teléfonos/fuentes/servicios. | ID fuente: TAN-009</x:v>
      </x:c>
    </x:row>
    <x:row r="77" ht="48">
      <x:c r="A77" s="7" t="str">
        <x:v>TAN-009</x:v>
      </x:c>
      <x:c r="B77" s="7" t="str">
        <x:v>Pendiente</x:v>
      </x:c>
      <x:c r="C77" s="7" t="str">
        <x:v>Corralito / acceso secundario RN36</x:v>
      </x:c>
      <x:c r="D77" s="7" t="str">
        <x:v>Tancacha / RP6 - satélite agroindustrial</x:v>
      </x:c>
      <x:c r="E77" s="7" t="str">
        <x:v>Tancacha</x:v>
      </x:c>
      <x:c r="F77" s="7" t="str">
        <x:v>B</x:v>
      </x:c>
      <x:c r="G77" s="7" t="n">
        <x:v>50</x:v>
      </x:c>
      <x:c r="H77" s="7" t="str">
        <x:v>ACOGRA</x:v>
      </x:c>
      <x:c r="I77" s="7" t="str">
        <x:v>Fertilizantes líquidos / agroindustria</x:v>
      </x:c>
      <x:c r="J77" s="7" t="str">
        <x:v>Agroindustria y alimentos</x:v>
      </x:c>
      <x:c r="K77" s="7" t="str">
        <x:v>A relevar</x:v>
      </x:c>
      <x:c r="L77" s="7" t="str">
        <x:v>A relevar</x:v>
      </x:c>
      <x:c r="M77" s="7" t="str">
        <x:v>planta / logística</x:v>
      </x:c>
      <x:c r="N77" s="7" t="str">
        <x:v>Traslado de equipos de planta, silos, repuestos pesados, balanzas, implementos y cargas especiales.</x:v>
      </x:c>
      <x:c r="O77" s="7" t="str">
        <x:v>Transporte de repuestos/equipos/silos/implementos + coordinación de retiro y descarga.</x:v>
      </x:c>
      <x:c r="P77" s="7" t="str">
        <x:v>Producción de fertilizantes líquidos; validar movimientos de insumos, tanques, equipos y mantenimiento.</x:v>
      </x:c>
      <x:c r="Q77" s="7" t="str">
        <x:v>Validar teléfono/contacto; si responde, pedir un caso concreto de traslado o próximo movimiento.</x:v>
      </x:c>
      <x:c r="R77" s="7"/>
      <x:c r="S77" s="160" t="str">
        <x:f>IFERROR(T(INDEX('Prospectos Resumen'!$K$9:$K$295,MATCH(A77,'Prospectos Resumen'!$A$9:$A$295,0))),"")</x:f>
      </x:c>
      <x:c r="T77" s="7"/>
      <x:c r="U77" s="7"/>
      <x:c r="V77" s="7"/>
      <x:c r="W77" s="7"/>
      <x:c r="X77" s="7"/>
      <x:c r="Y77" s="7"/>
      <x:c r="Z77" s="7" t="str">
        <x:v>Confirmar decisor y vigencia del dato antes de incluir en salida prioritaria.</x:v>
      </x:c>
      <x:c r="AA77" s="7" t="str">
        <x:v>https://www.google.com/maps/search/?api=1&amp;query=ACOGRA+Tancacha+C%C3%B3rdoba+Argentina</x:v>
      </x:c>
      <x:c r="AB77" s="7" t="str">
        <x:v>Instagram público / resultado de búsqueda</x:v>
      </x:c>
      <x:c r="AC77" s="7" t="str">
        <x:v>https://www.instagram.com/reel/DQet3NikYDU?hl=en</x:v>
      </x:c>
      <x:c r="AD77" s="7" t="str">
        <x:v>Resultado público menciona empresa de Tancacha que produce fertilizantes líquidos y exporta.</x:v>
      </x:c>
      <x:c r="AE77" s="7" t="str">
        <x:v>Media</x:v>
      </x:c>
      <x:c r="AF77" s="7" t="str">
        <x:v>Nuevo enriquecimiento 2026-09-02</x:v>
      </x:c>
      <x:c r="AG77" s="7" t="str">
        <x:v>plataforma 20 tn para maquinaria/piezas | hidrogrúa para maniobras | percha para pallets | percha para pallets de insumos | hidrogrúa para equipos/mantenimiento | barquilla para trabajos en altura</x:v>
      </x:c>
      <x:c r="AH77" s="7" t="str">
        <x:v>planta agroindustrial</x:v>
      </x:c>
      <x:c r="AI77" s="7" t="str">
        <x:v>Sí</x:v>
      </x:c>
      <x:c r="AJ77" s="7" t="str">
        <x:v>Media</x:v>
      </x:c>
      <x:c r="AK77" s="7" t="str">
        <x:v>Percha pallets: útil para insumos, bolsones, repuestos y materiales palletizados.</x:v>
      </x:c>
      <x:c r="AL77" s="7" t="str">
        <x:v>GPT adjunto + Hermes</x:v>
      </x:c>
      <x:c r="AM77" s="7" t="str">
        <x:v>Fusionado con base Hermes para completar teléfonos/fuentes/servicios. | ID fuente: TAN-010</x:v>
      </x:c>
    </x:row>
    <x:row r="78" ht="36">
      <x:c r="A78" s="135" t="str">
        <x:v>TAN-010</x:v>
      </x:c>
      <x:c r="B78" s="135" t="str">
        <x:v>Pendiente</x:v>
      </x:c>
      <x:c r="C78" s="135" t="str">
        <x:v>Corralito / acceso secundario RN36</x:v>
      </x:c>
      <x:c r="D78" s="135" t="str">
        <x:v>Tancacha / RP6 - satélite agroindustrial</x:v>
      </x:c>
      <x:c r="E78" s="135" t="str">
        <x:v>Tancacha</x:v>
      </x:c>
      <x:c r="F78" s="135" t="str">
        <x:v>B</x:v>
      </x:c>
      <x:c r="G78" s="135" t="n">
        <x:v>50</x:v>
      </x:c>
      <x:c r="H78" s="135" t="str">
        <x:v>Agricultores Unidos de Tancacha Coop. Agrícola Ltda.</x:v>
      </x:c>
      <x:c r="I78" s="135" t="str">
        <x:v>Cooperativa agropecuaria / insumos</x:v>
      </x:c>
      <x:c r="J78" s="135" t="str">
        <x:v>Agro, acopio y cooperativas</x:v>
      </x:c>
      <x:c r="K78" s="135" t="str">
        <x:v>03571 460109 / 03571 460298 / 03571 460112</x:v>
      </x:c>
      <x:c r="L78" s="135" t="str">
        <x:v>OK</x:v>
      </x:c>
      <x:c r="M78" s="135" t="str">
        <x:v>compra de insumos / acopio</x:v>
      </x:c>
      <x:c r="N78" s="135" t="str">
        <x:v>Traslado de equipos de planta, silos, repuestos pesados, balanzas, implementos y cargas especiales.</x:v>
      </x:c>
      <x:c r="O78" s="135" t="str">
        <x:v>Transporte de repuestos/equipos/silos/implementos + coordinación de retiro y descarga.</x:v>
      </x:c>
      <x:c r="P78" s="135" t="str">
        <x:v>Cooperativa local: posible entrada por insumos, acopio y mantenimiento.</x:v>
      </x:c>
      <x:c r="Q78" s="135" t="str">
        <x:v>Validar teléfono/contacto; si responde, pedir un caso concreto de traslado o próximo movimiento.</x:v>
      </x:c>
      <x:c r="R78" s="135"/>
      <x:c r="S78" s="158" t="str">
        <x:f>IFERROR(T(INDEX('Prospectos Resumen'!$K$9:$K$295,MATCH(A78,'Prospectos Resumen'!$A$9:$A$295,0))),"")</x:f>
      </x:c>
      <x:c r="T78" s="135"/>
      <x:c r="U78" s="135"/>
      <x:c r="V78" s="135"/>
      <x:c r="W78" s="135"/>
      <x:c r="X78" s="135" t="str">
        <x:v>tel:+543571460109</x:v>
      </x:c>
      <x:c r="Y78" s="135" t="str">
        <x:v>tel:+543571460109 | tel:+543571460298 | tel:+543571460112</x:v>
      </x:c>
      <x:c r="Z78" s="135" t="str">
        <x:v>Confirmar decisor y vigencia del dato antes de incluir en salida prioritaria.</x:v>
      </x:c>
      <x:c r="AA78" s="135" t="str">
        <x:v>https://www.google.com/maps/search/?api=1&amp;query=Agricultores+Unidos+de+Tancacha+Coop.+Agr%C3%ADcola+Ltda.+Tancacha+C%C3%B3rdoba+Argentina</x:v>
      </x:c>
      <x:c r="AB78" s="135" t="str">
        <x:v>LinkedIn público / búsqueda | Web propia Agricultores Unidos de Tancacha</x:v>
      </x:c>
      <x:c r="AC78" s="135" t="str">
        <x:v>https://www.linkedin.com/in/maximiliano-mat%C3%A9lica-9b7885125 | https://agricultoresunidos.com.ar/contacto</x:v>
      </x:c>
      <x:c r="AD78" s="135" t="str">
        <x:v>Perfil público referencia a encargado de compra de insumos agrícolas en la cooperativa. | Sitio propio: administración 03571 460109; planta central 03571 460298; planta Ex-Junta 03571 460112; acopio, agroinsumos, corralón y flota propia.</x:v>
      </x:c>
      <x:c r="AE78" s="135" t="str">
        <x:v>Media</x:v>
      </x:c>
      <x:c r="AF78" s="135" t="str">
        <x:v>Nuevo enriquecimiento 2026-09-02</x:v>
      </x:c>
      <x:c r="AG78" s="135" t="str">
        <x:v>plataforma 20 tn para maquinaria/piezas | hidrogrúa para maniobras | percha para pallets | percha para pallets de insumos | hidrogrúa para equipos/mantenimiento | barquilla para trabajos en altura</x:v>
      </x:c>
      <x:c r="AH78" s="135" t="str">
        <x:v>cooperativa/acopio</x:v>
      </x:c>
      <x:c r="AI78" s="135" t="str">
        <x:v>Sí</x:v>
      </x:c>
      <x:c r="AJ78" s="135" t="str">
        <x:v>Media</x:v>
      </x:c>
      <x:c r="AK78" s="135" t="str">
        <x:v>Barquilla: validar seguridad, seguro, permiso de trabajo y alcance de maniobra antes de cotizar. Percha pallets: útil para insumos, bolsones, repuestos y materiales palletizados.</x:v>
      </x:c>
      <x:c r="AL78" s="135" t="str">
        <x:v>GPT adjunto + Hermes</x:v>
      </x:c>
      <x:c r="AM78" s="135" t="str">
        <x:v>Fusionado con base Hermes para completar teléfonos/fuentes/servicios. | ID fuente: TAN-011</x:v>
      </x:c>
    </x:row>
    <x:row r="79" ht="36">
      <x:c r="A79" s="6" t="str">
        <x:v>TAN-011</x:v>
      </x:c>
      <x:c r="B79" s="6" t="str">
        <x:v>Pendiente</x:v>
      </x:c>
      <x:c r="C79" s="6" t="str">
        <x:v>Corralito / acceso secundario RN36</x:v>
      </x:c>
      <x:c r="D79" s="6" t="str">
        <x:v>Tancacha / RP6 - satélite agroindustrial</x:v>
      </x:c>
      <x:c r="E79" s="6" t="str">
        <x:v>Tancacha</x:v>
      </x:c>
      <x:c r="F79" s="6" t="str">
        <x:v>C</x:v>
      </x:c>
      <x:c r="G79" s="6" t="n">
        <x:v>40</x:v>
      </x:c>
      <x:c r="H79" s="6" t="str">
        <x:v>La Lomita de Oro</x:v>
      </x:c>
      <x:c r="I79" s="6" t="str">
        <x:v>Materiales para la construcción</x:v>
      </x:c>
      <x:c r="J79" s="6" t="str">
        <x:v>Construcción y obra vial</x:v>
      </x:c>
      <x:c r="K79" s="6" t="str">
        <x:v>+54 9 3571 558020</x:v>
      </x:c>
      <x:c r="L79" s="6" t="str">
        <x:v>OK</x:v>
      </x:c>
      <x:c r="M79" s="6" t="str">
        <x:v>jefe de obra / operaciones</x:v>
      </x:c>
      <x:c r="N79" s="6" t="str">
        <x:v>Traslado de maquinaria, módulos de obrador, estructuras y equipos entre depósitos y frentes de obra.</x:v>
      </x:c>
      <x:c r="O79" s="6" t="str">
        <x:v>Transporte especial de equipos/obrador + plataforma 20 tn + apoyo de hidrogrúa según maniobra + seguro/GPS.</x:v>
      </x:c>
      <x:c r="P79" s="6" t="str">
        <x:v>Comercio de materiales de construcción; fit secundario para entregas especiales o equipos.</x:v>
      </x:c>
      <x:c r="Q79" s="6" t="str">
        <x:v>Llamar para validar necesidad y frecuencia; visitar si confirma movimientos de equipos/cargas.</x:v>
      </x:c>
      <x:c r="R79" s="6"/>
      <x:c r="S79" s="159" t="str">
        <x:f>IFERROR(T(INDEX('Prospectos Resumen'!$K$9:$K$295,MATCH(A79,'Prospectos Resumen'!$A$9:$A$295,0))),"")</x:f>
      </x:c>
      <x:c r="T79" s="6"/>
      <x:c r="U79" s="6"/>
      <x:c r="V79" s="6"/>
      <x:c r="W79" s="6"/>
      <x:c r="X79" s="6" t="str">
        <x:v>tel:+5493571558020</x:v>
      </x:c>
      <x:c r="Y79" s="6" t="str">
        <x:v>tel:+5493571558020</x:v>
      </x:c>
      <x:c r="Z79" s="6" t="str">
        <x:v>Confirmar decisor, frecuencia de movimientos y vigencia del contacto antes de cotizar.</x:v>
      </x:c>
      <x:c r="AA79" s="6" t="str">
        <x:v>https://www.google.com/maps/search/?api=1&amp;query=La+Lomita+de+Oro+Tancacha+C%C3%B3rdoba+Argentina</x:v>
      </x:c>
      <x:c r="AB79" s="6" t="str">
        <x:v>Google Maps / ficha pública</x:v>
      </x:c>
      <x:c r="AC79" s="6" t="str">
        <x:v>https://www.google.com/maps/search/?api=1&amp;query=La+Lomita+de+Oro+Tancacha+C%C3%B3rdoba+Argentina</x:v>
      </x:c>
      <x:c r="AD79" s="6" t="str">
        <x:v>Comercio de materiales de construcción; fit secundario para entregas especiales o equipos.</x:v>
      </x:c>
      <x:c r="AE79" s="6" t="str">
        <x:v>Alta</x:v>
      </x:c>
      <x:c r="AF79" s="6" t="str">
        <x:v>Enriquecimiento web 2026-09-07</x:v>
      </x:c>
      <x:c r="AG79" s="6" t="str">
        <x:v>transporte de áridos/materiales | hidrogrúa para carga/descarga | percha para pallets/bolsones</x:v>
      </x:c>
      <x:c r="AH79" s="6" t="str">
        <x:v>áridos/construcción/premoldeados</x:v>
      </x:c>
      <x:c r="AI79" s="6" t="str">
        <x:v>Sí</x:v>
      </x:c>
      <x:c r="AJ79" s="6" t="str">
        <x:v>Baja / visitar solo por cercanía</x:v>
      </x:c>
      <x:c r="AK79" s="6" t="str">
        <x:v>Áridos/materiales: confirmar modalidad de carga/descarga y tipo de unidad requerida antes de cotizar.</x:v>
      </x:c>
      <x:c r="AL79" s="6" t="str">
        <x:v>GPT adjunto</x:v>
      </x:c>
      <x:c r="AM79" s="6" t="str">
        <x:v>ID fuente: TAN-012</x:v>
      </x:c>
    </x:row>
    <x:row r="80" ht="36">
      <x:c r="A80" s="135" t="str">
        <x:v>TAN-012</x:v>
      </x:c>
      <x:c r="B80" s="135" t="str">
        <x:v>Pendiente</x:v>
      </x:c>
      <x:c r="C80" s="135" t="str">
        <x:v>Corralito / acceso secundario RN36</x:v>
      </x:c>
      <x:c r="D80" s="135" t="str">
        <x:v>Tancacha / RP6 - satélite agroindustrial</x:v>
      </x:c>
      <x:c r="E80" s="135" t="str">
        <x:v>Tancacha</x:v>
      </x:c>
      <x:c r="F80" s="135" t="str">
        <x:v>C</x:v>
      </x:c>
      <x:c r="G80" s="135" t="n">
        <x:v>40</x:v>
      </x:c>
      <x:c r="H80" s="135" t="str">
        <x:v>Repuestos Actis</x:v>
      </x:c>
      <x:c r="I80" s="135" t="str">
        <x:v>Repuestos usados de cosechadoras</x:v>
      </x:c>
      <x:c r="J80" s="135" t="str">
        <x:v>Maquinaria agrícola</x:v>
      </x:c>
      <x:c r="K80" s="135" t="str">
        <x:v>03571 537360</x:v>
      </x:c>
      <x:c r="L80" s="135" t="str">
        <x:v>OK</x:v>
      </x:c>
      <x:c r="M80" s="135" t="str">
        <x:v>logística / entregas / postventa</x:v>
      </x:c>
      <x:c r="N80" s="135" t="str">
        <x:v>Traslado de maquinaria agrícola o vial entre sucursal, cliente, taller, campo y eventos.</x:v>
      </x:c>
      <x:c r="O80" s="135" t="str">
        <x:v>Traslado de maquinaria en plataforma 20 tn, coordinación de retiro/entrega y apoyo de hidrogrúa si corresponde.</x:v>
      </x:c>
      <x:c r="P80" s="135" t="str">
        <x:v>Proveedor rural de repuestos de cosechadoras; validar si mueve componentes de gran porte.</x:v>
      </x:c>
      <x:c r="Q80" s="135" t="str">
        <x:v>Llamar para validar necesidad y frecuencia; visitar si confirma movimientos de equipos/cargas.</x:v>
      </x:c>
      <x:c r="R80" s="135"/>
      <x:c r="S80" s="158" t="str">
        <x:f>IFERROR(T(INDEX('Prospectos Resumen'!$K$9:$K$295,MATCH(A80,'Prospectos Resumen'!$A$9:$A$295,0))),"")</x:f>
      </x:c>
      <x:c r="T80" s="135"/>
      <x:c r="U80" s="135"/>
      <x:c r="V80" s="135"/>
      <x:c r="W80" s="135"/>
      <x:c r="X80" s="135" t="str">
        <x:v>tel:+543571537360</x:v>
      </x:c>
      <x:c r="Y80" s="135" t="str">
        <x:v>tel:+543571537360</x:v>
      </x:c>
      <x:c r="Z80" s="135" t="str">
        <x:v>Confirmar decisor, frecuencia de movimientos y vigencia del contacto antes de cotizar.</x:v>
      </x:c>
      <x:c r="AA80" s="135" t="str">
        <x:v>https://www.google.com/maps/search/?api=1&amp;query=Repuestos+Actis+Tancacha+C%C3%B3rdoba+Argentina</x:v>
      </x:c>
      <x:c r="AB80" s="135" t="str">
        <x:v>Google Maps / ficha pública</x:v>
      </x:c>
      <x:c r="AC80" s="135" t="str">
        <x:v>https://www.google.com/maps/search/?api=1&amp;query=Repuestos+usados+de+cosechadoras+Actis+Tancacha+C%C3%B3rdoba+Argentina</x:v>
      </x:c>
      <x:c r="AD80" s="135" t="str">
        <x:v>Proveedor rural de repuestos de cosechadoras; validar si mueve componentes de gran porte.</x:v>
      </x:c>
      <x:c r="AE80" s="135" t="str">
        <x:v>Alta</x:v>
      </x:c>
      <x:c r="AF80" s="135" t="str">
        <x:v>Enriquecimiento web 2026-09-07</x:v>
      </x:c>
      <x:c r="AG80" s="135" t="str">
        <x:v>plataforma 20 tn para maquinaria/piezas | hidrogrúa para maniobras | percha para pallets</x:v>
      </x:c>
      <x:c r="AH80" s="135" t="str">
        <x:v>fabricante/servicio maquinaria agrícola</x:v>
      </x:c>
      <x:c r="AI80" s="135" t="str">
        <x:v>Sí</x:v>
      </x:c>
      <x:c r="AJ80" s="135" t="str">
        <x:v>Baja / visitar solo por cercanía</x:v>
      </x:c>
      <x:c r="AK80" s="135" t="str">
        <x:v>Percha pallets: útil para insumos, bolsones, repuestos y materiales palletizados.</x:v>
      </x:c>
      <x:c r="AL80" s="135" t="str">
        <x:v>GPT adjunto</x:v>
      </x:c>
      <x:c r="AM80" s="135" t="str">
        <x:v>ID fuente: TAN-013</x:v>
      </x:c>
    </x:row>
    <x:row r="81" ht="36">
      <x:c r="A81" s="7" t="str">
        <x:v>AG-001</x:v>
      </x:c>
      <x:c r="B81" s="7" t="str">
        <x:v>Pendiente</x:v>
      </x:c>
      <x:c r="C81" s="7" t="str">
        <x:v>Córdoba / RN36 norte</x:v>
      </x:c>
      <x:c r="D81" s="7" t="str">
        <x:v>Alta Gracia</x:v>
      </x:c>
      <x:c r="E81" s="7" t="str">
        <x:v>Alta Gracia</x:v>
      </x:c>
      <x:c r="F81" s="7" t="str">
        <x:v>A</x:v>
      </x:c>
      <x:c r="G81" s="7" t="n">
        <x:v>100</x:v>
      </x:c>
      <x:c r="H81" s="7" t="str">
        <x:v>AG Viviendas Industrializadas</x:v>
      </x:c>
      <x:c r="I81" s="7" t="str">
        <x:v>Módulos / viviendas industrializadas</x:v>
      </x:c>
      <x:c r="J81" s="7" t="str">
        <x:v>Módulos y contenedores</x:v>
      </x:c>
      <x:c r="K81" s="7" t="str">
        <x:v>3547 672399 / 3547 420854</x:v>
      </x:c>
      <x:c r="L81" s="7" t="str">
        <x:v>OK</x:v>
      </x:c>
      <x:c r="M81" s="7" t="str">
        <x:v>operaciones / entregas</x:v>
      </x:c>
      <x:c r="N81" s="7" t="str">
        <x:v>Entrega, descarga y posicionamiento de módulos/containers en obra o cliente final.</x:v>
      </x:c>
      <x:c r="O81" s="7" t="str">
        <x:v>Entrega y descarga de módulos/containers con plataforma, malacate e hidrogrúa según maniobra.</x:v>
      </x:c>
      <x:c r="P81" s="7" t="str">
        <x:v>Cada venta necesita logística: proponer proveedor regional.</x:v>
      </x:c>
      <x:c r="Q81" s="7" t="str">
        <x:v>Visita o llamada de validación; pedir próximo traslado concreto.</x:v>
      </x:c>
      <x:c r="R81" s="7"/>
      <x:c r="S81" s="160" t="str">
        <x:f>IFERROR(T(INDEX('Prospectos Resumen'!$K$9:$K$295,MATCH(A81,'Prospectos Resumen'!$A$9:$A$295,0))),"")</x:f>
      </x:c>
      <x:c r="T81" s="7"/>
      <x:c r="U81" s="7"/>
      <x:c r="V81" s="7"/>
      <x:c r="W81" s="7"/>
      <x:c r="X81" s="7" t="str">
        <x:v>tel:+543547672399</x:v>
      </x:c>
      <x:c r="Y81" s="7" t="str">
        <x:v>tel:+543547672399 | tel:+543547420854</x:v>
      </x:c>
      <x:c r="Z81" s="7" t="str">
        <x:v>Validar contacto decisor y necesidad inmediata.</x:v>
      </x:c>
      <x:c r="AA81" s="7" t="str">
        <x:v>https://www.google.com/maps/search/?api=1&amp;query=-31.655000,-64.420000</x:v>
      </x:c>
      <x:c r="AB81" s="7" t="str">
        <x:v>Facebook AG Viviendas</x:v>
      </x:c>
      <x:c r="AC81" s="7"/>
      <x:c r="AD81" s="7" t="str">
        <x:v>Registro curado en documento de dirección PRESOL 2026-09.</x:v>
      </x:c>
      <x:c r="AE81" s="7" t="str">
        <x:v>Alta</x:v>
      </x:c>
      <x:c r="AF81" s="7" t="str">
        <x:v>Base curada PDF dirección</x:v>
      </x:c>
      <x:c r="AG81" s="7" t="str">
        <x:v>transporte de áridos/materiales | hidrogrúa para carga/descarga | percha para pallets/bolsones</x:v>
      </x:c>
      <x:c r="AH81" s="7" t="str">
        <x:v>otro rubro factible</x:v>
      </x:c>
      <x:c r="AI81" s="7"/>
      <x:c r="AJ81" s="7" t="str">
        <x:v>Muy alta</x:v>
      </x:c>
      <x:c r="AK81" s="7"/>
      <x:c r="AL81" s="7" t="str">
        <x:v>GPT adjunto + Hermes</x:v>
      </x:c>
      <x:c r="AM81" s="7" t="str">
        <x:v>Fusionado con base Hermes para completar teléfonos/fuentes/servicios.</x:v>
      </x:c>
    </x:row>
    <x:row r="82" ht="36">
      <x:c r="A82" s="135" t="str">
        <x:v>AG-002</x:v>
      </x:c>
      <x:c r="B82" s="135" t="str">
        <x:v>Pendiente</x:v>
      </x:c>
      <x:c r="C82" s="135" t="str">
        <x:v>Córdoba / RN36 norte</x:v>
      </x:c>
      <x:c r="D82" s="135" t="str">
        <x:v>Alta Gracia / Ruta 5</x:v>
      </x:c>
      <x:c r="E82" s="135" t="str">
        <x:v>Alta Gracia</x:v>
      </x:c>
      <x:c r="F82" s="135" t="str">
        <x:v>A</x:v>
      </x:c>
      <x:c r="G82" s="135" t="n">
        <x:v>100</x:v>
      </x:c>
      <x:c r="H82" s="135" t="str">
        <x:v>Miguel Ángel Premoldeados</x:v>
      </x:c>
      <x:c r="I82" s="135" t="str">
        <x:v>Premoldeados de hormigón</x:v>
      </x:c>
      <x:c r="J82" s="135" t="str">
        <x:v>Hormigón, áridos y materiales</x:v>
      </x:c>
      <x:c r="K82" s="135" t="str">
        <x:v>03547 430962 / 03547 15501860</x:v>
      </x:c>
      <x:c r="L82" s="135" t="str">
        <x:v>OK</x:v>
      </x:c>
      <x:c r="M82" s="135" t="str">
        <x:v>despacho / producción</x:v>
      </x:c>
      <x:c r="N82" s="135" t="str">
        <x:v>Movimiento de premoldeados, equipos de planta/cantera, bombas, moldes y cargas pesadas.</x:v>
      </x:c>
      <x:c r="O82" s="135" t="str">
        <x:v>Transporte de premoldeados/equipos; áridos sueltos solo sujeto a validar caja volcadora o tercerización.</x:v>
      </x:c>
      <x:c r="P82" s="135" t="str">
        <x:v>Premoldeados con línea infraestructura y piezas especiales; buen encaje para plataforma e hidrogrúa.</x:v>
      </x:c>
      <x:c r="Q82" s="135" t="str">
        <x:v>Validar teléfono/contacto; si responde, pedir un caso concreto de traslado o próximo movimiento.</x:v>
      </x:c>
      <x:c r="R82" s="135"/>
      <x:c r="S82" s="158" t="str">
        <x:f>IFERROR(T(INDEX('Prospectos Resumen'!$K$9:$K$295,MATCH(A82,'Prospectos Resumen'!$A$9:$A$295,0))),"")</x:f>
      </x:c>
      <x:c r="T82" s="135"/>
      <x:c r="U82" s="135"/>
      <x:c r="V82" s="135"/>
      <x:c r="W82" s="135"/>
      <x:c r="X82" s="135" t="str">
        <x:v>tel:+543547430962</x:v>
      </x:c>
      <x:c r="Y82" s="135" t="str">
        <x:v>tel:+543547430962 | tel:+5493547501860</x:v>
      </x:c>
      <x:c r="Z82" s="135" t="str">
        <x:v>Confirmar decisor y vigencia del dato antes de incluir en salida prioritaria.</x:v>
      </x:c>
      <x:c r="AA82" s="135" t="str">
        <x:v>https://www.google.com/maps/search/?api=1&amp;query=Miguel+%C3%81ngel+Premoldeados+Alta+Gracia+C%C3%B3rdoba+Argentina</x:v>
      </x:c>
      <x:c r="AB82" s="135" t="str">
        <x:v>Web propia Miguel Ángel Premoldeados</x:v>
      </x:c>
      <x:c r="AC82" s="135" t="str">
        <x:v>https://miguelangelpremoldeados.com</x:v>
      </x:c>
      <x:c r="AD82" s="135" t="str">
        <x:v>Sitio propio informa fabricación de premoldeados, infraestructura, piezas especiales, teléfonos y ruta 5 km 24.</x:v>
      </x:c>
      <x:c r="AE82" s="135" t="str">
        <x:v>Alta</x:v>
      </x:c>
      <x:c r="AF82" s="135" t="str">
        <x:v>Nuevo enriquecimiento 2026-09-02</x:v>
      </x:c>
      <x:c r="AG82" s="135" t="str">
        <x:v>transporte de áridos/materiales | hidrogrúa para carga/descarga | percha para pallets/bolsones</x:v>
      </x:c>
      <x:c r="AH82" s="135" t="str">
        <x:v>áridos/construcción/premoldeados</x:v>
      </x:c>
      <x:c r="AI82" s="135"/>
      <x:c r="AJ82" s="135" t="str">
        <x:v>Muy alta</x:v>
      </x:c>
      <x:c r="AK82" s="135" t="str">
        <x:v>Áridos/materiales: confirmar modalidad de carga/descarga y tipo de unidad requerida antes de cotizar.</x:v>
      </x:c>
      <x:c r="AL82" s="135" t="str">
        <x:v>GPT adjunto + Hermes</x:v>
      </x:c>
      <x:c r="AM82" s="135" t="str">
        <x:v>Fusionado con base Hermes para completar teléfonos/fuentes/servicios.</x:v>
      </x:c>
    </x:row>
    <x:row r="83" ht="36">
      <x:c r="A83" s="136" t="str">
        <x:v>AG-003</x:v>
      </x:c>
      <x:c r="B83" s="136" t="str">
        <x:v>Pendiente</x:v>
      </x:c>
      <x:c r="C83" s="136" t="str">
        <x:v>Córdoba / RN36 norte</x:v>
      </x:c>
      <x:c r="D83" s="136" t="str">
        <x:v>Alta Gracia</x:v>
      </x:c>
      <x:c r="E83" s="136" t="str">
        <x:v>Alta Gracia</x:v>
      </x:c>
      <x:c r="F83" s="136" t="str">
        <x:v>A</x:v>
      </x:c>
      <x:c r="G83" s="136" t="n">
        <x:v>100</x:v>
      </x:c>
      <x:c r="H83" s="136" t="str">
        <x:v>Precons S.R.L.</x:v>
      </x:c>
      <x:c r="I83" s="136" t="str">
        <x:v>Premoldeados / tanques / construcción</x:v>
      </x:c>
      <x:c r="J83" s="136" t="str">
        <x:v>Hormigón, áridos y materiales</x:v>
      </x:c>
      <x:c r="K83" s="136" t="str">
        <x:v>3547 430993</x:v>
      </x:c>
      <x:c r="L83" s="136" t="str">
        <x:v>OK</x:v>
      </x:c>
      <x:c r="M83" s="136" t="str">
        <x:v>despacho / producción</x:v>
      </x:c>
      <x:c r="N83" s="136" t="str">
        <x:v>Movimiento de premoldeados, equipos de planta/cantera, bombas, moldes y cargas pesadas.</x:v>
      </x:c>
      <x:c r="O83" s="136" t="str">
        <x:v>Despacho de estructuras, tanques, transformadores, piezas de ingeniería y equipos sobre plataforma 20 tn.</x:v>
      </x:c>
      <x:c r="P83" s="136" t="str">
        <x:v>Parque en expansión; ofrecer servicio a clientes finales.</x:v>
      </x:c>
      <x:c r="Q83" s="136" t="str">
        <x:v>Visita o llamada de validación; pedir próximo traslado concreto.</x:v>
      </x:c>
      <x:c r="R83" s="136"/>
      <x:c r="S83" s="158" t="str">
        <x:f>IFERROR(T(INDEX('Prospectos Resumen'!$K$9:$K$295,MATCH(A83,'Prospectos Resumen'!$A$9:$A$295,0))),"")</x:f>
      </x:c>
      <x:c r="T83" s="136"/>
      <x:c r="U83" s="136"/>
      <x:c r="V83" s="136"/>
      <x:c r="W83" s="136"/>
      <x:c r="X83" s="136" t="str">
        <x:v>tel:+543547430993</x:v>
      </x:c>
      <x:c r="Y83" s="136" t="str">
        <x:v>tel:+543547430993</x:v>
      </x:c>
      <x:c r="Z83" s="136" t="str">
        <x:v>Validar contacto decisor y necesidad inmediata.</x:v>
      </x:c>
      <x:c r="AA83" s="136" t="str">
        <x:v>https://www.google.com/maps/search/?api=1&amp;query=-31.662670,-64.414474</x:v>
      </x:c>
      <x:c r="AB83" s="136" t="str">
        <x:v>eldirectorio.co / preconssrl.com.ar</x:v>
      </x:c>
      <x:c r="AC83" s="136"/>
      <x:c r="AD83" s="136" t="str">
        <x:v>Registro curado en documento de dirección PRESOL 2026-09.</x:v>
      </x:c>
      <x:c r="AE83" s="136" t="str">
        <x:v>Alta</x:v>
      </x:c>
      <x:c r="AF83" s="136" t="str">
        <x:v>Base curada PDF dirección</x:v>
      </x:c>
      <x:c r="AG83" s="136" t="str">
        <x:v>transporte de áridos/materiales | hidrogrúa para carga/descarga | percha para pallets/bolsones</x:v>
      </x:c>
      <x:c r="AH83" s="136" t="str">
        <x:v>áridos/construcción/premoldeados</x:v>
      </x:c>
      <x:c r="AI83" s="136"/>
      <x:c r="AJ83" s="136" t="str">
        <x:v>Muy alta</x:v>
      </x:c>
      <x:c r="AK83" s="136"/>
      <x:c r="AL83" s="136" t="str">
        <x:v>GPT adjunto + Hermes</x:v>
      </x:c>
      <x:c r="AM83" s="136" t="str">
        <x:v>Fusionado con base Hermes para completar teléfonos/fuentes/servicios.</x:v>
      </x:c>
    </x:row>
    <x:row r="84" ht="36">
      <x:c r="A84" s="135" t="str">
        <x:v>AG-010</x:v>
      </x:c>
      <x:c r="B84" s="135" t="str">
        <x:v>Pendiente</x:v>
      </x:c>
      <x:c r="C84" s="135" t="str">
        <x:v>Córdoba / RN36 norte</x:v>
      </x:c>
      <x:c r="D84" s="135" t="str">
        <x:v>Alta Gracia / RP5</x:v>
      </x:c>
      <x:c r="E84" s="135" t="str">
        <x:v>Alta Gracia</x:v>
      </x:c>
      <x:c r="F84" s="135" t="str">
        <x:v>A</x:v>
      </x:c>
      <x:c r="G84" s="135" t="n">
        <x:v>96</x:v>
      </x:c>
      <x:c r="H84" s="135" t="str">
        <x:v>HidroAg — Piscinas Marea</x:v>
      </x:c>
      <x:c r="I84" s="135" t="str">
        <x:v>Distribuidor e instalador de piscinas Marea PRFV / llave en mano</x:v>
      </x:c>
      <x:c r="J84" s="135" t="str">
        <x:v>PRFV y plásticos</x:v>
      </x:c>
      <x:c r="K84" s="135" t="str">
        <x:v>+54 9 3547 342646</x:v>
      </x:c>
      <x:c r="L84" s="135" t="str">
        <x:v>OK</x:v>
      </x:c>
      <x:c r="M84" s="135" t="str">
        <x:v>logística / instalaciones / obras / ventas</x:v>
      </x:c>
      <x:c r="N84" s="135" t="str">
        <x:v>Traslado del casco PRFV hasta la obra y maniobra de descarga/posicionamiento dentro del lote, muchas veces sobre medianeras o con acceso limitado.</x:v>
      </x:c>
      <x:c r="O84" s="135" t="str">
        <x:v>Transporte del casco PRFV + hidrogrúa para colocación precisa en patio/excavación + coordinación horaria con equipo de instalación + seguro/GPS.</x:v>
      </x:c>
      <x:c r="P84" s="135" t="str">
        <x:v>Ofrecer un servicio llave en mano de logística para que el instalador pueda concentrarse en excavación, nivelación y conexiones, dejando transporte y grúa en manos de PRESOL.</x:v>
      </x:c>
      <x:c r="Q84" s="135" t="str">
        <x:v>Llamada prioritaria; pedir por responsable de logística/instalaciones/obras y consultar cómo resuelven hoy el flete y la hidrogrúa de cada casco.</x:v>
      </x:c>
      <x:c r="R84" s="135"/>
      <x:c r="S84" s="158" t="str">
        <x:f>IFERROR(T(INDEX('Prospectos Resumen'!$K$9:$K$295,MATCH(A84,'Prospectos Resumen'!$A$9:$A$295,0))),"")</x:f>
      </x:c>
      <x:c r="T84" s="135"/>
      <x:c r="U84" s="135"/>
      <x:c r="V84" s="135"/>
      <x:c r="W84" s="135"/>
      <x:c r="X84" s="135" t="str">
        <x:v>tel:+5493547342646</x:v>
      </x:c>
      <x:c r="Y84" s="135" t="str">
        <x:v>tel:+5493547342646</x:v>
      </x:c>
      <x:c r="Z84" s="135" t="str">
        <x:v>Confirmar decisor de logística/instalaciones y frecuencia mensual de entregas.</x:v>
      </x:c>
      <x:c r="AA84" s="135" t="str">
        <x:v>https://www.google.com/maps/search/?api=1&amp;query=HidroAg+%E2%80%94+Piscinas+Marea+Alta+Gracia+C%C3%B3rdoba+Argentina</x:v>
      </x:c>
      <x:c r="AB84" s="135" t="str">
        <x:v>Web oficial HidroAg</x:v>
      </x:c>
      <x:c r="AC84" s="135" t="str">
        <x:v>https://www.hidroag.com/blog/posts/servicios-piscinas-alta-gracia-d00a2fa1fc1e</x:v>
      </x:c>
      <x:c r="AD84" s="135" t="str">
        <x:v>Distribuidor e instalador oficial de piscinas de fibra Marea; ofrece instalación llave en mano y coordina flete/descarga.</x:v>
      </x:c>
      <x:c r="AE84" s="135" t="str">
        <x:v>Alta</x:v>
      </x:c>
      <x:c r="AF84" s="135" t="str">
        <x:v>Rastrillaje piletas PRFV 2026-09-07</x:v>
      </x:c>
      <x:c r="AG84" s="135" t="str">
        <x:v>transporte especial de cascos PRFV | hidrogrúa para descarga y posicionamiento | coordinación de entrega con instalador | seguro de carga | trazabilidad GPS</x:v>
      </x:c>
      <x:c r="AH84" s="135" t="str">
        <x:v>piletas/plástico/PRFV</x:v>
      </x:c>
      <x:c r="AI84" s="135" t="str">
        <x:v>Sí</x:v>
      </x:c>
      <x:c r="AJ84" s="135" t="str">
        <x:v>Muy alta</x:v>
      </x:c>
      <x:c r="AK84" s="135" t="str">
        <x:v>Oportunidad de encaje directo: el casco es voluminoso y liviano; confirmar puntos de izaje, eslingado, radio de giro, obstáculos del lote y recomendaciones del fabricante antes de la maniobra.</x:v>
      </x:c>
      <x:c r="AL84" s="135" t="str">
        <x:v>Rastrillaje PRFV 2026-09-07</x:v>
      </x:c>
      <x:c r="AM84" s="135" t="str">
        <x:v>Alta nueva luego de barrido específico de fabricantes, franquicias y colocadores de piscinas de fibra; cruzada contra la base maestra para evitar duplicados.</x:v>
      </x:c>
    </x:row>
    <x:row r="85" ht="36">
      <x:c r="A85" s="136" t="str">
        <x:v>AG-009</x:v>
      </x:c>
      <x:c r="B85" s="136" t="str">
        <x:v>Pendiente</x:v>
      </x:c>
      <x:c r="C85" s="136" t="str">
        <x:v>Córdoba / RN36 norte</x:v>
      </x:c>
      <x:c r="D85" s="136" t="str">
        <x:v>Alta Gracia / RP5</x:v>
      </x:c>
      <x:c r="E85" s="136" t="str">
        <x:v>Alta Gracia</x:v>
      </x:c>
      <x:c r="F85" s="136" t="str">
        <x:v>A</x:v>
      </x:c>
      <x:c r="G85" s="136" t="n">
        <x:v>95</x:v>
      </x:c>
      <x:c r="H85" s="136" t="str">
        <x:v>Punto Piscina Multimarca</x:v>
      </x:c>
      <x:c r="I85" s="136" t="str">
        <x:v>Venta e instalación de piscinas PRFV multimarca</x:v>
      </x:c>
      <x:c r="J85" s="136" t="str">
        <x:v>PRFV y plásticos</x:v>
      </x:c>
      <x:c r="K85" s="136" t="str">
        <x:v>351 5146150 / 3547 423389</x:v>
      </x:c>
      <x:c r="L85" s="136" t="str">
        <x:v>OK</x:v>
      </x:c>
      <x:c r="M85" s="136" t="str">
        <x:v>logística / instalaciones / obras / ventas</x:v>
      </x:c>
      <x:c r="N85" s="136" t="str">
        <x:v>Traslado del casco PRFV hasta la obra y maniobra de descarga/posicionamiento dentro del lote, muchas veces sobre medianeras o con acceso limitado.</x:v>
      </x:c>
      <x:c r="O85" s="136" t="str">
        <x:v>Transporte del casco PRFV + hidrogrúa para colocación precisa en patio/excavación + coordinación horaria con equipo de instalación + seguro/GPS.</x:v>
      </x:c>
      <x:c r="P85" s="136" t="str">
        <x:v>Ofrecer un servicio llave en mano de logística para que el instalador pueda concentrarse en excavación, nivelación y conexiones, dejando transporte y grúa en manos de PRESOL.</x:v>
      </x:c>
      <x:c r="Q85" s="136" t="str">
        <x:v>Llamada prioritaria; pedir por responsable de logística/instalaciones/obras y consultar cómo resuelven hoy el flete y la hidrogrúa de cada casco.</x:v>
      </x:c>
      <x:c r="R85" s="136"/>
      <x:c r="S85" s="158" t="str">
        <x:f>IFERROR(T(INDEX('Prospectos Resumen'!$K$9:$K$295,MATCH(A85,'Prospectos Resumen'!$A$9:$A$295,0))),"")</x:f>
      </x:c>
      <x:c r="T85" s="136"/>
      <x:c r="U85" s="136"/>
      <x:c r="V85" s="136"/>
      <x:c r="W85" s="136"/>
      <x:c r="X85" s="136" t="str">
        <x:v>tel:+543515146150</x:v>
      </x:c>
      <x:c r="Y85" s="136" t="str">
        <x:v>tel:+543515146150</x:v>
      </x:c>
      <x:c r="Z85" s="136" t="str">
        <x:v>Confirmar decisor de logística/instalaciones y frecuencia mensual de entregas.</x:v>
      </x:c>
      <x:c r="AA85" s="136" t="str">
        <x:v>https://www.google.com/maps/search/?api=1&amp;query=Punto+Piscina+Multimarca+Alta+Gracia+C%C3%B3rdoba+Argentina</x:v>
      </x:c>
      <x:c r="AB85" s="136" t="str">
        <x:v>Web oficial Punto Piscina</x:v>
      </x:c>
      <x:c r="AC85" s="136" t="str">
        <x:v>https://puntopiscina.com.ar/</x:v>
      </x:c>
      <x:c r="AD85" s="136" t="str">
        <x:v>Declara venta de piscinas PRFV y proceso de instalación rápida; trabaja con varias marcas.</x:v>
      </x:c>
      <x:c r="AE85" s="136" t="str">
        <x:v>Alta</x:v>
      </x:c>
      <x:c r="AF85" s="136" t="str">
        <x:v>Rastrillaje piletas PRFV 2026-09-07</x:v>
      </x:c>
      <x:c r="AG85" s="136" t="str">
        <x:v>transporte especial de cascos PRFV | hidrogrúa para descarga y posicionamiento | coordinación de entrega con instalador | seguro de carga | trazabilidad GPS</x:v>
      </x:c>
      <x:c r="AH85" s="136" t="str">
        <x:v>piletas/plástico/PRFV</x:v>
      </x:c>
      <x:c r="AI85" s="136" t="str">
        <x:v>Sí</x:v>
      </x:c>
      <x:c r="AJ85" s="136" t="str">
        <x:v>Muy alta</x:v>
      </x:c>
      <x:c r="AK85" s="136" t="str">
        <x:v>Oportunidad de encaje directo: el casco es voluminoso y liviano; confirmar puntos de izaje, eslingado, radio de giro, obstáculos del lote y recomendaciones del fabricante antes de la maniobra.</x:v>
      </x:c>
      <x:c r="AL85" s="136" t="str">
        <x:v>Rastrillaje PRFV 2026-09-07</x:v>
      </x:c>
      <x:c r="AM85" s="136" t="str">
        <x:v>Alta nueva luego de barrido específico de fabricantes, franquicias y colocadores de piscinas de fibra; cruzada contra la base maestra para evitar duplicados.</x:v>
      </x:c>
    </x:row>
    <x:row r="86" ht="36">
      <x:c r="A86" s="135" t="str">
        <x:v>AG-008</x:v>
      </x:c>
      <x:c r="B86" s="135" t="str">
        <x:v>Pendiente</x:v>
      </x:c>
      <x:c r="C86" s="135" t="str">
        <x:v>Córdoba / RN36 norte</x:v>
      </x:c>
      <x:c r="D86" s="135" t="str">
        <x:v>Alta Gracia / RP5</x:v>
      </x:c>
      <x:c r="E86" s="135" t="str">
        <x:v>Alta Gracia</x:v>
      </x:c>
      <x:c r="F86" s="135" t="str">
        <x:v>A</x:v>
      </x:c>
      <x:c r="G86" s="135" t="n">
        <x:v>90</x:v>
      </x:c>
      <x:c r="H86" s="135" t="str">
        <x:v>Lombardi Maquinarias</x:v>
      </x:c>
      <x:c r="I86" s="135" t="str">
        <x:v>Venta de tractores, cosechadoras, sembradoras y maquinaria nueva/usada</x:v>
      </x:c>
      <x:c r="J86" s="135" t="str">
        <x:v>Maquinaria agrícola</x:v>
      </x:c>
      <x:c r="K86" s="135" t="str">
        <x:v>+54 9 3541 555549 / +54 9 3541 555553</x:v>
      </x:c>
      <x:c r="L86" s="135" t="str">
        <x:v>OK</x:v>
      </x:c>
      <x:c r="M86" s="135" t="str">
        <x:v>logística / ventas / postventa</x:v>
      </x:c>
      <x:c r="N86" s="135" t="str">
        <x:v>Entrega y retiro de tractores, cosechadoras, pulverizadoras, sembradoras e implementos; movimientos por venta, service, canje, demostraciones o ferias.</x:v>
      </x:c>
      <x:c r="O86" s="135" t="str">
        <x:v>Plataforma 20 tn para maquinaria agrícola + malacate/hidrogrúa según maniobra + seguro de carga + trazabilidad GPS.</x:v>
      </x:c>
      <x:c r="P86" s="135" t="str">
        <x:v>Ofrecer transporte tercerizado para entregas a clientes y retiros de usados/service, especialmente en picos de campaña y operaciones fuera de zona.</x:v>
      </x:c>
      <x:c r="Q86" s="135" t="str">
        <x:v>Llamada comercial prioritaria; pedir por logística/ventas/postventa y consultar próximo equipo a trasladar.</x:v>
      </x:c>
      <x:c r="R86" s="135"/>
      <x:c r="S86" s="158" t="str">
        <x:f>IFERROR(T(INDEX('Prospectos Resumen'!$K$9:$K$295,MATCH(A86,'Prospectos Resumen'!$A$9:$A$295,0))),"")</x:f>
      </x:c>
      <x:c r="T86" s="135"/>
      <x:c r="U86" s="135"/>
      <x:c r="V86" s="135"/>
      <x:c r="W86" s="135"/>
      <x:c r="X86" s="135" t="str">
        <x:v>tel:+5493541555549</x:v>
      </x:c>
      <x:c r="Y86" s="135" t="str">
        <x:v>tel:+5493541555549</x:v>
      </x:c>
      <x:c r="Z86" s="135" t="str">
        <x:v>Confirmar decisor y frecuencia de traslados.</x:v>
      </x:c>
      <x:c r="AA86" s="135" t="str">
        <x:v>https://www.google.com/maps/search/?api=1&amp;query=Lombardi+Maquinarias+Alta+Gracia+C%C3%B3rdoba+Argentina</x:v>
      </x:c>
      <x:c r="AB86" s="135" t="str">
        <x:v>Web oficial Lombardi / red Tanzi</x:v>
      </x:c>
      <x:c r="AC86" s="135" t="str">
        <x:v>https://www.lombardimaquinarias.com.ar/social.html</x:v>
      </x:c>
      <x:c r="AD86" s="135" t="str">
        <x:v>Empresa especializada en maquinaria agrícola nueva/usada y repuestos; local en RP5 km 20, zona Alta Gracia/Santa Ana.</x:v>
      </x:c>
      <x:c r="AE86" s="135" t="str">
        <x:v>Alta</x:v>
      </x:c>
      <x:c r="AF86" s="135" t="str">
        <x:v>Rastrillaje agro-maquinaria web 2026-09-07</x:v>
      </x:c>
      <x:c r="AG86" s="135" t="str">
        <x:v>plataforma 20 tn para maquinaria/implementos | hidrogrúa para maniobras | malacate | seguro de carga | trazabilidad GPS</x:v>
      </x:c>
      <x:c r="AH86" s="135" t="str">
        <x:v>fabricante/concesionario/servicio maquinaria agrícola</x:v>
      </x:c>
      <x:c r="AI86" s="135" t="str">
        <x:v>Sí</x:v>
      </x:c>
      <x:c r="AJ86" s="135" t="str">
        <x:v>Muy alta</x:v>
      </x:c>
      <x:c r="AK86" s="135" t="str">
        <x:v>Perfil específico maquinaria agrícola: validar pesos/dimensiones, tipo de carga y disponibilidad de medios de izaje antes de cotizar.</x:v>
      </x:c>
      <x:c r="AL86" s="135" t="str">
        <x:v>Rastrillaje agro-maquinaria 2026-09-07</x:v>
      </x:c>
      <x:c r="AM86" s="135" t="str">
        <x:v>Alta nueva luego de barrido específico de fabricantes, implementos, tractores, concesionarios y agropartes; cruzada contra la base maestra para evitar duplicados.</x:v>
      </x:c>
    </x:row>
    <x:row r="87" ht="36">
      <x:c r="A87" s="7" t="str">
        <x:v>AG-004</x:v>
      </x:c>
      <x:c r="B87" s="7" t="str">
        <x:v>Pendiente</x:v>
      </x:c>
      <x:c r="C87" s="7" t="str">
        <x:v>Córdoba / RN36 norte</x:v>
      </x:c>
      <x:c r="D87" s="7" t="str">
        <x:v>Alta Gracia</x:v>
      </x:c>
      <x:c r="E87" s="7" t="str">
        <x:v>Alta Gracia</x:v>
      </x:c>
      <x:c r="F87" s="7" t="str">
        <x:v>B</x:v>
      </x:c>
      <x:c r="G87" s="7" t="n">
        <x:v>75</x:v>
      </x:c>
      <x:c r="H87" s="7" t="str">
        <x:v>Grupo Buglione</x:v>
      </x:c>
      <x:c r="I87" s="7" t="str">
        <x:v>Autopartes / remanufactura</x:v>
      </x:c>
      <x:c r="J87" s="7" t="str">
        <x:v>Industria y mantenimiento</x:v>
      </x:c>
      <x:c r="K87" s="7" t="str">
        <x:v>0351 6512408 / 0351 3271171 / 03547 432121</x:v>
      </x:c>
      <x:c r="L87" s="7" t="str">
        <x:v>OK</x:v>
      </x:c>
      <x:c r="M87" s="7" t="str">
        <x:v>mantenimiento / compras</x:v>
      </x:c>
      <x:c r="N87" s="7" t="str">
        <x:v>Movimientos especiales de mantenimiento, repuestos pesados y mudanzas internas de equipos.</x:v>
      </x:c>
      <x:c r="O87" s="7" t="str">
        <x:v>Traslados especiales de mantenimiento, repuestos pesados, mudanzas internas y cargas con seguro/GPS.</x:v>
      </x:c>
      <x:c r="P87" s="7" t="str">
        <x:v>Parque N°53; entrar por logística/compras.</x:v>
      </x:c>
      <x:c r="Q87" s="7" t="str">
        <x:v>Visita o llamada de validación; pedir próximo traslado concreto.</x:v>
      </x:c>
      <x:c r="R87" s="7"/>
      <x:c r="S87" s="160" t="str">
        <x:f>IFERROR(T(INDEX('Prospectos Resumen'!$K$9:$K$295,MATCH(A87,'Prospectos Resumen'!$A$9:$A$295,0))),"")</x:f>
      </x:c>
      <x:c r="T87" s="7"/>
      <x:c r="U87" s="7"/>
      <x:c r="V87" s="7"/>
      <x:c r="W87" s="7"/>
      <x:c r="X87" s="7" t="str">
        <x:v>tel:+543516512408</x:v>
      </x:c>
      <x:c r="Y87" s="7" t="str">
        <x:v>tel:+543516512408 | tel:+543513271171 | tel:+543547432121</x:v>
      </x:c>
      <x:c r="Z87" s="7" t="str">
        <x:v>Validar contacto decisor y necesidad inmediata.</x:v>
      </x:c>
      <x:c r="AA87" s="7" t="str">
        <x:v>https://www.google.com/maps/search/?api=1&amp;query=-31.660000,-64.430000</x:v>
      </x:c>
      <x:c r="AB87" s="7" t="str">
        <x:v>Facebook Grupo Buglione</x:v>
      </x:c>
      <x:c r="AC87" s="7"/>
      <x:c r="AD87" s="7" t="str">
        <x:v>Registro curado en documento de dirección PRESOL 2026-09.</x:v>
      </x:c>
      <x:c r="AE87" s="7" t="str">
        <x:v>Alta</x:v>
      </x:c>
      <x:c r="AF87" s="7" t="str">
        <x:v>Base curada PDF dirección</x:v>
      </x:c>
      <x:c r="AG87" s="7" t="str">
        <x:v>plataforma 20 tn para maquinaria/piezas | hidrogrúa para maniobras | percha para pallets</x:v>
      </x:c>
      <x:c r="AH87" s="7" t="str">
        <x:v>otro rubro factible</x:v>
      </x:c>
      <x:c r="AI87" s="7"/>
      <x:c r="AJ87" s="7" t="str">
        <x:v>Alta</x:v>
      </x:c>
      <x:c r="AK87" s="7"/>
      <x:c r="AL87" s="7" t="str">
        <x:v>GPT adjunto + Hermes</x:v>
      </x:c>
      <x:c r="AM87" s="7" t="str">
        <x:v>Fusionado con base Hermes para completar teléfonos/fuentes/servicios.</x:v>
      </x:c>
    </x:row>
    <x:row r="88" ht="36">
      <x:c r="A88" s="8" t="str">
        <x:v>AG-005</x:v>
      </x:c>
      <x:c r="B88" s="8" t="str">
        <x:v>Pendiente</x:v>
      </x:c>
      <x:c r="C88" s="8" t="str">
        <x:v>Córdoba / RN36 norte</x:v>
      </x:c>
      <x:c r="D88" s="8" t="str">
        <x:v>Alta Gracia</x:v>
      </x:c>
      <x:c r="E88" s="8" t="str">
        <x:v>Alta Gracia</x:v>
      </x:c>
      <x:c r="F88" s="8" t="str">
        <x:v>B</x:v>
      </x:c>
      <x:c r="G88" s="8" t="n">
        <x:v>75</x:v>
      </x:c>
      <x:c r="H88" s="8" t="str">
        <x:v>Mattsay Steel Frame</x:v>
      </x:c>
      <x:c r="I88" s="8" t="str">
        <x:v>Casas modulares / steel frame</x:v>
      </x:c>
      <x:c r="J88" s="8" t="str">
        <x:v>Industria y mantenimiento</x:v>
      </x:c>
      <x:c r="K88" s="8" t="str">
        <x:v>3547 477530</x:v>
      </x:c>
      <x:c r="L88" s="8" t="str">
        <x:v>OK</x:v>
      </x:c>
      <x:c r="M88" s="8" t="str">
        <x:v>operaciones / entregas</x:v>
      </x:c>
      <x:c r="N88" s="8" t="str">
        <x:v>Movimientos especiales de mantenimiento, repuestos pesados y mudanzas internas de equipos.</x:v>
      </x:c>
      <x:c r="O88" s="8" t="str">
        <x:v>Entrega y descarga de módulos/containers con plataforma, malacate e hidrogrúa según maniobra.</x:v>
      </x:c>
      <x:c r="P88" s="8" t="str">
        <x:v>Instalación en lote; preguntar si tercerizan traslados.</x:v>
      </x:c>
      <x:c r="Q88" s="8" t="str">
        <x:v>Visita o llamada de validación; pedir próximo traslado concreto.</x:v>
      </x:c>
      <x:c r="R88" s="8"/>
      <x:c r="S88" s="160" t="str">
        <x:f>IFERROR(T(INDEX('Prospectos Resumen'!$K$9:$K$295,MATCH(A88,'Prospectos Resumen'!$A$9:$A$295,0))),"")</x:f>
      </x:c>
      <x:c r="T88" s="8"/>
      <x:c r="U88" s="8"/>
      <x:c r="V88" s="8"/>
      <x:c r="W88" s="8"/>
      <x:c r="X88" s="8" t="str">
        <x:v>tel:+543547477530</x:v>
      </x:c>
      <x:c r="Y88" s="8" t="str">
        <x:v>tel:+543547477530</x:v>
      </x:c>
      <x:c r="Z88" s="8" t="str">
        <x:v>Validar contacto decisor y necesidad inmediata.</x:v>
      </x:c>
      <x:c r="AA88" s="8" t="str">
        <x:v>https://www.google.com/maps/search/?api=1&amp;query=-31.653000,-64.428000</x:v>
      </x:c>
      <x:c r="AB88" s="8" t="str">
        <x:v>mattsay.com</x:v>
      </x:c>
      <x:c r="AC88" s="8"/>
      <x:c r="AD88" s="8" t="str">
        <x:v>Registro curado en documento de dirección PRESOL 2026-09.</x:v>
      </x:c>
      <x:c r="AE88" s="8" t="str">
        <x:v>Alta</x:v>
      </x:c>
      <x:c r="AF88" s="8" t="str">
        <x:v>Base curada PDF dirección</x:v>
      </x:c>
      <x:c r="AG88" s="8" t="str">
        <x:v>transporte de áridos/materiales | hidrogrúa para carga/descarga | percha para pallets/bolsones | plataforma 20 tn para maquinaria/piezas | hidrogrúa para maniobras | percha para pallets</x:v>
      </x:c>
      <x:c r="AH88" s="8" t="str">
        <x:v>otro rubro factible</x:v>
      </x:c>
      <x:c r="AI88" s="8"/>
      <x:c r="AJ88" s="8" t="str">
        <x:v>Alta</x:v>
      </x:c>
      <x:c r="AK88" s="8"/>
      <x:c r="AL88" s="8" t="str">
        <x:v>GPT adjunto + Hermes</x:v>
      </x:c>
      <x:c r="AM88" s="8" t="str">
        <x:v>Fusionado con base Hermes para completar teléfonos/fuentes/servicios.</x:v>
      </x:c>
    </x:row>
    <x:row r="89" ht="36">
      <x:c r="A89" s="136" t="str">
        <x:v>AG-006</x:v>
      </x:c>
      <x:c r="B89" s="136" t="str">
        <x:v>Pendiente</x:v>
      </x:c>
      <x:c r="C89" s="136" t="str">
        <x:v>Córdoba / RN36 norte</x:v>
      </x:c>
      <x:c r="D89" s="136" t="str">
        <x:v>Alta Gracia</x:v>
      </x:c>
      <x:c r="E89" s="136" t="str">
        <x:v>Alta Gracia</x:v>
      </x:c>
      <x:c r="F89" s="136" t="str">
        <x:v>B</x:v>
      </x:c>
      <x:c r="G89" s="136" t="n">
        <x:v>50</x:v>
      </x:c>
      <x:c r="H89" s="136" t="str">
        <x:v>Habitaciones Calificadas</x:v>
      </x:c>
      <x:c r="I89" s="136" t="str">
        <x:v>Módulos habitacionales</x:v>
      </x:c>
      <x:c r="J89" s="136" t="str">
        <x:v>Módulos y contenedores</x:v>
      </x:c>
      <x:c r="K89" s="136" t="str">
        <x:v>A relevar</x:v>
      </x:c>
      <x:c r="L89" s="136" t="str">
        <x:v>A relevar</x:v>
      </x:c>
      <x:c r="M89" s="136" t="str">
        <x:v>operaciones / entregas</x:v>
      </x:c>
      <x:c r="N89" s="136" t="str">
        <x:v>Entrega, descarga y posicionamiento de módulos/containers en obra o cliente final.</x:v>
      </x:c>
      <x:c r="O89" s="136" t="str">
        <x:v>Entrega y descarga de módulos/containers con plataforma, malacate e hidrogrúa según maniobra.</x:v>
      </x:c>
      <x:c r="P89" s="136" t="str">
        <x:v>Teléfono no confiable en web; relevar en visita/parque.</x:v>
      </x:c>
      <x:c r="Q89" s="136" t="str">
        <x:v>Visita o llamada de validación; pedir próximo traslado concreto.</x:v>
      </x:c>
      <x:c r="R89" s="136"/>
      <x:c r="S89" s="158" t="str">
        <x:f>IFERROR(T(INDEX('Prospectos Resumen'!$K$9:$K$295,MATCH(A89,'Prospectos Resumen'!$A$9:$A$295,0))),"")</x:f>
      </x:c>
      <x:c r="T89" s="136"/>
      <x:c r="U89" s="136"/>
      <x:c r="V89" s="136"/>
      <x:c r="W89" s="136"/>
      <x:c r="X89" s="136"/>
      <x:c r="Y89" s="136"/>
      <x:c r="Z89" s="136" t="str">
        <x:v>Validar contacto decisor y necesidad inmediata.</x:v>
      </x:c>
      <x:c r="AA89" s="136" t="str">
        <x:v>https://www.google.com/maps/search/?api=1&amp;query=-31.650000,-64.421000</x:v>
      </x:c>
      <x:c r="AB89" s="136" t="str">
        <x:v>Informe de mercado / parque Alta Gracia</x:v>
      </x:c>
      <x:c r="AC89" s="136"/>
      <x:c r="AD89" s="136" t="str">
        <x:v>Registro curado en documento de dirección PRESOL 2026-09.</x:v>
      </x:c>
      <x:c r="AE89" s="136" t="str">
        <x:v>Media</x:v>
      </x:c>
      <x:c r="AF89" s="136" t="str">
        <x:v>Base curada PDF dirección</x:v>
      </x:c>
      <x:c r="AG89" s="136" t="str">
        <x:v>transporte de áridos/materiales | hidrogrúa para carga/descarga | percha para pallets/bolsones</x:v>
      </x:c>
      <x:c r="AH89" s="136" t="str">
        <x:v>otro rubro factible</x:v>
      </x:c>
      <x:c r="AI89" s="136"/>
      <x:c r="AJ89" s="136" t="str">
        <x:v>Media</x:v>
      </x:c>
      <x:c r="AK89" s="136"/>
      <x:c r="AL89" s="136" t="str">
        <x:v>GPT adjunto + Hermes</x:v>
      </x:c>
      <x:c r="AM89" s="136" t="str">
        <x:v>Fusionado con base Hermes para completar teléfonos/fuentes/servicios.</x:v>
      </x:c>
    </x:row>
    <x:row r="90" ht="48">
      <x:c r="A90" s="8" t="str">
        <x:v>AG-007</x:v>
      </x:c>
      <x:c r="B90" s="8" t="str">
        <x:v>Pendiente</x:v>
      </x:c>
      <x:c r="C90" s="8" t="str">
        <x:v>Córdoba / RN36 norte</x:v>
      </x:c>
      <x:c r="D90" s="8" t="str">
        <x:v>Alta Gracia</x:v>
      </x:c>
      <x:c r="E90" s="8" t="str">
        <x:v>Alta Gracia</x:v>
      </x:c>
      <x:c r="F90" s="8" t="str">
        <x:v>B</x:v>
      </x:c>
      <x:c r="G90" s="8" t="n">
        <x:v>50</x:v>
      </x:c>
      <x:c r="H90" s="8" t="str">
        <x:v>R5 Premoldeados</x:v>
      </x:c>
      <x:c r="I90" s="8" t="str">
        <x:v>Premoldeados / muros / cerramientos</x:v>
      </x:c>
      <x:c r="J90" s="8" t="str">
        <x:v>Hormigón, áridos y materiales</x:v>
      </x:c>
      <x:c r="K90" s="8" t="str">
        <x:v>A relevar</x:v>
      </x:c>
      <x:c r="L90" s="8" t="str">
        <x:v>A relevar</x:v>
      </x:c>
      <x:c r="M90" s="8" t="str">
        <x:v>despacho / colocación</x:v>
      </x:c>
      <x:c r="N90" s="8" t="str">
        <x:v>Movimiento de premoldeados, equipos de planta/cantera, bombas, moldes y cargas pesadas.</x:v>
      </x:c>
      <x:c r="O90" s="8" t="str">
        <x:v>Transporte de premoldeados/equipos; áridos sueltos solo sujeto a validar caja volcadora o tercerización.</x:v>
      </x:c>
      <x:c r="P90" s="8" t="str">
        <x:v>Fábrica de premoldeados en Alta Gracia; validar si terceriza transporte/descarga.</x:v>
      </x:c>
      <x:c r="Q90" s="8" t="str">
        <x:v>Validar teléfono/contacto; si responde, pedir un caso concreto de traslado o próximo movimiento.</x:v>
      </x:c>
      <x:c r="R90" s="8"/>
      <x:c r="S90" s="160" t="str">
        <x:f>IFERROR(T(INDEX('Prospectos Resumen'!$K$9:$K$295,MATCH(A90,'Prospectos Resumen'!$A$9:$A$295,0))),"")</x:f>
      </x:c>
      <x:c r="T90" s="8"/>
      <x:c r="U90" s="8"/>
      <x:c r="V90" s="8"/>
      <x:c r="W90" s="8"/>
      <x:c r="X90" s="8"/>
      <x:c r="Y90" s="8"/>
      <x:c r="Z90" s="8" t="str">
        <x:v>Confirmar decisor y vigencia del dato antes de incluir en salida prioritaria.</x:v>
      </x:c>
      <x:c r="AA90" s="8" t="str">
        <x:v>https://www.google.com/maps/search/?api=1&amp;query=R5+Premoldeados+Alta+Gracia+C%C3%B3rdoba+Argentina</x:v>
      </x:c>
      <x:c r="AB90" s="8" t="str">
        <x:v>Instagram público / resultado de búsqueda</x:v>
      </x:c>
      <x:c r="AC90" s="8" t="str">
        <x:v>https://www.instagram.com/r5.premoldeados</x:v>
      </x:c>
      <x:c r="AD90" s="8" t="str">
        <x:v>Resultado público indica fábrica de premoldeados en Alta Gracia, muros, cerramientos y estructuras.</x:v>
      </x:c>
      <x:c r="AE90" s="8" t="str">
        <x:v>Media</x:v>
      </x:c>
      <x:c r="AF90" s="8" t="str">
        <x:v>Nuevo enriquecimiento 2026-09-02</x:v>
      </x:c>
      <x:c r="AG90" s="8" t="str">
        <x:v>transporte de áridos/materiales | hidrogrúa para carga/descarga | percha para pallets/bolsones</x:v>
      </x:c>
      <x:c r="AH90" s="8" t="str">
        <x:v>áridos/construcción/premoldeados</x:v>
      </x:c>
      <x:c r="AI90" s="8"/>
      <x:c r="AJ90" s="8" t="str">
        <x:v>Media</x:v>
      </x:c>
      <x:c r="AK90" s="8"/>
      <x:c r="AL90" s="8" t="str">
        <x:v>GPT adjunto + Hermes</x:v>
      </x:c>
      <x:c r="AM90" s="8" t="str">
        <x:v>Fusionado con base Hermes para completar teléfonos/fuentes/servicios.</x:v>
      </x:c>
    </x:row>
    <x:row r="91" ht="48">
      <x:c r="A91" s="136" t="str">
        <x:v>ANI-002</x:v>
      </x:c>
      <x:c r="B91" s="136" t="str">
        <x:v>Pendiente</x:v>
      </x:c>
      <x:c r="C91" s="136" t="str">
        <x:v>Córdoba / RN36 norte</x:v>
      </x:c>
      <x:c r="D91" s="136" t="str">
        <x:v>Anisacate / RP5</x:v>
      </x:c>
      <x:c r="E91" s="136" t="str">
        <x:v>Anisacate</x:v>
      </x:c>
      <x:c r="F91" s="136" t="str">
        <x:v>A</x:v>
      </x:c>
      <x:c r="G91" s="136" t="n">
        <x:v>98</x:v>
      </x:c>
      <x:c r="H91" s="136" t="str">
        <x:v>MPS Piscinas</x:v>
      </x:c>
      <x:c r="I91" s="136" t="str">
        <x:v>Venta e instalación de piscinas de fibra / cobertura provincial</x:v>
      </x:c>
      <x:c r="J91" s="136" t="str">
        <x:v>PRFV y plásticos</x:v>
      </x:c>
      <x:c r="K91" s="136" t="str">
        <x:v>+54 9 3547 564603</x:v>
      </x:c>
      <x:c r="L91" s="136" t="str">
        <x:v>OK</x:v>
      </x:c>
      <x:c r="M91" s="136" t="str">
        <x:v>logística / instalaciones / obras / ventas</x:v>
      </x:c>
      <x:c r="N91" s="136" t="str">
        <x:v>Traslado del casco PRFV hasta la obra y maniobra de descarga/posicionamiento dentro del lote, muchas veces sobre medianeras o con acceso limitado.</x:v>
      </x:c>
      <x:c r="O91" s="136" t="str">
        <x:v>Transporte del casco PRFV + hidrogrúa para colocación precisa en patio/excavación + coordinación horaria con equipo de instalación + seguro/GPS.</x:v>
      </x:c>
      <x:c r="P91" s="136" t="str">
        <x:v>Ofrecer un servicio llave en mano de logística para que el instalador pueda concentrarse en excavación, nivelación y conexiones, dejando transporte y grúa en manos de PRESOL.</x:v>
      </x:c>
      <x:c r="Q91" s="136" t="str">
        <x:v>Llamada prioritaria; pedir por responsable de logística/instalaciones/obras y consultar cómo resuelven hoy el flete y la hidrogrúa de cada casco.</x:v>
      </x:c>
      <x:c r="R91" s="136"/>
      <x:c r="S91" s="158" t="str">
        <x:f>IFERROR(T(INDEX('Prospectos Resumen'!$K$9:$K$295,MATCH(A91,'Prospectos Resumen'!$A$9:$A$295,0))),"")</x:f>
      </x:c>
      <x:c r="T91" s="136"/>
      <x:c r="U91" s="136"/>
      <x:c r="V91" s="136"/>
      <x:c r="W91" s="136"/>
      <x:c r="X91" s="136" t="str">
        <x:v>tel:+5493547564603</x:v>
      </x:c>
      <x:c r="Y91" s="136" t="str">
        <x:v>tel:+5493547564603</x:v>
      </x:c>
      <x:c r="Z91" s="136" t="str">
        <x:v>Confirmar decisor de logística/instalaciones y frecuencia mensual de entregas.</x:v>
      </x:c>
      <x:c r="AA91" s="136" t="str">
        <x:v>https://www.google.com/maps/search/?api=1&amp;query=MPS+Piscinas+Anisacate+C%C3%B3rdoba+Argentina</x:v>
      </x:c>
      <x:c r="AB91" s="136" t="str">
        <x:v>Web oficial MPS Piscinas</x:v>
      </x:c>
      <x:c r="AC91" s="136" t="str">
        <x:v>https://www.mpspiscinas.com.ar/</x:v>
      </x:c>
      <x:c r="AD91" s="136" t="str">
        <x:v>Instalador de piscinas de fibra con base en Anisacate y cobertura declarada en toda la provincia de Córdoba.</x:v>
      </x:c>
      <x:c r="AE91" s="136" t="str">
        <x:v>Alta</x:v>
      </x:c>
      <x:c r="AF91" s="136" t="str">
        <x:v>Rastrillaje piletas PRFV 2026-09-07</x:v>
      </x:c>
      <x:c r="AG91" s="136" t="str">
        <x:v>transporte especial de cascos PRFV | hidrogrúa para descarga y posicionamiento | coordinación de entrega con instalador | seguro de carga | trazabilidad GPS</x:v>
      </x:c>
      <x:c r="AH91" s="136" t="str">
        <x:v>piletas/plástico/PRFV</x:v>
      </x:c>
      <x:c r="AI91" s="136" t="str">
        <x:v>Sí</x:v>
      </x:c>
      <x:c r="AJ91" s="136" t="str">
        <x:v>Muy alta</x:v>
      </x:c>
      <x:c r="AK91" s="136" t="str">
        <x:v>Oportunidad de encaje directo: el casco es voluminoso y liviano; confirmar puntos de izaje, eslingado, radio de giro, obstáculos del lote y recomendaciones del fabricante antes de la maniobra.</x:v>
      </x:c>
      <x:c r="AL91" s="136" t="str">
        <x:v>Rastrillaje PRFV 2026-09-07</x:v>
      </x:c>
      <x:c r="AM91" s="136" t="str">
        <x:v>Alta nueva luego de barrido específico de fabricantes, franquicias y colocadores de piscinas de fibra; cruzada contra la base maestra para evitar duplicados.</x:v>
      </x:c>
    </x:row>
    <x:row r="92" ht="24">
      <x:c r="A92" s="135" t="str">
        <x:v>ANI-001</x:v>
      </x:c>
      <x:c r="B92" s="135" t="str">
        <x:v>Pendiente</x:v>
      </x:c>
      <x:c r="C92" s="135" t="str">
        <x:v>Córdoba / RN36 norte</x:v>
      </x:c>
      <x:c r="D92" s="135" t="str">
        <x:v>Anisacate / RP5</x:v>
      </x:c>
      <x:c r="E92" s="135" t="str">
        <x:v>Anisacate</x:v>
      </x:c>
      <x:c r="F92" s="135" t="str">
        <x:v>A</x:v>
      </x:c>
      <x:c r="G92" s="135" t="n">
        <x:v>92</x:v>
      </x:c>
      <x:c r="H92" s="135" t="str">
        <x:v>Mar de Fondo — Anisacate</x:v>
      </x:c>
      <x:c r="I92" s="135" t="str">
        <x:v>Punto de venta Moldear / piscinas PRFV / instalación</x:v>
      </x:c>
      <x:c r="J92" s="135" t="str">
        <x:v>PRFV y plásticos</x:v>
      </x:c>
      <x:c r="K92" s="135" t="str">
        <x:v>+54 9 3547 634032</x:v>
      </x:c>
      <x:c r="L92" s="135" t="str">
        <x:v>OK</x:v>
      </x:c>
      <x:c r="M92" s="135" t="str">
        <x:v>logística / instalaciones / obras / ventas</x:v>
      </x:c>
      <x:c r="N92" s="135" t="str">
        <x:v>Entrega de piscinas de fibra desde depósito/franquicia hasta domicilio y apoyo de grúa cuando el casco debe superar medianeras, techos o accesos angostos.</x:v>
      </x:c>
      <x:c r="O92" s="135" t="str">
        <x:v>Flete de piscina PRFV + hidrogrúa para descarga/posicionamiento + coordinación con excavación e instalador + seguro de carga.</x:v>
      </x:c>
      <x:c r="P92" s="135" t="str">
        <x:v>Resolver la parte más crítica de la instalación —logística y maniobra— sin depender de proveedores distintos para camión y grúa.</x:v>
      </x:c>
      <x:c r="Q92" s="135" t="str">
        <x:v>Llamada prioritaria; pedir por responsable de logística/instalaciones/obras y consultar cómo resuelven hoy el flete y la hidrogrúa de cada casco.</x:v>
      </x:c>
      <x:c r="R92" s="135"/>
      <x:c r="S92" s="158" t="str">
        <x:f>IFERROR(T(INDEX('Prospectos Resumen'!$K$9:$K$295,MATCH(A92,'Prospectos Resumen'!$A$9:$A$295,0))),"")</x:f>
      </x:c>
      <x:c r="T92" s="135"/>
      <x:c r="U92" s="135"/>
      <x:c r="V92" s="135"/>
      <x:c r="W92" s="135"/>
      <x:c r="X92" s="135" t="str">
        <x:v>tel:+5493547634032</x:v>
      </x:c>
      <x:c r="Y92" s="135" t="str">
        <x:v>tel:+5493547634032</x:v>
      </x:c>
      <x:c r="Z92" s="135" t="str">
        <x:v>Confirmar decisor de logística/instalaciones y frecuencia mensual de entregas.</x:v>
      </x:c>
      <x:c r="AA92" s="135" t="str">
        <x:v>https://www.google.com/maps/search/?api=1&amp;query=Mar+de+Fondo+%E2%80%94+Anisacate+Anisacate+C%C3%B3rdoba+Argentina</x:v>
      </x:c>
      <x:c r="AB92" s="135" t="str">
        <x:v>Moldear</x:v>
      </x:c>
      <x:c r="AC92" s="135" t="str">
        <x:v>https://www.moldear.com.ar/cordoba/anisacate/mar-de-fondo/</x:v>
      </x:c>
      <x:c r="AD92" s="135" t="str">
        <x:v>Punto Moldear en Anisacate; comercializa piscinas y acompaña desde selección hasta instalación.</x:v>
      </x:c>
      <x:c r="AE92" s="135" t="str">
        <x:v>Alta</x:v>
      </x:c>
      <x:c r="AF92" s="135" t="str">
        <x:v>Rastrillaje piletas PRFV 2026-09-07</x:v>
      </x:c>
      <x:c r="AG92" s="135" t="str">
        <x:v>transporte especial de cascos PRFV | hidrogrúa para descarga y posicionamiento | coordinación de entrega con instalador | seguro de carga | trazabilidad GPS</x:v>
      </x:c>
      <x:c r="AH92" s="135" t="str">
        <x:v>piletas/plástico/PRFV</x:v>
      </x:c>
      <x:c r="AI92" s="135" t="str">
        <x:v>Sí</x:v>
      </x:c>
      <x:c r="AJ92" s="135" t="str">
        <x:v>Muy alta</x:v>
      </x:c>
      <x:c r="AK92" s="135" t="str">
        <x:v>Oportunidad de encaje directo: el casco es voluminoso y liviano; confirmar puntos de izaje, eslingado, radio de giro, obstáculos del lote y recomendaciones del fabricante antes de la maniobra.</x:v>
      </x:c>
      <x:c r="AL92" s="135" t="str">
        <x:v>Rastrillaje PRFV 2026-09-07</x:v>
      </x:c>
      <x:c r="AM92" s="135" t="str">
        <x:v>Alta nueva luego de barrido específico de fabricantes, franquicias y colocadores de piscinas de fibra; cruzada contra la base maestra para evitar duplicados.</x:v>
      </x:c>
    </x:row>
    <x:row r="93" ht="36">
      <x:c r="A93" s="7" t="str">
        <x:v>SIE-001</x:v>
      </x:c>
      <x:c r="B93" s="7" t="str">
        <x:v>Pendiente</x:v>
      </x:c>
      <x:c r="C93" s="7" t="str">
        <x:v>Córdoba / RN36 norte</x:v>
      </x:c>
      <x:c r="D93" s="7" t="str">
        <x:v>Sierras / RN36-Ruta 5</x:v>
      </x:c>
      <x:c r="E93" s="7" t="str">
        <x:v>Córdoba / Sierras</x:v>
      </x:c>
      <x:c r="F93" s="7" t="str">
        <x:v>B</x:v>
      </x:c>
      <x:c r="G93" s="7" t="n">
        <x:v>50</x:v>
      </x:c>
      <x:c r="H93" s="7" t="str">
        <x:v>El Alto Áridos, Hormigón y Desarrollos</x:v>
      </x:c>
      <x:c r="I93" s="7" t="str">
        <x:v>Áridos / hormigón / desarrollos</x:v>
      </x:c>
      <x:c r="J93" s="7" t="str">
        <x:v>Hormigón, áridos y materiales</x:v>
      </x:c>
      <x:c r="K93" s="7" t="str">
        <x:v>A relevar</x:v>
      </x:c>
      <x:c r="L93" s="7" t="str">
        <x:v>A relevar</x:v>
      </x:c>
      <x:c r="M93" s="7" t="str">
        <x:v>planta / mantenimiento</x:v>
      </x:c>
      <x:c r="N93" s="7" t="str">
        <x:v>Movimiento de premoldeados, equipos de planta/cantera, bombas, moldes y cargas pesadas.</x:v>
      </x:c>
      <x:c r="O93" s="7" t="str">
        <x:v>Transporte de premoldeados/equipos; áridos sueltos solo sujeto a validar caja volcadora o tercerización.</x:v>
      </x:c>
      <x:c r="P93" s="7" t="str">
        <x:v>Proveedor de áridos y hormigón en sierras; validar si requiere traslados de equipos o apoyo en obras.</x:v>
      </x:c>
      <x:c r="Q93" s="7" t="str">
        <x:v>Validar teléfono/contacto; si responde, pedir un caso concreto de traslado o próximo movimiento.</x:v>
      </x:c>
      <x:c r="R93" s="7"/>
      <x:c r="S93" s="160" t="str">
        <x:f>IFERROR(T(INDEX('Prospectos Resumen'!$K$9:$K$295,MATCH(A93,'Prospectos Resumen'!$A$9:$A$295,0))),"")</x:f>
      </x:c>
      <x:c r="T93" s="7"/>
      <x:c r="U93" s="7"/>
      <x:c r="V93" s="7"/>
      <x:c r="W93" s="7"/>
      <x:c r="X93" s="7"/>
      <x:c r="Y93" s="7"/>
      <x:c r="Z93" s="7" t="str">
        <x:v>Confirmar decisor y vigencia del dato antes de incluir en salida prioritaria.</x:v>
      </x:c>
      <x:c r="AA93" s="7" t="str">
        <x:v>https://www.google.com/maps/search/?api=1&amp;query=El+Alto+%C3%81ridos%2C+Hormig%C3%B3n+y+Desarrollos+C%C3%B3rdoba+%2F+Sierras+C%C3%B3rdoba+Argentina</x:v>
      </x:c>
      <x:c r="AB93" s="7" t="str">
        <x:v>Web pública / resultado de búsqueda</x:v>
      </x:c>
      <x:c r="AC93" s="7" t="str">
        <x:v>https://www.elalto.ar</x:v>
      </x:c>
      <x:c r="AD93" s="7" t="str">
        <x:v>Resultado público lo describe como proveedor de áridos lavados, hormigón elaborado y desarrollos integrales.</x:v>
      </x:c>
      <x:c r="AE93" s="7" t="str">
        <x:v>Media</x:v>
      </x:c>
      <x:c r="AF93" s="7" t="str">
        <x:v>Nuevo enriquecimiento 2026-09-02</x:v>
      </x:c>
      <x:c r="AG93" s="7" t="str">
        <x:v>transporte de áridos/materiales | hidrogrúa para carga/descarga | percha para pallets/bolsones</x:v>
      </x:c>
      <x:c r="AH93" s="7" t="str">
        <x:v>áridos/construcción/premoldeados</x:v>
      </x:c>
      <x:c r="AI93" s="7"/>
      <x:c r="AJ93" s="7" t="str">
        <x:v>Media</x:v>
      </x:c>
      <x:c r="AK93" s="7" t="str">
        <x:v>Áridos/materiales: confirmar modalidad de carga/descarga y tipo de unidad requerida antes de cotizar.</x:v>
      </x:c>
      <x:c r="AL93" s="7" t="str">
        <x:v>GPT adjunto + Hermes</x:v>
      </x:c>
      <x:c r="AM93" s="7" t="str">
        <x:v>Fusionado con base Hermes para completar teléfonos/fuentes/servicios. | ID fuente: CSI-001</x:v>
      </x:c>
    </x:row>
    <x:row r="94" ht="36">
      <x:c r="A94" s="135" t="str">
        <x:v>CBA-017</x:v>
      </x:c>
      <x:c r="B94" s="135" t="str">
        <x:v>Pendiente</x:v>
      </x:c>
      <x:c r="C94" s="135" t="str">
        <x:v>Córdoba / RN36 norte</x:v>
      </x:c>
      <x:c r="D94" s="135" t="str">
        <x:v>Córdoba capital / área metropolitana</x:v>
      </x:c>
      <x:c r="E94" s="135" t="str">
        <x:v>Córdoba capital</x:v>
      </x:c>
      <x:c r="F94" s="135" t="str">
        <x:v>A</x:v>
      </x:c>
      <x:c r="G94" s="135" t="n">
        <x:v>100</x:v>
      </x:c>
      <x:c r="H94" s="135" t="str">
        <x:v>AquaFibra</x:v>
      </x:c>
      <x:c r="I94" s="135" t="str">
        <x:v>Fabricante e instalador de piscinas de fibra / cobertura provincial</x:v>
      </x:c>
      <x:c r="J94" s="135" t="str">
        <x:v>PRFV y plásticos</x:v>
      </x:c>
      <x:c r="K94" s="135" t="str">
        <x:v>+54 9 351 3000650</x:v>
      </x:c>
      <x:c r="L94" s="135" t="str">
        <x:v>OK</x:v>
      </x:c>
      <x:c r="M94" s="135" t="str">
        <x:v>logística / instalaciones / obras / ventas</x:v>
      </x:c>
      <x:c r="N94" s="135" t="str">
        <x:v>Despacho recurrente de cascos PRFV de gran volumen desde fábrica hacia obras, franquicias o domicilios; coordinación de descarga y posicionamiento en patios con accesos restringidos.</x:v>
      </x:c>
      <x:c r="O94" s="135" t="str">
        <x:v>Transporte especial de cascos PRFV + hidrogrúa para descarga y posicionamiento en patio/excavación + coordinación con equipo instalador + seguro de carga + trazabilidad GPS.</x:v>
      </x:c>
      <x:c r="P94" s="135" t="str">
        <x:v>Su propia web indica que cuando una piscina debe pasar por encima de una pared o techo gestionan grúa y logística. PRESOL puede convertirse en ese proveedor fijo de flete + hidrogrúa.</x:v>
      </x:c>
      <x:c r="Q94" s="135" t="str">
        <x:v>Llamada prioritaria; pedir por responsable de logística/instalaciones/obras y consultar cómo resuelven hoy el flete y la hidrogrúa de cada casco.</x:v>
      </x:c>
      <x:c r="R94" s="135"/>
      <x:c r="S94" s="158" t="str">
        <x:f>IFERROR(T(INDEX('Prospectos Resumen'!$K$9:$K$295,MATCH(A94,'Prospectos Resumen'!$A$9:$A$295,0))),"")</x:f>
      </x:c>
      <x:c r="T94" s="135"/>
      <x:c r="U94" s="135"/>
      <x:c r="V94" s="135"/>
      <x:c r="W94" s="135"/>
      <x:c r="X94" s="135" t="str">
        <x:v>tel:+5493513000650</x:v>
      </x:c>
      <x:c r="Y94" s="135" t="str">
        <x:v>tel:+5493513000650</x:v>
      </x:c>
      <x:c r="Z94" s="135" t="str">
        <x:v>Confirmar decisor de logística/instalaciones y frecuencia mensual de entregas.</x:v>
      </x:c>
      <x:c r="AA94" s="135" t="str">
        <x:v>https://www.google.com/maps/search/?api=1&amp;query=AquaFibra+C%C3%B3rdoba+capital+C%C3%B3rdoba+Argentina</x:v>
      </x:c>
      <x:c r="AB94" s="135" t="str">
        <x:v>Web oficial AquaFibra</x:v>
      </x:c>
      <x:c r="AC94" s="135" t="str">
        <x:v>https://aquafibra.com.ar/</x:v>
      </x:c>
      <x:c r="AD94" s="135" t="str">
        <x:v>Fabricante e instalador en toda Córdoba; su web indica que gestiona grúa y logística cuando la pileta debe pasar sobre paredes o techos.</x:v>
      </x:c>
      <x:c r="AE94" s="135" t="str">
        <x:v>Alta</x:v>
      </x:c>
      <x:c r="AF94" s="135" t="str">
        <x:v>Rastrillaje piletas PRFV 2026-09-07</x:v>
      </x:c>
      <x:c r="AG94" s="135" t="str">
        <x:v>transporte especial de cascos PRFV | hidrogrúa para descarga y posicionamiento | coordinación de entrega con instalador | seguro de carga | trazabilidad GPS</x:v>
      </x:c>
      <x:c r="AH94" s="135" t="str">
        <x:v>piletas/plástico/PRFV</x:v>
      </x:c>
      <x:c r="AI94" s="135" t="str">
        <x:v>Sí</x:v>
      </x:c>
      <x:c r="AJ94" s="135" t="str">
        <x:v>Muy alta</x:v>
      </x:c>
      <x:c r="AK94" s="135" t="str">
        <x:v>Oportunidad de encaje directo: el casco es voluminoso y liviano; confirmar puntos de izaje, eslingado, radio de giro, obstáculos del lote y recomendaciones del fabricante antes de la maniobra.</x:v>
      </x:c>
      <x:c r="AL94" s="135" t="str">
        <x:v>Rastrillaje PRFV 2026-09-07</x:v>
      </x:c>
      <x:c r="AM94" s="135" t="str">
        <x:v>Alta nueva luego de barrido específico de fabricantes, franquicias y colocadores de piscinas de fibra; cruzada contra la base maestra para evitar duplicados.</x:v>
      </x:c>
    </x:row>
    <x:row r="95" ht="36">
      <x:c r="A95" s="7" t="str">
        <x:v>CBA-023</x:v>
      </x:c>
      <x:c r="B95" s="7" t="str">
        <x:v>Pendiente</x:v>
      </x:c>
      <x:c r="C95" s="7" t="str">
        <x:v>Córdoba / RN36 norte</x:v>
      </x:c>
      <x:c r="D95" s="7" t="str">
        <x:v>Córdoba capital / corredor agro</x:v>
      </x:c>
      <x:c r="E95" s="7" t="str">
        <x:v>Córdoba capital</x:v>
      </x:c>
      <x:c r="F95" s="7" t="str">
        <x:v>A</x:v>
      </x:c>
      <x:c r="G95" s="7" t="n">
        <x:v>100</x:v>
      </x:c>
      <x:c r="H95" s="7" t="str">
        <x:v>CONCI — Córdoba</x:v>
      </x:c>
      <x:c r="I95" s="7" t="str">
        <x:v>Concesionario John Deere / maquinaria agrícola / repuestos / postventa</x:v>
      </x:c>
      <x:c r="J95" s="7" t="str">
        <x:v>Maquinaria agrícola</x:v>
      </x:c>
      <x:c r="K95" s="7" t="str">
        <x:v>0810 777 6666 / +54 9 351 2175220</x:v>
      </x:c>
      <x:c r="L95" s="7" t="str">
        <x:v>OK</x:v>
      </x:c>
      <x:c r="M95" s="7" t="str">
        <x:v>logística / entregas / usados / postventa / gerente comercial</x:v>
      </x:c>
      <x:c r="N95" s="7" t="str">
        <x:v>Entrega y retiro de tractores, cosechadoras, pulverizadoras, sembradoras e implementos; movimientos por ventas, canjes, usados, service, demostraciones y ferias.</x:v>
      </x:c>
      <x:c r="O95" s="7" t="str">
        <x:v>Plataforma 20 tn para equipos e implementos + malacate/hidrogrúa según maniobra + seguro de carga + trazabilidad GPS + coordinación de entrega.</x:v>
      </x:c>
      <x:c r="P95" s="7" t="str">
        <x:v>Tercerizar entregas y retiros para no inmovilizar flota propia; absorber picos de campaña, ventas, canjes y service fuera de zona con un proveedor regional.</x:v>
      </x:c>
      <x:c r="Q95" s="7" t="str">
        <x:v>Llamada prioritaria; pedir por logística/ventas/postventa y consultar cómo resuelven hoy el próximo equipo a entregar o retirar.</x:v>
      </x:c>
      <x:c r="R95" s="7"/>
      <x:c r="S95" s="160" t="str">
        <x:f>IFERROR(T(INDEX('Prospectos Resumen'!$K$9:$K$295,MATCH(A95,'Prospectos Resumen'!$A$9:$A$295,0))),"")</x:f>
      </x:c>
      <x:c r="T95" s="7"/>
      <x:c r="U95" s="7"/>
      <x:c r="V95" s="7"/>
      <x:c r="W95" s="7"/>
      <x:c r="X95" s="7" t="str">
        <x:v>tel:+548107776666</x:v>
      </x:c>
      <x:c r="Y95" s="7" t="str">
        <x:v>tel:+548107776666</x:v>
      </x:c>
      <x:c r="Z95" s="7" t="str">
        <x:v>Confirmar decisor de logística/entregas y frecuencia mensual de movimientos de equipos.</x:v>
      </x:c>
      <x:c r="AA95" s="7" t="str">
        <x:v>https://www.google.com/maps/search/?api=1&amp;query=CONCI+%E2%80%94+C%C3%B3rdoba+C%C3%B3rdoba+capital+C%C3%B3rdoba+Argentina</x:v>
      </x:c>
      <x:c r="AB95" s="7" t="str">
        <x:v>Web oficial CONCI</x:v>
      </x:c>
      <x:c r="AC95" s="7" t="str">
        <x:v>https://www.conci.com.ar/location</x:v>
      </x:c>
      <x:c r="AD95" s="7" t="str">
        <x:v>Casa central en Juan B. Justo 6500, Córdoba; concesionario John Deere con ventas, repuestos y posventa.</x:v>
      </x:c>
      <x:c r="AE95" s="7" t="str">
        <x:v>Alta</x:v>
      </x:c>
      <x:c r="AF95" s="7" t="str">
        <x:v>Rastrillaje concesionarios agro 2026-09-07</x:v>
      </x:c>
      <x:c r="AG95" s="7" t="str">
        <x:v>plataforma 20 tn para maquinaria agrícola | hidrogrúa para maniobras | malacate | seguro de carga | trazabilidad GPS | coordinación de entregas</x:v>
      </x:c>
      <x:c r="AH95" s="7" t="str">
        <x:v>concesionario agro / maquinaria agrícola</x:v>
      </x:c>
      <x:c r="AI95" s="7" t="str">
        <x:v>Sí</x:v>
      </x:c>
      <x:c r="AJ95" s="7" t="str">
        <x:v>Muy alta</x:v>
      </x:c>
      <x:c r="AK95" s="7" t="str">
        <x:v>Concesionario: preguntar específicamente cómo resuelven entregas, retiros de usados, canjes, service fuera de zona y traslados a exposiciones.</x:v>
      </x:c>
      <x:c r="AL95" s="7" t="str">
        <x:v>Rastrillaje concesionarios agro 2026-09-07</x:v>
      </x:c>
      <x:c r="AM95" s="7" t="str">
        <x:v>Alta nueva del barrido específico de concesionarios, sucursales y multimarca agro; cruzada contra la base maestra para evitar duplicados.</x:v>
      </x:c>
    </x:row>
    <x:row r="96" ht="36">
      <x:c r="A96" s="135" t="str">
        <x:v>CBA-015</x:v>
      </x:c>
      <x:c r="B96" s="135" t="str">
        <x:v>Pendiente</x:v>
      </x:c>
      <x:c r="C96" s="135" t="str">
        <x:v>Córdoba / RN36 norte</x:v>
      </x:c>
      <x:c r="D96" s="135" t="str">
        <x:v>Córdoba capital / área metropolitana</x:v>
      </x:c>
      <x:c r="E96" s="135" t="str">
        <x:v>Córdoba capital</x:v>
      </x:c>
      <x:c r="F96" s="135" t="str">
        <x:v>A</x:v>
      </x:c>
      <x:c r="G96" s="135" t="n">
        <x:v>100</x:v>
      </x:c>
      <x:c r="H96" s="135" t="str">
        <x:v>Moldear Piscinas</x:v>
      </x:c>
      <x:c r="I96" s="135" t="str">
        <x:v>Fabricante de piscinas de fibra de vidrio y red de puntos de venta</x:v>
      </x:c>
      <x:c r="J96" s="135" t="str">
        <x:v>PRFV y plásticos</x:v>
      </x:c>
      <x:c r="K96" s="135" t="str">
        <x:v>0351 4864217 / 0351 5892541</x:v>
      </x:c>
      <x:c r="L96" s="135" t="str">
        <x:v>OK</x:v>
      </x:c>
      <x:c r="M96" s="135" t="str">
        <x:v>logística / instalaciones / obras / ventas</x:v>
      </x:c>
      <x:c r="N96" s="135" t="str">
        <x:v>Despacho recurrente de cascos PRFV de gran volumen desde fábrica hacia obras, franquicias o domicilios; coordinación de descarga y posicionamiento en patios con accesos restringidos.</x:v>
      </x:c>
      <x:c r="O96" s="135" t="str">
        <x:v>Transporte especial de cascos PRFV + hidrogrúa para descarga y posicionamiento en patio/excavación + coordinación con equipo instalador + seguro de carga + trazabilidad GPS.</x:v>
      </x:c>
      <x:c r="P96" s="135" t="str">
        <x:v>Proponer a PRESOL como operador logístico recurrente para entregas de fábrica: un solo proveedor para flete, descarga con hidrogrúa y posicionamiento final del casco.</x:v>
      </x:c>
      <x:c r="Q96" s="135" t="str">
        <x:v>Llamada prioritaria; pedir por responsable de logística/instalaciones/obras y consultar cómo resuelven hoy el flete y la hidrogrúa de cada casco.</x:v>
      </x:c>
      <x:c r="R96" s="135"/>
      <x:c r="S96" s="158" t="str">
        <x:f>IFERROR(T(INDEX('Prospectos Resumen'!$K$9:$K$295,MATCH(A96,'Prospectos Resumen'!$A$9:$A$295,0))),"")</x:f>
      </x:c>
      <x:c r="T96" s="135"/>
      <x:c r="U96" s="135"/>
      <x:c r="V96" s="135"/>
      <x:c r="W96" s="135"/>
      <x:c r="X96" s="135" t="str">
        <x:v>tel:+543514864217</x:v>
      </x:c>
      <x:c r="Y96" s="135" t="str">
        <x:v>tel:+543514864217</x:v>
      </x:c>
      <x:c r="Z96" s="135" t="str">
        <x:v>Confirmar decisor de logística/instalaciones y frecuencia mensual de entregas.</x:v>
      </x:c>
      <x:c r="AA96" s="135" t="str">
        <x:v>https://www.google.com/maps/search/?api=1&amp;query=Moldear+Piscinas+C%C3%B3rdoba+capital+C%C3%B3rdoba+Argentina</x:v>
      </x:c>
      <x:c r="AB96" s="135" t="str">
        <x:v>Web oficial Moldear</x:v>
      </x:c>
      <x:c r="AC96" s="135" t="str">
        <x:v>https://www.moldear.com.ar/</x:v>
      </x:c>
      <x:c r="AD96" s="135" t="str">
        <x:v>Fabricante cordobés de piletas PRFV con amplia red de puntos de venta en la provincia.</x:v>
      </x:c>
      <x:c r="AE96" s="135" t="str">
        <x:v>Alta</x:v>
      </x:c>
      <x:c r="AF96" s="135" t="str">
        <x:v>Rastrillaje piletas PRFV 2026-09-07</x:v>
      </x:c>
      <x:c r="AG96" s="135" t="str">
        <x:v>transporte especial de cascos PRFV | hidrogrúa para descarga y posicionamiento | coordinación de entrega con instalador | seguro de carga | trazabilidad GPS</x:v>
      </x:c>
      <x:c r="AH96" s="135" t="str">
        <x:v>piletas/plástico/PRFV</x:v>
      </x:c>
      <x:c r="AI96" s="135" t="str">
        <x:v>Sí</x:v>
      </x:c>
      <x:c r="AJ96" s="135" t="str">
        <x:v>Muy alta</x:v>
      </x:c>
      <x:c r="AK96" s="135" t="str">
        <x:v>Oportunidad de encaje directo: el casco es voluminoso y liviano; confirmar puntos de izaje, eslingado, radio de giro, obstáculos del lote y recomendaciones del fabricante antes de la maniobra.</x:v>
      </x:c>
      <x:c r="AL96" s="135" t="str">
        <x:v>Rastrillaje PRFV 2026-09-07</x:v>
      </x:c>
      <x:c r="AM96" s="135" t="str">
        <x:v>Alta nueva luego de barrido específico de fabricantes, franquicias y colocadores de piscinas de fibra; cruzada contra la base maestra para evitar duplicados.</x:v>
      </x:c>
    </x:row>
    <x:row r="97" ht="36">
      <x:c r="A97" s="136" t="str">
        <x:v>CBA-024</x:v>
      </x:c>
      <x:c r="B97" s="136" t="str">
        <x:v>Pendiente</x:v>
      </x:c>
      <x:c r="C97" s="136" t="str">
        <x:v>Córdoba / RN36 norte</x:v>
      </x:c>
      <x:c r="D97" s="136" t="str">
        <x:v>Córdoba capital / corredor agro</x:v>
      </x:c>
      <x:c r="E97" s="136" t="str">
        <x:v>Córdoba capital</x:v>
      </x:c>
      <x:c r="F97" s="136" t="str">
        <x:v>A</x:v>
      </x:c>
      <x:c r="G97" s="136" t="n">
        <x:v>100</x:v>
      </x:c>
      <x:c r="H97" s="136" t="str">
        <x:v>Máquinas del Centro — Córdoba</x:v>
      </x:c>
      <x:c r="I97" s="136" t="str">
        <x:v>Concesionario oficial Case IH / Crucianelli / Maizco / Toolking</x:v>
      </x:c>
      <x:c r="J97" s="136" t="str">
        <x:v>Maquinaria agrícola</x:v>
      </x:c>
      <x:c r="K97" s="136" t="str">
        <x:v>0351 7015555 / 0351 8722584</x:v>
      </x:c>
      <x:c r="L97" s="136" t="str">
        <x:v>OK</x:v>
      </x:c>
      <x:c r="M97" s="136" t="str">
        <x:v>logística / entregas / usados / postventa / gerente comercial</x:v>
      </x:c>
      <x:c r="N97" s="136" t="str">
        <x:v>Entrega y retiro de tractores, cosechadoras, pulverizadoras, sembradoras e implementos; movimientos por ventas, canjes, usados, service, demostraciones y ferias.</x:v>
      </x:c>
      <x:c r="O97" s="136" t="str">
        <x:v>Plataforma 20 tn para equipos e implementos + malacate/hidrogrúa según maniobra + seguro de carga + trazabilidad GPS + coordinación de entrega.</x:v>
      </x:c>
      <x:c r="P97" s="136" t="str">
        <x:v>Tercerizar entregas y retiros para no inmovilizar flota propia; absorber picos de campaña, ventas, canjes y service fuera de zona con un proveedor regional.</x:v>
      </x:c>
      <x:c r="Q97" s="136" t="str">
        <x:v>Llamada prioritaria; pedir por logística/ventas/postventa y consultar cómo resuelven hoy el próximo equipo a entregar o retirar.</x:v>
      </x:c>
      <x:c r="R97" s="136"/>
      <x:c r="S97" s="158" t="str">
        <x:f>IFERROR(T(INDEX('Prospectos Resumen'!$K$9:$K$295,MATCH(A97,'Prospectos Resumen'!$A$9:$A$295,0))),"")</x:f>
      </x:c>
      <x:c r="T97" s="136"/>
      <x:c r="U97" s="136"/>
      <x:c r="V97" s="136"/>
      <x:c r="W97" s="136"/>
      <x:c r="X97" s="136" t="str">
        <x:v>tel:+543517015555</x:v>
      </x:c>
      <x:c r="Y97" s="136" t="str">
        <x:v>tel:+543517015555</x:v>
      </x:c>
      <x:c r="Z97" s="136" t="str">
        <x:v>Confirmar decisor de logística/entregas y frecuencia mensual de movimientos de equipos.</x:v>
      </x:c>
      <x:c r="AA97" s="136" t="str">
        <x:v>https://www.google.com/maps/search/?api=1&amp;query=M%C3%A1quinas+del+Centro+%E2%80%94+C%C3%B3rdoba+C%C3%B3rdoba+capital+C%C3%B3rdoba+Argentina</x:v>
      </x:c>
      <x:c r="AB97" s="136" t="str">
        <x:v>Web oficial Máquinas del Centro</x:v>
      </x:c>
      <x:c r="AC97" s="136" t="str">
        <x:v>https://www.maquinasdelcentro.com.ar/contacto</x:v>
      </x:c>
      <x:c r="AD97" s="136" t="str">
        <x:v>Sucursal Córdoba en Autopista Córdoba-Rosario km 701, Polo 52; vende equipos 0 km/usados y presta servicio técnico/postventa.</x:v>
      </x:c>
      <x:c r="AE97" s="136" t="str">
        <x:v>Alta</x:v>
      </x:c>
      <x:c r="AF97" s="136" t="str">
        <x:v>Rastrillaje concesionarios agro 2026-09-07</x:v>
      </x:c>
      <x:c r="AG97" s="136" t="str">
        <x:v>plataforma 20 tn para maquinaria agrícola | hidrogrúa para maniobras | malacate | seguro de carga | trazabilidad GPS | coordinación de entregas</x:v>
      </x:c>
      <x:c r="AH97" s="136" t="str">
        <x:v>concesionario agro / maquinaria agrícola</x:v>
      </x:c>
      <x:c r="AI97" s="136" t="str">
        <x:v>Sí</x:v>
      </x:c>
      <x:c r="AJ97" s="136" t="str">
        <x:v>Muy alta</x:v>
      </x:c>
      <x:c r="AK97" s="136" t="str">
        <x:v>Concesionario: preguntar específicamente cómo resuelven entregas, retiros de usados, canjes, service fuera de zona y traslados a exposiciones.</x:v>
      </x:c>
      <x:c r="AL97" s="136" t="str">
        <x:v>Rastrillaje concesionarios agro 2026-09-07</x:v>
      </x:c>
      <x:c r="AM97" s="136" t="str">
        <x:v>Alta nueva del barrido específico de concesionarios, sucursales y multimarca agro; cruzada contra la base maestra para evitar duplicados.</x:v>
      </x:c>
    </x:row>
    <x:row r="98" ht="60">
      <x:c r="A98" s="9" t="str">
        <x:v>CBA-016</x:v>
      </x:c>
      <x:c r="B98" s="9" t="str">
        <x:v>Pendiente</x:v>
      </x:c>
      <x:c r="C98" s="9" t="str">
        <x:v>Córdoba / RN36 norte</x:v>
      </x:c>
      <x:c r="D98" s="9" t="str">
        <x:v>Córdoba capital / área metropolitana</x:v>
      </x:c>
      <x:c r="E98" s="9" t="str">
        <x:v>Córdoba capital</x:v>
      </x:c>
      <x:c r="F98" s="9" t="str">
        <x:v>A</x:v>
      </x:c>
      <x:c r="G98" s="9" t="n">
        <x:v>100</x:v>
      </x:c>
      <x:c r="H98" s="9" t="str">
        <x:v>Porto Piscinas</x:v>
      </x:c>
      <x:c r="I98" s="9" t="str">
        <x:v>Fabricante de piscinas de fibra / entrega directa</x:v>
      </x:c>
      <x:c r="J98" s="9" t="str">
        <x:v>PRFV y plásticos</x:v>
      </x:c>
      <x:c r="K98" s="9" t="str">
        <x:v>0351 8786914</x:v>
      </x:c>
      <x:c r="L98" s="9" t="str">
        <x:v>OK</x:v>
      </x:c>
      <x:c r="M98" s="9" t="str">
        <x:v>logística / instalaciones / obras / ventas</x:v>
      </x:c>
      <x:c r="N98" s="9" t="str">
        <x:v>Despacho recurrente de cascos PRFV de gran volumen desde fábrica hacia obras, franquicias o domicilios; coordinación de descarga y posicionamiento en patios con accesos restringidos.</x:v>
      </x:c>
      <x:c r="O98" s="9" t="str">
        <x:v>Transporte especial de cascos PRFV + hidrogrúa para descarga y posicionamiento en patio/excavación + coordinación con equipo instalador + seguro de carga + trazabilidad GPS.</x:v>
      </x:c>
      <x:c r="P98" s="9" t="str">
        <x:v>Proponer a PRESOL como operador logístico recurrente para entregas de fábrica: un solo proveedor para flete, descarga con hidrogrúa y posicionamiento final del casco.</x:v>
      </x:c>
      <x:c r="Q98" s="9" t="str">
        <x:v>Llamada prioritaria; pedir por responsable de logística/instalaciones/obras y consultar cómo resuelven hoy el flete y la hidrogrúa de cada casco.</x:v>
      </x:c>
      <x:c r="R98" s="9"/>
      <x:c r="S98" s="159" t="str">
        <x:f>IFERROR(T(INDEX('Prospectos Resumen'!$K$9:$K$295,MATCH(A98,'Prospectos Resumen'!$A$9:$A$295,0))),"")</x:f>
      </x:c>
      <x:c r="T98" s="9"/>
      <x:c r="U98" s="9"/>
      <x:c r="V98" s="9"/>
      <x:c r="W98" s="9"/>
      <x:c r="X98" s="9" t="str">
        <x:v>tel:+543518786914</x:v>
      </x:c>
      <x:c r="Y98" s="9" t="str">
        <x:v>tel:+543518786914</x:v>
      </x:c>
      <x:c r="Z98" s="9" t="str">
        <x:v>Confirmar decisor de logística/instalaciones y frecuencia mensual de entregas.</x:v>
      </x:c>
      <x:c r="AA98" s="9" t="str">
        <x:v>https://www.google.com/maps/search/?api=1&amp;query=Porto+Piscinas+C%C3%B3rdoba+capital+C%C3%B3rdoba+Argentina</x:v>
      </x:c>
      <x:c r="AB98" s="9" t="str">
        <x:v>Web oficial Porto Piscinas</x:v>
      </x:c>
      <x:c r="AC98" s="9" t="str">
        <x:v>https://piscinasporto.com.ar/</x:v>
      </x:c>
      <x:c r="AD98" s="9" t="str">
        <x:v>Fabricación propia en Parque Industrial Polo 52; coordina entregas domiciliarias en todo el país.</x:v>
      </x:c>
      <x:c r="AE98" s="9" t="str">
        <x:v>Alta</x:v>
      </x:c>
      <x:c r="AF98" s="9" t="str">
        <x:v>Rastrillaje piletas PRFV 2026-09-07</x:v>
      </x:c>
      <x:c r="AG98" s="9" t="str">
        <x:v>transporte especial de cascos PRFV | hidrogrúa para descarga y posicionamiento | coordinación de entrega con instalador | seguro de carga | trazabilidad GPS</x:v>
      </x:c>
      <x:c r="AH98" s="9" t="str">
        <x:v>piletas/plástico/PRFV</x:v>
      </x:c>
      <x:c r="AI98" s="9" t="str">
        <x:v>Sí</x:v>
      </x:c>
      <x:c r="AJ98" s="9" t="str">
        <x:v>Muy alta</x:v>
      </x:c>
      <x:c r="AK98" s="9" t="str">
        <x:v>Oportunidad de encaje directo: el casco es voluminoso y liviano; confirmar puntos de izaje, eslingado, radio de giro, obstáculos del lote y recomendaciones del fabricante antes de la maniobra.</x:v>
      </x:c>
      <x:c r="AL98" s="9" t="str">
        <x:v>Rastrillaje PRFV 2026-09-07</x:v>
      </x:c>
      <x:c r="AM98" s="9" t="str">
        <x:v>Alta nueva luego de barrido específico de fabricantes, franquicias y colocadores de piscinas de fibra; cruzada contra la base maestra para evitar duplicados.</x:v>
      </x:c>
    </x:row>
    <x:row r="99" ht="48">
      <x:c r="A99" s="136" t="str">
        <x:v>CBA-001</x:v>
      </x:c>
      <x:c r="B99" s="136" t="str">
        <x:v>Pendiente</x:v>
      </x:c>
      <x:c r="C99" s="136" t="str">
        <x:v>Córdoba / RN36 norte</x:v>
      </x:c>
      <x:c r="D99" s="136" t="str">
        <x:v>Córdoba capital</x:v>
      </x:c>
      <x:c r="E99" s="136" t="str">
        <x:v>Córdoba capital</x:v>
      </x:c>
      <x:c r="F99" s="136" t="str">
        <x:v>A</x:v>
      </x:c>
      <x:c r="G99" s="136" t="n">
        <x:v>100</x:v>
      </x:c>
      <x:c r="H99" s="136" t="str">
        <x:v>Pretencord S.R.L.</x:v>
      </x:c>
      <x:c r="I99" s="136" t="str">
        <x:v>Pretensados y premoldeados de hormigón</x:v>
      </x:c>
      <x:c r="J99" s="136" t="str">
        <x:v>Hormigón, áridos y materiales</x:v>
      </x:c>
      <x:c r="K99" s="136" t="str">
        <x:v>+54 351 2422363 / +54 351 2454059</x:v>
      </x:c>
      <x:c r="L99" s="136" t="str">
        <x:v>OK</x:v>
      </x:c>
      <x:c r="M99" s="136" t="str">
        <x:v>despacho / logística</x:v>
      </x:c>
      <x:c r="N99" s="136" t="str">
        <x:v>Movimiento de premoldeados, equipos de planta/cantera, bombas, moldes y cargas pesadas.</x:v>
      </x:c>
      <x:c r="O99" s="136" t="str">
        <x:v>Transporte de premoldeados/equipos; áridos sueltos solo sujeto a validar caja volcadora o tercerización.</x:v>
      </x:c>
      <x:c r="P99" s="136" t="str">
        <x:v>Despacha a corralones de todo el país; PRESOL puede ofrecer refuerzo logístico regional.</x:v>
      </x:c>
      <x:c r="Q99" s="136" t="str">
        <x:v>Validar teléfono/contacto; si responde, pedir un caso concreto de traslado o próximo movimiento.</x:v>
      </x:c>
      <x:c r="R99" s="136"/>
      <x:c r="S99" s="158" t="str">
        <x:f>IFERROR(T(INDEX('Prospectos Resumen'!$K$9:$K$295,MATCH(A99,'Prospectos Resumen'!$A$9:$A$295,0))),"")</x:f>
      </x:c>
      <x:c r="T99" s="136"/>
      <x:c r="U99" s="136"/>
      <x:c r="V99" s="136"/>
      <x:c r="W99" s="136"/>
      <x:c r="X99" s="136" t="str">
        <x:v>tel:+543512422363</x:v>
      </x:c>
      <x:c r="Y99" s="136" t="str">
        <x:v>tel:+543512422363 | tel:+543512454059</x:v>
      </x:c>
      <x:c r="Z99" s="136" t="str">
        <x:v>Confirmar decisor y vigencia del dato antes de incluir en salida prioritaria.</x:v>
      </x:c>
      <x:c r="AA99" s="136" t="str">
        <x:v>https://www.google.com/maps/search/?api=1&amp;query=Pretencord+S.R.L.+C%C3%B3rdoba+capital+C%C3%B3rdoba+Argentina</x:v>
      </x:c>
      <x:c r="AB99" s="136" t="str">
        <x:v>Web propia Pretencord</x:v>
      </x:c>
      <x:c r="AC99" s="136" t="str">
        <x:v>https://pretencord.com</x:v>
      </x:c>
      <x:c r="AD99" s="136" t="str">
        <x:v>Sitio informa fabricación propia, despacho nacional, red de corralones, WhatsApp/teléfono.</x:v>
      </x:c>
      <x:c r="AE99" s="136" t="str">
        <x:v>Alta</x:v>
      </x:c>
      <x:c r="AF99" s="136" t="str">
        <x:v>Nuevo enriquecimiento 2026-09-02</x:v>
      </x:c>
      <x:c r="AG99" s="136" t="str">
        <x:v>transporte de áridos/materiales | hidrogrúa para carga/descarga | percha para pallets/bolsones</x:v>
      </x:c>
      <x:c r="AH99" s="136" t="str">
        <x:v>áridos/construcción/premoldeados</x:v>
      </x:c>
      <x:c r="AI99" s="136"/>
      <x:c r="AJ99" s="136" t="str">
        <x:v>Muy alta</x:v>
      </x:c>
      <x:c r="AK99" s="136" t="str">
        <x:v>Áridos/materiales: confirmar modalidad de carga/descarga y tipo de unidad requerida antes de cotizar.</x:v>
      </x:c>
      <x:c r="AL99" s="136" t="str">
        <x:v>GPT adjunto + Hermes</x:v>
      </x:c>
      <x:c r="AM99" s="136" t="str">
        <x:v>Fusionado con base Hermes para completar teléfonos/fuentes/servicios.</x:v>
      </x:c>
    </x:row>
    <x:row r="100" ht="60">
      <x:c r="A100" s="135" t="str">
        <x:v>CBA-018</x:v>
      </x:c>
      <x:c r="B100" s="135" t="str">
        <x:v>Pendiente</x:v>
      </x:c>
      <x:c r="C100" s="135" t="str">
        <x:v>Córdoba / RN36 norte</x:v>
      </x:c>
      <x:c r="D100" s="135" t="str">
        <x:v>Córdoba capital / área metropolitana</x:v>
      </x:c>
      <x:c r="E100" s="135" t="str">
        <x:v>Córdoba capital</x:v>
      </x:c>
      <x:c r="F100" s="135" t="str">
        <x:v>A</x:v>
      </x:c>
      <x:c r="G100" s="135" t="n">
        <x:v>98</x:v>
      </x:c>
      <x:c r="H100" s="135" t="str">
        <x:v>Arizona Piscinas</x:v>
      </x:c>
      <x:c r="I100" s="135" t="str">
        <x:v>Fabricante e instalador de piscinas PRFV / Córdoba e interior</x:v>
      </x:c>
      <x:c r="J100" s="135" t="str">
        <x:v>PRFV y plásticos</x:v>
      </x:c>
      <x:c r="K100" s="135" t="str">
        <x:v>+54 9 3541 683449</x:v>
      </x:c>
      <x:c r="L100" s="135" t="str">
        <x:v>OK</x:v>
      </x:c>
      <x:c r="M100" s="135" t="str">
        <x:v>logística / instalaciones / obras / ventas</x:v>
      </x:c>
      <x:c r="N100" s="135" t="str">
        <x:v>Despacho recurrente de cascos PRFV de gran volumen desde fábrica hacia obras, franquicias o domicilios; coordinación de descarga y posicionamiento en patios con accesos restringidos.</x:v>
      </x:c>
      <x:c r="O100" s="135" t="str">
        <x:v>Transporte especial de cascos PRFV + hidrogrúa para descarga y posicionamiento en patio/excavación + coordinación con equipo instalador + seguro de carga + trazabilidad GPS.</x:v>
      </x:c>
      <x:c r="P100" s="135" t="str">
        <x:v>Proponer a PRESOL como operador logístico recurrente para entregas de fábrica: un solo proveedor para flete, descarga con hidrogrúa y posicionamiento final del casco.</x:v>
      </x:c>
      <x:c r="Q100" s="135" t="str">
        <x:v>Llamada prioritaria; pedir por responsable de logística/instalaciones/obras y consultar cómo resuelven hoy el flete y la hidrogrúa de cada casco.</x:v>
      </x:c>
      <x:c r="R100" s="135"/>
      <x:c r="S100" s="158" t="str">
        <x:f>IFERROR(T(INDEX('Prospectos Resumen'!$K$9:$K$295,MATCH(A100,'Prospectos Resumen'!$A$9:$A$295,0))),"")</x:f>
      </x:c>
      <x:c r="T100" s="135"/>
      <x:c r="U100" s="135"/>
      <x:c r="V100" s="135"/>
      <x:c r="W100" s="135"/>
      <x:c r="X100" s="135" t="str">
        <x:v>tel:+5493541683449</x:v>
      </x:c>
      <x:c r="Y100" s="135" t="str">
        <x:v>tel:+5493541683449</x:v>
      </x:c>
      <x:c r="Z100" s="135" t="str">
        <x:v>Confirmar decisor de logística/instalaciones y frecuencia mensual de entregas.</x:v>
      </x:c>
      <x:c r="AA100" s="135" t="str">
        <x:v>https://www.google.com/maps/search/?api=1&amp;query=Arizona+Piscinas+C%C3%B3rdoba+capital+C%C3%B3rdoba+Argentina</x:v>
      </x:c>
      <x:c r="AB100" s="135" t="str">
        <x:v>Web oficial Arizona Piscinas</x:v>
      </x:c>
      <x:c r="AC100" s="135" t="str">
        <x:v>https://arizonapiscinas.com.ar/</x:v>
      </x:c>
      <x:c r="AD100" s="135" t="str">
        <x:v>Declara fabricación e instalación de piscinas PRFV y cobertura en Córdoba Capital e interior.</x:v>
      </x:c>
      <x:c r="AE100" s="135" t="str">
        <x:v>Alta</x:v>
      </x:c>
      <x:c r="AF100" s="135" t="str">
        <x:v>Rastrillaje piletas PRFV 2026-09-07</x:v>
      </x:c>
      <x:c r="AG100" s="135" t="str">
        <x:v>transporte especial de cascos PRFV | hidrogrúa para descarga y posicionamiento | coordinación de entrega con instalador | seguro de carga | trazabilidad GPS</x:v>
      </x:c>
      <x:c r="AH100" s="135" t="str">
        <x:v>piletas/plástico/PRFV</x:v>
      </x:c>
      <x:c r="AI100" s="135" t="str">
        <x:v>Sí</x:v>
      </x:c>
      <x:c r="AJ100" s="135" t="str">
        <x:v>Muy alta</x:v>
      </x:c>
      <x:c r="AK100" s="135" t="str">
        <x:v>Oportunidad de encaje directo: el casco es voluminoso y liviano; confirmar puntos de izaje, eslingado, radio de giro, obstáculos del lote y recomendaciones del fabricante antes de la maniobra.</x:v>
      </x:c>
      <x:c r="AL100" s="135" t="str">
        <x:v>Rastrillaje PRFV 2026-09-07</x:v>
      </x:c>
      <x:c r="AM100" s="135" t="str">
        <x:v>Alta nueva luego de barrido específico de fabricantes, franquicias y colocadores de piscinas de fibra; cruzada contra la base maestra para evitar duplicados.</x:v>
      </x:c>
    </x:row>
    <x:row r="101" ht="48">
      <x:c r="A101" s="136" t="str">
        <x:v>CBA-019</x:v>
      </x:c>
      <x:c r="B101" s="136" t="str">
        <x:v>Pendiente</x:v>
      </x:c>
      <x:c r="C101" s="136" t="str">
        <x:v>Córdoba / RN36 norte</x:v>
      </x:c>
      <x:c r="D101" s="136" t="str">
        <x:v>Córdoba capital / área metropolitana</x:v>
      </x:c>
      <x:c r="E101" s="136" t="str">
        <x:v>Córdoba capital</x:v>
      </x:c>
      <x:c r="F101" s="136" t="str">
        <x:v>A</x:v>
      </x:c>
      <x:c r="G101" s="136" t="n">
        <x:v>98</x:v>
      </x:c>
      <x:c r="H101" s="136" t="str">
        <x:v>Klor Piletas</x:v>
      </x:c>
      <x:c r="I101" s="136" t="str">
        <x:v>Venta e instalación llave en mano de piscinas de fibra / distribuidor Moldear</x:v>
      </x:c>
      <x:c r="J101" s="136" t="str">
        <x:v>PRFV y plásticos</x:v>
      </x:c>
      <x:c r="K101" s="136" t="str">
        <x:v>351 8868899 / 351 8601829</x:v>
      </x:c>
      <x:c r="L101" s="136" t="str">
        <x:v>OK</x:v>
      </x:c>
      <x:c r="M101" s="136" t="str">
        <x:v>logística / instalaciones / obras / ventas</x:v>
      </x:c>
      <x:c r="N101" s="136" t="str">
        <x:v>Traslado del casco PRFV hasta la obra y maniobra de descarga/posicionamiento dentro del lote, muchas veces sobre medianeras o con acceso limitado.</x:v>
      </x:c>
      <x:c r="O101" s="136" t="str">
        <x:v>Transporte del casco PRFV + hidrogrúa para colocación precisa en patio/excavación + coordinación horaria con equipo de instalación + seguro/GPS.</x:v>
      </x:c>
      <x:c r="P101" s="136" t="str">
        <x:v>Ofrecer un servicio llave en mano de logística para que el instalador pueda concentrarse en excavación, nivelación y conexiones, dejando transporte y grúa en manos de PRESOL.</x:v>
      </x:c>
      <x:c r="Q101" s="136" t="str">
        <x:v>Llamada prioritaria; pedir por responsable de logística/instalaciones/obras y consultar cómo resuelven hoy el flete y la hidrogrúa de cada casco.</x:v>
      </x:c>
      <x:c r="R101" s="136"/>
      <x:c r="S101" s="158" t="str">
        <x:f>IFERROR(T(INDEX('Prospectos Resumen'!$K$9:$K$295,MATCH(A101,'Prospectos Resumen'!$A$9:$A$295,0))),"")</x:f>
      </x:c>
      <x:c r="T101" s="136"/>
      <x:c r="U101" s="136"/>
      <x:c r="V101" s="136"/>
      <x:c r="W101" s="136"/>
      <x:c r="X101" s="136" t="str">
        <x:v>tel:+543518868899</x:v>
      </x:c>
      <x:c r="Y101" s="136" t="str">
        <x:v>tel:+543518868899</x:v>
      </x:c>
      <x:c r="Z101" s="136" t="str">
        <x:v>Confirmar decisor de logística/instalaciones y frecuencia mensual de entregas.</x:v>
      </x:c>
      <x:c r="AA101" s="136" t="str">
        <x:v>https://www.google.com/maps/search/?api=1&amp;query=Klor+Piletas+C%C3%B3rdoba+capital+C%C3%B3rdoba+Argentina</x:v>
      </x:c>
      <x:c r="AB101" s="136" t="str">
        <x:v>Web oficial Klor</x:v>
      </x:c>
      <x:c r="AC101" s="136" t="str">
        <x:v>https://klorpiletas.com.ar/instalacion-de-piletas-en-cordoba/</x:v>
      </x:c>
      <x:c r="AD101" s="136" t="str">
        <x:v>Instala piscinas de fibra con movimiento de suelo, colocación y puesta en marcha; opera varias sucursales en Córdoba.</x:v>
      </x:c>
      <x:c r="AE101" s="136" t="str">
        <x:v>Alta</x:v>
      </x:c>
      <x:c r="AF101" s="136" t="str">
        <x:v>Rastrillaje piletas PRFV 2026-09-07</x:v>
      </x:c>
      <x:c r="AG101" s="136" t="str">
        <x:v>transporte especial de cascos PRFV | hidrogrúa para descarga y posicionamiento | coordinación de entrega con instalador | seguro de carga | trazabilidad GPS</x:v>
      </x:c>
      <x:c r="AH101" s="136" t="str">
        <x:v>piletas/plástico/PRFV</x:v>
      </x:c>
      <x:c r="AI101" s="136" t="str">
        <x:v>Sí</x:v>
      </x:c>
      <x:c r="AJ101" s="136" t="str">
        <x:v>Muy alta</x:v>
      </x:c>
      <x:c r="AK101" s="136" t="str">
        <x:v>Oportunidad de encaje directo: el casco es voluminoso y liviano; confirmar puntos de izaje, eslingado, radio de giro, obstáculos del lote y recomendaciones del fabricante antes de la maniobra.</x:v>
      </x:c>
      <x:c r="AL101" s="136" t="str">
        <x:v>Rastrillaje PRFV 2026-09-07</x:v>
      </x:c>
      <x:c r="AM101" s="136" t="str">
        <x:v>Alta nueva luego de barrido específico de fabricantes, franquicias y colocadores de piscinas de fibra; cruzada contra la base maestra para evitar duplicados.</x:v>
      </x:c>
    </x:row>
    <x:row r="102" ht="48">
      <x:c r="A102" s="8" t="str">
        <x:v>CBA-020</x:v>
      </x:c>
      <x:c r="B102" s="8" t="str">
        <x:v>Pendiente</x:v>
      </x:c>
      <x:c r="C102" s="8" t="str">
        <x:v>Córdoba / RN36 norte</x:v>
      </x:c>
      <x:c r="D102" s="8" t="str">
        <x:v>Córdoba capital / área metropolitana</x:v>
      </x:c>
      <x:c r="E102" s="8" t="str">
        <x:v>Córdoba capital</x:v>
      </x:c>
      <x:c r="F102" s="8" t="str">
        <x:v>A</x:v>
      </x:c>
      <x:c r="G102" s="8" t="n">
        <x:v>96</x:v>
      </x:c>
      <x:c r="H102" s="8" t="str">
        <x:v>Piletas Córdoba</x:v>
      </x:c>
      <x:c r="I102" s="8" t="str">
        <x:v>Diseño, venta e instalación de piscinas de fibra</x:v>
      </x:c>
      <x:c r="J102" s="8" t="str">
        <x:v>PRFV y plásticos</x:v>
      </x:c>
      <x:c r="K102" s="8" t="str">
        <x:v>+54 9 351 6425474 / 3462 303611</x:v>
      </x:c>
      <x:c r="L102" s="8" t="str">
        <x:v>OK</x:v>
      </x:c>
      <x:c r="M102" s="8" t="str">
        <x:v>logística / instalaciones / obras / ventas</x:v>
      </x:c>
      <x:c r="N102" s="8" t="str">
        <x:v>Traslado del casco PRFV hasta la obra y maniobra de descarga/posicionamiento dentro del lote, muchas veces sobre medianeras o con acceso limitado.</x:v>
      </x:c>
      <x:c r="O102" s="8" t="str">
        <x:v>Transporte del casco PRFV + hidrogrúa para colocación precisa en patio/excavación + coordinación horaria con equipo de instalación + seguro/GPS.</x:v>
      </x:c>
      <x:c r="P102" s="8" t="str">
        <x:v>Ofrecer un servicio llave en mano de logística para que el instalador pueda concentrarse en excavación, nivelación y conexiones, dejando transporte y grúa en manos de PRESOL.</x:v>
      </x:c>
      <x:c r="Q102" s="8" t="str">
        <x:v>Llamada prioritaria; pedir por responsable de logística/instalaciones/obras y consultar cómo resuelven hoy el flete y la hidrogrúa de cada casco.</x:v>
      </x:c>
      <x:c r="R102" s="8"/>
      <x:c r="S102" s="160" t="str">
        <x:f>IFERROR(T(INDEX('Prospectos Resumen'!$K$9:$K$295,MATCH(A102,'Prospectos Resumen'!$A$9:$A$295,0))),"")</x:f>
      </x:c>
      <x:c r="T102" s="8"/>
      <x:c r="U102" s="8"/>
      <x:c r="V102" s="8"/>
      <x:c r="W102" s="8"/>
      <x:c r="X102" s="8" t="str">
        <x:v>tel:+5493516425474</x:v>
      </x:c>
      <x:c r="Y102" s="8" t="str">
        <x:v>tel:+5493516425474</x:v>
      </x:c>
      <x:c r="Z102" s="8" t="str">
        <x:v>Confirmar decisor de logística/instalaciones y frecuencia mensual de entregas.</x:v>
      </x:c>
      <x:c r="AA102" s="8" t="str">
        <x:v>https://www.google.com/maps/search/?api=1&amp;query=Piletas+C%C3%B3rdoba+C%C3%B3rdoba+capital+C%C3%B3rdoba+Argentina</x:v>
      </x:c>
      <x:c r="AB102" s="8" t="str">
        <x:v>Web oficial Piletas Córdoba</x:v>
      </x:c>
      <x:c r="AC102" s="8" t="str">
        <x:v>https://www.piletascordoba.ar/</x:v>
      </x:c>
      <x:c r="AD102" s="8" t="str">
        <x:v>Empresa cordobesa que diseña e instala piscinas de fibra y coordina instalación y flete.</x:v>
      </x:c>
      <x:c r="AE102" s="8" t="str">
        <x:v>Alta</x:v>
      </x:c>
      <x:c r="AF102" s="8" t="str">
        <x:v>Rastrillaje piletas PRFV 2026-09-07</x:v>
      </x:c>
      <x:c r="AG102" s="8" t="str">
        <x:v>transporte especial de cascos PRFV | hidrogrúa para descarga y posicionamiento | coordinación de entrega con instalador | seguro de carga | trazabilidad GPS</x:v>
      </x:c>
      <x:c r="AH102" s="8" t="str">
        <x:v>piletas/plástico/PRFV</x:v>
      </x:c>
      <x:c r="AI102" s="8" t="str">
        <x:v>Sí</x:v>
      </x:c>
      <x:c r="AJ102" s="8" t="str">
        <x:v>Muy alta</x:v>
      </x:c>
      <x:c r="AK102" s="8" t="str">
        <x:v>Oportunidad de encaje directo: el casco es voluminoso y liviano; confirmar puntos de izaje, eslingado, radio de giro, obstáculos del lote y recomendaciones del fabricante antes de la maniobra.</x:v>
      </x:c>
      <x:c r="AL102" s="8" t="str">
        <x:v>Rastrillaje PRFV 2026-09-07</x:v>
      </x:c>
      <x:c r="AM102" s="8" t="str">
        <x:v>Alta nueva luego de barrido específico de fabricantes, franquicias y colocadores de piscinas de fibra; cruzada contra la base maestra para evitar duplicados.</x:v>
      </x:c>
    </x:row>
    <x:row r="103" ht="48">
      <x:c r="A103" s="136" t="str">
        <x:v>CBA-025</x:v>
      </x:c>
      <x:c r="B103" s="136" t="str">
        <x:v>Pendiente</x:v>
      </x:c>
      <x:c r="C103" s="136" t="str">
        <x:v>Córdoba / RN36 norte</x:v>
      </x:c>
      <x:c r="D103" s="136" t="str">
        <x:v>Córdoba capital / corredor agro</x:v>
      </x:c>
      <x:c r="E103" s="136" t="str">
        <x:v>Córdoba capital</x:v>
      </x:c>
      <x:c r="F103" s="136" t="str">
        <x:v>A</x:v>
      </x:c>
      <x:c r="G103" s="136" t="n">
        <x:v>95</x:v>
      </x:c>
      <x:c r="H103" s="136" t="str">
        <x:v>Agronorte — Córdoba</x:v>
      </x:c>
      <x:c r="I103" s="136" t="str">
        <x:v>Concesionario/red John Deere / maquinaria agrícola</x:v>
      </x:c>
      <x:c r="J103" s="136" t="str">
        <x:v>Maquinaria agrícola</x:v>
      </x:c>
      <x:c r="K103" s="136" t="str">
        <x:v>0351 5890240</x:v>
      </x:c>
      <x:c r="L103" s="136" t="str">
        <x:v>OK</x:v>
      </x:c>
      <x:c r="M103" s="136" t="str">
        <x:v>logística / entregas / usados / postventa / gerente comercial</x:v>
      </x:c>
      <x:c r="N103" s="136" t="str">
        <x:v>Entrega y retiro de tractores, cosechadoras, pulverizadoras, sembradoras e implementos; movimientos por ventas, canjes, usados, service, demostraciones y ferias.</x:v>
      </x:c>
      <x:c r="O103" s="136" t="str">
        <x:v>Plataforma 20 tn para equipos e implementos + malacate/hidrogrúa según maniobra + seguro de carga + trazabilidad GPS + coordinación de entrega.</x:v>
      </x:c>
      <x:c r="P103" s="136" t="str">
        <x:v>Tercerizar entregas y retiros para no inmovilizar flota propia; absorber picos de campaña, ventas, canjes y service fuera de zona con un proveedor regional.</x:v>
      </x:c>
      <x:c r="Q103" s="136" t="str">
        <x:v>Llamada prioritaria; pedir por logística/ventas/postventa y consultar cómo resuelven hoy el próximo equipo a entregar o retirar.</x:v>
      </x:c>
      <x:c r="R103" s="136"/>
      <x:c r="S103" s="158" t="str">
        <x:f>IFERROR(T(INDEX('Prospectos Resumen'!$K$9:$K$295,MATCH(A103,'Prospectos Resumen'!$A$9:$A$295,0))),"")</x:f>
      </x:c>
      <x:c r="T103" s="136"/>
      <x:c r="U103" s="136"/>
      <x:c r="V103" s="136"/>
      <x:c r="W103" s="136"/>
      <x:c r="X103" s="136" t="str">
        <x:v>tel:+543515890240</x:v>
      </x:c>
      <x:c r="Y103" s="136" t="str">
        <x:v>tel:+543515890240</x:v>
      </x:c>
      <x:c r="Z103" s="136" t="str">
        <x:v>Confirmar decisor de logística/entregas y frecuencia mensual de movimientos de equipos.</x:v>
      </x:c>
      <x:c r="AA103" s="136" t="str">
        <x:v>https://www.google.com/maps/search/?api=1&amp;query=Agronorte+%E2%80%94+C%C3%B3rdoba+C%C3%B3rdoba+capital+C%C3%B3rdoba+Argentina</x:v>
      </x:c>
      <x:c r="AB103" s="136" t="str">
        <x:v>Asociación de Concesionarios John Deere / ficha local</x:v>
      </x:c>
      <x:c r="AC103" s="136" t="str">
        <x:v>https://acjd.com.ar/concesionarios/</x:v>
      </x:c>
      <x:c r="AD103" s="136" t="str">
        <x:v>La Asociación John Deere lista a Agronorte con sucursal en Córdoba; punto sobre Autopista Córdoba-Rosario.</x:v>
      </x:c>
      <x:c r="AE103" s="136" t="str">
        <x:v>Alta</x:v>
      </x:c>
      <x:c r="AF103" s="136" t="str">
        <x:v>Rastrillaje concesionarios agro 2026-09-07</x:v>
      </x:c>
      <x:c r="AG103" s="136" t="str">
        <x:v>plataforma 20 tn para maquinaria agrícola | hidrogrúa para maniobras | malacate | seguro de carga | trazabilidad GPS | coordinación de entregas</x:v>
      </x:c>
      <x:c r="AH103" s="136" t="str">
        <x:v>concesionario agro / maquinaria agrícola</x:v>
      </x:c>
      <x:c r="AI103" s="136" t="str">
        <x:v>Sí</x:v>
      </x:c>
      <x:c r="AJ103" s="136" t="str">
        <x:v>Muy alta</x:v>
      </x:c>
      <x:c r="AK103" s="136" t="str">
        <x:v>Concesionario: preguntar específicamente cómo resuelven entregas, retiros de usados, canjes, service fuera de zona y traslados a exposiciones.</x:v>
      </x:c>
      <x:c r="AL103" s="136" t="str">
        <x:v>Rastrillaje concesionarios agro 2026-09-07</x:v>
      </x:c>
      <x:c r="AM103" s="136" t="str">
        <x:v>Alta nueva del barrido específico de concesionarios, sucursales y multimarca agro; cruzada contra la base maestra para evitar duplicados.</x:v>
      </x:c>
    </x:row>
    <x:row r="104" ht="36">
      <x:c r="A104" s="135" t="str">
        <x:v>CBA-021</x:v>
      </x:c>
      <x:c r="B104" s="135" t="str">
        <x:v>Pendiente</x:v>
      </x:c>
      <x:c r="C104" s="135" t="str">
        <x:v>Córdoba / RN36 norte</x:v>
      </x:c>
      <x:c r="D104" s="135" t="str">
        <x:v>Córdoba capital / área metropolitana</x:v>
      </x:c>
      <x:c r="E104" s="135" t="str">
        <x:v>Córdoba capital</x:v>
      </x:c>
      <x:c r="F104" s="135" t="str">
        <x:v>A</x:v>
      </x:c>
      <x:c r="G104" s="135" t="n">
        <x:v>94</x:v>
      </x:c>
      <x:c r="H104" s="135" t="str">
        <x:v>Aquapool Piscinas Córdoba</x:v>
      </x:c>
      <x:c r="I104" s="135" t="str">
        <x:v>Instalación de piscinas de fibra de vidrio / llave en mano</x:v>
      </x:c>
      <x:c r="J104" s="135" t="str">
        <x:v>PRFV y plásticos</x:v>
      </x:c>
      <x:c r="K104" s="135" t="str">
        <x:v>351 3039080</x:v>
      </x:c>
      <x:c r="L104" s="135" t="str">
        <x:v>OK</x:v>
      </x:c>
      <x:c r="M104" s="135" t="str">
        <x:v>logística / instalaciones / obras / ventas</x:v>
      </x:c>
      <x:c r="N104" s="135" t="str">
        <x:v>Traslado del casco PRFV hasta la obra y maniobra de descarga/posicionamiento dentro del lote, muchas veces sobre medianeras o con acceso limitado.</x:v>
      </x:c>
      <x:c r="O104" s="135" t="str">
        <x:v>Transporte del casco PRFV + hidrogrúa para colocación precisa en patio/excavación + coordinación horaria con equipo de instalación + seguro/GPS.</x:v>
      </x:c>
      <x:c r="P104" s="135" t="str">
        <x:v>Ofrecer un servicio llave en mano de logística para que el instalador pueda concentrarse en excavación, nivelación y conexiones, dejando transporte y grúa en manos de PRESOL.</x:v>
      </x:c>
      <x:c r="Q104" s="135" t="str">
        <x:v>Llamada prioritaria; pedir por responsable de logística/instalaciones/obras y consultar cómo resuelven hoy el flete y la hidrogrúa de cada casco.</x:v>
      </x:c>
      <x:c r="R104" s="135"/>
      <x:c r="S104" s="158" t="str">
        <x:f>IFERROR(T(INDEX('Prospectos Resumen'!$K$9:$K$295,MATCH(A104,'Prospectos Resumen'!$A$9:$A$295,0))),"")</x:f>
      </x:c>
      <x:c r="T104" s="135"/>
      <x:c r="U104" s="135"/>
      <x:c r="V104" s="135"/>
      <x:c r="W104" s="135"/>
      <x:c r="X104" s="135" t="str">
        <x:v>tel:+543513039080</x:v>
      </x:c>
      <x:c r="Y104" s="135" t="str">
        <x:v>tel:+543513039080</x:v>
      </x:c>
      <x:c r="Z104" s="135" t="str">
        <x:v>Confirmar decisor de logística/instalaciones y frecuencia mensual de entregas.</x:v>
      </x:c>
      <x:c r="AA104" s="135" t="str">
        <x:v>https://www.google.com/maps/search/?api=1&amp;query=Aquapool+Piscinas+C%C3%B3rdoba+C%C3%B3rdoba+capital+C%C3%B3rdoba+Argentina</x:v>
      </x:c>
      <x:c r="AB104" s="135" t="str">
        <x:v>Web oficial Aquapool</x:v>
      </x:c>
      <x:c r="AC104" s="135" t="str">
        <x:v>https://piscinasaquapool.com/</x:v>
      </x:c>
      <x:c r="AD104" s="135" t="str">
        <x:v>Especialista en instalación de piscinas de fibra en Córdoba y alrededores; ofrece modalidades con materiales y logística.</x:v>
      </x:c>
      <x:c r="AE104" s="135" t="str">
        <x:v>Alta</x:v>
      </x:c>
      <x:c r="AF104" s="135" t="str">
        <x:v>Rastrillaje piletas PRFV 2026-09-07</x:v>
      </x:c>
      <x:c r="AG104" s="135" t="str">
        <x:v>transporte especial de cascos PRFV | hidrogrúa para descarga y posicionamiento | coordinación de entrega con instalador | seguro de carga | trazabilidad GPS</x:v>
      </x:c>
      <x:c r="AH104" s="135" t="str">
        <x:v>piletas/plástico/PRFV</x:v>
      </x:c>
      <x:c r="AI104" s="135" t="str">
        <x:v>Sí</x:v>
      </x:c>
      <x:c r="AJ104" s="135" t="str">
        <x:v>Muy alta</x:v>
      </x:c>
      <x:c r="AK104" s="135" t="str">
        <x:v>Oportunidad de encaje directo: el casco es voluminoso y liviano; confirmar puntos de izaje, eslingado, radio de giro, obstáculos del lote y recomendaciones del fabricante antes de la maniobra.</x:v>
      </x:c>
      <x:c r="AL104" s="135" t="str">
        <x:v>Rastrillaje PRFV 2026-09-07</x:v>
      </x:c>
      <x:c r="AM104" s="135" t="str">
        <x:v>Alta nueva luego de barrido específico de fabricantes, franquicias y colocadores de piscinas de fibra; cruzada contra la base maestra para evitar duplicados.</x:v>
      </x:c>
    </x:row>
    <x:row r="105" ht="48">
      <x:c r="A105" s="136" t="str">
        <x:v>CBA-014</x:v>
      </x:c>
      <x:c r="B105" s="136" t="str">
        <x:v>Pendiente</x:v>
      </x:c>
      <x:c r="C105" s="136" t="str">
        <x:v>Córdoba / RN36 norte</x:v>
      </x:c>
      <x:c r="D105" s="136" t="str">
        <x:v>Córdoba capital</x:v>
      </x:c>
      <x:c r="E105" s="136" t="str">
        <x:v>Córdoba capital</x:v>
      </x:c>
      <x:c r="F105" s="136" t="str">
        <x:v>A</x:v>
      </x:c>
      <x:c r="G105" s="136" t="n">
        <x:v>92</x:v>
      </x:c>
      <x:c r="H105" s="136" t="str">
        <x:v>Semtraco — Córdoba</x:v>
      </x:c>
      <x:c r="I105" s="136" t="str">
        <x:v>Concesionario Case IH / maquinaria agrícola e implementos</x:v>
      </x:c>
      <x:c r="J105" s="136" t="str">
        <x:v>Maquinaria agrícola</x:v>
      </x:c>
      <x:c r="K105" s="136" t="str">
        <x:v>+54 9 351 8504937</x:v>
      </x:c>
      <x:c r="L105" s="136" t="str">
        <x:v>OK</x:v>
      </x:c>
      <x:c r="M105" s="136" t="str">
        <x:v>logística / ventas / postventa</x:v>
      </x:c>
      <x:c r="N105" s="136" t="str">
        <x:v>Entrega y retiro de tractores, cosechadoras, pulverizadoras, sembradoras e implementos; movimientos por venta, service, canje, demostraciones o ferias.</x:v>
      </x:c>
      <x:c r="O105" s="136" t="str">
        <x:v>Plataforma 20 tn para maquinaria agrícola + malacate/hidrogrúa según maniobra + seguro de carga + trazabilidad GPS.</x:v>
      </x:c>
      <x:c r="P105" s="136" t="str">
        <x:v>Ofrecer transporte tercerizado para entregas a clientes y retiros de usados/service, especialmente en picos de campaña y operaciones fuera de zona.</x:v>
      </x:c>
      <x:c r="Q105" s="136" t="str">
        <x:v>Llamada comercial prioritaria; pedir por logística/ventas/postventa y consultar próximo equipo a trasladar.</x:v>
      </x:c>
      <x:c r="R105" s="136"/>
      <x:c r="S105" s="158" t="str">
        <x:f>IFERROR(T(INDEX('Prospectos Resumen'!$K$9:$K$295,MATCH(A105,'Prospectos Resumen'!$A$9:$A$295,0))),"")</x:f>
      </x:c>
      <x:c r="T105" s="136"/>
      <x:c r="U105" s="136"/>
      <x:c r="V105" s="136"/>
      <x:c r="W105" s="136"/>
      <x:c r="X105" s="136" t="str">
        <x:v>tel:+5493518504937</x:v>
      </x:c>
      <x:c r="Y105" s="136" t="str">
        <x:v>tel:+5493518504937</x:v>
      </x:c>
      <x:c r="Z105" s="136" t="str">
        <x:v>Confirmar decisor y frecuencia de traslados.</x:v>
      </x:c>
      <x:c r="AA105" s="136" t="str">
        <x:v>https://www.google.com/maps/search/?api=1&amp;query=Semtraco+%E2%80%94+C%C3%B3rdoba+C%C3%B3rdoba+capital+C%C3%B3rdoba+Argentina</x:v>
      </x:c>
      <x:c r="AB105" s="136" t="str">
        <x:v>Web oficial Semtraco</x:v>
      </x:c>
      <x:c r="AC105" s="136" t="str">
        <x:v>https://www.semtraco.com.ar/</x:v>
      </x:c>
      <x:c r="AD105" s="136" t="str">
        <x:v>Sucursal Córdoba de concesionario de maquinaria agrícola; potencial de movimientos interurbanos por corredor RN36.</x:v>
      </x:c>
      <x:c r="AE105" s="136" t="str">
        <x:v>Alta</x:v>
      </x:c>
      <x:c r="AF105" s="136" t="str">
        <x:v>Rastrillaje agro-maquinaria web 2026-09-07</x:v>
      </x:c>
      <x:c r="AG105" s="136" t="str">
        <x:v>plataforma 20 tn para maquinaria/implementos | hidrogrúa para maniobras | malacate | seguro de carga | trazabilidad GPS</x:v>
      </x:c>
      <x:c r="AH105" s="136" t="str">
        <x:v>fabricante/concesionario/servicio maquinaria agrícola</x:v>
      </x:c>
      <x:c r="AI105" s="136" t="str">
        <x:v>Sí</x:v>
      </x:c>
      <x:c r="AJ105" s="136" t="str">
        <x:v>Muy alta</x:v>
      </x:c>
      <x:c r="AK105" s="136" t="str">
        <x:v>Perfil específico maquinaria agrícola: validar pesos/dimensiones, tipo de carga y disponibilidad de medios de izaje antes de cotizar.</x:v>
      </x:c>
      <x:c r="AL105" s="136" t="str">
        <x:v>Rastrillaje agro-maquinaria 2026-09-07</x:v>
      </x:c>
      <x:c r="AM105" s="136" t="str">
        <x:v>Alta nueva luego de barrido específico de fabricantes, implementos, tractores, concesionarios y agropartes; cruzada contra la base maestra para evitar duplicados.</x:v>
      </x:c>
    </x:row>
    <x:row r="106" ht="48">
      <x:c r="A106" s="8" t="str">
        <x:v>CBA-022</x:v>
      </x:c>
      <x:c r="B106" s="8" t="str">
        <x:v>Pendiente</x:v>
      </x:c>
      <x:c r="C106" s="8" t="str">
        <x:v>Córdoba / RN36 norte</x:v>
      </x:c>
      <x:c r="D106" s="8" t="str">
        <x:v>Córdoba capital / área metropolitana</x:v>
      </x:c>
      <x:c r="E106" s="8" t="str">
        <x:v>Córdoba capital</x:v>
      </x:c>
      <x:c r="F106" s="8" t="str">
        <x:v>A</x:v>
      </x:c>
      <x:c r="G106" s="8" t="n">
        <x:v>90</x:v>
      </x:c>
      <x:c r="H106" s="8" t="str">
        <x:v>Vitro Piscinas Córdoba</x:v>
      </x:c>
      <x:c r="I106" s="8" t="str">
        <x:v>Piscinas de fibra / instalación completa</x:v>
      </x:c>
      <x:c r="J106" s="8" t="str">
        <x:v>PRFV y plásticos</x:v>
      </x:c>
      <x:c r="K106" s="8" t="str">
        <x:v>3541 652624</x:v>
      </x:c>
      <x:c r="L106" s="8" t="str">
        <x:v>Verificar</x:v>
      </x:c>
      <x:c r="M106" s="8" t="str">
        <x:v>logística / instalaciones / obras / ventas</x:v>
      </x:c>
      <x:c r="N106" s="8" t="str">
        <x:v>Traslado del casco PRFV hasta la obra y maniobra de descarga/posicionamiento dentro del lote, muchas veces sobre medianeras o con acceso limitado.</x:v>
      </x:c>
      <x:c r="O106" s="8" t="str">
        <x:v>Transporte del casco PRFV + hidrogrúa para colocación precisa en patio/excavación + coordinación horaria con equipo de instalación + seguro/GPS.</x:v>
      </x:c>
      <x:c r="P106" s="8" t="str">
        <x:v>Ofrecer un servicio llave en mano de logística para que el instalador pueda concentrarse en excavación, nivelación y conexiones, dejando transporte y grúa en manos de PRESOL.</x:v>
      </x:c>
      <x:c r="Q106" s="8" t="str">
        <x:v>Llamada prioritaria; pedir por responsable de logística/instalaciones/obras y consultar cómo resuelven hoy el flete y la hidrogrúa de cada casco.</x:v>
      </x:c>
      <x:c r="R106" s="8"/>
      <x:c r="S106" s="160" t="str">
        <x:f>IFERROR(T(INDEX('Prospectos Resumen'!$K$9:$K$295,MATCH(A106,'Prospectos Resumen'!$A$9:$A$295,0))),"")</x:f>
      </x:c>
      <x:c r="T106" s="8"/>
      <x:c r="U106" s="8"/>
      <x:c r="V106" s="8"/>
      <x:c r="W106" s="8"/>
      <x:c r="X106" s="8" t="str">
        <x:v>tel:+543541652624</x:v>
      </x:c>
      <x:c r="Y106" s="8" t="str">
        <x:v>tel:+543541652624</x:v>
      </x:c>
      <x:c r="Z106" s="8" t="str">
        <x:v>Validar teléfono directo, decisor y si la instalación/manipulación se realiza con equipo propio o tercerizado.</x:v>
      </x:c>
      <x:c r="AA106" s="8" t="str">
        <x:v>https://www.google.com/maps/search/?api=1&amp;query=Vitro+Piscinas+C%C3%B3rdoba+C%C3%B3rdoba+capital+C%C3%B3rdoba+Argentina</x:v>
      </x:c>
      <x:c r="AB106" s="8" t="str">
        <x:v>Web oficial Vitro Piscinas</x:v>
      </x:c>
      <x:c r="AC106" s="8" t="str">
        <x:v>https://www.vitropiscinas.com/</x:v>
      </x:c>
      <x:c r="AD106" s="8" t="str">
        <x:v>Publica proceso completo de excavación, colocación de piscina, equipo y terminaciones; validar contacto local.</x:v>
      </x:c>
      <x:c r="AE106" s="8" t="str">
        <x:v>Media</x:v>
      </x:c>
      <x:c r="AF106" s="8" t="str">
        <x:v>Rastrillaje piletas PRFV 2026-09-07</x:v>
      </x:c>
      <x:c r="AG106" s="8" t="str">
        <x:v>transporte especial de cascos PRFV | hidrogrúa para descarga y posicionamiento | coordinación de entrega con instalador | seguro de carga | trazabilidad GPS</x:v>
      </x:c>
      <x:c r="AH106" s="8" t="str">
        <x:v>piletas/plástico/PRFV</x:v>
      </x:c>
      <x:c r="AI106" s="8" t="str">
        <x:v>Sí</x:v>
      </x:c>
      <x:c r="AJ106" s="8" t="str">
        <x:v>Alta</x:v>
      </x:c>
      <x:c r="AK106" s="8" t="str">
        <x:v>Oportunidad de encaje directo: el casco es voluminoso y liviano; confirmar puntos de izaje, eslingado, radio de giro, obstáculos del lote y recomendaciones del fabricante antes de la maniobra.</x:v>
      </x:c>
      <x:c r="AL106" s="8" t="str">
        <x:v>Rastrillaje PRFV 2026-09-07</x:v>
      </x:c>
      <x:c r="AM106" s="8" t="str">
        <x:v>Alta nueva luego de barrido específico de fabricantes, franquicias y colocadores de piscinas de fibra; cruzada contra la base maestra para evitar duplicados.</x:v>
      </x:c>
    </x:row>
    <x:row r="107" ht="48">
      <x:c r="A107" s="136" t="str">
        <x:v>CBA-002</x:v>
      </x:c>
      <x:c r="B107" s="136" t="str">
        <x:v>Pendiente</x:v>
      </x:c>
      <x:c r="C107" s="136" t="str">
        <x:v>Córdoba / RN36 norte</x:v>
      </x:c>
      <x:c r="D107" s="136" t="str">
        <x:v>Córdoba capital</x:v>
      </x:c>
      <x:c r="E107" s="136" t="str">
        <x:v>Córdoba capital</x:v>
      </x:c>
      <x:c r="F107" s="136" t="str">
        <x:v>B</x:v>
      </x:c>
      <x:c r="G107" s="136" t="n">
        <x:v>75</x:v>
      </x:c>
      <x:c r="H107" s="136" t="str">
        <x:v>Boetto y Buttigliengo S.A.</x:v>
      </x:c>
      <x:c r="I107" s="136" t="str">
        <x:v>Constructora</x:v>
      </x:c>
      <x:c r="J107" s="136" t="str">
        <x:v>Construcción y obra vial</x:v>
      </x:c>
      <x:c r="K107" s="136" t="str">
        <x:v>0351 4653272</x:v>
      </x:c>
      <x:c r="L107" s="136" t="str">
        <x:v>OK</x:v>
      </x:c>
      <x:c r="M107" s="136" t="str">
        <x:v>jefe de obra / logística</x:v>
      </x:c>
      <x:c r="N107" s="136" t="str">
        <x:v>Traslado de maquinaria, módulos de obrador, estructuras, equipos y cargas pesadas entre frentes.</x:v>
      </x:c>
      <x:c r="O107" s="136" t="str">
        <x:v>Transporte de equipos, módulos de obrador, estructuras y materiales pesados; descarga o posicionamiento cuando aplique.</x:v>
      </x:c>
      <x:c r="P107" s="136" t="str">
        <x:v>Prospecto grande; mejor por obra/encargado que por administración.</x:v>
      </x:c>
      <x:c r="Q107" s="136" t="str">
        <x:v>Visita o llamada de validación; pedir próximo traslado concreto.</x:v>
      </x:c>
      <x:c r="R107" s="136"/>
      <x:c r="S107" s="158" t="str">
        <x:f>IFERROR(T(INDEX('Prospectos Resumen'!$K$9:$K$295,MATCH(A107,'Prospectos Resumen'!$A$9:$A$295,0))),"")</x:f>
      </x:c>
      <x:c r="T107" s="136"/>
      <x:c r="U107" s="136"/>
      <x:c r="V107" s="136"/>
      <x:c r="W107" s="136"/>
      <x:c r="X107" s="136" t="str">
        <x:v>tel:+543514653272</x:v>
      </x:c>
      <x:c r="Y107" s="136" t="str">
        <x:v>tel:+543514653272</x:v>
      </x:c>
      <x:c r="Z107" s="136" t="str">
        <x:v>Validar contacto decisor y necesidad inmediata.</x:v>
      </x:c>
      <x:c r="AA107" s="136" t="str">
        <x:v>https://www.google.com/maps/search/?api=1&amp;query=-31.449963,-64.252114</x:v>
      </x:c>
      <x:c r="AB107" s="136" t="str">
        <x:v>BNamericas / bbcsa.com.ar</x:v>
      </x:c>
      <x:c r="AC107" s="136"/>
      <x:c r="AD107" s="136" t="str">
        <x:v>Registro curado en documento de dirección PRESOL 2026-09.</x:v>
      </x:c>
      <x:c r="AE107" s="136" t="str">
        <x:v>Alta</x:v>
      </x:c>
      <x:c r="AF107" s="136" t="str">
        <x:v>Base curada PDF dirección</x:v>
      </x:c>
      <x:c r="AG107" s="136" t="str">
        <x:v>transporte de áridos/materiales | hidrogrúa para carga/descarga | percha para pallets/bolsones</x:v>
      </x:c>
      <x:c r="AH107" s="136" t="str">
        <x:v>otro rubro factible</x:v>
      </x:c>
      <x:c r="AI107" s="136"/>
      <x:c r="AJ107" s="136" t="str">
        <x:v>Alta</x:v>
      </x:c>
      <x:c r="AK107" s="136"/>
      <x:c r="AL107" s="136" t="str">
        <x:v>GPT adjunto + Hermes</x:v>
      </x:c>
      <x:c r="AM107" s="136" t="str">
        <x:v>Fusionado con base Hermes para completar teléfonos/fuentes/servicios.</x:v>
      </x:c>
    </x:row>
    <x:row r="108" ht="72">
      <x:c r="A108" s="8" t="str">
        <x:v>CBA-003</x:v>
      </x:c>
      <x:c r="B108" s="8" t="str">
        <x:v>Pendiente</x:v>
      </x:c>
      <x:c r="C108" s="8" t="str">
        <x:v>Córdoba / RN36 norte</x:v>
      </x:c>
      <x:c r="D108" s="8" t="str">
        <x:v>Córdoba capital</x:v>
      </x:c>
      <x:c r="E108" s="8" t="str">
        <x:v>Córdoba capital</x:v>
      </x:c>
      <x:c r="F108" s="8" t="str">
        <x:v>B</x:v>
      </x:c>
      <x:c r="G108" s="8" t="n">
        <x:v>75</x:v>
      </x:c>
      <x:c r="H108" s="8" t="str">
        <x:v>CABIAL Empresa Constructora</x:v>
      </x:c>
      <x:c r="I108" s="8" t="str">
        <x:v>Constructora</x:v>
      </x:c>
      <x:c r="J108" s="8" t="str">
        <x:v>Construcción y obra vial</x:v>
      </x:c>
      <x:c r="K108" s="8" t="str">
        <x:v>0351 4822855 / 0351 4658599</x:v>
      </x:c>
      <x:c r="L108" s="8" t="str">
        <x:v>OK</x:v>
      </x:c>
      <x:c r="M108" s="8" t="str">
        <x:v>jefe de obra / logística</x:v>
      </x:c>
      <x:c r="N108" s="8" t="str">
        <x:v>Traslado de maquinaria, módulos de obrador, estructuras, equipos y cargas pesadas entre frentes.</x:v>
      </x:c>
      <x:c r="O108" s="8" t="str">
        <x:v>Transporte de equipos, módulos de obrador, estructuras y materiales pesados; descarga o posicionamiento cuando aplique.</x:v>
      </x:c>
      <x:c r="P108" s="8" t="str">
        <x:v>Cotizar traslado concreto, no presentación genérica.</x:v>
      </x:c>
      <x:c r="Q108" s="8" t="str">
        <x:v>Visita o llamada de validación; pedir próximo traslado concreto.</x:v>
      </x:c>
      <x:c r="R108" s="8"/>
      <x:c r="S108" s="160" t="str">
        <x:f>IFERROR(T(INDEX('Prospectos Resumen'!$K$9:$K$295,MATCH(A108,'Prospectos Resumen'!$A$9:$A$295,0))),"")</x:f>
      </x:c>
      <x:c r="T108" s="8"/>
      <x:c r="U108" s="8"/>
      <x:c r="V108" s="8"/>
      <x:c r="W108" s="8"/>
      <x:c r="X108" s="8" t="str">
        <x:v>tel:+543514822855</x:v>
      </x:c>
      <x:c r="Y108" s="8" t="str">
        <x:v>tel:+543514822855 | tel:+543514658599</x:v>
      </x:c>
      <x:c r="Z108" s="8" t="str">
        <x:v>Validar contacto decisor y necesidad inmediata.</x:v>
      </x:c>
      <x:c r="AA108" s="8" t="str">
        <x:v>https://www.google.com/maps/search/?api=1&amp;query=-31.438000,-64.205000</x:v>
      </x:c>
      <x:c r="AB108" s="8" t="str">
        <x:v>arempresas.com</x:v>
      </x:c>
      <x:c r="AC108" s="8"/>
      <x:c r="AD108" s="8" t="str">
        <x:v>Registro curado en documento de dirección PRESOL 2026-09.</x:v>
      </x:c>
      <x:c r="AE108" s="8" t="str">
        <x:v>Alta</x:v>
      </x:c>
      <x:c r="AF108" s="8" t="str">
        <x:v>Base curada PDF dirección</x:v>
      </x:c>
      <x:c r="AG108" s="8" t="str">
        <x:v>transporte de áridos/materiales | hidrogrúa para carga/descarga | percha para pallets/bolsones</x:v>
      </x:c>
      <x:c r="AH108" s="8" t="str">
        <x:v>otro rubro factible</x:v>
      </x:c>
      <x:c r="AI108" s="8"/>
      <x:c r="AJ108" s="8" t="str">
        <x:v>Alta</x:v>
      </x:c>
      <x:c r="AK108" s="8"/>
      <x:c r="AL108" s="8" t="str">
        <x:v>GPT adjunto + Hermes</x:v>
      </x:c>
      <x:c r="AM108" s="8" t="str">
        <x:v>Fusionado con base Hermes para completar teléfonos/fuentes/servicios.</x:v>
      </x:c>
    </x:row>
    <x:row r="109" ht="48">
      <x:c r="A109" s="136" t="str">
        <x:v>CBA-004</x:v>
      </x:c>
      <x:c r="B109" s="136" t="str">
        <x:v>Pendiente</x:v>
      </x:c>
      <x:c r="C109" s="136" t="str">
        <x:v>Córdoba / RN36 norte</x:v>
      </x:c>
      <x:c r="D109" s="136" t="str">
        <x:v>Córdoba capital</x:v>
      </x:c>
      <x:c r="E109" s="136" t="str">
        <x:v>Córdoba capital</x:v>
      </x:c>
      <x:c r="F109" s="136" t="str">
        <x:v>B</x:v>
      </x:c>
      <x:c r="G109" s="136" t="n">
        <x:v>60</x:v>
      </x:c>
      <x:c r="H109" s="136" t="str">
        <x:v>IngaV Constructora</x:v>
      </x:c>
      <x:c r="I109" s="136" t="str">
        <x:v>Constructora</x:v>
      </x:c>
      <x:c r="J109" s="136" t="str">
        <x:v>Construcción y obra vial</x:v>
      </x:c>
      <x:c r="K109" s="136" t="str">
        <x:v>0351 5890684 / 0351 5579222 (verificar)</x:v>
      </x:c>
      <x:c r="L109" s="136" t="str">
        <x:v>Verificar</x:v>
      </x:c>
      <x:c r="M109" s="136" t="str">
        <x:v>jefe de obra / logística</x:v>
      </x:c>
      <x:c r="N109" s="136" t="str">
        <x:v>Traslado de maquinaria, módulos de obrador, estructuras, equipos y cargas pesadas entre frentes.</x:v>
      </x:c>
      <x:c r="O109" s="136" t="str">
        <x:v>Transporte de equipos, módulos de obrador, estructuras y materiales pesados; descarga o posicionamiento cuando aplique.</x:v>
      </x:c>
      <x:c r="P109" s="136" t="str">
        <x:v>Contacto directo WhatsApp; pedir próximo traslado.</x:v>
      </x:c>
      <x:c r="Q109" s="136" t="str">
        <x:v>Visita o llamada de validación; pedir próximo traslado concreto.</x:v>
      </x:c>
      <x:c r="R109" s="136"/>
      <x:c r="S109" s="158" t="str">
        <x:f>IFERROR(T(INDEX('Prospectos Resumen'!$K$9:$K$295,MATCH(A109,'Prospectos Resumen'!$A$9:$A$295,0))),"")</x:f>
      </x:c>
      <x:c r="T109" s="136"/>
      <x:c r="U109" s="136"/>
      <x:c r="V109" s="136"/>
      <x:c r="W109" s="136"/>
      <x:c r="X109" s="136" t="str">
        <x:v>tel:+543515890684</x:v>
      </x:c>
      <x:c r="Y109" s="136" t="str">
        <x:v>tel:+543515890684 | tel:+543515579222</x:v>
      </x:c>
      <x:c r="Z109" s="136" t="str">
        <x:v>Validar contacto decisor y necesidad inmediata.</x:v>
      </x:c>
      <x:c r="AA109" s="136" t="str">
        <x:v>https://www.google.com/maps/search/?api=1&amp;query=-31.413163,-64.170080</x:v>
      </x:c>
      <x:c r="AB109" s="136" t="str">
        <x:v>ingavconstructora.com.ar</x:v>
      </x:c>
      <x:c r="AC109" s="136"/>
      <x:c r="AD109" s="136" t="str">
        <x:v>Registro curado en documento de dirección PRESOL 2026-09.</x:v>
      </x:c>
      <x:c r="AE109" s="136" t="str">
        <x:v>Media</x:v>
      </x:c>
      <x:c r="AF109" s="136" t="str">
        <x:v>Base curada PDF dirección</x:v>
      </x:c>
      <x:c r="AG109" s="136" t="str">
        <x:v>transporte de áridos/materiales | hidrogrúa para carga/descarga | percha para pallets/bolsones</x:v>
      </x:c>
      <x:c r="AH109" s="136" t="str">
        <x:v>otro rubro factible</x:v>
      </x:c>
      <x:c r="AI109" s="136"/>
      <x:c r="AJ109" s="136" t="str">
        <x:v>Media</x:v>
      </x:c>
      <x:c r="AK109" s="136"/>
      <x:c r="AL109" s="136" t="str">
        <x:v>GPT adjunto + Hermes</x:v>
      </x:c>
      <x:c r="AM109" s="136" t="str">
        <x:v>Fusionado con base Hermes para completar teléfonos/fuentes/servicios.</x:v>
      </x:c>
    </x:row>
    <x:row r="110" ht="36">
      <x:c r="A110" s="135" t="str">
        <x:v>CBA-005</x:v>
      </x:c>
      <x:c r="B110" s="135" t="str">
        <x:v>Pendiente</x:v>
      </x:c>
      <x:c r="C110" s="135" t="str">
        <x:v>Córdoba / RN36 norte</x:v>
      </x:c>
      <x:c r="D110" s="135" t="str">
        <x:v>Contacto remoto / Jesús María</x:v>
      </x:c>
      <x:c r="E110" s="135" t="str">
        <x:v>Córdoba capital zona sur</x:v>
      </x:c>
      <x:c r="F110" s="135" t="str">
        <x:v>A</x:v>
      </x:c>
      <x:c r="G110" s="135" t="n">
        <x:v>100</x:v>
      </x:c>
      <x:c r="H110" s="135" t="str">
        <x:v>AG GROUP Industria</x:v>
      </x:c>
      <x:c r="I110" s="135" t="str">
        <x:v>Módulos / construcción industrializada</x:v>
      </x:c>
      <x:c r="J110" s="135" t="str">
        <x:v>Módulos y contenedores</x:v>
      </x:c>
      <x:c r="K110" s="135" t="str">
        <x:v>3525 513210</x:v>
      </x:c>
      <x:c r="L110" s="135" t="str">
        <x:v>OK</x:v>
      </x:c>
      <x:c r="M110" s="135" t="str">
        <x:v>operaciones / entregas</x:v>
      </x:c>
      <x:c r="N110" s="135" t="str">
        <x:v>Entrega, descarga y posicionamiento de módulos/containers en obra o cliente final.</x:v>
      </x:c>
      <x:c r="O110" s="135" t="str">
        <x:v>Entrega y descarga de módulos/containers con plataforma, malacate e hidrogrúa según maniobra.</x:v>
      </x:c>
      <x:c r="P110" s="135" t="str">
        <x:v>Aunque está en Jesús María, vende en Córdoba; ofrecer logística provincial.</x:v>
      </x:c>
      <x:c r="Q110" s="135" t="str">
        <x:v>Visita o llamada de validación; pedir próximo traslado concreto.</x:v>
      </x:c>
      <x:c r="R110" s="135"/>
      <x:c r="S110" s="158" t="str">
        <x:f>IFERROR(T(INDEX('Prospectos Resumen'!$K$9:$K$295,MATCH(A110,'Prospectos Resumen'!$A$9:$A$295,0))),"")</x:f>
      </x:c>
      <x:c r="T110" s="135"/>
      <x:c r="U110" s="135"/>
      <x:c r="V110" s="135"/>
      <x:c r="W110" s="135"/>
      <x:c r="X110" s="135" t="str">
        <x:v>tel:+543525513210</x:v>
      </x:c>
      <x:c r="Y110" s="135" t="str">
        <x:v>tel:+543525513210</x:v>
      </x:c>
      <x:c r="Z110" s="135" t="str">
        <x:v>Validar contacto decisor y necesidad inmediata.</x:v>
      </x:c>
      <x:c r="AA110" s="135" t="str">
        <x:v>https://www.google.com/maps/search/?api=1&amp;query=-31.000000,-64.090000</x:v>
      </x:c>
      <x:c r="AB110" s="135" t="str">
        <x:v>aggroupindustria.com.ar</x:v>
      </x:c>
      <x:c r="AC110" s="135"/>
      <x:c r="AD110" s="135" t="str">
        <x:v>Registro curado en documento de dirección PRESOL 2026-09.</x:v>
      </x:c>
      <x:c r="AE110" s="135" t="str">
        <x:v>Alta</x:v>
      </x:c>
      <x:c r="AF110" s="135" t="str">
        <x:v>Base curada PDF dirección</x:v>
      </x:c>
      <x:c r="AG110" s="135" t="str">
        <x:v>transporte de áridos/materiales | hidrogrúa para carga/descarga | percha para pallets/bolsones</x:v>
      </x:c>
      <x:c r="AH110" s="135" t="str">
        <x:v>áridos/construcción/premoldeados</x:v>
      </x:c>
      <x:c r="AI110" s="135"/>
      <x:c r="AJ110" s="135" t="str">
        <x:v>Muy alta</x:v>
      </x:c>
      <x:c r="AK110" s="135"/>
      <x:c r="AL110" s="135" t="str">
        <x:v>GPT adjunto + Hermes</x:v>
      </x:c>
      <x:c r="AM110" s="135" t="str">
        <x:v>Fusionado con base Hermes para completar teléfonos/fuentes/servicios. | ID fuente: CZS-001</x:v>
      </x:c>
    </x:row>
    <x:row r="111" ht="48">
      <x:c r="A111" s="6" t="str">
        <x:v>CBA-006</x:v>
      </x:c>
      <x:c r="B111" s="6" t="str">
        <x:v>Pendiente</x:v>
      </x:c>
      <x:c r="C111" s="6" t="str">
        <x:v>Córdoba / RN36 norte</x:v>
      </x:c>
      <x:c r="D111" s="6" t="str">
        <x:v>Córdoba Sur-Oeste / canteras</x:v>
      </x:c>
      <x:c r="E111" s="6" t="str">
        <x:v>Córdoba capital zona sur</x:v>
      </x:c>
      <x:c r="F111" s="6" t="str">
        <x:v>A</x:v>
      </x:c>
      <x:c r="G111" s="6" t="n">
        <x:v>100</x:v>
      </x:c>
      <x:c r="H111" s="6" t="str">
        <x:v>Canteras Ruiz</x:v>
      </x:c>
      <x:c r="I111" s="6" t="str">
        <x:v>Áridos / cantera</x:v>
      </x:c>
      <x:c r="J111" s="6" t="str">
        <x:v>Hormigón, áridos y materiales</x:v>
      </x:c>
      <x:c r="K111" s="6" t="str">
        <x:v>0351 5570618 / 0351 4524228 / 0351 155508346</x:v>
      </x:c>
      <x:c r="L111" s="6" t="str">
        <x:v>OK</x:v>
      </x:c>
      <x:c r="M111" s="6" t="str">
        <x:v>planta / mantenimiento</x:v>
      </x:c>
      <x:c r="N111" s="6" t="str">
        <x:v>Movimiento de premoldeados, equipos de planta/cantera, bombas, moldes y cargas pesadas.</x:v>
      </x:c>
      <x:c r="O111" s="6" t="str">
        <x:v>Movimiento de equipos de cantera/planta; transporte de material suelto sujeto a confirmar unidad o esquema operativo.</x:v>
      </x:c>
      <x:c r="P111" s="6" t="str">
        <x:v>Servicio de áridos sólo si se confirma volcador/tercerización.</x:v>
      </x:c>
      <x:c r="Q111" s="6" t="str">
        <x:v>Visita o llamada de validación; pedir próximo traslado concreto.</x:v>
      </x:c>
      <x:c r="R111" s="6"/>
      <x:c r="S111" s="159" t="str">
        <x:f>IFERROR(T(INDEX('Prospectos Resumen'!$K$9:$K$295,MATCH(A111,'Prospectos Resumen'!$A$9:$A$295,0))),"")</x:f>
      </x:c>
      <x:c r="T111" s="6"/>
      <x:c r="U111" s="6"/>
      <x:c r="V111" s="6"/>
      <x:c r="W111" s="6"/>
      <x:c r="X111" s="6" t="str">
        <x:v>tel:+543515570618</x:v>
      </x:c>
      <x:c r="Y111" s="6" t="str">
        <x:v>tel:+543515570618 | tel:+543514524228 | tel:+5493515508346</x:v>
      </x:c>
      <x:c r="Z111" s="6" t="str">
        <x:v>Validar contacto decisor y necesidad inmediata.</x:v>
      </x:c>
      <x:c r="AA111" s="6" t="str">
        <x:v>https://www.google.com/maps/search/?api=1&amp;query=-31.475000,-64.235000</x:v>
      </x:c>
      <x:c r="AB111" s="6" t="str">
        <x:v>canterasruiz.com</x:v>
      </x:c>
      <x:c r="AC111" s="6"/>
      <x:c r="AD111" s="6" t="str">
        <x:v>Registro curado en documento de dirección PRESOL 2026-09.</x:v>
      </x:c>
      <x:c r="AE111" s="6" t="str">
        <x:v>Alta</x:v>
      </x:c>
      <x:c r="AF111" s="6" t="str">
        <x:v>Base curada PDF dirección</x:v>
      </x:c>
      <x:c r="AG111" s="6" t="str">
        <x:v>transporte de áridos/materiales | hidrogrúa para carga/descarga | percha para pallets/bolsones</x:v>
      </x:c>
      <x:c r="AH111" s="6" t="str">
        <x:v>áridos/construcción/premoldeados</x:v>
      </x:c>
      <x:c r="AI111" s="6"/>
      <x:c r="AJ111" s="6" t="str">
        <x:v>Muy alta</x:v>
      </x:c>
      <x:c r="AK111" s="6" t="str">
        <x:v>Áridos/materiales: confirmar modalidad de carga/descarga y tipo de unidad requerida antes de cotizar.</x:v>
      </x:c>
      <x:c r="AL111" s="6" t="str">
        <x:v>GPT adjunto + Hermes</x:v>
      </x:c>
      <x:c r="AM111" s="6" t="str">
        <x:v>Fusionado con base Hermes para completar teléfonos/fuentes/servicios. | ID fuente: CZS-002</x:v>
      </x:c>
    </x:row>
    <x:row r="112" ht="48">
      <x:c r="A112" s="135" t="str">
        <x:v>CBA-007</x:v>
      </x:c>
      <x:c r="B112" s="135" t="str">
        <x:v>Pendiente</x:v>
      </x:c>
      <x:c r="C112" s="135" t="str">
        <x:v>Córdoba / RN36 norte</x:v>
      </x:c>
      <x:c r="D112" s="135" t="str">
        <x:v>Córdoba Oeste / Av. Colón</x:v>
      </x:c>
      <x:c r="E112" s="135" t="str">
        <x:v>Córdoba capital zona sur</x:v>
      </x:c>
      <x:c r="F112" s="135" t="str">
        <x:v>A</x:v>
      </x:c>
      <x:c r="G112" s="135" t="n">
        <x:v>100</x:v>
      </x:c>
      <x:c r="H112" s="135" t="str">
        <x:v>Corralón Mis Ladrillos</x:v>
      </x:c>
      <x:c r="I112" s="135" t="str">
        <x:v>Corralón mayorista</x:v>
      </x:c>
      <x:c r="J112" s="135" t="str">
        <x:v>Hormigón, áridos y materiales</x:v>
      </x:c>
      <x:c r="K112" s="135" t="str">
        <x:v>0351 3705858</x:v>
      </x:c>
      <x:c r="L112" s="135" t="str">
        <x:v>OK</x:v>
      </x:c>
      <x:c r="M112" s="135" t="str">
        <x:v>responsable de logística/compras</x:v>
      </x:c>
      <x:c r="N112" s="135" t="str">
        <x:v>Movimiento de premoldeados, equipos de planta/cantera, bombas, moldes y cargas pesadas.</x:v>
      </x:c>
      <x:c r="O112" s="135" t="str">
        <x:v>Detectar el próximo movimiento pesado y convertirlo en cotización concreta.</x:v>
      </x:c>
      <x:c r="P112" s="135" t="str">
        <x:v>Entrada rápida a mercado capitalino; ofrecer reparto pesado regional.</x:v>
      </x:c>
      <x:c r="Q112" s="135" t="str">
        <x:v>Visita o llamada de validación; pedir próximo traslado concreto.</x:v>
      </x:c>
      <x:c r="R112" s="135"/>
      <x:c r="S112" s="158" t="str">
        <x:f>IFERROR(T(INDEX('Prospectos Resumen'!$K$9:$K$295,MATCH(A112,'Prospectos Resumen'!$A$9:$A$295,0))),"")</x:f>
      </x:c>
      <x:c r="T112" s="135"/>
      <x:c r="U112" s="135"/>
      <x:c r="V112" s="135"/>
      <x:c r="W112" s="135"/>
      <x:c r="X112" s="135" t="str">
        <x:v>tel:+543513705858</x:v>
      </x:c>
      <x:c r="Y112" s="135" t="str">
        <x:v>tel:+543513705858</x:v>
      </x:c>
      <x:c r="Z112" s="135" t="str">
        <x:v>Validar contacto decisor y necesidad inmediata.</x:v>
      </x:c>
      <x:c r="AA112" s="135" t="str">
        <x:v>https://www.google.com/maps/search/?api=1&amp;query=-31.396774,-64.251905</x:v>
      </x:c>
      <x:c r="AB112" s="135" t="str">
        <x:v>Vuelta Canela / directorio</x:v>
      </x:c>
      <x:c r="AC112" s="135"/>
      <x:c r="AD112" s="135" t="str">
        <x:v>Registro curado en documento de dirección PRESOL 2026-09.</x:v>
      </x:c>
      <x:c r="AE112" s="135" t="str">
        <x:v>Alta</x:v>
      </x:c>
      <x:c r="AF112" s="135" t="str">
        <x:v>Base curada PDF dirección</x:v>
      </x:c>
      <x:c r="AG112" s="135" t="str">
        <x:v>transporte de áridos/materiales | hidrogrúa para carga/descarga | percha para pallets/bolsones</x:v>
      </x:c>
      <x:c r="AH112" s="135" t="str">
        <x:v>áridos/construcción/premoldeados</x:v>
      </x:c>
      <x:c r="AI112" s="135"/>
      <x:c r="AJ112" s="135" t="str">
        <x:v>Muy alta</x:v>
      </x:c>
      <x:c r="AK112" s="135" t="str">
        <x:v>Áridos/materiales: confirmar modalidad de carga/descarga y tipo de unidad requerida antes de cotizar.</x:v>
      </x:c>
      <x:c r="AL112" s="135" t="str">
        <x:v>GPT adjunto + Hermes</x:v>
      </x:c>
      <x:c r="AM112" s="135" t="str">
        <x:v>Fusionado con base Hermes para completar teléfonos/fuentes/servicios. | ID fuente: CZS-003</x:v>
      </x:c>
    </x:row>
    <x:row r="113" ht="48">
      <x:c r="A113" s="136" t="str">
        <x:v>CBA-008</x:v>
      </x:c>
      <x:c r="B113" s="136" t="str">
        <x:v>Pendiente</x:v>
      </x:c>
      <x:c r="C113" s="136" t="str">
        <x:v>Córdoba / RN36 norte</x:v>
      </x:c>
      <x:c r="D113" s="136" t="str">
        <x:v>Córdoba Sur / RN36-Vélez Sarsfield</x:v>
      </x:c>
      <x:c r="E113" s="136" t="str">
        <x:v>Córdoba capital zona sur</x:v>
      </x:c>
      <x:c r="F113" s="136" t="str">
        <x:v>A</x:v>
      </x:c>
      <x:c r="G113" s="136" t="n">
        <x:v>100</x:v>
      </x:c>
      <x:c r="H113" s="136" t="str">
        <x:v>Hormi Block S.A.</x:v>
      </x:c>
      <x:c r="I113" s="136" t="str">
        <x:v>Hormigón elaborado</x:v>
      </x:c>
      <x:c r="J113" s="136" t="str">
        <x:v>Hormigón, áridos y materiales</x:v>
      </x:c>
      <x:c r="K113" s="136" t="str">
        <x:v>0351 4939510 / 0351 4945800</x:v>
      </x:c>
      <x:c r="L113" s="136" t="str">
        <x:v>OK</x:v>
      </x:c>
      <x:c r="M113" s="136" t="str">
        <x:v>operaciones / planta</x:v>
      </x:c>
      <x:c r="N113" s="136" t="str">
        <x:v>Movimiento de premoldeados, equipos de planta/cantera, bombas, moldes y cargas pesadas.</x:v>
      </x:c>
      <x:c r="O113" s="136" t="str">
        <x:v>Traslado de equipos de planta, bombas, premoldeados y apoyo a picos de obra.</x:v>
      </x:c>
      <x:c r="P113" s="136" t="str">
        <x:v>Av. Vélez Sarsfield 5801; entrada directa por corredor.</x:v>
      </x:c>
      <x:c r="Q113" s="136" t="str">
        <x:v>Visita o llamada de validación; pedir próximo traslado concreto.</x:v>
      </x:c>
      <x:c r="R113" s="136"/>
      <x:c r="S113" s="158" t="str">
        <x:f>IFERROR(T(INDEX('Prospectos Resumen'!$K$9:$K$295,MATCH(A113,'Prospectos Resumen'!$A$9:$A$295,0))),"")</x:f>
      </x:c>
      <x:c r="T113" s="136"/>
      <x:c r="U113" s="136"/>
      <x:c r="V113" s="136"/>
      <x:c r="W113" s="136"/>
      <x:c r="X113" s="136" t="str">
        <x:v>tel:+543514939510</x:v>
      </x:c>
      <x:c r="Y113" s="136" t="str">
        <x:v>tel:+543514939510 | tel:+543514945800</x:v>
      </x:c>
      <x:c r="Z113" s="136" t="str">
        <x:v>Validar contacto decisor y necesidad inmediata.</x:v>
      </x:c>
      <x:c r="AA113" s="136" t="str">
        <x:v>https://www.google.com/maps/search/?api=1&amp;query=-31.481687,-64.203118</x:v>
      </x:c>
      <x:c r="AB113" s="136" t="str">
        <x:v>InfoNegocios / Hormi Block</x:v>
      </x:c>
      <x:c r="AC113" s="136"/>
      <x:c r="AD113" s="136" t="str">
        <x:v>Registro curado en documento de dirección PRESOL 2026-09.</x:v>
      </x:c>
      <x:c r="AE113" s="136" t="str">
        <x:v>Alta</x:v>
      </x:c>
      <x:c r="AF113" s="136" t="str">
        <x:v>Base curada PDF dirección</x:v>
      </x:c>
      <x:c r="AG113" s="136" t="str">
        <x:v>transporte de áridos/materiales | hidrogrúa para carga/descarga | percha para pallets/bolsones</x:v>
      </x:c>
      <x:c r="AH113" s="136" t="str">
        <x:v>áridos/construcción/premoldeados</x:v>
      </x:c>
      <x:c r="AI113" s="136"/>
      <x:c r="AJ113" s="136" t="str">
        <x:v>Muy alta</x:v>
      </x:c>
      <x:c r="AK113" s="136" t="str">
        <x:v>Áridos/materiales: confirmar modalidad de carga/descarga y tipo de unidad requerida antes de cotizar.</x:v>
      </x:c>
      <x:c r="AL113" s="136" t="str">
        <x:v>GPT adjunto + Hermes</x:v>
      </x:c>
      <x:c r="AM113" s="136" t="str">
        <x:v>Fusionado con base Hermes para completar teléfonos/fuentes/servicios. | ID fuente: CZS-004</x:v>
      </x:c>
    </x:row>
    <x:row r="114" ht="48">
      <x:c r="A114" s="135" t="str">
        <x:v>CBA-009</x:v>
      </x:c>
      <x:c r="B114" s="135" t="str">
        <x:v>Pendiente</x:v>
      </x:c>
      <x:c r="C114" s="135" t="str">
        <x:v>Córdoba / RN36 norte</x:v>
      </x:c>
      <x:c r="D114" s="135" t="str">
        <x:v>Córdoba Norte / Monseñor Pablo Cabrera</x:v>
      </x:c>
      <x:c r="E114" s="135" t="str">
        <x:v>Córdoba capital zona sur</x:v>
      </x:c>
      <x:c r="F114" s="135" t="str">
        <x:v>A</x:v>
      </x:c>
      <x:c r="G114" s="135" t="n">
        <x:v>100</x:v>
      </x:c>
      <x:c r="H114" s="135" t="str">
        <x:v>Lucy’s House / Rental</x:v>
      </x:c>
      <x:c r="I114" s="135" t="str">
        <x:v>Módulos habitacionales</x:v>
      </x:c>
      <x:c r="J114" s="135" t="str">
        <x:v>Módulos y contenedores</x:v>
      </x:c>
      <x:c r="K114" s="135" t="str">
        <x:v>0351 2077113</x:v>
      </x:c>
      <x:c r="L114" s="135" t="str">
        <x:v>OK</x:v>
      </x:c>
      <x:c r="M114" s="135" t="str">
        <x:v>operaciones / entregas</x:v>
      </x:c>
      <x:c r="N114" s="135" t="str">
        <x:v>Entrega, descarga y posicionamiento de módulos/containers en obra o cliente final.</x:v>
      </x:c>
      <x:c r="O114" s="135" t="str">
        <x:v>Entrega y descarga de módulos/containers con plataforma, malacate e hidrogrúa según maniobra.</x:v>
      </x:c>
      <x:c r="P114" s="135" t="str">
        <x:v>Muy buen encaje para planchada + malacate.</x:v>
      </x:c>
      <x:c r="Q114" s="135" t="str">
        <x:v>Visita o llamada de validación; pedir próximo traslado concreto.</x:v>
      </x:c>
      <x:c r="R114" s="135"/>
      <x:c r="S114" s="158" t="str">
        <x:f>IFERROR(T(INDEX('Prospectos Resumen'!$K$9:$K$295,MATCH(A114,'Prospectos Resumen'!$A$9:$A$295,0))),"")</x:f>
      </x:c>
      <x:c r="T114" s="135"/>
      <x:c r="U114" s="135"/>
      <x:c r="V114" s="135"/>
      <x:c r="W114" s="135"/>
      <x:c r="X114" s="135" t="str">
        <x:v>tel:+543512077113</x:v>
      </x:c>
      <x:c r="Y114" s="135" t="str">
        <x:v>tel:+543512077113</x:v>
      </x:c>
      <x:c r="Z114" s="135" t="str">
        <x:v>Validar contacto decisor y necesidad inmediata.</x:v>
      </x:c>
      <x:c r="AA114" s="135" t="str">
        <x:v>https://www.google.com/maps/search/?api=1&amp;query=-31.368536,-64.205299</x:v>
      </x:c>
      <x:c r="AB114" s="135" t="str">
        <x:v>Instagram Lucy’s House</x:v>
      </x:c>
      <x:c r="AC114" s="135"/>
      <x:c r="AD114" s="135" t="str">
        <x:v>Registro curado en documento de dirección PRESOL 2026-09.</x:v>
      </x:c>
      <x:c r="AE114" s="135" t="str">
        <x:v>Alta</x:v>
      </x:c>
      <x:c r="AF114" s="135" t="str">
        <x:v>Base curada PDF dirección</x:v>
      </x:c>
      <x:c r="AG114" s="135" t="str">
        <x:v>transporte de áridos/materiales | hidrogrúa para carga/descarga | percha para pallets/bolsones</x:v>
      </x:c>
      <x:c r="AH114" s="135" t="str">
        <x:v>otro rubro factible</x:v>
      </x:c>
      <x:c r="AI114" s="135"/>
      <x:c r="AJ114" s="135" t="str">
        <x:v>Muy alta</x:v>
      </x:c>
      <x:c r="AK114" s="135"/>
      <x:c r="AL114" s="135" t="str">
        <x:v>GPT adjunto + Hermes</x:v>
      </x:c>
      <x:c r="AM114" s="135" t="str">
        <x:v>Fusionado con base Hermes para completar teléfonos/fuentes/servicios. | ID fuente: CZS-005</x:v>
      </x:c>
    </x:row>
    <x:row r="115" ht="60">
      <x:c r="A115" s="6" t="str">
        <x:v>CBA-010</x:v>
      </x:c>
      <x:c r="B115" s="6" t="str">
        <x:v>Pendiente</x:v>
      </x:c>
      <x:c r="C115" s="6" t="str">
        <x:v>Córdoba / RN36 norte</x:v>
      </x:c>
      <x:c r="D115" s="6" t="str">
        <x:v>Córdoba Norte-Oeste / Villa Belgrano</x:v>
      </x:c>
      <x:c r="E115" s="6" t="str">
        <x:v>Córdoba capital zona sur</x:v>
      </x:c>
      <x:c r="F115" s="6" t="str">
        <x:v>A</x:v>
      </x:c>
      <x:c r="G115" s="6" t="n">
        <x:v>100</x:v>
      </x:c>
      <x:c r="H115" s="6" t="str">
        <x:v>MegaContainers</x:v>
      </x:c>
      <x:c r="I115" s="6" t="str">
        <x:v>Venta/alquiler de containers</x:v>
      </x:c>
      <x:c r="J115" s="6" t="str">
        <x:v>Módulos y contenedores</x:v>
      </x:c>
      <x:c r="K115" s="6" t="str">
        <x:v>0351 5179179</x:v>
      </x:c>
      <x:c r="L115" s="6" t="str">
        <x:v>OK</x:v>
      </x:c>
      <x:c r="M115" s="6" t="str">
        <x:v>operaciones / entregas</x:v>
      </x:c>
      <x:c r="N115" s="6" t="str">
        <x:v>Entrega, descarga y posicionamiento de módulos/containers en obra o cliente final.</x:v>
      </x:c>
      <x:c r="O115" s="6" t="str">
        <x:v>Entrega y descarga de módulos/containers con plataforma, malacate e hidrogrúa según maniobra.</x:v>
      </x:c>
      <x:c r="P115" s="6" t="str">
        <x:v>Proveedor natural: cada container vendido necesita logística.</x:v>
      </x:c>
      <x:c r="Q115" s="6" t="str">
        <x:v>Visita o llamada de validación; pedir próximo traslado concreto.</x:v>
      </x:c>
      <x:c r="R115" s="6"/>
      <x:c r="S115" s="159" t="str">
        <x:f>IFERROR(T(INDEX('Prospectos Resumen'!$K$9:$K$295,MATCH(A115,'Prospectos Resumen'!$A$9:$A$295,0))),"")</x:f>
      </x:c>
      <x:c r="T115" s="6"/>
      <x:c r="U115" s="6"/>
      <x:c r="V115" s="6"/>
      <x:c r="W115" s="6"/>
      <x:c r="X115" s="6" t="str">
        <x:v>tel:+543515179179</x:v>
      </x:c>
      <x:c r="Y115" s="6" t="str">
        <x:v>tel:+543515179179</x:v>
      </x:c>
      <x:c r="Z115" s="6" t="str">
        <x:v>Validar contacto decisor y necesidad inmediata.</x:v>
      </x:c>
      <x:c r="AA115" s="6" t="str">
        <x:v>https://www.google.com/maps/search/?api=1&amp;query=-31.350332,-64.254449</x:v>
      </x:c>
      <x:c r="AB115" s="6" t="str">
        <x:v>megacontainers.com.ar</x:v>
      </x:c>
      <x:c r="AC115" s="6"/>
      <x:c r="AD115" s="6" t="str">
        <x:v>Registro curado en documento de dirección PRESOL 2026-09.</x:v>
      </x:c>
      <x:c r="AE115" s="6" t="str">
        <x:v>Alta</x:v>
      </x:c>
      <x:c r="AF115" s="6" t="str">
        <x:v>Base curada PDF dirección</x:v>
      </x:c>
      <x:c r="AG115" s="6" t="str">
        <x:v>transporte de áridos/materiales | hidrogrúa para carga/descarga | percha para pallets/bolsones</x:v>
      </x:c>
      <x:c r="AH115" s="6" t="str">
        <x:v>otro rubro factible</x:v>
      </x:c>
      <x:c r="AI115" s="6"/>
      <x:c r="AJ115" s="6" t="str">
        <x:v>Muy alta</x:v>
      </x:c>
      <x:c r="AK115" s="6"/>
      <x:c r="AL115" s="6" t="str">
        <x:v>GPT adjunto + Hermes</x:v>
      </x:c>
      <x:c r="AM115" s="6" t="str">
        <x:v>Fusionado con base Hermes para completar teléfonos/fuentes/servicios. | ID fuente: CZS-006</x:v>
      </x:c>
    </x:row>
    <x:row r="116" ht="48">
      <x:c r="A116" s="135" t="str">
        <x:v>CBA-011</x:v>
      </x:c>
      <x:c r="B116" s="135" t="str">
        <x:v>Pendiente</x:v>
      </x:c>
      <x:c r="C116" s="135" t="str">
        <x:v>Córdoba / RN36 norte</x:v>
      </x:c>
      <x:c r="D116" s="135" t="str">
        <x:v>Córdoba Sur / Camino San Antonio</x:v>
      </x:c>
      <x:c r="E116" s="135" t="str">
        <x:v>Córdoba capital zona sur</x:v>
      </x:c>
      <x:c r="F116" s="135" t="str">
        <x:v>B</x:v>
      </x:c>
      <x:c r="G116" s="135" t="n">
        <x:v>75</x:v>
      </x:c>
      <x:c r="H116" s="135" t="str">
        <x:v>Porta Hnos.</x:v>
      </x:c>
      <x:c r="I116" s="135" t="str">
        <x:v>Industrial / alcohol / alimentos</x:v>
      </x:c>
      <x:c r="J116" s="135" t="str">
        <x:v>Agroindustria y alimentos</x:v>
      </x:c>
      <x:c r="K116" s="135" t="str">
        <x:v>0351 4938400</x:v>
      </x:c>
      <x:c r="L116" s="135" t="str">
        <x:v>OK</x:v>
      </x:c>
      <x:c r="M116" s="135" t="str">
        <x:v>mantenimiento / compras</x:v>
      </x:c>
      <x:c r="N116" s="135" t="str">
        <x:v>Movimientos especiales de mantenimiento, repuestos pesados y mudanzas internas de equipos.</x:v>
      </x:c>
      <x:c r="O116" s="135" t="str">
        <x:v>Traslados especiales de mantenimiento, repuestos pesados, mudanzas internas y cargas con seguro/GPS.</x:v>
      </x:c>
      <x:c r="P116" s="135" t="str">
        <x:v>Camino San Antonio km 4,5: visitar si entra en ruta Córdoba sur.</x:v>
      </x:c>
      <x:c r="Q116" s="135" t="str">
        <x:v>Visita o llamada de validación; pedir próximo traslado concreto.</x:v>
      </x:c>
      <x:c r="R116" s="135"/>
      <x:c r="S116" s="158" t="str">
        <x:f>IFERROR(T(INDEX('Prospectos Resumen'!$K$9:$K$295,MATCH(A116,'Prospectos Resumen'!$A$9:$A$295,0))),"")</x:f>
      </x:c>
      <x:c r="T116" s="135"/>
      <x:c r="U116" s="135"/>
      <x:c r="V116" s="135"/>
      <x:c r="W116" s="135"/>
      <x:c r="X116" s="135" t="str">
        <x:v>tel:+543514938400</x:v>
      </x:c>
      <x:c r="Y116" s="135" t="str">
        <x:v>tel:+543514938400</x:v>
      </x:c>
      <x:c r="Z116" s="135" t="str">
        <x:v>Validar contacto decisor y necesidad inmediata.</x:v>
      </x:c>
      <x:c r="AA116" s="135" t="str">
        <x:v>https://www.google.com/maps/search/?api=1&amp;query=-31.490145,-64.189401</x:v>
      </x:c>
      <x:c r="AB116" s="135" t="str">
        <x:v>portahnos.com.ar</x:v>
      </x:c>
      <x:c r="AC116" s="135"/>
      <x:c r="AD116" s="135" t="str">
        <x:v>Registro curado en documento de dirección PRESOL 2026-09.</x:v>
      </x:c>
      <x:c r="AE116" s="135" t="str">
        <x:v>Alta</x:v>
      </x:c>
      <x:c r="AF116" s="135" t="str">
        <x:v>Base curada PDF dirección</x:v>
      </x:c>
      <x:c r="AG116" s="135" t="str">
        <x:v>plataforma 20 tn para maquinaria/piezas | hidrogrúa para maniobras | percha para pallets</x:v>
      </x:c>
      <x:c r="AH116" s="135" t="str">
        <x:v>planta agroindustrial</x:v>
      </x:c>
      <x:c r="AI116" s="135"/>
      <x:c r="AJ116" s="135" t="str">
        <x:v>Alta</x:v>
      </x:c>
      <x:c r="AK116" s="135" t="str">
        <x:v>Percha pallets: útil para insumos, bolsones, repuestos y materiales palletizados.</x:v>
      </x:c>
      <x:c r="AL116" s="135" t="str">
        <x:v>GPT adjunto + Hermes</x:v>
      </x:c>
      <x:c r="AM116" s="135" t="str">
        <x:v>Fusionado con base Hermes para completar teléfonos/fuentes/servicios. | ID fuente: CZS-007</x:v>
      </x:c>
    </x:row>
    <x:row r="117" ht="60">
      <x:c r="A117" s="136" t="str">
        <x:v>CBA-012</x:v>
      </x:c>
      <x:c r="B117" s="136" t="str">
        <x:v>Pendiente</x:v>
      </x:c>
      <x:c r="C117" s="136" t="str">
        <x:v>Córdoba / RN36 norte</x:v>
      </x:c>
      <x:c r="D117" s="136" t="str">
        <x:v>Córdoba capital zona sur</x:v>
      </x:c>
      <x:c r="E117" s="136" t="str">
        <x:v>Córdoba capital zona sur</x:v>
      </x:c>
      <x:c r="F117" s="136" t="str">
        <x:v>B</x:v>
      </x:c>
      <x:c r="G117" s="136" t="n">
        <x:v>60</x:v>
      </x:c>
      <x:c r="H117" s="136" t="str">
        <x:v>Bendito Corralón Mayorista</x:v>
      </x:c>
      <x:c r="I117" s="136" t="str">
        <x:v>Corralón mayorista</x:v>
      </x:c>
      <x:c r="J117" s="136" t="str">
        <x:v>Hormigón, áridos y materiales</x:v>
      </x:c>
      <x:c r="K117" s="136" t="str">
        <x:v>0351 8741592 (a confirmar)</x:v>
      </x:c>
      <x:c r="L117" s="136" t="str">
        <x:v>Verificar</x:v>
      </x:c>
      <x:c r="M117" s="136" t="str">
        <x:v>responsable de logística/compras</x:v>
      </x:c>
      <x:c r="N117" s="136" t="str">
        <x:v>Movimiento de premoldeados, equipos de planta/cantera, bombas, moldes y cargas pesadas.</x:v>
      </x:c>
      <x:c r="O117" s="136" t="str">
        <x:v>Detectar el próximo movimiento pesado y convertirlo en cotización concreta.</x:v>
      </x:c>
      <x:c r="P117" s="136" t="str">
        <x:v>Validar teléfono; si no, visita directa por local.</x:v>
      </x:c>
      <x:c r="Q117" s="136" t="str">
        <x:v>Visita o llamada de validación; pedir próximo traslado concreto.</x:v>
      </x:c>
      <x:c r="R117" s="136"/>
      <x:c r="S117" s="158" t="str">
        <x:f>IFERROR(T(INDEX('Prospectos Resumen'!$K$9:$K$295,MATCH(A117,'Prospectos Resumen'!$A$9:$A$295,0))),"")</x:f>
      </x:c>
      <x:c r="T117" s="136"/>
      <x:c r="U117" s="136"/>
      <x:c r="V117" s="136"/>
      <x:c r="W117" s="136"/>
      <x:c r="X117" s="136" t="str">
        <x:v>tel:+543518741592</x:v>
      </x:c>
      <x:c r="Y117" s="136" t="str">
        <x:v>tel:+543518741592</x:v>
      </x:c>
      <x:c r="Z117" s="136" t="str">
        <x:v>Validar contacto decisor y necesidad inmediata.</x:v>
      </x:c>
      <x:c r="AA117" s="136" t="str">
        <x:v>https://www.google.com/maps/search/?api=1&amp;query=-31.463000,-64.202000</x:v>
      </x:c>
      <x:c r="AB117" s="136" t="str">
        <x:v>Instagram / búsqueda web</x:v>
      </x:c>
      <x:c r="AC117" s="136"/>
      <x:c r="AD117" s="136" t="str">
        <x:v>Registro curado en documento de dirección PRESOL 2026-09.</x:v>
      </x:c>
      <x:c r="AE117" s="136" t="str">
        <x:v>Media</x:v>
      </x:c>
      <x:c r="AF117" s="136" t="str">
        <x:v>Base curada PDF dirección</x:v>
      </x:c>
      <x:c r="AG117" s="136" t="str">
        <x:v>transporte de áridos/materiales | hidrogrúa para carga/descarga | percha para pallets/bolsones</x:v>
      </x:c>
      <x:c r="AH117" s="136" t="str">
        <x:v>áridos/construcción/premoldeados</x:v>
      </x:c>
      <x:c r="AI117" s="136"/>
      <x:c r="AJ117" s="136" t="str">
        <x:v>Media</x:v>
      </x:c>
      <x:c r="AK117" s="136" t="str">
        <x:v>Áridos/materiales: confirmar modalidad de carga/descarga y tipo de unidad requerida antes de cotizar.</x:v>
      </x:c>
      <x:c r="AL117" s="136" t="str">
        <x:v>GPT adjunto + Hermes</x:v>
      </x:c>
      <x:c r="AM117" s="136" t="str">
        <x:v>Fusionado con base Hermes para completar teléfonos/fuentes/servicios. | ID fuente: CZS-008</x:v>
      </x:c>
    </x:row>
    <x:row r="118" ht="48">
      <x:c r="A118" s="135" t="str">
        <x:v>CBA-013</x:v>
      </x:c>
      <x:c r="B118" s="135" t="str">
        <x:v>Pendiente</x:v>
      </x:c>
      <x:c r="C118" s="135" t="str">
        <x:v>Córdoba / RN36 norte</x:v>
      </x:c>
      <x:c r="D118" s="135" t="str">
        <x:v>Córdoba capital zona sur</x:v>
      </x:c>
      <x:c r="E118" s="135" t="str">
        <x:v>Córdoba capital zona sur</x:v>
      </x:c>
      <x:c r="F118" s="135" t="str">
        <x:v>B</x:v>
      </x:c>
      <x:c r="G118" s="135" t="n">
        <x:v>50</x:v>
      </x:c>
      <x:c r="H118" s="135" t="str">
        <x:v>Canteras Terra</x:v>
      </x:c>
      <x:c r="I118" s="135" t="str">
        <x:v>Áridos / cantera</x:v>
      </x:c>
      <x:c r="J118" s="135" t="str">
        <x:v>Hormigón, áridos y materiales</x:v>
      </x:c>
      <x:c r="K118" s="135" t="str">
        <x:v>A relevar</x:v>
      </x:c>
      <x:c r="L118" s="135" t="str">
        <x:v>A relevar</x:v>
      </x:c>
      <x:c r="M118" s="135" t="str">
        <x:v>planta / mantenimiento</x:v>
      </x:c>
      <x:c r="N118" s="135" t="str">
        <x:v>Movimiento de premoldeados, equipos de planta/cantera, bombas, moldes y cargas pesadas.</x:v>
      </x:c>
      <x:c r="O118" s="135" t="str">
        <x:v>Movimiento de equipos de cantera/planta; transporte de material suelto sujeto a confirmar unidad o esquema operativo.</x:v>
      </x:c>
      <x:c r="P118" s="135" t="str">
        <x:v>Teléfono web no confiable; relevar en terreno.</x:v>
      </x:c>
      <x:c r="Q118" s="135" t="str">
        <x:v>Visita o llamada de validación; pedir próximo traslado concreto.</x:v>
      </x:c>
      <x:c r="R118" s="135"/>
      <x:c r="S118" s="158" t="str">
        <x:f>IFERROR(T(INDEX('Prospectos Resumen'!$K$9:$K$295,MATCH(A118,'Prospectos Resumen'!$A$9:$A$295,0))),"")</x:f>
      </x:c>
      <x:c r="T118" s="135"/>
      <x:c r="U118" s="135"/>
      <x:c r="V118" s="135"/>
      <x:c r="W118" s="135"/>
      <x:c r="X118" s="135"/>
      <x:c r="Y118" s="135"/>
      <x:c r="Z118" s="135" t="str">
        <x:v>Validar contacto decisor y necesidad inmediata.</x:v>
      </x:c>
      <x:c r="AA118" s="135" t="str">
        <x:v>https://www.google.com/maps/search/?api=1&amp;query=-31.462000,-64.360000</x:v>
      </x:c>
      <x:c r="AB118" s="135" t="str">
        <x:v>Directorio de canteras / investigación web</x:v>
      </x:c>
      <x:c r="AC118" s="135"/>
      <x:c r="AD118" s="135" t="str">
        <x:v>Registro curado en documento de dirección PRESOL 2026-09.</x:v>
      </x:c>
      <x:c r="AE118" s="135" t="str">
        <x:v>Media</x:v>
      </x:c>
      <x:c r="AF118" s="135" t="str">
        <x:v>Base curada PDF dirección</x:v>
      </x:c>
      <x:c r="AG118" s="135" t="str">
        <x:v>transporte de áridos/materiales | hidrogrúa para carga/descarga | percha para pallets/bolsones</x:v>
      </x:c>
      <x:c r="AH118" s="135" t="str">
        <x:v>áridos/construcción/premoldeados</x:v>
      </x:c>
      <x:c r="AI118" s="135"/>
      <x:c r="AJ118" s="135" t="str">
        <x:v>Media</x:v>
      </x:c>
      <x:c r="AK118" s="135" t="str">
        <x:v>Áridos/materiales: confirmar modalidad de carga/descarga y tipo de unidad requerida antes de cotizar.</x:v>
      </x:c>
      <x:c r="AL118" s="135" t="str">
        <x:v>GPT adjunto + Hermes</x:v>
      </x:c>
      <x:c r="AM118" s="135" t="str">
        <x:v>Fusionado con base Hermes para completar teléfonos/fuentes/servicios. | ID fuente: CZS-009</x:v>
      </x:c>
    </x:row>
    <x:row r="119" ht="48">
      <x:c r="A119" s="136" t="str">
        <x:v>DES-001</x:v>
      </x:c>
      <x:c r="B119" s="136" t="str">
        <x:v>Pendiente</x:v>
      </x:c>
      <x:c r="C119" s="136" t="str">
        <x:v>Córdoba / RN36 norte</x:v>
      </x:c>
      <x:c r="D119" s="136" t="str">
        <x:v>Despeñaderos / RN36</x:v>
      </x:c>
      <x:c r="E119" s="136" t="str">
        <x:v>Despeñaderos</x:v>
      </x:c>
      <x:c r="F119" s="136" t="str">
        <x:v>A</x:v>
      </x:c>
      <x:c r="G119" s="136" t="n">
        <x:v>85</x:v>
      </x:c>
      <x:c r="H119" s="136" t="str">
        <x:v>AS Premoldeados</x:v>
      </x:c>
      <x:c r="I119" s="136" t="str">
        <x:v>Premoldeados de hormigón / galpones / techos</x:v>
      </x:c>
      <x:c r="J119" s="136" t="str">
        <x:v>Hormigón, áridos y materiales</x:v>
      </x:c>
      <x:c r="K119" s="136" t="str">
        <x:v>3547 675513</x:v>
      </x:c>
      <x:c r="L119" s="136" t="str">
        <x:v>Verificar</x:v>
      </x:c>
      <x:c r="M119" s="136" t="str">
        <x:v>despacho / colocación</x:v>
      </x:c>
      <x:c r="N119" s="136" t="str">
        <x:v>Movimiento de premoldeados, equipos de planta/cantera, bombas, moldes y cargas pesadas.</x:v>
      </x:c>
      <x:c r="O119" s="136" t="str">
        <x:v>Transporte de premoldeados/equipos; áridos sueltos solo sujeto a validar caja volcadora o tercerización.</x:v>
      </x:c>
      <x:c r="P119" s="136" t="str">
        <x:v>Tapias, galpones, techos y premoldeados; posibilidad de transporte y descarga de piezas.</x:v>
      </x:c>
      <x:c r="Q119" s="136" t="str">
        <x:v>Validar teléfono/contacto; si responde, pedir un caso concreto de traslado o próximo movimiento.</x:v>
      </x:c>
      <x:c r="R119" s="136"/>
      <x:c r="S119" s="158" t="str">
        <x:f>IFERROR(T(INDEX('Prospectos Resumen'!$K$9:$K$295,MATCH(A119,'Prospectos Resumen'!$A$9:$A$295,0))),"")</x:f>
      </x:c>
      <x:c r="T119" s="136"/>
      <x:c r="U119" s="136"/>
      <x:c r="V119" s="136"/>
      <x:c r="W119" s="136"/>
      <x:c r="X119" s="136" t="str">
        <x:v>tel:+543547675513</x:v>
      </x:c>
      <x:c r="Y119" s="136" t="str">
        <x:v>tel:+543547675513</x:v>
      </x:c>
      <x:c r="Z119" s="136" t="str">
        <x:v>Confirmar decisor y vigencia del dato antes de incluir en salida prioritaria.</x:v>
      </x:c>
      <x:c r="AA119" s="136" t="str">
        <x:v>https://www.google.com/maps/search/?api=1&amp;query=AS+Premoldeados+Despe%C3%B1aderos+C%C3%B3rdoba+Argentina</x:v>
      </x:c>
      <x:c r="AB119" s="136" t="str">
        <x:v>Web propia AS + Facebook público</x:v>
      </x:c>
      <x:c r="AC119" s="136" t="str">
        <x:v>https://aspremoldeados.com.ar</x:v>
      </x:c>
      <x:c r="AD119" s="136" t="str">
        <x:v>Sitio informa rubros y ubicación Despeñaderos; resultado público aporta teléfono, verificar vigencia.</x:v>
      </x:c>
      <x:c r="AE119" s="136" t="str">
        <x:v>Media</x:v>
      </x:c>
      <x:c r="AF119" s="136" t="str">
        <x:v>Nuevo enriquecimiento 2026-09-02</x:v>
      </x:c>
      <x:c r="AG119" s="136" t="str">
        <x:v>transporte de áridos/materiales | hidrogrúa para carga/descarga | percha para pallets/bolsones</x:v>
      </x:c>
      <x:c r="AH119" s="136" t="str">
        <x:v>áridos/construcción/premoldeados</x:v>
      </x:c>
      <x:c r="AI119" s="136"/>
      <x:c r="AJ119" s="136" t="str">
        <x:v>Muy alta</x:v>
      </x:c>
      <x:c r="AK119" s="136" t="str">
        <x:v>Áridos/materiales: confirmar modalidad de carga/descarga y tipo de unidad requerida antes de cotizar.</x:v>
      </x:c>
      <x:c r="AL119" s="136" t="str">
        <x:v>GPT adjunto + Hermes</x:v>
      </x:c>
      <x:c r="AM119" s="136" t="str">
        <x:v>Fusionado con base Hermes para completar teléfonos/fuentes/servicios.</x:v>
      </x:c>
    </x:row>
    <x:row r="120" ht="72">
      <x:c r="A120" s="9" t="str">
        <x:v>DES-004</x:v>
      </x:c>
      <x:c r="B120" s="9" t="str">
        <x:v>Pendiente</x:v>
      </x:c>
      <x:c r="C120" s="9" t="str">
        <x:v>Córdoba / RN36 norte</x:v>
      </x:c>
      <x:c r="D120" s="9" t="str">
        <x:v>Despeñaderos / RN36</x:v>
      </x:c>
      <x:c r="E120" s="9" t="str">
        <x:v>Despeñaderos</x:v>
      </x:c>
      <x:c r="F120" s="9" t="str">
        <x:v>A</x:v>
      </x:c>
      <x:c r="G120" s="9" t="n">
        <x:v>85</x:v>
      </x:c>
      <x:c r="H120" s="9" t="str">
        <x:v>Servicios Agropecuarios S.R.L. — Despeñaderos</x:v>
      </x:c>
      <x:c r="I120" s="9" t="str">
        <x:v>Concesionario / maquinaria agrícola e implementos</x:v>
      </x:c>
      <x:c r="J120" s="9" t="str">
        <x:v>Maquinaria agrícola</x:v>
      </x:c>
      <x:c r="K120" s="9" t="str">
        <x:v>03547 492114 / 03547 492193</x:v>
      </x:c>
      <x:c r="L120" s="9" t="str">
        <x:v>OK</x:v>
      </x:c>
      <x:c r="M120" s="9" t="str">
        <x:v>logística / ventas / postventa</x:v>
      </x:c>
      <x:c r="N120" s="9" t="str">
        <x:v>Entrega y retiro de tractores, cosechadoras, pulverizadoras, sembradoras e implementos; movimientos por venta, service, canje, demostraciones o ferias.</x:v>
      </x:c>
      <x:c r="O120" s="9" t="str">
        <x:v>Plataforma 20 tn para maquinaria agrícola + malacate/hidrogrúa según maniobra + seguro de carga + trazabilidad GPS.</x:v>
      </x:c>
      <x:c r="P120" s="9" t="str">
        <x:v>Ofrecer transporte tercerizado para entregas a clientes y retiros de usados/service, especialmente en picos de campaña y operaciones fuera de zona.</x:v>
      </x:c>
      <x:c r="Q120" s="9" t="str">
        <x:v>Llamada comercial prioritaria; pedir por logística/ventas/postventa y consultar próximo equipo a trasladar.</x:v>
      </x:c>
      <x:c r="R120" s="9"/>
      <x:c r="S120" s="159" t="str">
        <x:f>IFERROR(T(INDEX('Prospectos Resumen'!$K$9:$K$295,MATCH(A120,'Prospectos Resumen'!$A$9:$A$295,0))),"")</x:f>
      </x:c>
      <x:c r="T120" s="9"/>
      <x:c r="U120" s="9"/>
      <x:c r="V120" s="9"/>
      <x:c r="W120" s="9"/>
      <x:c r="X120" s="9" t="str">
        <x:v>tel:+543547492114</x:v>
      </x:c>
      <x:c r="Y120" s="9" t="str">
        <x:v>tel:+543547492114</x:v>
      </x:c>
      <x:c r="Z120" s="9" t="str">
        <x:v>Confirmar decisor y frecuencia de traslados.</x:v>
      </x:c>
      <x:c r="AA120" s="9" t="str">
        <x:v>https://www.google.com/maps/search/?api=1&amp;query=Servicios+Agropecuarios+S.R.L.+%E2%80%94+Despe%C3%B1aderos+Despe%C3%B1aderos+C%C3%B3rdoba+Argentina</x:v>
      </x:c>
      <x:c r="AB120" s="9" t="str">
        <x:v>Red de concesionarios Conese / web propia</x:v>
      </x:c>
      <x:c r="AC120" s="9" t="str">
        <x:v>https://serviciosagropecuariossrl.com/v2/</x:v>
      </x:c>
      <x:c r="AD120" s="9" t="str">
        <x:v>Punto de maquinaria agrícola en RN36 km 765 Despeñaderos; encaje directo con corredor PRESOL.</x:v>
      </x:c>
      <x:c r="AE120" s="9" t="str">
        <x:v>Alta</x:v>
      </x:c>
      <x:c r="AF120" s="9" t="str">
        <x:v>Rastrillaje agro-maquinaria web 2026-09-07</x:v>
      </x:c>
      <x:c r="AG120" s="9" t="str">
        <x:v>plataforma 20 tn para maquinaria/implementos | hidrogrúa para maniobras | malacate | seguro de carga | trazabilidad GPS</x:v>
      </x:c>
      <x:c r="AH120" s="9" t="str">
        <x:v>fabricante/concesionario/servicio maquinaria agrícola</x:v>
      </x:c>
      <x:c r="AI120" s="9" t="str">
        <x:v>Sí</x:v>
      </x:c>
      <x:c r="AJ120" s="9" t="str">
        <x:v>Alta</x:v>
      </x:c>
      <x:c r="AK120" s="9" t="str">
        <x:v>Perfil específico maquinaria agrícola: validar pesos/dimensiones, tipo de carga y disponibilidad de medios de izaje antes de cotizar.</x:v>
      </x:c>
      <x:c r="AL120" s="9" t="str">
        <x:v>Rastrillaje agro-maquinaria 2026-09-07</x:v>
      </x:c>
      <x:c r="AM120" s="9" t="str">
        <x:v>Alta nueva luego de barrido específico de fabricantes, implementos, tractores, concesionarios y agropartes; cruzada contra la base maestra para evitar duplicados.</x:v>
      </x:c>
    </x:row>
    <x:row r="121" ht="48">
      <x:c r="A121" s="136" t="str">
        <x:v>DES-002</x:v>
      </x:c>
      <x:c r="B121" s="136" t="str">
        <x:v>Pendiente</x:v>
      </x:c>
      <x:c r="C121" s="136" t="str">
        <x:v>Córdoba / RN36 norte</x:v>
      </x:c>
      <x:c r="D121" s="136" t="str">
        <x:v>Despeñaderos</x:v>
      </x:c>
      <x:c r="E121" s="136" t="str">
        <x:v>Despeñaderos</x:v>
      </x:c>
      <x:c r="F121" s="136" t="str">
        <x:v>B</x:v>
      </x:c>
      <x:c r="G121" s="136" t="n">
        <x:v>75</x:v>
      </x:c>
      <x:c r="H121" s="136" t="str">
        <x:v>Metal-Ferr</x:v>
      </x:c>
      <x:c r="I121" s="136" t="str">
        <x:v>Metalúrgica agro/industria</x:v>
      </x:c>
      <x:c r="J121" s="136" t="str">
        <x:v>Metalúrgica y fabricación</x:v>
      </x:c>
      <x:c r="K121" s="136" t="str">
        <x:v>3547 525300 / 3547 492716</x:v>
      </x:c>
      <x:c r="L121" s="136" t="str">
        <x:v>OK</x:v>
      </x:c>
      <x:c r="M121" s="136" t="str">
        <x:v>responsable de acopio / mantenimiento</x:v>
      </x:c>
      <x:c r="N121" s="136" t="str">
        <x:v>Traslado de equipos de planta, silos, repuestos pesados, balanzas, implementos y cargas especiales.</x:v>
      </x:c>
      <x:c r="O121" s="136" t="str">
        <x:v>Movimiento de equipos de planta, silos, balanzas, repuestos y cargas especiales para acopios/agroindustria.</x:v>
      </x:c>
      <x:c r="P121" s="136" t="str">
        <x:v>Empresa local 25+ años; pedir producción/despacho.</x:v>
      </x:c>
      <x:c r="Q121" s="136" t="str">
        <x:v>Visita o llamada de validación; pedir próximo traslado concreto.</x:v>
      </x:c>
      <x:c r="R121" s="136"/>
      <x:c r="S121" s="158" t="str">
        <x:f>IFERROR(T(INDEX('Prospectos Resumen'!$K$9:$K$295,MATCH(A121,'Prospectos Resumen'!$A$9:$A$295,0))),"")</x:f>
      </x:c>
      <x:c r="T121" s="136"/>
      <x:c r="U121" s="136"/>
      <x:c r="V121" s="136"/>
      <x:c r="W121" s="136"/>
      <x:c r="X121" s="136" t="str">
        <x:v>tel:+543547525300</x:v>
      </x:c>
      <x:c r="Y121" s="136" t="str">
        <x:v>tel:+543547525300 | tel:+543547492716</x:v>
      </x:c>
      <x:c r="Z121" s="136" t="str">
        <x:v>Validar contacto decisor y necesidad inmediata.</x:v>
      </x:c>
      <x:c r="AA121" s="136" t="str">
        <x:v>https://www.google.com/maps/search/?api=1&amp;query=-31.817000,-64.294000</x:v>
      </x:c>
      <x:c r="AB121" s="136" t="str">
        <x:v>metal-ferr.com/contacto</x:v>
      </x:c>
      <x:c r="AC121" s="136"/>
      <x:c r="AD121" s="136" t="str">
        <x:v>Registro curado en documento de dirección PRESOL 2026-09.</x:v>
      </x:c>
      <x:c r="AE121" s="136" t="str">
        <x:v>Alta</x:v>
      </x:c>
      <x:c r="AF121" s="136" t="str">
        <x:v>Base curada PDF dirección</x:v>
      </x:c>
      <x:c r="AG121" s="136" t="str">
        <x:v>plataforma 20 tn para maquinaria/piezas | hidrogrúa para maniobras | percha para pallets | percha para pallets de insumos | hidrogrúa para equipos/mantenimiento | barquilla para trabajos en altura</x:v>
      </x:c>
      <x:c r="AH121" s="136" t="str">
        <x:v>otro rubro factible</x:v>
      </x:c>
      <x:c r="AI121" s="136"/>
      <x:c r="AJ121" s="136" t="str">
        <x:v>Alta</x:v>
      </x:c>
      <x:c r="AK121" s="136" t="str">
        <x:v>Percha pallets: útil para insumos, bolsones, repuestos y materiales palletizados.</x:v>
      </x:c>
      <x:c r="AL121" s="136" t="str">
        <x:v>GPT adjunto + Hermes</x:v>
      </x:c>
      <x:c r="AM121" s="136" t="str">
        <x:v>Fusionado con base Hermes para completar teléfonos/fuentes/servicios.</x:v>
      </x:c>
    </x:row>
    <x:row r="122" ht="36">
      <x:c r="A122" s="135" t="str">
        <x:v>DES-003</x:v>
      </x:c>
      <x:c r="B122" s="135" t="str">
        <x:v>Pendiente</x:v>
      </x:c>
      <x:c r="C122" s="135" t="str">
        <x:v>Córdoba / RN36 norte</x:v>
      </x:c>
      <x:c r="D122" s="135" t="str">
        <x:v>Despeñaderos</x:v>
      </x:c>
      <x:c r="E122" s="135" t="str">
        <x:v>Despeñaderos</x:v>
      </x:c>
      <x:c r="F122" s="135" t="str">
        <x:v>B</x:v>
      </x:c>
      <x:c r="G122" s="135" t="n">
        <x:v>50</x:v>
      </x:c>
      <x:c r="H122" s="135" t="str">
        <x:v>Parque Industrial Despeñaderos N°64</x:v>
      </x:c>
      <x:c r="I122" s="135" t="str">
        <x:v>Radicaciones industriales</x:v>
      </x:c>
      <x:c r="J122" s="135" t="str">
        <x:v>Institucional y parques</x:v>
      </x:c>
      <x:c r="K122" s="135" t="str">
        <x:v>A relevar vía municipio</x:v>
      </x:c>
      <x:c r="L122" s="135" t="str">
        <x:v>A relevar</x:v>
      </x:c>
      <x:c r="M122" s="135" t="str">
        <x:v>despacho / producción</x:v>
      </x:c>
      <x:c r="N122" s="135" t="str">
        <x:v>Acceso a padrón de empresas radicadas, obras de infraestructura y derivaciones a responsables.</x:v>
      </x:c>
      <x:c r="O122" s="135" t="str">
        <x:v>Despacho de estructuras, tanques, transformadores, piezas de ingeniería y equipos sobre plataforma 20 tn.</x:v>
      </x:c>
      <x:c r="P122" s="135" t="str">
        <x:v>Pedir listado de empresas radicadas al municipio/parque.</x:v>
      </x:c>
      <x:c r="Q122" s="135" t="str">
        <x:v>Visita o llamada de validación; pedir próximo traslado concreto.</x:v>
      </x:c>
      <x:c r="R122" s="135"/>
      <x:c r="S122" s="158" t="str">
        <x:f>IFERROR(T(INDEX('Prospectos Resumen'!$K$9:$K$295,MATCH(A122,'Prospectos Resumen'!$A$9:$A$295,0))),"")</x:f>
      </x:c>
      <x:c r="T122" s="135"/>
      <x:c r="U122" s="135"/>
      <x:c r="V122" s="135"/>
      <x:c r="W122" s="135"/>
      <x:c r="X122" s="135"/>
      <x:c r="Y122" s="135"/>
      <x:c r="Z122" s="135" t="str">
        <x:v>Validar contacto decisor y necesidad inmediata.</x:v>
      </x:c>
      <x:c r="AA122" s="135" t="str">
        <x:v>https://www.google.com/maps/search/?api=1&amp;query=-31.812000,-64.289000</x:v>
      </x:c>
      <x:c r="AB122" s="135" t="str">
        <x:v>cba.gov.ar / despenaderos.gob.ar</x:v>
      </x:c>
      <x:c r="AC122" s="135"/>
      <x:c r="AD122" s="135" t="str">
        <x:v>Registro curado en documento de dirección PRESOL 2026-09.</x:v>
      </x:c>
      <x:c r="AE122" s="135" t="str">
        <x:v>Media</x:v>
      </x:c>
      <x:c r="AF122" s="135" t="str">
        <x:v>Base curada PDF dirección</x:v>
      </x:c>
      <x:c r="AG122" s="135" t="str">
        <x:v>transporte de áridos/materiales | hidrogrúa para carga/descarga | percha para pallets/bolsones</x:v>
      </x:c>
      <x:c r="AH122" s="135" t="str">
        <x:v>otro rubro factible</x:v>
      </x:c>
      <x:c r="AI122" s="135"/>
      <x:c r="AJ122" s="135" t="str">
        <x:v>Media</x:v>
      </x:c>
      <x:c r="AK122" s="135"/>
      <x:c r="AL122" s="135" t="str">
        <x:v>GPT adjunto + Hermes</x:v>
      </x:c>
      <x:c r="AM122" s="135" t="str">
        <x:v>Fusionado con base Hermes para completar teléfonos/fuentes/servicios.</x:v>
      </x:c>
    </x:row>
    <x:row r="123" ht="36">
      <x:c r="A123" s="7" t="str">
        <x:v>FER-001</x:v>
      </x:c>
      <x:c r="B123" s="7" t="str">
        <x:v>Pendiente</x:v>
      </x:c>
      <x:c r="C123" s="7" t="str">
        <x:v>Córdoba / RN36 norte</x:v>
      </x:c>
      <x:c r="D123" s="7" t="str">
        <x:v>Ferreyra / Santa Isabel</x:v>
      </x:c>
      <x:c r="E123" s="7" t="str">
        <x:v>Ferreyra / Santa Isabel</x:v>
      </x:c>
      <x:c r="F123" s="7" t="str">
        <x:v>B</x:v>
      </x:c>
      <x:c r="G123" s="7" t="n">
        <x:v>75</x:v>
      </x:c>
      <x:c r="H123" s="7" t="str">
        <x:v>Iveco / CNH Ferreyra</x:v>
      </x:c>
      <x:c r="I123" s="7" t="str">
        <x:v>Automotriz / camiones</x:v>
      </x:c>
      <x:c r="J123" s="7" t="str">
        <x:v>Industria y mantenimiento</x:v>
      </x:c>
      <x:c r="K123" s="7" t="str">
        <x:v>011 20341400 (central)</x:v>
      </x:c>
      <x:c r="L123" s="7" t="str">
        <x:v>OK</x:v>
      </x:c>
      <x:c r="M123" s="7" t="str">
        <x:v>despacho / producción</x:v>
      </x:c>
      <x:c r="N123" s="7" t="str">
        <x:v>Movimientos especiales de mantenimiento, repuestos pesados y mudanzas internas de equipos.</x:v>
      </x:c>
      <x:c r="O123" s="7" t="str">
        <x:v>Despacho de estructuras, tanques, transformadores, piezas de ingeniería y equipos sobre plataforma 20 tn.</x:v>
      </x:c>
      <x:c r="P123" s="7" t="str">
        <x:v>No entrar como pyme fría: buscar contratistas de montaje/mantenimiento.</x:v>
      </x:c>
      <x:c r="Q123" s="7" t="str">
        <x:v>Visita o llamada de validación; pedir próximo traslado concreto.</x:v>
      </x:c>
      <x:c r="R123" s="7"/>
      <x:c r="S123" s="160" t="str">
        <x:f>IFERROR(T(INDEX('Prospectos Resumen'!$K$9:$K$295,MATCH(A123,'Prospectos Resumen'!$A$9:$A$295,0))),"")</x:f>
      </x:c>
      <x:c r="T123" s="7"/>
      <x:c r="U123" s="7"/>
      <x:c r="V123" s="7"/>
      <x:c r="W123" s="7"/>
      <x:c r="X123" s="7" t="str">
        <x:v>tel:+541120341400</x:v>
      </x:c>
      <x:c r="Y123" s="7" t="str">
        <x:v>tel:+541120341400</x:v>
      </x:c>
      <x:c r="Z123" s="7" t="str">
        <x:v>Validar contacto decisor y necesidad inmediata.</x:v>
      </x:c>
      <x:c r="AA123" s="7" t="str">
        <x:v>https://www.google.com/maps/search/?api=1&amp;query=-31.455000,-64.130000</x:v>
      </x:c>
      <x:c r="AB123" s="7" t="str">
        <x:v>Iveco / CEDAC</x:v>
      </x:c>
      <x:c r="AC123" s="7"/>
      <x:c r="AD123" s="7" t="str">
        <x:v>Registro curado en documento de dirección PRESOL 2026-09.</x:v>
      </x:c>
      <x:c r="AE123" s="7" t="str">
        <x:v>Alta</x:v>
      </x:c>
      <x:c r="AF123" s="7" t="str">
        <x:v>Base curada PDF dirección</x:v>
      </x:c>
      <x:c r="AG123" s="7" t="str">
        <x:v>plataforma 20 tn para maquinaria/piezas | hidrogrúa para maniobras | percha para pallets</x:v>
      </x:c>
      <x:c r="AH123" s="7" t="str">
        <x:v>otro rubro factible</x:v>
      </x:c>
      <x:c r="AI123" s="7"/>
      <x:c r="AJ123" s="7" t="str">
        <x:v>Alta</x:v>
      </x:c>
      <x:c r="AK123" s="7"/>
      <x:c r="AL123" s="7" t="str">
        <x:v>GPT adjunto + Hermes</x:v>
      </x:c>
      <x:c r="AM123" s="7" t="str">
        <x:v>Fusionado con base Hermes para completar teléfonos/fuentes/servicios. | ID fuente: FSI-001</x:v>
      </x:c>
    </x:row>
    <x:row r="124" ht="36">
      <x:c r="A124" s="135" t="str">
        <x:v>FER-002</x:v>
      </x:c>
      <x:c r="B124" s="135" t="str">
        <x:v>Pendiente</x:v>
      </x:c>
      <x:c r="C124" s="135" t="str">
        <x:v>Córdoba / RN36 norte</x:v>
      </x:c>
      <x:c r="D124" s="135" t="str">
        <x:v>Ferreyra / Santa Isabel</x:v>
      </x:c>
      <x:c r="E124" s="135" t="str">
        <x:v>Ferreyra / Santa Isabel</x:v>
      </x:c>
      <x:c r="F124" s="135" t="str">
        <x:v>B</x:v>
      </x:c>
      <x:c r="G124" s="135" t="n">
        <x:v>75</x:v>
      </x:c>
      <x:c r="H124" s="135" t="str">
        <x:v>Renault Planta Santa Isabel</x:v>
      </x:c>
      <x:c r="I124" s="135" t="str">
        <x:v>Automotriz</x:v>
      </x:c>
      <x:c r="J124" s="135" t="str">
        <x:v>Industria y mantenimiento</x:v>
      </x:c>
      <x:c r="K124" s="135" t="str">
        <x:v>0351 4268268</x:v>
      </x:c>
      <x:c r="L124" s="135" t="str">
        <x:v>OK</x:v>
      </x:c>
      <x:c r="M124" s="135" t="str">
        <x:v>responsable de logística/compras</x:v>
      </x:c>
      <x:c r="N124" s="135" t="str">
        <x:v>Movimientos especiales de mantenimiento, repuestos pesados y mudanzas internas de equipos.</x:v>
      </x:c>
      <x:c r="O124" s="135" t="str">
        <x:v>Detectar el próximo movimiento pesado y convertirlo en cotización concreta.</x:v>
      </x:c>
      <x:c r="P124" s="135" t="str">
        <x:v>Prospecto largo; entrar por proveedores, no por compra directa.</x:v>
      </x:c>
      <x:c r="Q124" s="135" t="str">
        <x:v>Visita o llamada de validación; pedir próximo traslado concreto.</x:v>
      </x:c>
      <x:c r="R124" s="135"/>
      <x:c r="S124" s="158" t="str">
        <x:f>IFERROR(T(INDEX('Prospectos Resumen'!$K$9:$K$295,MATCH(A124,'Prospectos Resumen'!$A$9:$A$295,0))),"")</x:f>
      </x:c>
      <x:c r="T124" s="135"/>
      <x:c r="U124" s="135"/>
      <x:c r="V124" s="135"/>
      <x:c r="W124" s="135"/>
      <x:c r="X124" s="135" t="str">
        <x:v>tel:+543514268268</x:v>
      </x:c>
      <x:c r="Y124" s="135" t="str">
        <x:v>tel:+543514268268</x:v>
      </x:c>
      <x:c r="Z124" s="135" t="str">
        <x:v>Validar contacto decisor y necesidad inmediata.</x:v>
      </x:c>
      <x:c r="AA124" s="135" t="str">
        <x:v>https://www.google.com/maps/search/?api=1&amp;query=-31.455000,-64.160000</x:v>
      </x:c>
      <x:c r="AB124" s="135" t="str">
        <x:v>renaultgroup.com Córdoba Plant</x:v>
      </x:c>
      <x:c r="AC124" s="135"/>
      <x:c r="AD124" s="135" t="str">
        <x:v>Registro curado en documento de dirección PRESOL 2026-09.</x:v>
      </x:c>
      <x:c r="AE124" s="135" t="str">
        <x:v>Alta</x:v>
      </x:c>
      <x:c r="AF124" s="135" t="str">
        <x:v>Base curada PDF dirección</x:v>
      </x:c>
      <x:c r="AG124" s="135" t="str">
        <x:v>plataforma 20 tn para maquinaria/piezas | hidrogrúa para maniobras | percha para pallets</x:v>
      </x:c>
      <x:c r="AH124" s="135" t="str">
        <x:v>otro rubro factible</x:v>
      </x:c>
      <x:c r="AI124" s="135"/>
      <x:c r="AJ124" s="135" t="str">
        <x:v>Alta</x:v>
      </x:c>
      <x:c r="AK124" s="135"/>
      <x:c r="AL124" s="135" t="str">
        <x:v>GPT adjunto + Hermes</x:v>
      </x:c>
      <x:c r="AM124" s="135" t="str">
        <x:v>Fusionado con base Hermes para completar teléfonos/fuentes/servicios. | ID fuente: FSI-002</x:v>
      </x:c>
    </x:row>
    <x:row r="125" ht="48">
      <x:c r="A125" s="7" t="str">
        <x:v>MAL-001</x:v>
      </x:c>
      <x:c r="B125" s="7" t="str">
        <x:v>Pendiente</x:v>
      </x:c>
      <x:c r="C125" s="7" t="str">
        <x:v>Córdoba / RN36 norte</x:v>
      </x:c>
      <x:c r="D125" s="7" t="str">
        <x:v>Malagueño</x:v>
      </x:c>
      <x:c r="E125" s="7" t="str">
        <x:v>Malagueño</x:v>
      </x:c>
      <x:c r="F125" s="7" t="str">
        <x:v>A</x:v>
      </x:c>
      <x:c r="G125" s="7" t="n">
        <x:v>100</x:v>
      </x:c>
      <x:c r="H125" s="7" t="str">
        <x:v>Corblock</x:v>
      </x:c>
      <x:c r="I125" s="7" t="str">
        <x:v>Premoldeados y pretensados de hormigón</x:v>
      </x:c>
      <x:c r="J125" s="7" t="str">
        <x:v>Hormigón, áridos y materiales</x:v>
      </x:c>
      <x:c r="K125" s="7" t="str">
        <x:v>0351 3568259</x:v>
      </x:c>
      <x:c r="L125" s="7" t="str">
        <x:v>OK</x:v>
      </x:c>
      <x:c r="M125" s="7" t="str">
        <x:v>despacho / logística</x:v>
      </x:c>
      <x:c r="N125" s="7" t="str">
        <x:v>Movimiento de premoldeados, equipos de planta/cantera, bombas, moldes y cargas pesadas.</x:v>
      </x:c>
      <x:c r="O125" s="7" t="str">
        <x:v>Transporte de premoldeados/equipos; áridos sueltos solo sujeto a validar caja volcadora o tercerización.</x:v>
      </x:c>
      <x:c r="P125" s="7" t="str">
        <x:v>Planta en Malagueño, premoldeados/pretensados; oportunidad para cargas regionales y reparto pesado.</x:v>
      </x:c>
      <x:c r="Q125" s="7" t="str">
        <x:v>Validar teléfono/contacto; si responde, pedir un caso concreto de traslado o próximo movimiento.</x:v>
      </x:c>
      <x:c r="R125" s="7"/>
      <x:c r="S125" s="160" t="str">
        <x:f>IFERROR(T(INDEX('Prospectos Resumen'!$K$9:$K$295,MATCH(A125,'Prospectos Resumen'!$A$9:$A$295,0))),"")</x:f>
      </x:c>
      <x:c r="T125" s="7"/>
      <x:c r="U125" s="7"/>
      <x:c r="V125" s="7"/>
      <x:c r="W125" s="7"/>
      <x:c r="X125" s="7" t="str">
        <x:v>tel:+543513568259</x:v>
      </x:c>
      <x:c r="Y125" s="7" t="str">
        <x:v>tel:+543513568259</x:v>
      </x:c>
      <x:c r="Z125" s="7" t="str">
        <x:v>Confirmar decisor y vigencia del dato antes de incluir en salida prioritaria.</x:v>
      </x:c>
      <x:c r="AA125" s="7" t="str">
        <x:v>https://www.google.com/maps/search/?api=1&amp;query=Corblock+Malague%C3%B1o+C%C3%B3rdoba+Argentina</x:v>
      </x:c>
      <x:c r="AB125" s="7" t="str">
        <x:v>Web propia Corblock</x:v>
      </x:c>
      <x:c r="AC125" s="7" t="str">
        <x:v>https://www.corblock.com/productos/cordones-premoldeados</x:v>
      </x:c>
      <x:c r="AD125" s="7" t="str">
        <x:v>Sitio informa Av. Italia s/n Malagueño, WhatsApp/teléfono y productos premoldeados.</x:v>
      </x:c>
      <x:c r="AE125" s="7" t="str">
        <x:v>Alta</x:v>
      </x:c>
      <x:c r="AF125" s="7" t="str">
        <x:v>Nuevo enriquecimiento 2026-09-02</x:v>
      </x:c>
      <x:c r="AG125" s="7" t="str">
        <x:v>transporte de áridos/materiales | hidrogrúa para carga/descarga | percha para pallets/bolsones</x:v>
      </x:c>
      <x:c r="AH125" s="7" t="str">
        <x:v>áridos/construcción/premoldeados</x:v>
      </x:c>
      <x:c r="AI125" s="7"/>
      <x:c r="AJ125" s="7" t="str">
        <x:v>Muy alta</x:v>
      </x:c>
      <x:c r="AK125" s="7" t="str">
        <x:v>Áridos/materiales: confirmar modalidad de carga/descarga y tipo de unidad requerida antes de cotizar.</x:v>
      </x:c>
      <x:c r="AL125" s="7" t="str">
        <x:v>GPT adjunto + Hermes</x:v>
      </x:c>
      <x:c r="AM125" s="7" t="str">
        <x:v>Fusionado con base Hermes para completar teléfonos/fuentes/servicios.</x:v>
      </x:c>
    </x:row>
    <x:row r="126" ht="72">
      <x:c r="A126" s="8" t="str">
        <x:v>MAL-004</x:v>
      </x:c>
      <x:c r="B126" s="8" t="str">
        <x:v>Pendiente</x:v>
      </x:c>
      <x:c r="C126" s="8" t="str">
        <x:v>Córdoba / RN36 norte</x:v>
      </x:c>
      <x:c r="D126" s="8" t="str">
        <x:v>Malagueño / planta industrial</x:v>
      </x:c>
      <x:c r="E126" s="8" t="str">
        <x:v>Malagueño</x:v>
      </x:c>
      <x:c r="F126" s="8" t="str">
        <x:v>A</x:v>
      </x:c>
      <x:c r="G126" s="8" t="n">
        <x:v>100</x:v>
      </x:c>
      <x:c r="H126" s="8" t="str">
        <x:v>Indusplast Piscinas — Planta Malagueño</x:v>
      </x:c>
      <x:c r="I126" s="8" t="str">
        <x:v>Fabricante industrial de piscinas de fibra de vidrio / red de franquicias</x:v>
      </x:c>
      <x:c r="J126" s="8" t="str">
        <x:v>PRFV y plásticos</x:v>
      </x:c>
      <x:c r="K126" s="8" t="str">
        <x:v>0800 77 74724 / +54 9 3541 652624</x:v>
      </x:c>
      <x:c r="L126" s="8" t="str">
        <x:v>OK</x:v>
      </x:c>
      <x:c r="M126" s="8" t="str">
        <x:v>logística / instalaciones / obras / ventas</x:v>
      </x:c>
      <x:c r="N126" s="8" t="str">
        <x:v>Despacho recurrente de cascos PRFV de gran volumen desde fábrica hacia obras, franquicias o domicilios; coordinación de descarga y posicionamiento en patios con accesos restringidos.</x:v>
      </x:c>
      <x:c r="O126" s="8" t="str">
        <x:v>Transporte especial de cascos PRFV + hidrogrúa para descarga y posicionamiento en patio/excavación + coordinación con equipo instalador + seguro de carga + trazabilidad GPS.</x:v>
      </x:c>
      <x:c r="P126" s="8" t="str">
        <x:v>Proponer a PRESOL como operador logístico recurrente para entregas de fábrica: un solo proveedor para flete, descarga con hidrogrúa y posicionamiento final del casco.</x:v>
      </x:c>
      <x:c r="Q126" s="8" t="str">
        <x:v>Llamada prioritaria; pedir por responsable de logística/instalaciones/obras y consultar cómo resuelven hoy el flete y la hidrogrúa de cada casco.</x:v>
      </x:c>
      <x:c r="R126" s="8"/>
      <x:c r="S126" s="160" t="str">
        <x:f>IFERROR(T(INDEX('Prospectos Resumen'!$K$9:$K$295,MATCH(A126,'Prospectos Resumen'!$A$9:$A$295,0))),"")</x:f>
      </x:c>
      <x:c r="T126" s="8"/>
      <x:c r="U126" s="8"/>
      <x:c r="V126" s="8"/>
      <x:c r="W126" s="8"/>
      <x:c r="X126" s="8" t="str">
        <x:v>tel:+548007774724</x:v>
      </x:c>
      <x:c r="Y126" s="8" t="str">
        <x:v>tel:+548007774724</x:v>
      </x:c>
      <x:c r="Z126" s="8" t="str">
        <x:v>Confirmar decisor de logística/instalaciones y frecuencia mensual de entregas.</x:v>
      </x:c>
      <x:c r="AA126" s="8" t="str">
        <x:v>https://www.google.com/maps/search/?api=1&amp;query=Indusplast+Piscinas+%E2%80%94+Planta+Malague%C3%B1o+Malague%C3%B1o+C%C3%B3rdoba+Argentina</x:v>
      </x:c>
      <x:c r="AB126" s="8" t="str">
        <x:v>Web oficial Indusplast</x:v>
      </x:c>
      <x:c r="AC126" s="8" t="str">
        <x:v>https://indusplast.com/section/induspedia/que-es-indusplast-del-garage-en-villa-carlos-paz-a-la-mayor-fabrica-de-piscinas-de-fibra-de-vidrio-de-argentina</x:v>
      </x:c>
      <x:c r="AD126" s="8" t="str">
        <x:v>Planta en Malagueño con producción a gran escala de piscinas de fibra y red nacional de franquicias.</x:v>
      </x:c>
      <x:c r="AE126" s="8" t="str">
        <x:v>Alta</x:v>
      </x:c>
      <x:c r="AF126" s="8" t="str">
        <x:v>Rastrillaje piletas PRFV 2026-09-07</x:v>
      </x:c>
      <x:c r="AG126" s="8" t="str">
        <x:v>transporte especial de cascos PRFV | hidrogrúa para descarga y posicionamiento | coordinación de entrega con instalador | seguro de carga | trazabilidad GPS</x:v>
      </x:c>
      <x:c r="AH126" s="8" t="str">
        <x:v>piletas/plástico/PRFV</x:v>
      </x:c>
      <x:c r="AI126" s="8" t="str">
        <x:v>Sí</x:v>
      </x:c>
      <x:c r="AJ126" s="8" t="str">
        <x:v>Muy alta</x:v>
      </x:c>
      <x:c r="AK126" s="8" t="str">
        <x:v>Oportunidad de encaje directo: el casco es voluminoso y liviano; confirmar puntos de izaje, eslingado, radio de giro, obstáculos del lote y recomendaciones del fabricante antes de la maniobra.</x:v>
      </x:c>
      <x:c r="AL126" s="8" t="str">
        <x:v>Rastrillaje PRFV 2026-09-07</x:v>
      </x:c>
      <x:c r="AM126" s="8" t="str">
        <x:v>Alta nueva luego de barrido específico de fabricantes, franquicias y colocadores de piscinas de fibra; cruzada contra la base maestra para evitar duplicados.</x:v>
      </x:c>
    </x:row>
    <x:row r="127" ht="48">
      <x:c r="A127" s="136" t="str">
        <x:v>MAL-002</x:v>
      </x:c>
      <x:c r="B127" s="136" t="str">
        <x:v>Pendiente</x:v>
      </x:c>
      <x:c r="C127" s="136" t="str">
        <x:v>Córdoba / RN36 norte</x:v>
      </x:c>
      <x:c r="D127" s="136" t="str">
        <x:v>Malagueño</x:v>
      </x:c>
      <x:c r="E127" s="136" t="str">
        <x:v>Malagueño</x:v>
      </x:c>
      <x:c r="F127" s="136" t="str">
        <x:v>A</x:v>
      </x:c>
      <x:c r="G127" s="136" t="n">
        <x:v>75</x:v>
      </x:c>
      <x:c r="H127" s="136" t="str">
        <x:v>Grupo Calidra / Cal Malagueño</x:v>
      </x:c>
      <x:c r="I127" s="136" t="str">
        <x:v>Cal / minería / áridos</x:v>
      </x:c>
      <x:c r="J127" s="136" t="str">
        <x:v>Hormigón, áridos y materiales</x:v>
      </x:c>
      <x:c r="K127" s="136" t="str">
        <x:v>A relevar</x:v>
      </x:c>
      <x:c r="L127" s="136" t="str">
        <x:v>A relevar</x:v>
      </x:c>
      <x:c r="M127" s="136" t="str">
        <x:v>planta / mantenimiento</x:v>
      </x:c>
      <x:c r="N127" s="136" t="str">
        <x:v>Movimiento de premoldeados, equipos de planta/cantera, bombas, moldes y cargas pesadas.</x:v>
      </x:c>
      <x:c r="O127" s="136" t="str">
        <x:v>Movimiento de equipos de cantera/planta; transporte de material suelto sujeto a confirmar unidad o esquema operativo.</x:v>
      </x:c>
      <x:c r="P127" s="136" t="str">
        <x:v>Prospecto grande; entrar por mantenimiento/proveedores.</x:v>
      </x:c>
      <x:c r="Q127" s="136" t="str">
        <x:v>Visita o llamada de validación; pedir próximo traslado concreto.</x:v>
      </x:c>
      <x:c r="R127" s="136"/>
      <x:c r="S127" s="158" t="str">
        <x:f>IFERROR(T(INDEX('Prospectos Resumen'!$K$9:$K$295,MATCH(A127,'Prospectos Resumen'!$A$9:$A$295,0))),"")</x:f>
      </x:c>
      <x:c r="T127" s="136"/>
      <x:c r="U127" s="136"/>
      <x:c r="V127" s="136"/>
      <x:c r="W127" s="136"/>
      <x:c r="X127" s="136"/>
      <x:c r="Y127" s="136"/>
      <x:c r="Z127" s="136" t="str">
        <x:v>Validar contacto decisor y necesidad inmediata.</x:v>
      </x:c>
      <x:c r="AA127" s="136" t="str">
        <x:v>https://www.google.com/maps/search/?api=1&amp;query=-31.467000,-64.358000</x:v>
      </x:c>
      <x:c r="AB127" s="136" t="str">
        <x:v>calidra.com.ar / investigación web</x:v>
      </x:c>
      <x:c r="AC127" s="136"/>
      <x:c r="AD127" s="136" t="str">
        <x:v>Registro curado en documento de dirección PRESOL 2026-09.</x:v>
      </x:c>
      <x:c r="AE127" s="136" t="str">
        <x:v>Media</x:v>
      </x:c>
      <x:c r="AF127" s="136" t="str">
        <x:v>Base curada PDF dirección</x:v>
      </x:c>
      <x:c r="AG127" s="136" t="str">
        <x:v>transporte de áridos/materiales | hidrogrúa para carga/descarga | percha para pallets/bolsones</x:v>
      </x:c>
      <x:c r="AH127" s="136" t="str">
        <x:v>áridos/construcción/premoldeados</x:v>
      </x:c>
      <x:c r="AI127" s="136"/>
      <x:c r="AJ127" s="136" t="str">
        <x:v>Alta</x:v>
      </x:c>
      <x:c r="AK127" s="136" t="str">
        <x:v>Áridos/materiales: confirmar modalidad de carga/descarga y tipo de unidad requerida antes de cotizar.</x:v>
      </x:c>
      <x:c r="AL127" s="136" t="str">
        <x:v>GPT adjunto + Hermes</x:v>
      </x:c>
      <x:c r="AM127" s="136" t="str">
        <x:v>Fusionado con base Hermes para completar teléfonos/fuentes/servicios.</x:v>
      </x:c>
    </x:row>
    <x:row r="128" ht="24">
      <x:c r="A128" s="8" t="str">
        <x:v>MAL-003</x:v>
      </x:c>
      <x:c r="B128" s="8" t="str">
        <x:v>Pendiente</x:v>
      </x:c>
      <x:c r="C128" s="8" t="str">
        <x:v>Córdoba / RN36 norte</x:v>
      </x:c>
      <x:c r="D128" s="8" t="str">
        <x:v>Malagueño</x:v>
      </x:c>
      <x:c r="E128" s="8" t="str">
        <x:v>Malagueño</x:v>
      </x:c>
      <x:c r="F128" s="8" t="str">
        <x:v>B</x:v>
      </x:c>
      <x:c r="G128" s="8" t="n">
        <x:v>75</x:v>
      </x:c>
      <x:c r="H128" s="8" t="str">
        <x:v>Corralón Bergese Hnos.</x:v>
      </x:c>
      <x:c r="I128" s="8" t="str">
        <x:v>Corralón / materiales</x:v>
      </x:c>
      <x:c r="J128" s="8" t="str">
        <x:v>Hormigón, áridos y materiales</x:v>
      </x:c>
      <x:c r="K128" s="8" t="str">
        <x:v>0351 6870914 / 0351 2013895</x:v>
      </x:c>
      <x:c r="L128" s="8" t="str">
        <x:v>OK</x:v>
      </x:c>
      <x:c r="M128" s="8" t="str">
        <x:v>responsable de logística/compras</x:v>
      </x:c>
      <x:c r="N128" s="8" t="str">
        <x:v>Movimiento de premoldeados, equipos de planta/cantera, bombas, moldes y cargas pesadas.</x:v>
      </x:c>
      <x:c r="O128" s="8" t="str">
        <x:v>Detectar el próximo movimiento pesado y convertirlo en cotización concreta.</x:v>
      </x:c>
      <x:c r="P128" s="8" t="str">
        <x:v>Ofrecer refuerzo logístico para envíos fuera de zona.</x:v>
      </x:c>
      <x:c r="Q128" s="8" t="str">
        <x:v>Visita o llamada de validación; pedir próximo traslado concreto.</x:v>
      </x:c>
      <x:c r="R128" s="8"/>
      <x:c r="S128" s="160" t="str">
        <x:f>IFERROR(T(INDEX('Prospectos Resumen'!$K$9:$K$295,MATCH(A128,'Prospectos Resumen'!$A$9:$A$295,0))),"")</x:f>
      </x:c>
      <x:c r="T128" s="8"/>
      <x:c r="U128" s="8"/>
      <x:c r="V128" s="8"/>
      <x:c r="W128" s="8"/>
      <x:c r="X128" s="8" t="str">
        <x:v>tel:+543516870914</x:v>
      </x:c>
      <x:c r="Y128" s="8" t="str">
        <x:v>tel:+543516870914 | tel:+543512013895</x:v>
      </x:c>
      <x:c r="Z128" s="8" t="str">
        <x:v>Validar contacto decisor y necesidad inmediata.</x:v>
      </x:c>
      <x:c r="AA128" s="8" t="str">
        <x:v>https://www.google.com/maps/search/?api=1&amp;query=-31.441753,-64.439418</x:v>
      </x:c>
      <x:c r="AB128" s="8" t="str">
        <x:v>ObraMaestra / corralonbergesehnos.com</x:v>
      </x:c>
      <x:c r="AC128" s="8"/>
      <x:c r="AD128" s="8" t="str">
        <x:v>Registro curado en documento de dirección PRESOL 2026-09.</x:v>
      </x:c>
      <x:c r="AE128" s="8" t="str">
        <x:v>Alta</x:v>
      </x:c>
      <x:c r="AF128" s="8" t="str">
        <x:v>Base curada PDF dirección</x:v>
      </x:c>
      <x:c r="AG128" s="8" t="str">
        <x:v>transporte de áridos/materiales | hidrogrúa para carga/descarga | percha para pallets/bolsones</x:v>
      </x:c>
      <x:c r="AH128" s="8" t="str">
        <x:v>áridos/construcción/premoldeados</x:v>
      </x:c>
      <x:c r="AI128" s="8"/>
      <x:c r="AJ128" s="8" t="str">
        <x:v>Alta</x:v>
      </x:c>
      <x:c r="AK128" s="8" t="str">
        <x:v>Áridos/materiales: confirmar modalidad de carga/descarga y tipo de unidad requerida antes de cotizar.</x:v>
      </x:c>
      <x:c r="AL128" s="8" t="str">
        <x:v>GPT adjunto + Hermes</x:v>
      </x:c>
      <x:c r="AM128" s="8" t="str">
        <x:v>Fusionado con base Hermes para completar teléfonos/fuentes/servicios.</x:v>
      </x:c>
    </x:row>
    <x:row r="129" ht="36">
      <x:c r="A129" s="7" t="str">
        <x:v>ONC-001</x:v>
      </x:c>
      <x:c r="B129" s="7" t="str">
        <x:v>Pendiente</x:v>
      </x:c>
      <x:c r="C129" s="7" t="str">
        <x:v>Oncativo / RN9</x:v>
      </x:c>
      <x:c r="D129" s="7" t="str">
        <x:v>Oncativo / RN9 - polo industrial</x:v>
      </x:c>
      <x:c r="E129" s="7" t="str">
        <x:v>Oncativo</x:v>
      </x:c>
      <x:c r="F129" s="7" t="str">
        <x:v>A</x:v>
      </x:c>
      <x:c r="G129" s="7" t="n">
        <x:v>100</x:v>
      </x:c>
      <x:c r="H129" s="7" t="str">
        <x:v>CLAAS Argentina S.A.U. - Oncativo</x:v>
      </x:c>
      <x:c r="I129" s="7" t="str">
        <x:v>Maquinaria agrícola</x:v>
      </x:c>
      <x:c r="J129" s="7" t="str">
        <x:v>Maquinaria agrícola</x:v>
      </x:c>
      <x:c r="K129" s="7" t="str">
        <x:v>03572 455981</x:v>
      </x:c>
      <x:c r="L129" s="7" t="str">
        <x:v>OK</x:v>
      </x:c>
      <x:c r="M129" s="7" t="str">
        <x:v>logística / entregas / postventa</x:v>
      </x:c>
      <x:c r="N129" s="7" t="str">
        <x:v>Traslado de maquinaria agrícola o vial entre sucursal, cliente, taller, campo y eventos.</x:v>
      </x:c>
      <x:c r="O129" s="7" t="str">
        <x:v>Traslado de maquinaria en plataforma 20 tn, coordinación de retiro/entrega y apoyo de hidrogrúa si corresponde.</x:v>
      </x:c>
      <x:c r="P129" s="7" t="str">
        <x:v>Sucursal/planta sobre AU9 km 628; movimiento de maquinaria agrícola de gran porte.</x:v>
      </x:c>
      <x:c r="Q129" s="7" t="str">
        <x:v>Llamada prioritaria; pedir próximo traslado concreto y, si hay encaje, coordinar visita.</x:v>
      </x:c>
      <x:c r="R129" s="7"/>
      <x:c r="S129" s="160" t="str">
        <x:f>IFERROR(T(INDEX('Prospectos Resumen'!$K$9:$K$295,MATCH(A129,'Prospectos Resumen'!$A$9:$A$295,0))),"")</x:f>
      </x:c>
      <x:c r="T129" s="7"/>
      <x:c r="U129" s="7"/>
      <x:c r="V129" s="7"/>
      <x:c r="W129" s="7"/>
      <x:c r="X129" s="7" t="str">
        <x:v>tel:+543572455981</x:v>
      </x:c>
      <x:c r="Y129" s="7" t="str">
        <x:v>tel:+543572455981</x:v>
      </x:c>
      <x:c r="Z129" s="7" t="str">
        <x:v>Confirmar decisor, frecuencia de movimientos y vigencia del contacto antes de cotizar.</x:v>
      </x:c>
      <x:c r="AA129" s="7" t="str">
        <x:v>https://www.google.com/maps/search/?api=1&amp;query=CLAAS+Argentina+S.A.U.+-+Oncativo+Oncativo+C%C3%B3rdoba+Argentina</x:v>
      </x:c>
      <x:c r="AB129" s="7" t="str">
        <x:v>Google Maps / ficha pública</x:v>
      </x:c>
      <x:c r="AC129" s="7" t="str">
        <x:v>https://www.google.com/maps/search/?api=1&amp;query=CLAAS+Argentina+Oncativo+C%C3%B3rdoba+Argentina</x:v>
      </x:c>
      <x:c r="AD129" s="7" t="str">
        <x:v>Sucursal/planta sobre AU9 km 628; movimiento de maquinaria agrícola de gran porte.</x:v>
      </x:c>
      <x:c r="AE129" s="7" t="str">
        <x:v>Alta</x:v>
      </x:c>
      <x:c r="AF129" s="7" t="str">
        <x:v>Enriquecimiento web 2026-09-07</x:v>
      </x:c>
      <x:c r="AG129" s="7" t="str">
        <x:v>plataforma 20 tn para maquinaria/piezas | hidrogrúa para maniobras | percha para pallets</x:v>
      </x:c>
      <x:c r="AH129" s="7" t="str">
        <x:v>fabricante/servicio maquinaria agrícola</x:v>
      </x:c>
      <x:c r="AI129" s="7" t="str">
        <x:v>Sí</x:v>
      </x:c>
      <x:c r="AJ129" s="7" t="str">
        <x:v>Muy alta</x:v>
      </x:c>
      <x:c r="AK129" s="7"/>
      <x:c r="AL129" s="7" t="str">
        <x:v>GPT adjunto</x:v>
      </x:c>
      <x:c r="AM129" s="7"/>
    </x:row>
    <x:row r="130" ht="36">
      <x:c r="A130" s="9" t="str">
        <x:v>ONC-002</x:v>
      </x:c>
      <x:c r="B130" s="9" t="str">
        <x:v>Pendiente</x:v>
      </x:c>
      <x:c r="C130" s="9" t="str">
        <x:v>Oncativo / RN9</x:v>
      </x:c>
      <x:c r="D130" s="9" t="str">
        <x:v>Oncativo / RN9 - polo industrial</x:v>
      </x:c>
      <x:c r="E130" s="9" t="str">
        <x:v>Oncativo</x:v>
      </x:c>
      <x:c r="F130" s="9" t="str">
        <x:v>A</x:v>
      </x:c>
      <x:c r="G130" s="9" t="n">
        <x:v>100</x:v>
      </x:c>
      <x:c r="H130" s="9" t="str">
        <x:v>Dynamis S.R.L.</x:v>
      </x:c>
      <x:c r="I130" s="9" t="str">
        <x:v>Ingeniería, maquinaria agrícola e higiene urbana</x:v>
      </x:c>
      <x:c r="J130" s="9" t="str">
        <x:v>Maquinaria agrícola</x:v>
      </x:c>
      <x:c r="K130" s="9" t="str">
        <x:v>A relevar</x:v>
      </x:c>
      <x:c r="L130" s="9" t="str">
        <x:v>A relevar</x:v>
      </x:c>
      <x:c r="M130" s="9" t="str">
        <x:v>logística / despacho / postventa</x:v>
      </x:c>
      <x:c r="N130" s="9" t="str">
        <x:v>Traslado de maquinaria, implementos, equipos terminados y componentes de gran porte entre planta, cliente, obra o feria.</x:v>
      </x:c>
      <x:c r="O130" s="9" t="str">
        <x:v>Plataforma 20 tn + malacate/hidrogrúa según maniobra + seguro de carga + trazabilidad GPS.</x:v>
      </x:c>
      <x:c r="P130" s="9" t="str">
        <x:v>Diseña y gestiona fabricación de máquinas agrícolas y de higiene urbana; cuenta con planta de corte por plasma en Oncativo.</x:v>
      </x:c>
      <x:c r="Q130" s="9" t="str">
        <x:v>Llamada prioritaria; pedir próximo traslado concreto y, si hay encaje, coordinar visita.</x:v>
      </x:c>
      <x:c r="R130" s="9"/>
      <x:c r="S130" s="159" t="str">
        <x:f>IFERROR(T(INDEX('Prospectos Resumen'!$K$9:$K$295,MATCH(A130,'Prospectos Resumen'!$A$9:$A$295,0))),"")</x:f>
      </x:c>
      <x:c r="T130" s="9"/>
      <x:c r="U130" s="9"/>
      <x:c r="V130" s="9"/>
      <x:c r="W130" s="9"/>
      <x:c r="X130" s="9"/>
      <x:c r="Y130" s="9"/>
      <x:c r="Z130" s="9" t="str">
        <x:v>Confirmar decisor, frecuencia de movimientos y vigencia del contacto antes de cotizar.</x:v>
      </x:c>
      <x:c r="AA130" s="9" t="str">
        <x:v>https://www.google.com/maps/search/?api=1&amp;query=Dynamis+S.R.L.+Oncativo+C%C3%B3rdoba+Argentina</x:v>
      </x:c>
      <x:c r="AB130" s="9" t="str">
        <x:v>Web propia Dynamis</x:v>
      </x:c>
      <x:c r="AC130" s="9" t="str">
        <x:v>https://www.dynamis.com.ar/</x:v>
      </x:c>
      <x:c r="AD130" s="9" t="str">
        <x:v>Diseña y gestiona fabricación de máquinas agrícolas y de higiene urbana; cuenta con planta de corte por plasma en Oncativo.</x:v>
      </x:c>
      <x:c r="AE130" s="9" t="str">
        <x:v>Media</x:v>
      </x:c>
      <x:c r="AF130" s="9" t="str">
        <x:v>Enriquecimiento web 2026-09-07</x:v>
      </x:c>
      <x:c r="AG130" s="9" t="str">
        <x:v>transporte de áridos/materiales | hidrogrúa para carga/descarga | percha para pallets/bolsones | plataforma 20 tn para maquinaria/piezas | hidrogrúa para maniobras | percha para pallets</x:v>
      </x:c>
      <x:c r="AH130" s="9" t="str">
        <x:v>fabricante/servicio maquinaria agrícola</x:v>
      </x:c>
      <x:c r="AI130" s="9" t="str">
        <x:v>Sí</x:v>
      </x:c>
      <x:c r="AJ130" s="9" t="str">
        <x:v>Alta</x:v>
      </x:c>
      <x:c r="AK130" s="9"/>
      <x:c r="AL130" s="9" t="str">
        <x:v>GPT adjunto</x:v>
      </x:c>
      <x:c r="AM130" s="9"/>
    </x:row>
    <x:row r="131" ht="24">
      <x:c r="A131" s="136" t="str">
        <x:v>ONC-003</x:v>
      </x:c>
      <x:c r="B131" s="136" t="str">
        <x:v>Pendiente</x:v>
      </x:c>
      <x:c r="C131" s="136" t="str">
        <x:v>Oncativo / RN9</x:v>
      </x:c>
      <x:c r="D131" s="136" t="str">
        <x:v>Oncativo / RN9 - polo industrial</x:v>
      </x:c>
      <x:c r="E131" s="136" t="str">
        <x:v>Oncativo</x:v>
      </x:c>
      <x:c r="F131" s="136" t="str">
        <x:v>A</x:v>
      </x:c>
      <x:c r="G131" s="136" t="n">
        <x:v>100</x:v>
      </x:c>
      <x:c r="H131" s="136" t="str">
        <x:v>Establecimientos Metalúrgicos Oncativo S.A.</x:v>
      </x:c>
      <x:c r="I131" s="136" t="str">
        <x:v>Agropartes y maquinaria vial</x:v>
      </x:c>
      <x:c r="J131" s="136" t="str">
        <x:v>Industria y mantenimiento</x:v>
      </x:c>
      <x:c r="K131" s="136" t="str">
        <x:v>03572 466145 / +54 3572 466145 / +54 9 3572 532031</x:v>
      </x:c>
      <x:c r="L131" s="136" t="str">
        <x:v>OK</x:v>
      </x:c>
      <x:c r="M131" s="136" t="str">
        <x:v>logística / despacho / postventa</x:v>
      </x:c>
      <x:c r="N131" s="136" t="str">
        <x:v>Traslado de maquinaria, implementos, equipos terminados y componentes de gran porte entre planta, cliente, obra o feria.</x:v>
      </x:c>
      <x:c r="O131" s="136" t="str">
        <x:v>Plataforma 20 tn + malacate/hidrogrúa según maniobra + seguro de carga + trazabilidad GPS.</x:v>
      </x:c>
      <x:c r="P131" s="136" t="str">
        <x:v>Planta agroindustrial de 12.000 m²; fabrica repuestos agrícolas y productos para maquinaria vial.</x:v>
      </x:c>
      <x:c r="Q131" s="136" t="str">
        <x:v>Llamada prioritaria; pedir próximo traslado concreto y, si hay encaje, coordinar visita.</x:v>
      </x:c>
      <x:c r="R131" s="136"/>
      <x:c r="S131" s="158" t="str">
        <x:f>IFERROR(T(INDEX('Prospectos Resumen'!$K$9:$K$295,MATCH(A131,'Prospectos Resumen'!$A$9:$A$295,0))),"")</x:f>
      </x:c>
      <x:c r="T131" s="136"/>
      <x:c r="U131" s="136"/>
      <x:c r="V131" s="136"/>
      <x:c r="W131" s="136"/>
      <x:c r="X131" s="136" t="str">
        <x:v>tel:+543572466145</x:v>
      </x:c>
      <x:c r="Y131" s="136" t="str">
        <x:v>tel:+543572466145 | tel:+5493572532031</x:v>
      </x:c>
      <x:c r="Z131" s="136" t="str">
        <x:v>Confirmar decisor, frecuencia de movimientos y vigencia del contacto antes de cotizar.</x:v>
      </x:c>
      <x:c r="AA131" s="136" t="str">
        <x:v>https://www.google.com/maps/search/?api=1&amp;query=Establecimientos+Metal%C3%BArgicos+Oncativo+S.A.+Oncativo+C%C3%B3rdoba+Argentina</x:v>
      </x:c>
      <x:c r="AB131" s="136" t="str">
        <x:v>Web propia Oncativo S.A. | Web propia + AFAMAC</x:v>
      </x:c>
      <x:c r="AC131" s="136" t="str">
        <x:v>https://www.oncativosa.com.ar/about</x:v>
      </x:c>
      <x:c r="AD131" s="136" t="str">
        <x:v>Planta agroindustrial de 12.000 m²; fabrica repuestos agrícolas y productos para maquinaria vial. | Web y AFAMAC: Mitre 749, Oncativo; +54 3572 466145; WhatsApp +54 9 3572 532031; agropartes y discos para maquinaria agrícola.</x:v>
      </x:c>
      <x:c r="AE131" s="136" t="str">
        <x:v>Alta</x:v>
      </x:c>
      <x:c r="AF131" s="136" t="str">
        <x:v>Enriquecimiento web 2026-09-07</x:v>
      </x:c>
      <x:c r="AG131" s="136" t="str">
        <x:v>transporte de áridos/materiales | hidrogrúa para carga/descarga | percha para pallets/bolsones | plataforma 20 tn para maquinaria/piezas | hidrogrúa para maniobras | percha para pallets</x:v>
      </x:c>
      <x:c r="AH131" s="136" t="str">
        <x:v>fabricante/servicio maquinaria agrícola</x:v>
      </x:c>
      <x:c r="AI131" s="136" t="str">
        <x:v>Sí</x:v>
      </x:c>
      <x:c r="AJ131" s="136" t="str">
        <x:v>Muy alta</x:v>
      </x:c>
      <x:c r="AK131" s="136" t="str">
        <x:v>Percha pallets: útil para insumos, bolsones, repuestos y materiales palletizados.</x:v>
      </x:c>
      <x:c r="AL131" s="136" t="str">
        <x:v>GPT adjunto + Hermes</x:v>
      </x:c>
      <x:c r="AM131" s="136" t="str">
        <x:v>Fusionado con base Hermes para completar teléfonos/fuentes/servicios.</x:v>
      </x:c>
    </x:row>
    <x:row r="132" ht="48">
      <x:c r="A132" s="135" t="str">
        <x:v>ONC-004</x:v>
      </x:c>
      <x:c r="B132" s="135" t="str">
        <x:v>Pendiente</x:v>
      </x:c>
      <x:c r="C132" s="135" t="str">
        <x:v>Oncativo / RN9</x:v>
      </x:c>
      <x:c r="D132" s="135" t="str">
        <x:v>Oncativo / RN9 - polo industrial</x:v>
      </x:c>
      <x:c r="E132" s="135" t="str">
        <x:v>Oncativo</x:v>
      </x:c>
      <x:c r="F132" s="135" t="str">
        <x:v>A</x:v>
      </x:c>
      <x:c r="G132" s="135" t="n">
        <x:v>100</x:v>
      </x:c>
      <x:c r="H132" s="135" t="str">
        <x:v>Metalúrgica Cerquatti</x:v>
      </x:c>
      <x:c r="I132" s="135" t="str">
        <x:v>Cajas volcadoras, roll-off, contenedores y obradores</x:v>
      </x:c>
      <x:c r="J132" s="135" t="str">
        <x:v>Módulos y contenedores</x:v>
      </x:c>
      <x:c r="K132" s="135" t="str">
        <x:v>03572 456573 / 03572 504462</x:v>
      </x:c>
      <x:c r="L132" s="135" t="str">
        <x:v>OK</x:v>
      </x:c>
      <x:c r="M132" s="135" t="str">
        <x:v>logística / despacho / postventa</x:v>
      </x:c>
      <x:c r="N132" s="135" t="str">
        <x:v>Traslado de maquinaria, implementos, equipos terminados y componentes de gran porte entre planta, cliente, obra o feria.</x:v>
      </x:c>
      <x:c r="O132" s="135" t="str">
        <x:v>Plataforma 20 tn + malacate/hidrogrúa según maniobra + seguro de carga + trazabilidad GPS.</x:v>
      </x:c>
      <x:c r="P132" s="135" t="str">
        <x:v>Fabricante en Polo Industrial Oncativo; produce cajas volcadoras, contenedores, volquetes y obradores.</x:v>
      </x:c>
      <x:c r="Q132" s="135" t="str">
        <x:v>Llamada prioritaria; pedir próximo traslado concreto y, si hay encaje, coordinar visita.</x:v>
      </x:c>
      <x:c r="R132" s="135"/>
      <x:c r="S132" s="158" t="str">
        <x:f>IFERROR(T(INDEX('Prospectos Resumen'!$K$9:$K$295,MATCH(A132,'Prospectos Resumen'!$A$9:$A$295,0))),"")</x:f>
      </x:c>
      <x:c r="T132" s="135"/>
      <x:c r="U132" s="135"/>
      <x:c r="V132" s="135"/>
      <x:c r="W132" s="135"/>
      <x:c r="X132" s="135" t="str">
        <x:v>tel:+543572456573</x:v>
      </x:c>
      <x:c r="Y132" s="135" t="str">
        <x:v>tel:+543572456573 | tel:+543572504462</x:v>
      </x:c>
      <x:c r="Z132" s="135" t="str">
        <x:v>Confirmar decisor, frecuencia de movimientos y vigencia del contacto antes de cotizar.</x:v>
      </x:c>
      <x:c r="AA132" s="135" t="str">
        <x:v>https://www.google.com/maps/search/?api=1&amp;query=Metal%C3%BArgica+Cerquatti+Oncativo+C%C3%B3rdoba+Argentina</x:v>
      </x:c>
      <x:c r="AB132" s="135" t="str">
        <x:v>Web propia Cerquatti</x:v>
      </x:c>
      <x:c r="AC132" s="135" t="str">
        <x:v>https://www.cerquatti.com/nosotros.html</x:v>
      </x:c>
      <x:c r="AD132" s="135" t="str">
        <x:v>Fabricante en Polo Industrial Oncativo; produce cajas volcadoras, contenedores, volquetes y obradores.</x:v>
      </x:c>
      <x:c r="AE132" s="135" t="str">
        <x:v>Alta</x:v>
      </x:c>
      <x:c r="AF132" s="135" t="str">
        <x:v>Enriquecimiento web 2026-09-07</x:v>
      </x:c>
      <x:c r="AG132" s="135" t="str">
        <x:v>transporte de áridos/materiales | hidrogrúa para carga/descarga | percha para pallets/bolsones | plataforma 20 tn para maquinaria/piezas | hidrogrúa para maniobras | percha para pallets</x:v>
      </x:c>
      <x:c r="AH132" s="135" t="str">
        <x:v>otro rubro factible</x:v>
      </x:c>
      <x:c r="AI132" s="135" t="str">
        <x:v>Sí</x:v>
      </x:c>
      <x:c r="AJ132" s="135" t="str">
        <x:v>Muy alta</x:v>
      </x:c>
      <x:c r="AK132" s="135"/>
      <x:c r="AL132" s="135" t="str">
        <x:v>GPT adjunto</x:v>
      </x:c>
      <x:c r="AM132" s="135"/>
    </x:row>
    <x:row r="133" ht="48">
      <x:c r="A133" s="136" t="str">
        <x:v>ONC-026</x:v>
      </x:c>
      <x:c r="B133" s="136" t="str">
        <x:v>Pendiente</x:v>
      </x:c>
      <x:c r="C133" s="136" t="str">
        <x:v>Oncativo / RN9</x:v>
      </x:c>
      <x:c r="D133" s="136" t="str">
        <x:v>Oncativo / RN9 - polo agro</x:v>
      </x:c>
      <x:c r="E133" s="136" t="str">
        <x:v>Oncativo</x:v>
      </x:c>
      <x:c r="F133" s="136" t="str">
        <x:v>A</x:v>
      </x:c>
      <x:c r="G133" s="136" t="n">
        <x:v>100</x:v>
      </x:c>
      <x:c r="H133" s="136" t="str">
        <x:v>Scaramuzza Maquinarias</x:v>
      </x:c>
      <x:c r="I133" s="136" t="str">
        <x:v>Concesionaria multimarca / tractores, sembradoras, pulverizadoras y equipos viales</x:v>
      </x:c>
      <x:c r="J133" s="136" t="str">
        <x:v>Maquinaria agrícola</x:v>
      </x:c>
      <x:c r="K133" s="136" t="str">
        <x:v>03572 583983</x:v>
      </x:c>
      <x:c r="L133" s="136" t="str">
        <x:v>OK</x:v>
      </x:c>
      <x:c r="M133" s="136" t="str">
        <x:v>logística / entregas / usados / postventa / gerente comercial</x:v>
      </x:c>
      <x:c r="N133" s="136" t="str">
        <x:v>Entrega y retiro de tractores, cosechadoras, pulverizadoras, sembradoras e implementos; movimientos por ventas, canjes, usados, service, demostraciones y ferias.</x:v>
      </x:c>
      <x:c r="O133" s="136" t="str">
        <x:v>Plataforma 20 tn para equipos e implementos + malacate/hidrogrúa según maniobra + seguro de carga + trazabilidad GPS + coordinación de entrega.</x:v>
      </x:c>
      <x:c r="P133" s="136" t="str">
        <x:v>Tercerizar entregas y retiros para no inmovilizar flota propia; absorber picos de campaña, ventas, canjes y service fuera de zona con un proveedor regional.</x:v>
      </x:c>
      <x:c r="Q133" s="136" t="str">
        <x:v>Llamada prioritaria; pedir por logística/ventas/postventa y consultar cómo resuelven hoy el próximo equipo a entregar o retirar.</x:v>
      </x:c>
      <x:c r="R133" s="136"/>
      <x:c r="S133" s="158" t="str">
        <x:f>IFERROR(T(INDEX('Prospectos Resumen'!$K$9:$K$295,MATCH(A133,'Prospectos Resumen'!$A$9:$A$295,0))),"")</x:f>
      </x:c>
      <x:c r="T133" s="136"/>
      <x:c r="U133" s="136"/>
      <x:c r="V133" s="136"/>
      <x:c r="W133" s="136"/>
      <x:c r="X133" s="136" t="str">
        <x:v>tel:+543572583983</x:v>
      </x:c>
      <x:c r="Y133" s="136" t="str">
        <x:v>tel:+543572583983</x:v>
      </x:c>
      <x:c r="Z133" s="136" t="str">
        <x:v>Confirmar decisor de logística/entregas y frecuencia mensual de movimientos de equipos.</x:v>
      </x:c>
      <x:c r="AA133" s="136" t="str">
        <x:v>https://www.google.com/maps/search/?api=1&amp;query=Scaramuzza+Maquinarias+Oncativo+C%C3%B3rdoba+Argentina</x:v>
      </x:c>
      <x:c r="AB133" s="136" t="str">
        <x:v>Agroads</x:v>
      </x:c>
      <x:c r="AC133" s="136" t="str">
        <x:v>https://www.agroads.com.ar/e/scaramuzza-maquinarias/</x:v>
      </x:c>
      <x:c r="AD133" s="136" t="str">
        <x:v>Concesionaria de Oncativo con amplio stock de tractores, sembradoras, pulverizadoras, tolvas, carretones y usados.</x:v>
      </x:c>
      <x:c r="AE133" s="136" t="str">
        <x:v>Alta</x:v>
      </x:c>
      <x:c r="AF133" s="136" t="str">
        <x:v>Rastrillaje concesionarios agro 2026-09-07</x:v>
      </x:c>
      <x:c r="AG133" s="136" t="str">
        <x:v>plataforma 20 tn para maquinaria agrícola | hidrogrúa para maniobras | malacate | seguro de carga | trazabilidad GPS | coordinación de entregas</x:v>
      </x:c>
      <x:c r="AH133" s="136" t="str">
        <x:v>concesionario agro / maquinaria agrícola</x:v>
      </x:c>
      <x:c r="AI133" s="136" t="str">
        <x:v>Sí</x:v>
      </x:c>
      <x:c r="AJ133" s="136" t="str">
        <x:v>Muy alta</x:v>
      </x:c>
      <x:c r="AK133" s="136" t="str">
        <x:v>Concesionario: preguntar específicamente cómo resuelven entregas, retiros de usados, canjes, service fuera de zona y traslados a exposiciones.</x:v>
      </x:c>
      <x:c r="AL133" s="136" t="str">
        <x:v>Rastrillaje concesionarios agro 2026-09-07</x:v>
      </x:c>
      <x:c r="AM133" s="136" t="str">
        <x:v>Alta nueva del barrido específico de concesionarios, sucursales y multimarca agro; cruzada contra la base maestra para evitar duplicados.</x:v>
      </x:c>
    </x:row>
    <x:row r="134" ht="36">
      <x:c r="A134" s="135" t="str">
        <x:v>ONC-005</x:v>
      </x:c>
      <x:c r="B134" s="135" t="str">
        <x:v>Pendiente</x:v>
      </x:c>
      <x:c r="C134" s="135" t="str">
        <x:v>Oncativo / RN9</x:v>
      </x:c>
      <x:c r="D134" s="135" t="str">
        <x:v>Oncativo / RN9 - polo industrial</x:v>
      </x:c>
      <x:c r="E134" s="135" t="str">
        <x:v>Oncativo</x:v>
      </x:c>
      <x:c r="F134" s="135" t="str">
        <x:v>A</x:v>
      </x:c>
      <x:c r="G134" s="135" t="n">
        <x:v>100</x:v>
      </x:c>
      <x:c r="H134" s="135" t="str">
        <x:v>Scorza</x:v>
      </x:c>
      <x:c r="I134" s="135" t="str">
        <x:v>Equipos de higiene urbana y equipos especiales</x:v>
      </x:c>
      <x:c r="J134" s="135" t="str">
        <x:v>Industria y mantenimiento</x:v>
      </x:c>
      <x:c r="K134" s="135" t="str">
        <x:v>03572 466092 / 03572 665388</x:v>
      </x:c>
      <x:c r="L134" s="135" t="str">
        <x:v>OK</x:v>
      </x:c>
      <x:c r="M134" s="135" t="str">
        <x:v>logística / despacho / postventa</x:v>
      </x:c>
      <x:c r="N134" s="135" t="str">
        <x:v>Traslado de maquinaria, implementos, equipos terminados y componentes de gran porte entre planta, cliente, obra o feria.</x:v>
      </x:c>
      <x:c r="O134" s="135" t="str">
        <x:v>Plataforma 20 tn + malacate/hidrogrúa según maniobra + seguro de carga + trazabilidad GPS.</x:v>
      </x:c>
      <x:c r="P134" s="135" t="str">
        <x:v>Planta de producción de equipos de higiene urbana y especiales sobre RN9; fabricación y despacho nacional.</x:v>
      </x:c>
      <x:c r="Q134" s="135" t="str">
        <x:v>Llamada prioritaria; pedir próximo traslado concreto y, si hay encaje, coordinar visita.</x:v>
      </x:c>
      <x:c r="R134" s="135"/>
      <x:c r="S134" s="158" t="str">
        <x:f>IFERROR(T(INDEX('Prospectos Resumen'!$K$9:$K$295,MATCH(A134,'Prospectos Resumen'!$A$9:$A$295,0))),"")</x:f>
      </x:c>
      <x:c r="T134" s="135"/>
      <x:c r="U134" s="135"/>
      <x:c r="V134" s="135"/>
      <x:c r="W134" s="135"/>
      <x:c r="X134" s="135" t="str">
        <x:v>tel:+543572466092</x:v>
      </x:c>
      <x:c r="Y134" s="135" t="str">
        <x:v>tel:+543572466092 | tel:+543572665388</x:v>
      </x:c>
      <x:c r="Z134" s="135" t="str">
        <x:v>Confirmar decisor, frecuencia de movimientos y vigencia del contacto antes de cotizar.</x:v>
      </x:c>
      <x:c r="AA134" s="135" t="str">
        <x:v>https://www.google.com/maps/search/?api=1&amp;query=Scorza+Oncativo+C%C3%B3rdoba+Argentina</x:v>
      </x:c>
      <x:c r="AB134" s="135" t="str">
        <x:v>Web propia Scorza</x:v>
      </x:c>
      <x:c r="AC134" s="135" t="str">
        <x:v>https://scorza.com.ar/contacto/</x:v>
      </x:c>
      <x:c r="AD134" s="135" t="str">
        <x:v>Planta de producción de equipos de higiene urbana y especiales sobre RN9; fabricación y despacho nacional.</x:v>
      </x:c>
      <x:c r="AE134" s="135" t="str">
        <x:v>Alta</x:v>
      </x:c>
      <x:c r="AF134" s="135" t="str">
        <x:v>Enriquecimiento web 2026-09-07</x:v>
      </x:c>
      <x:c r="AG134" s="135" t="str">
        <x:v>transporte de áridos/materiales | hidrogrúa para carga/descarga | percha para pallets/bolsones | plataforma 20 tn para maquinaria/piezas | hidrogrúa para maniobras | percha para pallets</x:v>
      </x:c>
      <x:c r="AH134" s="135" t="str">
        <x:v>otro rubro factible</x:v>
      </x:c>
      <x:c r="AI134" s="135" t="str">
        <x:v>Sí</x:v>
      </x:c>
      <x:c r="AJ134" s="135" t="str">
        <x:v>Muy alta</x:v>
      </x:c>
      <x:c r="AK134" s="135"/>
      <x:c r="AL134" s="135" t="str">
        <x:v>GPT adjunto</x:v>
      </x:c>
      <x:c r="AM134" s="135"/>
    </x:row>
    <x:row r="135" ht="60">
      <x:c r="A135" s="6" t="str">
        <x:v>ONC-029</x:v>
      </x:c>
      <x:c r="B135" s="6" t="str">
        <x:v>Pendiente</x:v>
      </x:c>
      <x:c r="C135" s="6" t="str">
        <x:v>Oncativo / RN9</x:v>
      </x:c>
      <x:c r="D135" s="6" t="str">
        <x:v>Oncativo / RN9 - polo agro</x:v>
      </x:c>
      <x:c r="E135" s="6" t="str">
        <x:v>Oncativo</x:v>
      </x:c>
      <x:c r="F135" s="6" t="str">
        <x:v>A</x:v>
      </x:c>
      <x:c r="G135" s="6" t="n">
        <x:v>100</x:v>
      </x:c>
      <x:c r="H135" s="6" t="str">
        <x:v>Ulla Maquinarias — Oncativo</x:v>
      </x:c>
      <x:c r="I135" s="6" t="str">
        <x:v>Concesionario oficial Case IH / tractores, cosechadoras, pulverizadoras y postventa</x:v>
      </x:c>
      <x:c r="J135" s="6" t="str">
        <x:v>Maquinaria agrícola</x:v>
      </x:c>
      <x:c r="K135" s="6" t="str">
        <x:v>03572 460280 / 03572 437309</x:v>
      </x:c>
      <x:c r="L135" s="6" t="str">
        <x:v>OK</x:v>
      </x:c>
      <x:c r="M135" s="6" t="str">
        <x:v>logística / entregas / usados / postventa / gerente comercial</x:v>
      </x:c>
      <x:c r="N135" s="6" t="str">
        <x:v>Entrega y retiro de tractores, cosechadoras, pulverizadoras, sembradoras e implementos; movimientos por ventas, canjes, usados, service, demostraciones y ferias.</x:v>
      </x:c>
      <x:c r="O135" s="6" t="str">
        <x:v>Plataforma 20 tn para equipos e implementos + malacate/hidrogrúa según maniobra + seguro de carga + trazabilidad GPS + coordinación de entrega.</x:v>
      </x:c>
      <x:c r="P135" s="6" t="str">
        <x:v>Tercerizar entregas y retiros para no inmovilizar flota propia; absorber picos de campaña, ventas, canjes y service fuera de zona con un proveedor regional.</x:v>
      </x:c>
      <x:c r="Q135" s="6" t="str">
        <x:v>Llamada prioritaria; pedir por logística/ventas/postventa y consultar cómo resuelven hoy el próximo equipo a entregar o retirar.</x:v>
      </x:c>
      <x:c r="R135" s="6"/>
      <x:c r="S135" s="159" t="str">
        <x:f>IFERROR(T(INDEX('Prospectos Resumen'!$K$9:$K$295,MATCH(A135,'Prospectos Resumen'!$A$9:$A$295,0))),"")</x:f>
      </x:c>
      <x:c r="T135" s="6"/>
      <x:c r="U135" s="6"/>
      <x:c r="V135" s="6"/>
      <x:c r="W135" s="6"/>
      <x:c r="X135" s="6" t="str">
        <x:v>tel:+543572460280</x:v>
      </x:c>
      <x:c r="Y135" s="6" t="str">
        <x:v>tel:+543572460280</x:v>
      </x:c>
      <x:c r="Z135" s="6" t="str">
        <x:v>Confirmar decisor de logística/entregas y frecuencia mensual de movimientos de equipos.</x:v>
      </x:c>
      <x:c r="AA135" s="6" t="str">
        <x:v>https://www.google.com/maps/search/?api=1&amp;query=Ulla+Maquinarias+%E2%80%94+Oncativo+Oncativo+C%C3%B3rdoba+Argentina</x:v>
      </x:c>
      <x:c r="AB135" s="6" t="str">
        <x:v>Ulla Maquinarias / registros actuales</x:v>
      </x:c>
      <x:c r="AC135" s="6" t="str">
        <x:v>https://www.ulla.com.ar/ulla-maquinarias/blog/2022/11/tractores-linea-puma-marcando-la-diferencia/</x:v>
      </x:c>
      <x:c r="AD135" s="6" t="str">
        <x:v>Ulla declara sucursales en Oncativo, Villa María y Río Cuarto; empresa activa en 2026 y dedicada a venta mayorista de maquinaria agro.</x:v>
      </x:c>
      <x:c r="AE135" s="6" t="str">
        <x:v>Alta</x:v>
      </x:c>
      <x:c r="AF135" s="6" t="str">
        <x:v>Rastrillaje concesionarios agro 2026-09-07</x:v>
      </x:c>
      <x:c r="AG135" s="6" t="str">
        <x:v>plataforma 20 tn para maquinaria agrícola | hidrogrúa para maniobras | malacate | seguro de carga | trazabilidad GPS | coordinación de entregas</x:v>
      </x:c>
      <x:c r="AH135" s="6" t="str">
        <x:v>concesionario agro / maquinaria agrícola</x:v>
      </x:c>
      <x:c r="AI135" s="6" t="str">
        <x:v>Sí</x:v>
      </x:c>
      <x:c r="AJ135" s="6" t="str">
        <x:v>Muy alta</x:v>
      </x:c>
      <x:c r="AK135" s="6" t="str">
        <x:v>Concesionario: preguntar específicamente cómo resuelven entregas, retiros de usados, canjes, service fuera de zona y traslados a exposiciones.</x:v>
      </x:c>
      <x:c r="AL135" s="6" t="str">
        <x:v>Rastrillaje concesionarios agro 2026-09-07</x:v>
      </x:c>
      <x:c r="AM135" s="6" t="str">
        <x:v>Alta nueva del barrido específico de concesionarios, sucursales y multimarca agro; cruzada contra la base maestra para evitar duplicados.</x:v>
      </x:c>
    </x:row>
    <x:row r="136" ht="36">
      <x:c r="A136" s="135" t="str">
        <x:v>ONC-027</x:v>
      </x:c>
      <x:c r="B136" s="135" t="str">
        <x:v>Pendiente</x:v>
      </x:c>
      <x:c r="C136" s="135" t="str">
        <x:v>Oncativo / RN9</x:v>
      </x:c>
      <x:c r="D136" s="135" t="str">
        <x:v>Oncativo / RN9 - polo agro</x:v>
      </x:c>
      <x:c r="E136" s="135" t="str">
        <x:v>Oncativo</x:v>
      </x:c>
      <x:c r="F136" s="135" t="str">
        <x:v>A</x:v>
      </x:c>
      <x:c r="G136" s="135" t="n">
        <x:v>98</x:v>
      </x:c>
      <x:c r="H136" s="135" t="str">
        <x:v>Gallagro — Oncativo</x:v>
      </x:c>
      <x:c r="I136" s="135" t="str">
        <x:v>Distribuidor de maquinaria agrícola 0 km/usada / repuestos / servicio técnico</x:v>
      </x:c>
      <x:c r="J136" s="135" t="str">
        <x:v>Maquinaria agrícola</x:v>
      </x:c>
      <x:c r="K136" s="135" t="str">
        <x:v>03572 516403 / +54 9 3584 11-3348</x:v>
      </x:c>
      <x:c r="L136" s="135" t="str">
        <x:v>OK</x:v>
      </x:c>
      <x:c r="M136" s="135" t="str">
        <x:v>logística / entregas / usados / postventa / gerente comercial</x:v>
      </x:c>
      <x:c r="N136" s="135" t="str">
        <x:v>Entrega y retiro de tractores, cosechadoras, pulverizadoras, sembradoras e implementos; movimientos por ventas, canjes, usados, service, demostraciones y ferias.</x:v>
      </x:c>
      <x:c r="O136" s="135" t="str">
        <x:v>Plataforma 20 tn para equipos e implementos + malacate/hidrogrúa según maniobra + seguro de carga + trazabilidad GPS + coordinación de entrega.</x:v>
      </x:c>
      <x:c r="P136" s="135" t="str">
        <x:v>Tercerizar entregas y retiros para no inmovilizar flota propia; absorber picos de campaña, ventas, canjes y service fuera de zona con un proveedor regional.</x:v>
      </x:c>
      <x:c r="Q136" s="135" t="str">
        <x:v>Llamada prioritaria; pedir por logística/ventas/postventa y consultar cómo resuelven hoy el próximo equipo a entregar o retirar.</x:v>
      </x:c>
      <x:c r="R136" s="135"/>
      <x:c r="S136" s="158" t="str">
        <x:f>IFERROR(T(INDEX('Prospectos Resumen'!$K$9:$K$295,MATCH(A136,'Prospectos Resumen'!$A$9:$A$295,0))),"")</x:f>
      </x:c>
      <x:c r="T136" s="135"/>
      <x:c r="U136" s="135"/>
      <x:c r="V136" s="135"/>
      <x:c r="W136" s="135"/>
      <x:c r="X136" s="135" t="str">
        <x:v>tel:+543572516403</x:v>
      </x:c>
      <x:c r="Y136" s="135" t="str">
        <x:v>tel:+543572516403</x:v>
      </x:c>
      <x:c r="Z136" s="135" t="str">
        <x:v>Confirmar decisor de logística/entregas y frecuencia mensual de movimientos de equipos.</x:v>
      </x:c>
      <x:c r="AA136" s="135" t="str">
        <x:v>https://www.google.com/maps/search/?api=1&amp;query=Gallagro+%E2%80%94+Oncativo+Oncativo+C%C3%B3rdoba+Argentina</x:v>
      </x:c>
      <x:c r="AB136" s="135" t="str">
        <x:v>Web oficial Gallagro</x:v>
      </x:c>
      <x:c r="AC136" s="135" t="str">
        <x:v>https://gallagro.com.ar/</x:v>
      </x:c>
      <x:c r="AD136" s="135" t="str">
        <x:v>Sucursal Oncativo; comercializa maquinaria 0 km y usada, con repuestos y servicio técnico especializado.</x:v>
      </x:c>
      <x:c r="AE136" s="135" t="str">
        <x:v>Alta</x:v>
      </x:c>
      <x:c r="AF136" s="135" t="str">
        <x:v>Rastrillaje concesionarios agro 2026-09-07</x:v>
      </x:c>
      <x:c r="AG136" s="135" t="str">
        <x:v>plataforma 20 tn para maquinaria agrícola | hidrogrúa para maniobras | malacate | seguro de carga | trazabilidad GPS | coordinación de entregas</x:v>
      </x:c>
      <x:c r="AH136" s="135" t="str">
        <x:v>concesionario agro / maquinaria agrícola</x:v>
      </x:c>
      <x:c r="AI136" s="135" t="str">
        <x:v>Sí</x:v>
      </x:c>
      <x:c r="AJ136" s="135" t="str">
        <x:v>Muy alta</x:v>
      </x:c>
      <x:c r="AK136" s="135" t="str">
        <x:v>Concesionario: preguntar específicamente cómo resuelven entregas, retiros de usados, canjes, service fuera de zona y traslados a exposiciones.</x:v>
      </x:c>
      <x:c r="AL136" s="135" t="str">
        <x:v>Rastrillaje concesionarios agro 2026-09-07</x:v>
      </x:c>
      <x:c r="AM136" s="135" t="str">
        <x:v>Alta nueva del barrido específico de concesionarios, sucursales y multimarca agro; cruzada contra la base maestra para evitar duplicados.</x:v>
      </x:c>
    </x:row>
    <x:row r="137" ht="36">
      <x:c r="A137" s="136" t="str">
        <x:v>ONC-025</x:v>
      </x:c>
      <x:c r="B137" s="136" t="str">
        <x:v>Pendiente</x:v>
      </x:c>
      <x:c r="C137" s="136" t="str">
        <x:v>Oncativo / RN9</x:v>
      </x:c>
      <x:c r="D137" s="136" t="str">
        <x:v>Oncativo / RN9 - polo comercial</x:v>
      </x:c>
      <x:c r="E137" s="136" t="str">
        <x:v>Oncativo</x:v>
      </x:c>
      <x:c r="F137" s="136" t="str">
        <x:v>A</x:v>
      </x:c>
      <x:c r="G137" s="136" t="n">
        <x:v>96</x:v>
      </x:c>
      <x:c r="H137" s="136" t="str">
        <x:v>Zuppa Hermanos — Oncativo</x:v>
      </x:c>
      <x:c r="I137" s="136" t="str">
        <x:v>Venta e instalación de piscinas Moldear / materiales de construcción</x:v>
      </x:c>
      <x:c r="J137" s="136" t="str">
        <x:v>PRFV y plásticos</x:v>
      </x:c>
      <x:c r="K137" s="136" t="str">
        <x:v>03572 455799 / +54 9 351 5646558</x:v>
      </x:c>
      <x:c r="L137" s="136" t="str">
        <x:v>OK</x:v>
      </x:c>
      <x:c r="M137" s="136" t="str">
        <x:v>logística / instalaciones / obras / ventas</x:v>
      </x:c>
      <x:c r="N137" s="136" t="str">
        <x:v>Entrega de piscinas de fibra desde depósito/franquicia hasta domicilio y apoyo de grúa cuando el casco debe superar medianeras, techos o accesos angostos.</x:v>
      </x:c>
      <x:c r="O137" s="136" t="str">
        <x:v>Flete de piscina PRFV + hidrogrúa para descarga/posicionamiento + coordinación con excavación e instalador + seguro de carga.</x:v>
      </x:c>
      <x:c r="P137" s="136" t="str">
        <x:v>Resolver la parte más crítica de la instalación —logística y maniobra— sin depender de proveedores distintos para camión y grúa.</x:v>
      </x:c>
      <x:c r="Q137" s="136" t="str">
        <x:v>Llamada prioritaria; pedir por responsable de logística/instalaciones/obras y consultar cómo resuelven hoy el flete y la hidrogrúa de cada casco.</x:v>
      </x:c>
      <x:c r="R137" s="136"/>
      <x:c r="S137" s="158" t="str">
        <x:f>IFERROR(T(INDEX('Prospectos Resumen'!$K$9:$K$295,MATCH(A137,'Prospectos Resumen'!$A$9:$A$295,0))),"")</x:f>
      </x:c>
      <x:c r="T137" s="136"/>
      <x:c r="U137" s="136"/>
      <x:c r="V137" s="136"/>
      <x:c r="W137" s="136"/>
      <x:c r="X137" s="136" t="str">
        <x:v>tel:+543572455799</x:v>
      </x:c>
      <x:c r="Y137" s="136" t="str">
        <x:v>tel:+543572455799</x:v>
      </x:c>
      <x:c r="Z137" s="136" t="str">
        <x:v>Confirmar decisor de logística/instalaciones y frecuencia mensual de entregas.</x:v>
      </x:c>
      <x:c r="AA137" s="136" t="str">
        <x:v>https://www.google.com/maps/search/?api=1&amp;query=Zuppa+Hermanos+%E2%80%94+Oncativo+Oncativo+C%C3%B3rdoba+Argentina</x:v>
      </x:c>
      <x:c r="AB137" s="136" t="str">
        <x:v>Zuppa Hermanos / Moldear</x:v>
      </x:c>
      <x:c r="AC137" s="136" t="str">
        <x:v>https://www.zuppahermanos.com.ar/piscinas.html</x:v>
      </x:c>
      <x:c r="AD137" s="136" t="str">
        <x:v>Sucursal Oncativo; comercializa piscinas Moldear y ofrece soluciones vinculadas a instalación y obra.</x:v>
      </x:c>
      <x:c r="AE137" s="136" t="str">
        <x:v>Alta</x:v>
      </x:c>
      <x:c r="AF137" s="136" t="str">
        <x:v>Rastrillaje piletas PRFV 2026-09-07</x:v>
      </x:c>
      <x:c r="AG137" s="136" t="str">
        <x:v>transporte especial de cascos PRFV | hidrogrúa para descarga y posicionamiento | coordinación de entrega con instalador | seguro de carga | trazabilidad GPS</x:v>
      </x:c>
      <x:c r="AH137" s="136" t="str">
        <x:v>piletas/plástico/PRFV</x:v>
      </x:c>
      <x:c r="AI137" s="136" t="str">
        <x:v>Sí</x:v>
      </x:c>
      <x:c r="AJ137" s="136" t="str">
        <x:v>Muy alta</x:v>
      </x:c>
      <x:c r="AK137" s="136" t="str">
        <x:v>Oportunidad de encaje directo: el casco es voluminoso y liviano; confirmar puntos de izaje, eslingado, radio de giro, obstáculos del lote y recomendaciones del fabricante antes de la maniobra.</x:v>
      </x:c>
      <x:c r="AL137" s="136" t="str">
        <x:v>Rastrillaje PRFV 2026-09-07</x:v>
      </x:c>
      <x:c r="AM137" s="136" t="str">
        <x:v>Alta nueva luego de barrido específico de fabricantes, franquicias y colocadores de piscinas de fibra; cruzada contra la base maestra para evitar duplicados.</x:v>
      </x:c>
    </x:row>
    <x:row r="138" ht="36">
      <x:c r="A138" s="135" t="str">
        <x:v>ONC-023</x:v>
      </x:c>
      <x:c r="B138" s="135" t="str">
        <x:v>Pendiente</x:v>
      </x:c>
      <x:c r="C138" s="135" t="str">
        <x:v>Oncativo / RN9</x:v>
      </x:c>
      <x:c r="D138" s="135" t="str">
        <x:v>Oncativo / RN9 - polo industrial</x:v>
      </x:c>
      <x:c r="E138" s="135" t="str">
        <x:v>Oncativo</x:v>
      </x:c>
      <x:c r="F138" s="135" t="str">
        <x:v>A</x:v>
      </x:c>
      <x:c r="G138" s="135" t="n">
        <x:v>95</x:v>
      </x:c>
      <x:c r="H138" s="135" t="str">
        <x:v>Econovo Agrovial / Farmtrac</x:v>
      </x:c>
      <x:c r="I138" s="135" t="str">
        <x:v>Tractores Farmtrac y maquinaria agrícola / agrovial</x:v>
      </x:c>
      <x:c r="J138" s="135" t="str">
        <x:v>Maquinaria agrícola</x:v>
      </x:c>
      <x:c r="K138" s="135" t="str">
        <x:v>+54 3572 462665</x:v>
      </x:c>
      <x:c r="L138" s="135" t="str">
        <x:v>OK</x:v>
      </x:c>
      <x:c r="M138" s="135" t="str">
        <x:v>logística / ventas / postventa</x:v>
      </x:c>
      <x:c r="N138" s="135" t="str">
        <x:v>Entrega y retiro de tractores, cosechadoras, pulverizadoras, sembradoras e implementos; movimientos por venta, service, canje, demostraciones o ferias.</x:v>
      </x:c>
      <x:c r="O138" s="135" t="str">
        <x:v>Plataforma 20 tn para maquinaria agrícola + malacate/hidrogrúa según maniobra + seguro de carga + trazabilidad GPS.</x:v>
      </x:c>
      <x:c r="P138" s="135" t="str">
        <x:v>Ofrecer transporte tercerizado para entregas a clientes y retiros de usados/service, especialmente en picos de campaña y operaciones fuera de zona.</x:v>
      </x:c>
      <x:c r="Q138" s="135" t="str">
        <x:v>Llamada comercial prioritaria; pedir por logística/ventas/postventa y consultar próximo equipo a trasladar.</x:v>
      </x:c>
      <x:c r="R138" s="135"/>
      <x:c r="S138" s="158" t="str">
        <x:f>IFERROR(T(INDEX('Prospectos Resumen'!$K$9:$K$295,MATCH(A138,'Prospectos Resumen'!$A$9:$A$295,0))),"")</x:f>
      </x:c>
      <x:c r="T138" s="135"/>
      <x:c r="U138" s="135"/>
      <x:c r="V138" s="135"/>
      <x:c r="W138" s="135"/>
      <x:c r="X138" s="135" t="str">
        <x:v>tel:+543572462665</x:v>
      </x:c>
      <x:c r="Y138" s="135" t="str">
        <x:v>tel:+543572462665</x:v>
      </x:c>
      <x:c r="Z138" s="135" t="str">
        <x:v>Confirmar decisor y frecuencia de traslados.</x:v>
      </x:c>
      <x:c r="AA138" s="135" t="str">
        <x:v>https://www.google.com/maps/search/?api=1&amp;query=Econovo+Agrovial+%2F+Farmtrac+Oncativo+C%C3%B3rdoba+Argentina</x:v>
      </x:c>
      <x:c r="AB138" s="135" t="str">
        <x:v>Web oficial Econovo / Farmtrac</x:v>
      </x:c>
      <x:c r="AC138" s="135" t="str">
        <x:v>https://econovoagrovial.com.ar/categoria-producto/maquinaria-agricola/</x:v>
      </x:c>
      <x:c r="AD138" s="135" t="str">
        <x:v>Operación en RN9 km 628,5 Oncativo; comercializa tractores Farmtrac y maquinaria agrícola/agrovial.</x:v>
      </x:c>
      <x:c r="AE138" s="135" t="str">
        <x:v>Alta</x:v>
      </x:c>
      <x:c r="AF138" s="135" t="str">
        <x:v>Rastrillaje agro-maquinaria web 2026-09-07</x:v>
      </x:c>
      <x:c r="AG138" s="135" t="str">
        <x:v>plataforma 20 tn para maquinaria/implementos | hidrogrúa para maniobras | malacate | seguro de carga | trazabilidad GPS</x:v>
      </x:c>
      <x:c r="AH138" s="135" t="str">
        <x:v>fabricante/concesionario/servicio maquinaria agrícola</x:v>
      </x:c>
      <x:c r="AI138" s="135" t="str">
        <x:v>Sí</x:v>
      </x:c>
      <x:c r="AJ138" s="135" t="str">
        <x:v>Muy alta</x:v>
      </x:c>
      <x:c r="AK138" s="135" t="str">
        <x:v>Perfil específico maquinaria agrícola: validar pesos/dimensiones, tipo de carga y disponibilidad de medios de izaje antes de cotizar.</x:v>
      </x:c>
      <x:c r="AL138" s="135" t="str">
        <x:v>Rastrillaje agro-maquinaria 2026-09-07</x:v>
      </x:c>
      <x:c r="AM138" s="135" t="str">
        <x:v>Alta nueva luego de barrido específico de fabricantes, implementos, tractores, concesionarios y agropartes; cruzada contra la base maestra para evitar duplicados.</x:v>
      </x:c>
    </x:row>
    <x:row r="139" ht="36">
      <x:c r="A139" s="136" t="str">
        <x:v>ONC-024</x:v>
      </x:c>
      <x:c r="B139" s="136" t="str">
        <x:v>Pendiente</x:v>
      </x:c>
      <x:c r="C139" s="136" t="str">
        <x:v>Oncativo / RN9</x:v>
      </x:c>
      <x:c r="D139" s="136" t="str">
        <x:v>Oncativo / RN9 - polo industrial</x:v>
      </x:c>
      <x:c r="E139" s="136" t="str">
        <x:v>Oncativo</x:v>
      </x:c>
      <x:c r="F139" s="136" t="str">
        <x:v>A</x:v>
      </x:c>
      <x:c r="G139" s="136" t="n">
        <x:v>90</x:v>
      </x:c>
      <x:c r="H139" s="136" t="str">
        <x:v>Quevedo Canavese</x:v>
      </x:c>
      <x:c r="I139" s="136" t="str">
        <x:v>Venta de tractores, sembradoras, pulverizadoras, tolvas y maquinaria</x:v>
      </x:c>
      <x:c r="J139" s="136" t="str">
        <x:v>Maquinaria agrícola</x:v>
      </x:c>
      <x:c r="K139" s="136" t="str">
        <x:v>+54 9 3572 532536 / +54 9 3572 548804</x:v>
      </x:c>
      <x:c r="L139" s="136" t="str">
        <x:v>OK</x:v>
      </x:c>
      <x:c r="M139" s="136" t="str">
        <x:v>logística / ventas / postventa</x:v>
      </x:c>
      <x:c r="N139" s="136" t="str">
        <x:v>Entrega y retiro de tractores, cosechadoras, pulverizadoras, sembradoras e implementos; movimientos por venta, service, canje, demostraciones o ferias.</x:v>
      </x:c>
      <x:c r="O139" s="136" t="str">
        <x:v>Plataforma 20 tn para maquinaria agrícola + malacate/hidrogrúa según maniobra + seguro de carga + trazabilidad GPS.</x:v>
      </x:c>
      <x:c r="P139" s="136" t="str">
        <x:v>Ofrecer transporte tercerizado para entregas a clientes y retiros de usados/service, especialmente en picos de campaña y operaciones fuera de zona.</x:v>
      </x:c>
      <x:c r="Q139" s="136" t="str">
        <x:v>Llamada comercial prioritaria; pedir por logística/ventas/postventa y consultar próximo equipo a trasladar.</x:v>
      </x:c>
      <x:c r="R139" s="136"/>
      <x:c r="S139" s="158" t="str">
        <x:f>IFERROR(T(INDEX('Prospectos Resumen'!$K$9:$K$295,MATCH(A139,'Prospectos Resumen'!$A$9:$A$295,0))),"")</x:f>
      </x:c>
      <x:c r="T139" s="136"/>
      <x:c r="U139" s="136"/>
      <x:c r="V139" s="136"/>
      <x:c r="W139" s="136"/>
      <x:c r="X139" s="136" t="str">
        <x:v>tel:+5493572532536</x:v>
      </x:c>
      <x:c r="Y139" s="136" t="str">
        <x:v>tel:+5493572532536</x:v>
      </x:c>
      <x:c r="Z139" s="136" t="str">
        <x:v>Confirmar decisor y frecuencia de traslados.</x:v>
      </x:c>
      <x:c r="AA139" s="136" t="str">
        <x:v>https://www.google.com/maps/search/?api=1&amp;query=Quevedo+Canavese+Oncativo+C%C3%B3rdoba+Argentina</x:v>
      </x:c>
      <x:c r="AB139" s="136" t="str">
        <x:v>Web oficial Quevedo Canavese</x:v>
      </x:c>
      <x:c r="AC139" s="136" t="str">
        <x:v>https://quevedocanavese.com.ar/contactos/</x:v>
      </x:c>
      <x:c r="AD139" s="136" t="str">
        <x:v>Polo Industrial de Oncativo; comercializa maquinaria nueva/usada, tractores e implementos.</x:v>
      </x:c>
      <x:c r="AE139" s="136" t="str">
        <x:v>Alta</x:v>
      </x:c>
      <x:c r="AF139" s="136" t="str">
        <x:v>Rastrillaje agro-maquinaria web 2026-09-07</x:v>
      </x:c>
      <x:c r="AG139" s="136" t="str">
        <x:v>plataforma 20 tn para maquinaria/implementos | hidrogrúa para maniobras | malacate | seguro de carga | trazabilidad GPS</x:v>
      </x:c>
      <x:c r="AH139" s="136" t="str">
        <x:v>fabricante/concesionario/servicio maquinaria agrícola</x:v>
      </x:c>
      <x:c r="AI139" s="136" t="str">
        <x:v>Sí</x:v>
      </x:c>
      <x:c r="AJ139" s="136" t="str">
        <x:v>Muy alta</x:v>
      </x:c>
      <x:c r="AK139" s="136" t="str">
        <x:v>Perfil específico maquinaria agrícola: validar pesos/dimensiones, tipo de carga y disponibilidad de medios de izaje antes de cotizar.</x:v>
      </x:c>
      <x:c r="AL139" s="136" t="str">
        <x:v>Rastrillaje agro-maquinaria 2026-09-07</x:v>
      </x:c>
      <x:c r="AM139" s="136" t="str">
        <x:v>Alta nueva luego de barrido específico de fabricantes, implementos, tractores, concesionarios y agropartes; cruzada contra la base maestra para evitar duplicados.</x:v>
      </x:c>
    </x:row>
    <x:row r="140" ht="36">
      <x:c r="A140" s="135" t="str">
        <x:v>ONC-028</x:v>
      </x:c>
      <x:c r="B140" s="135" t="str">
        <x:v>Pendiente</x:v>
      </x:c>
      <x:c r="C140" s="135" t="str">
        <x:v>Oncativo / RN9</x:v>
      </x:c>
      <x:c r="D140" s="135" t="str">
        <x:v>Oncativo / RN9 - polo agro</x:v>
      </x:c>
      <x:c r="E140" s="135" t="str">
        <x:v>Oncativo</x:v>
      </x:c>
      <x:c r="F140" s="135" t="str">
        <x:v>A</x:v>
      </x:c>
      <x:c r="G140" s="135" t="n">
        <x:v>90</x:v>
      </x:c>
      <x:c r="H140" s="135" t="str">
        <x:v>Ramón A. Ramb Maquinaria</x:v>
      </x:c>
      <x:c r="I140" s="135" t="str">
        <x:v>Comercio/concesionaria multimarca de maquinaria agrícola nueva y usada</x:v>
      </x:c>
      <x:c r="J140" s="135" t="str">
        <x:v>Maquinaria agrícola</x:v>
      </x:c>
      <x:c r="K140" s="135" t="str">
        <x:v>03572 466841</x:v>
      </x:c>
      <x:c r="L140" s="135" t="str">
        <x:v>OK</x:v>
      </x:c>
      <x:c r="M140" s="135" t="str">
        <x:v>logística / entregas / usados / postventa / gerente comercial</x:v>
      </x:c>
      <x:c r="N140" s="135" t="str">
        <x:v>Entrega y retiro de tractores, cosechadoras, pulverizadoras, sembradoras e implementos; movimientos por ventas, canjes, usados, service, demostraciones y ferias.</x:v>
      </x:c>
      <x:c r="O140" s="135" t="str">
        <x:v>Plataforma 20 tn para equipos e implementos + malacate/hidrogrúa según maniobra + seguro de carga + trazabilidad GPS + coordinación de entrega.</x:v>
      </x:c>
      <x:c r="P140" s="135" t="str">
        <x:v>Tercerizar entregas y retiros para no inmovilizar flota propia; absorber picos de campaña, ventas, canjes y service fuera de zona con un proveedor regional.</x:v>
      </x:c>
      <x:c r="Q140" s="135" t="str">
        <x:v>Llamada prioritaria; pedir por logística/ventas/postventa y consultar cómo resuelven hoy el próximo equipo a entregar o retirar.</x:v>
      </x:c>
      <x:c r="R140" s="135"/>
      <x:c r="S140" s="158" t="str">
        <x:f>IFERROR(T(INDEX('Prospectos Resumen'!$K$9:$K$295,MATCH(A140,'Prospectos Resumen'!$A$9:$A$295,0))),"")</x:f>
      </x:c>
      <x:c r="T140" s="135"/>
      <x:c r="U140" s="135"/>
      <x:c r="V140" s="135"/>
      <x:c r="W140" s="135"/>
      <x:c r="X140" s="135" t="str">
        <x:v>tel:+543572466841</x:v>
      </x:c>
      <x:c r="Y140" s="135" t="str">
        <x:v>tel:+543572466841</x:v>
      </x:c>
      <x:c r="Z140" s="135" t="str">
        <x:v>Confirmar decisor de logística/entregas y frecuencia mensual de movimientos de equipos.</x:v>
      </x:c>
      <x:c r="AA140" s="135" t="str">
        <x:v>https://www.google.com/maps/search/?api=1&amp;query=Ram%C3%B3n+A.+Ramb+Maquinaria+Oncativo+C%C3%B3rdoba+Argentina</x:v>
      </x:c>
      <x:c r="AB140" s="135" t="str">
        <x:v>Agroads / Conese</x:v>
      </x:c>
      <x:c r="AC140" s="135" t="str">
        <x:v>https://www.agroads.com.ar/e/ramon-a-ramb-maquinaria/</x:v>
      </x:c>
      <x:c r="AD140" s="135" t="str">
        <x:v>Stock activo de tractores, cosechadoras, sembradoras, cabezales, tolvas y otros equipos en Oncativo.</x:v>
      </x:c>
      <x:c r="AE140" s="135" t="str">
        <x:v>Alta</x:v>
      </x:c>
      <x:c r="AF140" s="135" t="str">
        <x:v>Rastrillaje concesionarios agro 2026-09-07</x:v>
      </x:c>
      <x:c r="AG140" s="135" t="str">
        <x:v>plataforma 20 tn para maquinaria agrícola | hidrogrúa para maniobras | malacate | seguro de carga | trazabilidad GPS | coordinación de entregas</x:v>
      </x:c>
      <x:c r="AH140" s="135" t="str">
        <x:v>concesionario agro / maquinaria agrícola</x:v>
      </x:c>
      <x:c r="AI140" s="135" t="str">
        <x:v>Sí</x:v>
      </x:c>
      <x:c r="AJ140" s="135" t="str">
        <x:v>Alta</x:v>
      </x:c>
      <x:c r="AK140" s="135" t="str">
        <x:v>Concesionario: preguntar específicamente cómo resuelven entregas, retiros de usados, canjes, service fuera de zona y traslados a exposiciones.</x:v>
      </x:c>
      <x:c r="AL140" s="135" t="str">
        <x:v>Rastrillaje concesionarios agro 2026-09-07</x:v>
      </x:c>
      <x:c r="AM140" s="135" t="str">
        <x:v>Alta nueva del barrido específico de concesionarios, sucursales y multimarca agro; cruzada contra la base maestra para evitar duplicados.</x:v>
      </x:c>
    </x:row>
    <x:row r="141" ht="48">
      <x:c r="A141" s="7" t="str">
        <x:v>ONC-006</x:v>
      </x:c>
      <x:c r="B141" s="7" t="str">
        <x:v>Pendiente</x:v>
      </x:c>
      <x:c r="C141" s="7" t="str">
        <x:v>Oncativo / RN9</x:v>
      </x:c>
      <x:c r="D141" s="7" t="str">
        <x:v>Oncativo / RN9 - polo industrial</x:v>
      </x:c>
      <x:c r="E141" s="7" t="str">
        <x:v>Oncativo</x:v>
      </x:c>
      <x:c r="F141" s="7" t="str">
        <x:v>A</x:v>
      </x:c>
      <x:c r="G141" s="7" t="n">
        <x:v>85</x:v>
      </x:c>
      <x:c r="H141" s="7" t="str">
        <x:v>Agropartes S.A.</x:v>
      </x:c>
      <x:c r="I141" s="7" t="str">
        <x:v>Repuestos y agropartes para maquinaria agrícola</x:v>
      </x:c>
      <x:c r="J141" s="7" t="str">
        <x:v>Maquinaria agrícola</x:v>
      </x:c>
      <x:c r="K141" s="7" t="str">
        <x:v>03572 456204 / 03572 466314</x:v>
      </x:c>
      <x:c r="L141" s="7" t="str">
        <x:v>Verificar</x:v>
      </x:c>
      <x:c r="M141" s="7" t="str">
        <x:v>logística / despacho / postventa</x:v>
      </x:c>
      <x:c r="N141" s="7" t="str">
        <x:v>Traslado de maquinaria, implementos, equipos terminados y componentes de gran porte entre planta, cliente, obra o feria.</x:v>
      </x:c>
      <x:c r="O141" s="7" t="str">
        <x:v>Plataforma 20 tn + malacate/hidrogrúa según maniobra + seguro de carga + trazabilidad GPS.</x:v>
      </x:c>
      <x:c r="P141" s="7" t="str">
        <x:v>Directorio local lista fábrica de repuestos/agropartes en Berutti, Oncativo.</x:v>
      </x:c>
      <x:c r="Q141" s="7" t="str">
        <x:v>Llamada prioritaria; pedir próximo traslado concreto y, si hay encaje, coordinar visita.</x:v>
      </x:c>
      <x:c r="R141" s="7"/>
      <x:c r="S141" s="160" t="str">
        <x:f>IFERROR(T(INDEX('Prospectos Resumen'!$K$9:$K$295,MATCH(A141,'Prospectos Resumen'!$A$9:$A$295,0))),"")</x:f>
      </x:c>
      <x:c r="T141" s="7"/>
      <x:c r="U141" s="7"/>
      <x:c r="V141" s="7"/>
      <x:c r="W141" s="7"/>
      <x:c r="X141" s="7" t="str">
        <x:v>tel:+543572456204</x:v>
      </x:c>
      <x:c r="Y141" s="7" t="str">
        <x:v>tel:+543572456204 | tel:+543572466314</x:v>
      </x:c>
      <x:c r="Z141" s="7" t="str">
        <x:v>Confirmar decisor, frecuencia de movimientos y vigencia del contacto antes de cotizar.</x:v>
      </x:c>
      <x:c r="AA141" s="7" t="str">
        <x:v>https://www.google.com/maps/search/?api=1&amp;query=Agropartes+S.A.+Oncativo+C%C3%B3rdoba+Argentina</x:v>
      </x:c>
      <x:c r="AB141" s="7" t="str">
        <x:v>TeleXplorer directorio local</x:v>
      </x:c>
      <x:c r="AC141" s="7" t="str">
        <x:v>https://www.telexplorer.com.ar/Maquinaria-agricola-repuestos-y-accesorios-EN-Oncativo</x:v>
      </x:c>
      <x:c r="AD141" s="7" t="str">
        <x:v>Directorio local lista fábrica de repuestos/agropartes en Berutti, Oncativo.</x:v>
      </x:c>
      <x:c r="AE141" s="7" t="str">
        <x:v>Media</x:v>
      </x:c>
      <x:c r="AF141" s="7" t="str">
        <x:v>Enriquecimiento web 2026-09-07</x:v>
      </x:c>
      <x:c r="AG141" s="7" t="str">
        <x:v>transporte de áridos/materiales | hidrogrúa para carga/descarga | percha para pallets/bolsones | plataforma 20 tn para maquinaria/piezas | hidrogrúa para maniobras | percha para pallets</x:v>
      </x:c>
      <x:c r="AH141" s="7" t="str">
        <x:v>fabricante/servicio maquinaria agrícola</x:v>
      </x:c>
      <x:c r="AI141" s="7" t="str">
        <x:v>Sí</x:v>
      </x:c>
      <x:c r="AJ141" s="7" t="str">
        <x:v>Muy alta</x:v>
      </x:c>
      <x:c r="AK141" s="7" t="str">
        <x:v>Percha pallets: útil para insumos, bolsones, repuestos y materiales palletizados.</x:v>
      </x:c>
      <x:c r="AL141" s="7" t="str">
        <x:v>GPT adjunto</x:v>
      </x:c>
      <x:c r="AM141" s="7"/>
    </x:row>
    <x:row r="142" ht="36">
      <x:c r="A142" s="135" t="str">
        <x:v>ONC-007</x:v>
      </x:c>
      <x:c r="B142" s="135" t="str">
        <x:v>Pendiente</x:v>
      </x:c>
      <x:c r="C142" s="135" t="str">
        <x:v>Oncativo / RN9</x:v>
      </x:c>
      <x:c r="D142" s="135" t="str">
        <x:v>Oncativo / RN9 - polo industrial</x:v>
      </x:c>
      <x:c r="E142" s="135" t="str">
        <x:v>Oncativo</x:v>
      </x:c>
      <x:c r="F142" s="135" t="str">
        <x:v>A</x:v>
      </x:c>
      <x:c r="G142" s="135" t="n">
        <x:v>85</x:v>
      </x:c>
      <x:c r="H142" s="135" t="str">
        <x:v>Fertimaq</x:v>
      </x:c>
      <x:c r="I142" s="135" t="str">
        <x:v>Maquinaria y tecnología agrícola</x:v>
      </x:c>
      <x:c r="J142" s="135" t="str">
        <x:v>Industria y mantenimiento</x:v>
      </x:c>
      <x:c r="K142" s="135" t="str">
        <x:v>03572 458660</x:v>
      </x:c>
      <x:c r="L142" s="135" t="str">
        <x:v>OK</x:v>
      </x:c>
      <x:c r="M142" s="135" t="str">
        <x:v>logística / entregas / postventa</x:v>
      </x:c>
      <x:c r="N142" s="135" t="str">
        <x:v>Traslado de maquinaria agrícola o vial entre sucursal, cliente, taller, campo y eventos.</x:v>
      </x:c>
      <x:c r="O142" s="135" t="str">
        <x:v>Traslado de maquinaria en plataforma 20 tn, coordinación de retiro/entrega y apoyo de hidrogrúa si corresponde.</x:v>
      </x:c>
      <x:c r="P142" s="135" t="str">
        <x:v>Proveedor de maquinaria e implementos agrícolas en RN9 km 631; servicio técnico y repuestos.</x:v>
      </x:c>
      <x:c r="Q142" s="135" t="str">
        <x:v>Llamada prioritaria; pedir próximo traslado concreto y, si hay encaje, coordinar visita.</x:v>
      </x:c>
      <x:c r="R142" s="135"/>
      <x:c r="S142" s="158" t="str">
        <x:f>IFERROR(T(INDEX('Prospectos Resumen'!$K$9:$K$295,MATCH(A142,'Prospectos Resumen'!$A$9:$A$295,0))),"")</x:f>
      </x:c>
      <x:c r="T142" s="135"/>
      <x:c r="U142" s="135"/>
      <x:c r="V142" s="135"/>
      <x:c r="W142" s="135"/>
      <x:c r="X142" s="135" t="str">
        <x:v>tel:+543572458660</x:v>
      </x:c>
      <x:c r="Y142" s="135" t="str">
        <x:v>tel:+543572458660</x:v>
      </x:c>
      <x:c r="Z142" s="135" t="str">
        <x:v>Confirmar decisor, frecuencia de movimientos y vigencia del contacto antes de cotizar.</x:v>
      </x:c>
      <x:c r="AA142" s="135" t="str">
        <x:v>https://www.google.com/maps/search/?api=1&amp;query=Fertimaq+Oncativo+C%C3%B3rdoba+Argentina</x:v>
      </x:c>
      <x:c r="AB142" s="135" t="str">
        <x:v>Web propia Fertimaq</x:v>
      </x:c>
      <x:c r="AC142" s="135" t="str">
        <x:v>https://www.fertimaq.com.ar/</x:v>
      </x:c>
      <x:c r="AD142" s="135" t="str">
        <x:v>Proveedor de maquinaria e implementos agrícolas en RN9 km 631; servicio técnico y repuestos.</x:v>
      </x:c>
      <x:c r="AE142" s="135" t="str">
        <x:v>Alta</x:v>
      </x:c>
      <x:c r="AF142" s="135" t="str">
        <x:v>Enriquecimiento web 2026-09-07</x:v>
      </x:c>
      <x:c r="AG142" s="135" t="str">
        <x:v>plataforma 20 tn para maquinaria/piezas | hidrogrúa para maniobras | percha para pallets</x:v>
      </x:c>
      <x:c r="AH142" s="135" t="str">
        <x:v>otro rubro factible</x:v>
      </x:c>
      <x:c r="AI142" s="135" t="str">
        <x:v>Sí</x:v>
      </x:c>
      <x:c r="AJ142" s="135" t="str">
        <x:v>Muy alta</x:v>
      </x:c>
      <x:c r="AK142" s="135"/>
      <x:c r="AL142" s="135" t="str">
        <x:v>GPT adjunto</x:v>
      </x:c>
      <x:c r="AM142" s="135"/>
    </x:row>
    <x:row r="143" ht="48">
      <x:c r="A143" s="136" t="str">
        <x:v>ONC-009</x:v>
      </x:c>
      <x:c r="B143" s="136" t="str">
        <x:v>Pendiente</x:v>
      </x:c>
      <x:c r="C143" s="136" t="str">
        <x:v>Oncativo / RN9</x:v>
      </x:c>
      <x:c r="D143" s="136" t="str">
        <x:v>Oncativo / RN9 - polo industrial</x:v>
      </x:c>
      <x:c r="E143" s="136" t="str">
        <x:v>Oncativo</x:v>
      </x:c>
      <x:c r="F143" s="136" t="str">
        <x:v>A</x:v>
      </x:c>
      <x:c r="G143" s="136" t="n">
        <x:v>85</x:v>
      </x:c>
      <x:c r="H143" s="136" t="str">
        <x:v>San Isidro Maquinarias</x:v>
      </x:c>
      <x:c r="I143" s="136" t="str">
        <x:v>Maquinaria agrícola</x:v>
      </x:c>
      <x:c r="J143" s="136" t="str">
        <x:v>Maquinaria agrícola</x:v>
      </x:c>
      <x:c r="K143" s="136" t="str">
        <x:v>03572 561450</x:v>
      </x:c>
      <x:c r="L143" s="136" t="str">
        <x:v>OK</x:v>
      </x:c>
      <x:c r="M143" s="136" t="str">
        <x:v>logística / entregas / postventa</x:v>
      </x:c>
      <x:c r="N143" s="136" t="str">
        <x:v>Traslado de maquinaria agrícola o vial entre sucursal, cliente, taller, campo y eventos.</x:v>
      </x:c>
      <x:c r="O143" s="136" t="str">
        <x:v>Traslado de maquinaria en plataforma 20 tn, coordinación de retiro/entrega y apoyo de hidrogrúa si corresponde.</x:v>
      </x:c>
      <x:c r="P143" s="136" t="str">
        <x:v>Comercialización de maquinaria en acceso a autopista; potencial traslado de unidades a clientes.</x:v>
      </x:c>
      <x:c r="Q143" s="136" t="str">
        <x:v>Llamada prioritaria; pedir próximo traslado concreto y, si hay encaje, coordinar visita.</x:v>
      </x:c>
      <x:c r="R143" s="136"/>
      <x:c r="S143" s="158" t="str">
        <x:f>IFERROR(T(INDEX('Prospectos Resumen'!$K$9:$K$295,MATCH(A143,'Prospectos Resumen'!$A$9:$A$295,0))),"")</x:f>
      </x:c>
      <x:c r="T143" s="136"/>
      <x:c r="U143" s="136"/>
      <x:c r="V143" s="136"/>
      <x:c r="W143" s="136"/>
      <x:c r="X143" s="136" t="str">
        <x:v>tel:+543572561450</x:v>
      </x:c>
      <x:c r="Y143" s="136" t="str">
        <x:v>tel:+543572561450</x:v>
      </x:c>
      <x:c r="Z143" s="136" t="str">
        <x:v>Confirmar decisor, frecuencia de movimientos y vigencia del contacto antes de cotizar.</x:v>
      </x:c>
      <x:c r="AA143" s="136" t="str">
        <x:v>https://www.google.com/maps/search/?api=1&amp;query=San+Isidro+Maquinarias+Oncativo+C%C3%B3rdoba+Argentina</x:v>
      </x:c>
      <x:c r="AB143" s="136" t="str">
        <x:v>Google Maps / ficha pública</x:v>
      </x:c>
      <x:c r="AC143" s="136" t="str">
        <x:v>https://www.google.com/maps/search/?api=1&amp;query=San+Isidro+Maquinarias+Oncativo+C%C3%B3rdoba+Argentina</x:v>
      </x:c>
      <x:c r="AD143" s="136" t="str">
        <x:v>Comercialización de maquinaria en acceso a autopista; potencial traslado de unidades a clientes.</x:v>
      </x:c>
      <x:c r="AE143" s="136" t="str">
        <x:v>Alta</x:v>
      </x:c>
      <x:c r="AF143" s="136" t="str">
        <x:v>Enriquecimiento web 2026-09-07</x:v>
      </x:c>
      <x:c r="AG143" s="136" t="str">
        <x:v>plataforma 20 tn para maquinaria/piezas | hidrogrúa para maniobras | percha para pallets</x:v>
      </x:c>
      <x:c r="AH143" s="136" t="str">
        <x:v>fabricante/servicio maquinaria agrícola</x:v>
      </x:c>
      <x:c r="AI143" s="136" t="str">
        <x:v>Sí</x:v>
      </x:c>
      <x:c r="AJ143" s="136" t="str">
        <x:v>Muy alta</x:v>
      </x:c>
      <x:c r="AK143" s="136"/>
      <x:c r="AL143" s="136" t="str">
        <x:v>GPT adjunto</x:v>
      </x:c>
      <x:c r="AM143" s="136" t="str">
        <x:v>ID fuente: ONC-008</x:v>
      </x:c>
    </x:row>
    <x:row r="144" ht="48">
      <x:c r="A144" s="135" t="str">
        <x:v>ONC-008</x:v>
      </x:c>
      <x:c r="B144" s="135" t="str">
        <x:v>Pendiente</x:v>
      </x:c>
      <x:c r="C144" s="135" t="str">
        <x:v>Oncativo / RN9</x:v>
      </x:c>
      <x:c r="D144" s="135" t="str">
        <x:v>Oncativo / RN9 - polo industrial</x:v>
      </x:c>
      <x:c r="E144" s="135" t="str">
        <x:v>Oncativo</x:v>
      </x:c>
      <x:c r="F144" s="135" t="str">
        <x:v>A</x:v>
      </x:c>
      <x:c r="G144" s="135" t="n">
        <x:v>85</x:v>
      </x:c>
      <x:c r="H144" s="135" t="str">
        <x:v>SICA S.A. - Fabricación y Venta</x:v>
      </x:c>
      <x:c r="I144" s="135" t="str">
        <x:v>Fabricación industrial</x:v>
      </x:c>
      <x:c r="J144" s="135" t="str">
        <x:v>Metalúrgica y fabricación</x:v>
      </x:c>
      <x:c r="K144" s="135" t="str">
        <x:v>03572 460958</x:v>
      </x:c>
      <x:c r="L144" s="135" t="str">
        <x:v>OK</x:v>
      </x:c>
      <x:c r="M144" s="135" t="str">
        <x:v>mantenimiento / despacho</x:v>
      </x:c>
      <x:c r="N144" s="135" t="str">
        <x:v>Movimientos especiales de mantenimiento, repuestos pesados, equipos y mudanzas internas o entre plantas.</x:v>
      </x:c>
      <x:c r="O144" s="135" t="str">
        <x:v>Traslados especiales de equipos y repuestos con plataforma 20 tn, seguro/GPS y apoyo de hidrogrúa.</x:v>
      </x:c>
      <x:c r="P144" s="135" t="str">
        <x:v>Fábrica sobre RN9 en Oncativo; validar línea de productos y despachos.</x:v>
      </x:c>
      <x:c r="Q144" s="135" t="str">
        <x:v>Llamada prioritaria; pedir próximo traslado concreto y, si hay encaje, coordinar visita.</x:v>
      </x:c>
      <x:c r="R144" s="135"/>
      <x:c r="S144" s="158" t="str">
        <x:f>IFERROR(T(INDEX('Prospectos Resumen'!$K$9:$K$295,MATCH(A144,'Prospectos Resumen'!$A$9:$A$295,0))),"")</x:f>
      </x:c>
      <x:c r="T144" s="135"/>
      <x:c r="U144" s="135"/>
      <x:c r="V144" s="135"/>
      <x:c r="W144" s="135"/>
      <x:c r="X144" s="135" t="str">
        <x:v>tel:+543572460958</x:v>
      </x:c>
      <x:c r="Y144" s="135" t="str">
        <x:v>tel:+543572460958</x:v>
      </x:c>
      <x:c r="Z144" s="135" t="str">
        <x:v>Confirmar decisor, frecuencia de movimientos y vigencia del contacto antes de cotizar.</x:v>
      </x:c>
      <x:c r="AA144" s="135" t="str">
        <x:v>https://www.google.com/maps/search/?api=1&amp;query=SICA+S.A.+-+Fabricaci%C3%B3n+y+Venta+Oncativo+C%C3%B3rdoba+Argentina</x:v>
      </x:c>
      <x:c r="AB144" s="135" t="str">
        <x:v>Google Maps / ficha pública</x:v>
      </x:c>
      <x:c r="AC144" s="135" t="str">
        <x:v>https://www.google.com/maps/search/?api=1&amp;query=Sica+SA+Fabricacion+y+Venta+Oncativo+C%C3%B3rdoba+Argentina</x:v>
      </x:c>
      <x:c r="AD144" s="135" t="str">
        <x:v>Fábrica sobre RN9 en Oncativo; validar línea de productos y despachos.</x:v>
      </x:c>
      <x:c r="AE144" s="135" t="str">
        <x:v>Alta</x:v>
      </x:c>
      <x:c r="AF144" s="135" t="str">
        <x:v>Enriquecimiento web 2026-09-07</x:v>
      </x:c>
      <x:c r="AG144" s="135" t="str">
        <x:v>plataforma 20 tn para maquinaria/piezas | hidrogrúa para maniobras | percha para pallets</x:v>
      </x:c>
      <x:c r="AH144" s="135" t="str">
        <x:v>otro rubro factible</x:v>
      </x:c>
      <x:c r="AI144" s="135" t="str">
        <x:v>Sí</x:v>
      </x:c>
      <x:c r="AJ144" s="135" t="str">
        <x:v>Muy alta</x:v>
      </x:c>
      <x:c r="AK144" s="135"/>
      <x:c r="AL144" s="135" t="str">
        <x:v>GPT adjunto</x:v>
      </x:c>
      <x:c r="AM144" s="135" t="str">
        <x:v>ID fuente: ONC-009</x:v>
      </x:c>
    </x:row>
    <x:row r="145" ht="48">
      <x:c r="A145" s="7" t="str">
        <x:v>ONC-010</x:v>
      </x:c>
      <x:c r="B145" s="7" t="str">
        <x:v>Pendiente</x:v>
      </x:c>
      <x:c r="C145" s="7" t="str">
        <x:v>Oncativo / RN9</x:v>
      </x:c>
      <x:c r="D145" s="7" t="str">
        <x:v>Oncativo / RN9 - polo industrial</x:v>
      </x:c>
      <x:c r="E145" s="7" t="str">
        <x:v>Oncativo</x:v>
      </x:c>
      <x:c r="F145" s="7" t="str">
        <x:v>A</x:v>
      </x:c>
      <x:c r="G145" s="7" t="n">
        <x:v>85</x:v>
      </x:c>
      <x:c r="H145" s="7" t="str">
        <x:v>Vial Truck S.A.</x:v>
      </x:c>
      <x:c r="I145" s="7" t="str">
        <x:v>Equipos viales / camiones</x:v>
      </x:c>
      <x:c r="J145" s="7" t="str">
        <x:v>Industria y mantenimiento</x:v>
      </x:c>
      <x:c r="K145" s="7" t="str">
        <x:v>03572 455688</x:v>
      </x:c>
      <x:c r="L145" s="7" t="str">
        <x:v>OK</x:v>
      </x:c>
      <x:c r="M145" s="7" t="str">
        <x:v>logística / despacho / postventa</x:v>
      </x:c>
      <x:c r="N145" s="7" t="str">
        <x:v>Traslado de maquinaria, implementos, equipos terminados y componentes de gran porte entre planta, cliente, obra o feria.</x:v>
      </x:c>
      <x:c r="O145" s="7" t="str">
        <x:v>Plataforma 20 tn + malacate/hidrogrúa según maniobra + seguro de carga + trazabilidad GPS.</x:v>
      </x:c>
      <x:c r="P145" s="7" t="str">
        <x:v>Empresa local vinculada a equipos viales/camiones; teléfono público.</x:v>
      </x:c>
      <x:c r="Q145" s="7" t="str">
        <x:v>Llamada prioritaria; pedir próximo traslado concreto y, si hay encaje, coordinar visita.</x:v>
      </x:c>
      <x:c r="R145" s="7"/>
      <x:c r="S145" s="160" t="str">
        <x:f>IFERROR(T(INDEX('Prospectos Resumen'!$K$9:$K$295,MATCH(A145,'Prospectos Resumen'!$A$9:$A$295,0))),"")</x:f>
      </x:c>
      <x:c r="T145" s="7"/>
      <x:c r="U145" s="7"/>
      <x:c r="V145" s="7"/>
      <x:c r="W145" s="7"/>
      <x:c r="X145" s="7" t="str">
        <x:v>tel:+543572455688</x:v>
      </x:c>
      <x:c r="Y145" s="7" t="str">
        <x:v>tel:+543572455688</x:v>
      </x:c>
      <x:c r="Z145" s="7" t="str">
        <x:v>Confirmar decisor, frecuencia de movimientos y vigencia del contacto antes de cotizar.</x:v>
      </x:c>
      <x:c r="AA145" s="7" t="str">
        <x:v>https://www.google.com/maps/search/?api=1&amp;query=Vial+Truck+S.A.+Oncativo+C%C3%B3rdoba+Argentina</x:v>
      </x:c>
      <x:c r="AB145" s="7" t="str">
        <x:v>Google Maps / ficha pública</x:v>
      </x:c>
      <x:c r="AC145" s="7" t="str">
        <x:v>https://www.google.com/maps/search/?api=1&amp;query=Vial+Truck+SA+Oncativo+C%C3%B3rdoba+Argentina</x:v>
      </x:c>
      <x:c r="AD145" s="7" t="str">
        <x:v>Empresa local vinculada a equipos viales/camiones; teléfono público.</x:v>
      </x:c>
      <x:c r="AE145" s="7" t="str">
        <x:v>Alta</x:v>
      </x:c>
      <x:c r="AF145" s="7" t="str">
        <x:v>Enriquecimiento web 2026-09-07</x:v>
      </x:c>
      <x:c r="AG145" s="7" t="str">
        <x:v>transporte de áridos/materiales | hidrogrúa para carga/descarga | percha para pallets/bolsones | plataforma 20 tn para maquinaria/piezas | hidrogrúa para maniobras | percha para pallets</x:v>
      </x:c>
      <x:c r="AH145" s="7" t="str">
        <x:v>otro rubro factible</x:v>
      </x:c>
      <x:c r="AI145" s="7" t="str">
        <x:v>Sí</x:v>
      </x:c>
      <x:c r="AJ145" s="7" t="str">
        <x:v>Muy alta</x:v>
      </x:c>
      <x:c r="AK145" s="7"/>
      <x:c r="AL145" s="7" t="str">
        <x:v>GPT adjunto</x:v>
      </x:c>
      <x:c r="AM145" s="7"/>
    </x:row>
    <x:row r="146" ht="48">
      <x:c r="A146" s="8" t="str">
        <x:v>ONC-011</x:v>
      </x:c>
      <x:c r="B146" s="8" t="str">
        <x:v>Pendiente</x:v>
      </x:c>
      <x:c r="C146" s="8" t="str">
        <x:v>Oncativo / RN9</x:v>
      </x:c>
      <x:c r="D146" s="8" t="str">
        <x:v>Oncativo / RN9 - polo industrial</x:v>
      </x:c>
      <x:c r="E146" s="8" t="str">
        <x:v>Oncativo</x:v>
      </x:c>
      <x:c r="F146" s="8" t="str">
        <x:v>B</x:v>
      </x:c>
      <x:c r="G146" s="8" t="n">
        <x:v>77</x:v>
      </x:c>
      <x:c r="H146" s="8" t="str">
        <x:v>Metalúrgica Rosas</x:v>
      </x:c>
      <x:c r="I146" s="8" t="str">
        <x:v>Fabricación metalúrgica</x:v>
      </x:c>
      <x:c r="J146" s="8" t="str">
        <x:v>Metalúrgica y fabricación</x:v>
      </x:c>
      <x:c r="K146" s="8" t="str">
        <x:v>+54 9 3572 549003 / 03572 15617489</x:v>
      </x:c>
      <x:c r="L146" s="8" t="str">
        <x:v>OK</x:v>
      </x:c>
      <x:c r="M146" s="8" t="str">
        <x:v>despacho / producción</x:v>
      </x:c>
      <x:c r="N146" s="8" t="str">
        <x:v>Despacho de estructuras, piezas, equipos y conjuntos metalmecánicos de gran porte hacia obras o clientes.</x:v>
      </x:c>
      <x:c r="O146" s="8" t="str">
        <x:v>Plataforma 20 tn para piezas/estructuras + seguro de carga + trazabilidad GPS + apoyo de hidrogrúa según maniobra.</x:v>
      </x:c>
      <x:c r="P146" s="8" t="str">
        <x:v>Fábrica metalúrgica local con teléfono público.</x:v>
      </x:c>
      <x:c r="Q146" s="8" t="str">
        <x:v>Llamar para validar necesidad y frecuencia; visitar si confirma movimientos de equipos/cargas.</x:v>
      </x:c>
      <x:c r="R146" s="8"/>
      <x:c r="S146" s="160" t="str">
        <x:f>IFERROR(T(INDEX('Prospectos Resumen'!$K$9:$K$295,MATCH(A146,'Prospectos Resumen'!$A$9:$A$295,0))),"")</x:f>
      </x:c>
      <x:c r="T146" s="8"/>
      <x:c r="U146" s="8"/>
      <x:c r="V146" s="8"/>
      <x:c r="W146" s="8"/>
      <x:c r="X146" s="8" t="str">
        <x:v>tel:+5493572549003</x:v>
      </x:c>
      <x:c r="Y146" s="8" t="str">
        <x:v>tel:+5493572549003 | tel:+5493572617489</x:v>
      </x:c>
      <x:c r="Z146" s="8" t="str">
        <x:v>Confirmar decisor, frecuencia de movimientos y vigencia del contacto antes de cotizar.</x:v>
      </x:c>
      <x:c r="AA146" s="8" t="str">
        <x:v>https://www.google.com/maps/search/?api=1&amp;query=Metal%C3%BArgica+Rosas+Oncativo+C%C3%B3rdoba+Argentina</x:v>
      </x:c>
      <x:c r="AB146" s="8" t="str">
        <x:v>Google Maps / ficha pública | Facebook público / resultado de búsqueda</x:v>
      </x:c>
      <x:c r="AC146" s="8" t="str">
        <x:v>https://www.google.com/maps/search/?api=1&amp;query=Metal%C3%BArgica+Rosas+Oncativo+C%C3%B3rdoba+Argentina | https://www.facebook.com/metalurgicarosasoncativook?locale=es_LA</x:v>
      </x:c>
      <x:c r="AD146" s="8" t="str">
        <x:v>Fábrica metalúrgica local con teléfono público. | Resultado público: fabrica de repuestos para cosechadoras multimarca; teléfono (03572)15617489; Oncativo.</x:v>
      </x:c>
      <x:c r="AE146" s="8" t="str">
        <x:v>Alta</x:v>
      </x:c>
      <x:c r="AF146" s="8" t="str">
        <x:v>Enriquecimiento web 2026-09-07</x:v>
      </x:c>
      <x:c r="AG146" s="8" t="str">
        <x:v>transporte de áridos/materiales | hidrogrúa para carga/descarga | percha para pallets/bolsones | plataforma 20 tn para maquinaria/piezas | hidrogrúa para maniobras | percha para pallets</x:v>
      </x:c>
      <x:c r="AH146" s="8" t="str">
        <x:v>otro rubro factible</x:v>
      </x:c>
      <x:c r="AI146" s="8" t="str">
        <x:v>Sí</x:v>
      </x:c>
      <x:c r="AJ146" s="8" t="str">
        <x:v>Alta</x:v>
      </x:c>
      <x:c r="AK146" s="8" t="str">
        <x:v>Percha para pallets: útil para insumos, bolsones, repuestos y materiales palletizados.</x:v>
      </x:c>
      <x:c r="AL146" s="8" t="str">
        <x:v>GPT adjunto + Hermes</x:v>
      </x:c>
      <x:c r="AM146" s="8" t="str">
        <x:v>Fusionado con base Hermes para completar teléfonos/fuentes/servicios. | ID fuente: ONC-013</x:v>
      </x:c>
    </x:row>
    <x:row r="147" ht="48">
      <x:c r="A147" s="136" t="str">
        <x:v>ONC-012</x:v>
      </x:c>
      <x:c r="B147" s="136" t="str">
        <x:v>Pendiente</x:v>
      </x:c>
      <x:c r="C147" s="136" t="str">
        <x:v>Oncativo / RN9</x:v>
      </x:c>
      <x:c r="D147" s="136" t="str">
        <x:v>Oncativo / RN9 - polo industrial</x:v>
      </x:c>
      <x:c r="E147" s="136" t="str">
        <x:v>Oncativo</x:v>
      </x:c>
      <x:c r="F147" s="136" t="str">
        <x:v>B</x:v>
      </x:c>
      <x:c r="G147" s="136" t="n">
        <x:v>75</x:v>
      </x:c>
      <x:c r="H147" s="136" t="str">
        <x:v>Bartolomé Cerutti SRL</x:v>
      </x:c>
      <x:c r="I147" s="136" t="str">
        <x:v>Maquinaria agrícola</x:v>
      </x:c>
      <x:c r="J147" s="136" t="str">
        <x:v>Maquinaria agrícola</x:v>
      </x:c>
      <x:c r="K147" s="136" t="str">
        <x:v>03572 460754</x:v>
      </x:c>
      <x:c r="L147" s="136" t="str">
        <x:v>Verificar</x:v>
      </x:c>
      <x:c r="M147" s="136" t="str">
        <x:v>logística / entregas / postventa</x:v>
      </x:c>
      <x:c r="N147" s="136" t="str">
        <x:v>Traslado de maquinaria agrícola o vial entre sucursal, cliente, taller, campo y eventos.</x:v>
      </x:c>
      <x:c r="O147" s="136" t="str">
        <x:v>Traslado de maquinaria en plataforma 20 tn, coordinación de retiro/entrega y apoyo de hidrogrúa si corresponde.</x:v>
      </x:c>
      <x:c r="P147" s="136" t="str">
        <x:v>Directorio local lista empresa de maquinaria agrícola en San Martín 1510.</x:v>
      </x:c>
      <x:c r="Q147" s="136" t="str">
        <x:v>Llamar para validar necesidad y frecuencia; visitar si confirma movimientos de equipos/cargas.</x:v>
      </x:c>
      <x:c r="R147" s="136"/>
      <x:c r="S147" s="158" t="str">
        <x:f>IFERROR(T(INDEX('Prospectos Resumen'!$K$9:$K$295,MATCH(A147,'Prospectos Resumen'!$A$9:$A$295,0))),"")</x:f>
      </x:c>
      <x:c r="T147" s="136"/>
      <x:c r="U147" s="136"/>
      <x:c r="V147" s="136"/>
      <x:c r="W147" s="136"/>
      <x:c r="X147" s="136" t="str">
        <x:v>tel:+543572460754</x:v>
      </x:c>
      <x:c r="Y147" s="136" t="str">
        <x:v>tel:+543572460754</x:v>
      </x:c>
      <x:c r="Z147" s="136" t="str">
        <x:v>Confirmar decisor, frecuencia de movimientos y vigencia del contacto antes de cotizar.</x:v>
      </x:c>
      <x:c r="AA147" s="136" t="str">
        <x:v>https://www.google.com/maps/search/?api=1&amp;query=Bartolom%C3%A9+Cerutti+SRL+Oncativo+C%C3%B3rdoba+Argentina</x:v>
      </x:c>
      <x:c r="AB147" s="136" t="str">
        <x:v>TeleXplorer directorio local</x:v>
      </x:c>
      <x:c r="AC147" s="136" t="str">
        <x:v>https://www.telexplorer.com.ar/Maquinaria-agricola-repuestos-y-accesorios-EN-Oncativo</x:v>
      </x:c>
      <x:c r="AD147" s="136" t="str">
        <x:v>Directorio local lista empresa de maquinaria agrícola en San Martín 1510.</x:v>
      </x:c>
      <x:c r="AE147" s="136" t="str">
        <x:v>Media</x:v>
      </x:c>
      <x:c r="AF147" s="136" t="str">
        <x:v>Enriquecimiento web 2026-09-07</x:v>
      </x:c>
      <x:c r="AG147" s="136" t="str">
        <x:v>plataforma 20 tn para maquinaria/piezas | hidrogrúa para maniobras | percha para pallets</x:v>
      </x:c>
      <x:c r="AH147" s="136" t="str">
        <x:v>fabricante/servicio maquinaria agrícola</x:v>
      </x:c>
      <x:c r="AI147" s="136" t="str">
        <x:v>Sí</x:v>
      </x:c>
      <x:c r="AJ147" s="136" t="str">
        <x:v>Alta</x:v>
      </x:c>
      <x:c r="AK147" s="136"/>
      <x:c r="AL147" s="136" t="str">
        <x:v>GPT adjunto</x:v>
      </x:c>
      <x:c r="AM147" s="136" t="str">
        <x:v>ID fuente: ONC-011</x:v>
      </x:c>
    </x:row>
    <x:row r="148" ht="48">
      <x:c r="A148" s="135" t="str">
        <x:v>ONC-013</x:v>
      </x:c>
      <x:c r="B148" s="135" t="str">
        <x:v>Pendiente</x:v>
      </x:c>
      <x:c r="C148" s="135" t="str">
        <x:v>Oncativo / RN9</x:v>
      </x:c>
      <x:c r="D148" s="135" t="str">
        <x:v>Oncativo / RN9 - polo industrial</x:v>
      </x:c>
      <x:c r="E148" s="135" t="str">
        <x:v>Oncativo</x:v>
      </x:c>
      <x:c r="F148" s="135" t="str">
        <x:v>B</x:v>
      </x:c>
      <x:c r="G148" s="135" t="n">
        <x:v>75</x:v>
      </x:c>
      <x:c r="H148" s="135" t="str">
        <x:v>E Postacchini S.A.S.</x:v>
      </x:c>
      <x:c r="I148" s="135" t="str">
        <x:v>Servicio / maquinaria agrícola</x:v>
      </x:c>
      <x:c r="J148" s="135" t="str">
        <x:v>Maquinaria agrícola</x:v>
      </x:c>
      <x:c r="K148" s="135" t="str">
        <x:v>A relevar</x:v>
      </x:c>
      <x:c r="L148" s="135" t="str">
        <x:v>A relevar</x:v>
      </x:c>
      <x:c r="M148" s="135" t="str">
        <x:v>logística / entregas / postventa</x:v>
      </x:c>
      <x:c r="N148" s="135" t="str">
        <x:v>Traslado de maquinaria agrícola o vial entre sucursal, cliente, taller, campo y eventos.</x:v>
      </x:c>
      <x:c r="O148" s="135" t="str">
        <x:v>Traslado de maquinaria en plataforma 20 tn, coordinación de retiro/entrega y apoyo de hidrogrúa si corresponde.</x:v>
      </x:c>
      <x:c r="P148" s="135" t="str">
        <x:v>Listado sectorial ubica E Postacchini en Autopista Córdoba-Rosario km 628,3, Oncativo; correos comerciales publicados.</x:v>
      </x:c>
      <x:c r="Q148" s="135" t="str">
        <x:v>Llamar para validar necesidad y frecuencia; visitar si confirma movimientos de equipos/cargas.</x:v>
      </x:c>
      <x:c r="R148" s="135"/>
      <x:c r="S148" s="158" t="str">
        <x:f>IFERROR(T(INDEX('Prospectos Resumen'!$K$9:$K$295,MATCH(A148,'Prospectos Resumen'!$A$9:$A$295,0))),"")</x:f>
      </x:c>
      <x:c r="T148" s="135"/>
      <x:c r="U148" s="135"/>
      <x:c r="V148" s="135"/>
      <x:c r="W148" s="135"/>
      <x:c r="X148" s="135"/>
      <x:c r="Y148" s="135"/>
      <x:c r="Z148" s="135" t="str">
        <x:v>Confirmar decisor, frecuencia de movimientos y vigencia del contacto antes de cotizar.</x:v>
      </x:c>
      <x:c r="AA148" s="135" t="str">
        <x:v>https://www.google.com/maps/search/?api=1&amp;query=E+Postacchini+S.A.S.+Oncativo+C%C3%B3rdoba+Argentina</x:v>
      </x:c>
      <x:c r="AB148" s="135" t="str">
        <x:v>Red de servicios Piersanti</x:v>
      </x:c>
      <x:c r="AC148" s="135" t="str">
        <x:v>https://piersanti.com.ar/en/en_services/</x:v>
      </x:c>
      <x:c r="AD148" s="135" t="str">
        <x:v>Listado sectorial ubica E Postacchini en Autopista Córdoba-Rosario km 628,3, Oncativo; correos comerciales publicados.</x:v>
      </x:c>
      <x:c r="AE148" s="135" t="str">
        <x:v>Media</x:v>
      </x:c>
      <x:c r="AF148" s="135" t="str">
        <x:v>Enriquecimiento web 2026-09-07</x:v>
      </x:c>
      <x:c r="AG148" s="135" t="str">
        <x:v>plataforma 20 tn para maquinaria/piezas | hidrogrúa para maniobras | percha para pallets</x:v>
      </x:c>
      <x:c r="AH148" s="135" t="str">
        <x:v>fabricante/servicio maquinaria agrícola</x:v>
      </x:c>
      <x:c r="AI148" s="135" t="str">
        <x:v>Sí</x:v>
      </x:c>
      <x:c r="AJ148" s="135" t="str">
        <x:v>Media</x:v>
      </x:c>
      <x:c r="AK148" s="135"/>
      <x:c r="AL148" s="135" t="str">
        <x:v>GPT adjunto</x:v>
      </x:c>
      <x:c r="AM148" s="135" t="str">
        <x:v>ID fuente: ONC-012</x:v>
      </x:c>
    </x:row>
    <x:row r="149" ht="60">
      <x:c r="A149" s="136" t="str">
        <x:v>ONC-014</x:v>
      </x:c>
      <x:c r="B149" s="136" t="str">
        <x:v>Pendiente</x:v>
      </x:c>
      <x:c r="C149" s="136" t="str">
        <x:v>Oncativo / RN9</x:v>
      </x:c>
      <x:c r="D149" s="136" t="str">
        <x:v>Oncativo / RN9 - polo industrial</x:v>
      </x:c>
      <x:c r="E149" s="136" t="str">
        <x:v>Oncativo</x:v>
      </x:c>
      <x:c r="F149" s="136" t="str">
        <x:v>B</x:v>
      </x:c>
      <x:c r="G149" s="136" t="n">
        <x:v>75</x:v>
      </x:c>
      <x:c r="H149" s="136" t="str">
        <x:v>Serra Obras y Redes</x:v>
      </x:c>
      <x:c r="I149" s="136" t="str">
        <x:v>Obras y redes / construcción</x:v>
      </x:c>
      <x:c r="J149" s="136" t="str">
        <x:v>Construcción y obra vial</x:v>
      </x:c>
      <x:c r="K149" s="136" t="str">
        <x:v>03572 436146</x:v>
      </x:c>
      <x:c r="L149" s="136" t="str">
        <x:v>OK</x:v>
      </x:c>
      <x:c r="M149" s="136" t="str">
        <x:v>jefe de obra / operaciones</x:v>
      </x:c>
      <x:c r="N149" s="136" t="str">
        <x:v>Traslado de maquinaria, módulos de obrador, estructuras y equipos entre depósitos y frentes de obra.</x:v>
      </x:c>
      <x:c r="O149" s="136" t="str">
        <x:v>Transporte especial de equipos/obrador + plataforma 20 tn + apoyo de hidrogrúa según maniobra + seguro/GPS.</x:v>
      </x:c>
      <x:c r="P149" s="136" t="str">
        <x:v>Empresa constructora local; potencial movimiento de equipos, cañerías, obradores y materiales.</x:v>
      </x:c>
      <x:c r="Q149" s="136" t="str">
        <x:v>Llamar para validar necesidad y frecuencia; visitar si confirma movimientos de equipos/cargas.</x:v>
      </x:c>
      <x:c r="R149" s="136"/>
      <x:c r="S149" s="158" t="str">
        <x:f>IFERROR(T(INDEX('Prospectos Resumen'!$K$9:$K$295,MATCH(A149,'Prospectos Resumen'!$A$9:$A$295,0))),"")</x:f>
      </x:c>
      <x:c r="T149" s="136"/>
      <x:c r="U149" s="136"/>
      <x:c r="V149" s="136"/>
      <x:c r="W149" s="136"/>
      <x:c r="X149" s="136" t="str">
        <x:v>tel:+543572436146</x:v>
      </x:c>
      <x:c r="Y149" s="136" t="str">
        <x:v>tel:+543572436146</x:v>
      </x:c>
      <x:c r="Z149" s="136" t="str">
        <x:v>Confirmar decisor, frecuencia de movimientos y vigencia del contacto antes de cotizar.</x:v>
      </x:c>
      <x:c r="AA149" s="136" t="str">
        <x:v>https://www.google.com/maps/search/?api=1&amp;query=Serra+Obras+y+Redes+Oncativo+C%C3%B3rdoba+Argentina</x:v>
      </x:c>
      <x:c r="AB149" s="136" t="str">
        <x:v>Google Maps / ficha pública</x:v>
      </x:c>
      <x:c r="AC149" s="136" t="str">
        <x:v>https://www.google.com/maps/search/?api=1&amp;query=Serra+Obras+y+Redes+Oncativo+C%C3%B3rdoba+Argentina</x:v>
      </x:c>
      <x:c r="AD149" s="136" t="str">
        <x:v>Empresa constructora local; potencial movimiento de equipos, cañerías, obradores y materiales.</x:v>
      </x:c>
      <x:c r="AE149" s="136" t="str">
        <x:v>Alta</x:v>
      </x:c>
      <x:c r="AF149" s="136" t="str">
        <x:v>Enriquecimiento web 2026-09-07</x:v>
      </x:c>
      <x:c r="AG149" s="136" t="str">
        <x:v>transporte de áridos/materiales | hidrogrúa para carga/descarga | percha para pallets/bolsones | barquilla de hidrogrúa para mantenimiento en altura | hidrogrúa para postes/equipos</x:v>
      </x:c>
      <x:c r="AH149" s="136" t="str">
        <x:v>áridos/construcción/premoldeados | mantenimiento en altura/redes</x:v>
      </x:c>
      <x:c r="AI149" s="136" t="str">
        <x:v>Sí</x:v>
      </x:c>
      <x:c r="AJ149" s="136" t="str">
        <x:v>Alta</x:v>
      </x:c>
      <x:c r="AK149" s="136" t="str">
        <x:v>Barquilla: validar seguridad, seguro, permiso de trabajo y alcance de maniobra antes de cotizar.</x:v>
      </x:c>
      <x:c r="AL149" s="136" t="str">
        <x:v>GPT adjunto</x:v>
      </x:c>
      <x:c r="AM149" s="136"/>
    </x:row>
    <x:row r="150" ht="72">
      <x:c r="A150" s="8" t="str">
        <x:v>ONC-015</x:v>
      </x:c>
      <x:c r="B150" s="8" t="str">
        <x:v>Pendiente</x:v>
      </x:c>
      <x:c r="C150" s="8" t="str">
        <x:v>Oncativo / RN9</x:v>
      </x:c>
      <x:c r="D150" s="8" t="str">
        <x:v>Oncativo / RN9 - polo industrial</x:v>
      </x:c>
      <x:c r="E150" s="8" t="str">
        <x:v>Oncativo</x:v>
      </x:c>
      <x:c r="F150" s="8" t="str">
        <x:v>B</x:v>
      </x:c>
      <x:c r="G150" s="8" t="n">
        <x:v>75</x:v>
      </x:c>
      <x:c r="H150" s="8" t="str">
        <x:v>Tantucci Construcciones</x:v>
      </x:c>
      <x:c r="I150" s="8" t="str">
        <x:v>Construcción</x:v>
      </x:c>
      <x:c r="J150" s="8" t="str">
        <x:v>Construcción y obra vial</x:v>
      </x:c>
      <x:c r="K150" s="8" t="str">
        <x:v>03572 402571</x:v>
      </x:c>
      <x:c r="L150" s="8" t="str">
        <x:v>OK</x:v>
      </x:c>
      <x:c r="M150" s="8" t="str">
        <x:v>jefe de obra / operaciones</x:v>
      </x:c>
      <x:c r="N150" s="8" t="str">
        <x:v>Traslado de maquinaria, módulos de obrador, estructuras y equipos entre depósitos y frentes de obra.</x:v>
      </x:c>
      <x:c r="O150" s="8" t="str">
        <x:v>Transporte especial de equipos/obrador + plataforma 20 tn + apoyo de hidrogrúa según maniobra + seguro/GPS.</x:v>
      </x:c>
      <x:c r="P150" s="8" t="str">
        <x:v>Constructora local con teléfono público.</x:v>
      </x:c>
      <x:c r="Q150" s="8" t="str">
        <x:v>Llamar para validar necesidad y frecuencia; visitar si confirma movimientos de equipos/cargas.</x:v>
      </x:c>
      <x:c r="R150" s="8"/>
      <x:c r="S150" s="160" t="str">
        <x:f>IFERROR(T(INDEX('Prospectos Resumen'!$K$9:$K$295,MATCH(A150,'Prospectos Resumen'!$A$9:$A$295,0))),"")</x:f>
      </x:c>
      <x:c r="T150" s="8"/>
      <x:c r="U150" s="8"/>
      <x:c r="V150" s="8"/>
      <x:c r="W150" s="8"/>
      <x:c r="X150" s="8" t="str">
        <x:v>tel:+543572402571</x:v>
      </x:c>
      <x:c r="Y150" s="8" t="str">
        <x:v>tel:+543572402571</x:v>
      </x:c>
      <x:c r="Z150" s="8" t="str">
        <x:v>Confirmar decisor, frecuencia de movimientos y vigencia del contacto antes de cotizar.</x:v>
      </x:c>
      <x:c r="AA150" s="8" t="str">
        <x:v>https://www.google.com/maps/search/?api=1&amp;query=Tantucci+Construcciones+Oncativo+C%C3%B3rdoba+Argentina</x:v>
      </x:c>
      <x:c r="AB150" s="8" t="str">
        <x:v>Google Maps / ficha pública</x:v>
      </x:c>
      <x:c r="AC150" s="8" t="str">
        <x:v>https://www.google.com/maps/search/?api=1&amp;query=Tantucci+Construcciones+Oncativo+C%C3%B3rdoba+Argentina</x:v>
      </x:c>
      <x:c r="AD150" s="8" t="str">
        <x:v>Constructora local con teléfono público.</x:v>
      </x:c>
      <x:c r="AE150" s="8" t="str">
        <x:v>Alta</x:v>
      </x:c>
      <x:c r="AF150" s="8" t="str">
        <x:v>Enriquecimiento web 2026-09-07</x:v>
      </x:c>
      <x:c r="AG150" s="8" t="str">
        <x:v>transporte de áridos/materiales | hidrogrúa para carga/descarga | percha para pallets/bolsones</x:v>
      </x:c>
      <x:c r="AH150" s="8" t="str">
        <x:v>áridos/construcción/premoldeados</x:v>
      </x:c>
      <x:c r="AI150" s="8" t="str">
        <x:v>Sí</x:v>
      </x:c>
      <x:c r="AJ150" s="8" t="str">
        <x:v>Alta</x:v>
      </x:c>
      <x:c r="AK150" s="8"/>
      <x:c r="AL150" s="8" t="str">
        <x:v>GPT adjunto</x:v>
      </x:c>
      <x:c r="AM150" s="8"/>
    </x:row>
    <x:row r="151" ht="72">
      <x:c r="A151" s="7" t="str">
        <x:v>ONC-016</x:v>
      </x:c>
      <x:c r="B151" s="7" t="str">
        <x:v>Pendiente</x:v>
      </x:c>
      <x:c r="C151" s="7" t="str">
        <x:v>Oncativo / RN9</x:v>
      </x:c>
      <x:c r="D151" s="7" t="str">
        <x:v>Oncativo / RN9 - polo industrial</x:v>
      </x:c>
      <x:c r="E151" s="7" t="str">
        <x:v>Oncativo</x:v>
      </x:c>
      <x:c r="F151" s="7" t="str">
        <x:v>B</x:v>
      </x:c>
      <x:c r="G151" s="7" t="n">
        <x:v>60</x:v>
      </x:c>
      <x:c r="H151" s="7" t="str">
        <x:v>Agro Repuestos Oncativo</x:v>
      </x:c>
      <x:c r="I151" s="7" t="str">
        <x:v>Repuestos y accesorios de maquinaria agrícola</x:v>
      </x:c>
      <x:c r="J151" s="7" t="str">
        <x:v>Maquinaria agrícola</x:v>
      </x:c>
      <x:c r="K151" s="7" t="str">
        <x:v>03572 466328</x:v>
      </x:c>
      <x:c r="L151" s="7" t="str">
        <x:v>Verificar</x:v>
      </x:c>
      <x:c r="M151" s="7" t="str">
        <x:v>logística / entregas / postventa</x:v>
      </x:c>
      <x:c r="N151" s="7" t="str">
        <x:v>Traslado de maquinaria agrícola o vial entre sucursal, cliente, taller, campo y eventos.</x:v>
      </x:c>
      <x:c r="O151" s="7" t="str">
        <x:v>Traslado de maquinaria en plataforma 20 tn, coordinación de retiro/entrega y apoyo de hidrogrúa si corresponde.</x:v>
      </x:c>
      <x:c r="P151" s="7" t="str">
        <x:v>Directorio local lista repuestos agrícolas en 25 de Mayo 973.</x:v>
      </x:c>
      <x:c r="Q151" s="7" t="str">
        <x:v>Llamar para validar necesidad y frecuencia; visitar si confirma movimientos de equipos/cargas.</x:v>
      </x:c>
      <x:c r="R151" s="7"/>
      <x:c r="S151" s="160" t="str">
        <x:f>IFERROR(T(INDEX('Prospectos Resumen'!$K$9:$K$295,MATCH(A151,'Prospectos Resumen'!$A$9:$A$295,0))),"")</x:f>
      </x:c>
      <x:c r="T151" s="7"/>
      <x:c r="U151" s="7"/>
      <x:c r="V151" s="7"/>
      <x:c r="W151" s="7"/>
      <x:c r="X151" s="7" t="str">
        <x:v>tel:+543572466328</x:v>
      </x:c>
      <x:c r="Y151" s="7" t="str">
        <x:v>tel:+543572466328</x:v>
      </x:c>
      <x:c r="Z151" s="7" t="str">
        <x:v>Confirmar decisor, frecuencia de movimientos y vigencia del contacto antes de cotizar.</x:v>
      </x:c>
      <x:c r="AA151" s="7" t="str">
        <x:v>https://www.google.com/maps/search/?api=1&amp;query=Agro+Repuestos+Oncativo+Oncativo+C%C3%B3rdoba+Argentina</x:v>
      </x:c>
      <x:c r="AB151" s="7" t="str">
        <x:v>TeleXplorer directorio local</x:v>
      </x:c>
      <x:c r="AC151" s="7" t="str">
        <x:v>https://www.telexplorer.com.ar/Maquinaria-agricola-repuestos-y-accesorios-EN-Oncativo</x:v>
      </x:c>
      <x:c r="AD151" s="7" t="str">
        <x:v>Directorio local lista repuestos agrícolas en 25 de Mayo 973.</x:v>
      </x:c>
      <x:c r="AE151" s="7" t="str">
        <x:v>Media</x:v>
      </x:c>
      <x:c r="AF151" s="7" t="str">
        <x:v>Enriquecimiento web 2026-09-07</x:v>
      </x:c>
      <x:c r="AG151" s="7" t="str">
        <x:v>plataforma 20 tn para maquinaria/piezas | hidrogrúa para maniobras | percha para pallets</x:v>
      </x:c>
      <x:c r="AH151" s="7" t="str">
        <x:v>fabricante/servicio maquinaria agrícola</x:v>
      </x:c>
      <x:c r="AI151" s="7" t="str">
        <x:v>Sí</x:v>
      </x:c>
      <x:c r="AJ151" s="7" t="str">
        <x:v>Alta</x:v>
      </x:c>
      <x:c r="AK151" s="7" t="str">
        <x:v>Percha pallets: útil para insumos, bolsones, repuestos y materiales palletizados.</x:v>
      </x:c>
      <x:c r="AL151" s="7" t="str">
        <x:v>GPT adjunto</x:v>
      </x:c>
      <x:c r="AM151" s="7"/>
    </x:row>
    <x:row r="152" ht="48">
      <x:c r="A152" s="135" t="str">
        <x:v>ONC-017</x:v>
      </x:c>
      <x:c r="B152" s="135" t="str">
        <x:v>Pendiente</x:v>
      </x:c>
      <x:c r="C152" s="135" t="str">
        <x:v>Oncativo / RN9</x:v>
      </x:c>
      <x:c r="D152" s="135" t="str">
        <x:v>Oncativo / RN9 - polo industrial</x:v>
      </x:c>
      <x:c r="E152" s="135" t="str">
        <x:v>Oncativo</x:v>
      </x:c>
      <x:c r="F152" s="135" t="str">
        <x:v>C</x:v>
      </x:c>
      <x:c r="G152" s="135" t="n">
        <x:v>40</x:v>
      </x:c>
      <x:c r="H152" s="135" t="str">
        <x:v>Murature Oncativo S.A.</x:v>
      </x:c>
      <x:c r="I152" s="135" t="str">
        <x:v>Fertilizantes / agroinsumos</x:v>
      </x:c>
      <x:c r="J152" s="135" t="str">
        <x:v>Agro, acopio y cooperativas</x:v>
      </x:c>
      <x:c r="K152" s="135" t="str">
        <x:v>A relevar</x:v>
      </x:c>
      <x:c r="L152" s="135" t="str">
        <x:v>A relevar</x:v>
      </x:c>
      <x:c r="M152" s="135" t="str">
        <x:v>responsable de acopio / mantenimiento</x:v>
      </x:c>
      <x:c r="N152" s="135" t="str">
        <x:v>Traslado de equipos de planta, silos, repuestos pesados, balanzas, implementos y cargas especiales.</x:v>
      </x:c>
      <x:c r="O152" s="135" t="str">
        <x:v>Movimiento de equipos de planta, silos, balanzas, repuestos e implementos con plataforma e hidrogrúa según necesidad.</x:v>
      </x:c>
      <x:c r="P152" s="135" t="str">
        <x:v>Proveedor de fertilizantes en Oncativo; fit secundario para equipos de planta y movimientos especiales.</x:v>
      </x:c>
      <x:c r="Q152" s="135" t="str">
        <x:v>Llamar para validar necesidad y frecuencia; visitar si confirma movimientos de equipos/cargas.</x:v>
      </x:c>
      <x:c r="R152" s="135"/>
      <x:c r="S152" s="158" t="str">
        <x:f>IFERROR(T(INDEX('Prospectos Resumen'!$K$9:$K$295,MATCH(A152,'Prospectos Resumen'!$A$9:$A$295,0))),"")</x:f>
      </x:c>
      <x:c r="T152" s="135"/>
      <x:c r="U152" s="135"/>
      <x:c r="V152" s="135"/>
      <x:c r="W152" s="135"/>
      <x:c r="X152" s="135"/>
      <x:c r="Y152" s="135"/>
      <x:c r="Z152" s="135" t="str">
        <x:v>Confirmar decisor, frecuencia de movimientos y vigencia del contacto antes de cotizar.</x:v>
      </x:c>
      <x:c r="AA152" s="135" t="str">
        <x:v>https://www.google.com/maps/search/?api=1&amp;query=Murature+Oncativo+S.A.+Oncativo+C%C3%B3rdoba+Argentina</x:v>
      </x:c>
      <x:c r="AB152" s="135" t="str">
        <x:v>Google Maps / ficha pública</x:v>
      </x:c>
      <x:c r="AC152" s="135" t="str">
        <x:v>https://www.google.com/maps/search/?api=1&amp;query=Murature+Oncativo+SA+Oncativo+C%C3%B3rdoba+Argentina</x:v>
      </x:c>
      <x:c r="AD152" s="135" t="str">
        <x:v>Proveedor de fertilizantes en Oncativo; fit secundario para equipos de planta y movimientos especiales.</x:v>
      </x:c>
      <x:c r="AE152" s="135" t="str">
        <x:v>Media</x:v>
      </x:c>
      <x:c r="AF152" s="135" t="str">
        <x:v>Enriquecimiento web 2026-09-07</x:v>
      </x:c>
      <x:c r="AG152" s="135" t="str">
        <x:v>plataforma 20 tn para maquinaria/piezas | hidrogrúa para maniobras | percha para pallets | percha para pallets de insumos | hidrogrúa para equipos/mantenimiento | barquilla para trabajos en altura</x:v>
      </x:c>
      <x:c r="AH152" s="135" t="str">
        <x:v>planta agroindustrial</x:v>
      </x:c>
      <x:c r="AI152" s="135" t="str">
        <x:v>Sí</x:v>
      </x:c>
      <x:c r="AJ152" s="135" t="str">
        <x:v>Baja / visitar solo por cercanía</x:v>
      </x:c>
      <x:c r="AK152" s="135" t="str">
        <x:v>Percha pallets: útil para insumos, bolsones, repuestos y materiales palletizados.</x:v>
      </x:c>
      <x:c r="AL152" s="135" t="str">
        <x:v>GPT adjunto</x:v>
      </x:c>
      <x:c r="AM152" s="135"/>
    </x:row>
    <x:row r="153" ht="60">
      <x:c r="A153" s="136" t="str">
        <x:v>ONC-018</x:v>
      </x:c>
      <x:c r="B153" s="136" t="str">
        <x:v>Pendiente</x:v>
      </x:c>
      <x:c r="C153" s="136" t="str">
        <x:v>Oncativo / RN9-RP10</x:v>
      </x:c>
      <x:c r="D153" s="136" t="str">
        <x:v>Oncativo / RN9 km 627</x:v>
      </x:c>
      <x:c r="E153" s="136" t="str">
        <x:v>Oncativo</x:v>
      </x:c>
      <x:c r="F153" s="136" t="str">
        <x:v>A</x:v>
      </x:c>
      <x:c r="G153" s="136" t="n">
        <x:v>99</x:v>
      </x:c>
      <x:c r="H153" s="136" t="str">
        <x:v>Cooperativa Agrícola Ganadera y de Consumo de Oncativo Ltda.</x:v>
      </x:c>
      <x:c r="I153" s="136" t="str">
        <x:v>Cooperativa agrícola ganadera / acopio / consumo</x:v>
      </x:c>
      <x:c r="J153" s="136" t="str">
        <x:v>Agro, acopio y cooperativas</x:v>
      </x:c>
      <x:c r="K153" s="136" t="str">
        <x:v>03572 456777 / 03572 15583757</x:v>
      </x:c>
      <x:c r="L153" s="136" t="str">
        <x:v>OK</x:v>
      </x:c>
      <x:c r="M153" s="136" t="str">
        <x:v>acopio / insumos / mantenimiento</x:v>
      </x:c>
      <x:c r="N153" s="136" t="str">
        <x:v>Traslado de insumos, pallets, fertilizantes, repuestos pesados, silos/equipos y apoyo de mantenimiento en planta.</x:v>
      </x:c>
      <x:c r="O153" s="136" t="str">
        <x:v>Plataforma + percha pallets + hidrogrúa/barquilla para insumos, repuestos, silos/equipos y mantenimiento.</x:v>
      </x:c>
      <x:c r="P153" s="136" t="str">
        <x:v>Cooperativa agroganadera sobre RN9; oportunidad en acopio, insumos, pallets y mantenimiento de planta.</x:v>
      </x:c>
      <x:c r="Q153" s="136" t="str">
        <x:v>Pedir por acopio/insumos y ofrecer percha pallets, hidrogrúa y barquilla para mantenimiento en altura.</x:v>
      </x:c>
      <x:c r="R153" s="136"/>
      <x:c r="S153" s="158" t="str">
        <x:f>IFERROR(T(INDEX('Prospectos Resumen'!$K$9:$K$295,MATCH(A153,'Prospectos Resumen'!$A$9:$A$295,0))),"")</x:f>
      </x:c>
      <x:c r="T153" s="136"/>
      <x:c r="U153" s="136"/>
      <x:c r="V153" s="136"/>
      <x:c r="W153" s="136"/>
      <x:c r="X153" s="136" t="str">
        <x:v>tel:+543572456777</x:v>
      </x:c>
      <x:c r="Y153" s="136" t="str">
        <x:v>tel:+543572456777 | tel:+5493572583757</x:v>
      </x:c>
      <x:c r="Z153" s="136" t="str">
        <x:v>Validar responsables de acopio e insumos y picos de campaña.</x:v>
      </x:c>
      <x:c r="AA153" s="136" t="str">
        <x:v>https://www.google.com/maps/search/?api=1&amp;query=Cooperativa+Agr%C3%ADcola+Ganadera+y+de+Consumo+de+Oncativo+Ltda.+Oncativo+C%C3%B3rdoba+Argentina</x:v>
      </x:c>
      <x:c r="AB153" s="136" t="str">
        <x:v>ESSApp</x:v>
      </x:c>
      <x:c r="AC153" s="136" t="str">
        <x:v>https://www.essapp.coop/cooperativa-agricola-ganadera-y-de-consumo-de-oncativo-ltda/sede-cooperativa-agricola-ganadera-y-de</x:v>
      </x:c>
      <x:c r="AD153" s="136" t="str">
        <x:v>Ficha ESSApp: RN9 Km 627, Oncativo; 03572-456777 / 03572 15583757.</x:v>
      </x:c>
      <x:c r="AE153" s="136" t="str">
        <x:v>Alta</x:v>
      </x:c>
      <x:c r="AF153" s="136" t="str">
        <x:v>Nuevo enriquecimiento zonas priorizadas 2026-09</x:v>
      </x:c>
      <x:c r="AG153" s="136" t="str">
        <x:v>percha para pallets de insumos | hidrogrúa para equipos/mantenimiento | barquilla para trabajos en altura</x:v>
      </x:c>
      <x:c r="AH153" s="136" t="str">
        <x:v>cooperativa/acopio</x:v>
      </x:c>
      <x:c r="AI153" s="136" t="str">
        <x:v>Sí</x:v>
      </x:c>
      <x:c r="AJ153" s="136" t="str">
        <x:v>Muy alta</x:v>
      </x:c>
      <x:c r="AK153" s="136" t="str">
        <x:v>Si se ofrece barquilla, validar condiciones de seguridad, seguro y habilitación de maniobra.</x:v>
      </x:c>
      <x:c r="AL153" s="136" t="str">
        <x:v>Hermes único</x:v>
      </x:c>
      <x:c r="AM153" s="136" t="str">
        <x:v>Alta única desde base Hermes; no estaba en el Excel GPT adjunto. | ID fuente: PRESOL-130</x:v>
      </x:c>
    </x:row>
    <x:row r="154" ht="48">
      <x:c r="A154" s="135" t="str">
        <x:v>ONC-019</x:v>
      </x:c>
      <x:c r="B154" s="135" t="str">
        <x:v>Pendiente</x:v>
      </x:c>
      <x:c r="C154" s="135" t="str">
        <x:v>Oncativo / RN9-RP10</x:v>
      </x:c>
      <x:c r="D154" s="135" t="str">
        <x:v>Oncativo</x:v>
      </x:c>
      <x:c r="E154" s="135" t="str">
        <x:v>Oncativo</x:v>
      </x:c>
      <x:c r="F154" s="135" t="str">
        <x:v>B</x:v>
      </x:c>
      <x:c r="G154" s="135" t="n">
        <x:v>85</x:v>
      </x:c>
      <x:c r="H154" s="135" t="str">
        <x:v>El Triunfo Oncativo</x:v>
      </x:c>
      <x:c r="I154" s="135" t="str">
        <x:v>Acopio / granos / fitosanitarios / fertilizantes / semillas</x:v>
      </x:c>
      <x:c r="J154" s="135" t="str">
        <x:v>Agro, acopio y cooperativas</x:v>
      </x:c>
      <x:c r="K154" s="135" t="str">
        <x:v>03572 466288 / +54 9 3572 408824</x:v>
      </x:c>
      <x:c r="L154" s="135" t="str">
        <x:v>OK</x:v>
      </x:c>
      <x:c r="M154" s="135" t="str">
        <x:v>acopio / logística / insumos</x:v>
      </x:c>
      <x:c r="N154" s="135" t="str">
        <x:v>Traslado de insumos, pallets, fertilizantes, repuestos pesados, silos/equipos y apoyo de mantenimiento en planta.</x:v>
      </x:c>
      <x:c r="O154" s="135" t="str">
        <x:v>Plataforma + percha pallets + hidrogrúa/barquilla para insumos, repuestos, silos/equipos y mantenimiento.</x:v>
      </x:c>
      <x:c r="P154" s="135" t="str">
        <x:v>Acopio con insumos/fertilizantes/semillas; oportunidad para pallets, bolsones, repuestos y equipos.</x:v>
      </x:c>
      <x:c r="Q154" s="135" t="str">
        <x:v>Llamar a acopio/logística y preguntar por terceros para movimientos de insumos y equipos.</x:v>
      </x:c>
      <x:c r="R154" s="135"/>
      <x:c r="S154" s="158" t="str">
        <x:f>IFERROR(T(INDEX('Prospectos Resumen'!$K$9:$K$295,MATCH(A154,'Prospectos Resumen'!$A$9:$A$295,0))),"")</x:f>
      </x:c>
      <x:c r="T154" s="135"/>
      <x:c r="U154" s="135"/>
      <x:c r="V154" s="135"/>
      <x:c r="W154" s="135"/>
      <x:c r="X154" s="135" t="str">
        <x:v>tel:+543572466288</x:v>
      </x:c>
      <x:c r="Y154" s="135" t="str">
        <x:v>tel:+543572466288 | tel:+5493572408824</x:v>
      </x:c>
      <x:c r="Z154" s="135" t="str">
        <x:v>Validar nombre de responsable operativo.</x:v>
      </x:c>
      <x:c r="AA154" s="135" t="str">
        <x:v>https://www.google.com/maps/search/?api=1&amp;query=El+Triunfo+Oncativo+Oncativo+C%C3%B3rdoba+Argentina</x:v>
      </x:c>
      <x:c r="AB154" s="135" t="str">
        <x:v>Web propia El Triunfo</x:v>
      </x:c>
      <x:c r="AC154" s="135" t="str">
        <x:v>https://www.eltriunfo.com.ar/acopio</x:v>
      </x:c>
      <x:c r="AD154" s="135" t="str">
        <x:v>Sitio informa acopio, venta de fitosanitarios/fertilizantes/semillas y teléfono 03572-466288; equipo cereales publica celulares.</x:v>
      </x:c>
      <x:c r="AE154" s="135" t="str">
        <x:v>Alta</x:v>
      </x:c>
      <x:c r="AF154" s="135" t="str">
        <x:v>Nuevo enriquecimiento zonas priorizadas 2026-09</x:v>
      </x:c>
      <x:c r="AG154" s="135" t="str">
        <x:v>percha para pallets de insumos | hidrogrúa para equipos/mantenimiento | barquilla para trabajos en altura</x:v>
      </x:c>
      <x:c r="AH154" s="135" t="str">
        <x:v>cooperativa/acopio | planta agroindustrial</x:v>
      </x:c>
      <x:c r="AI154" s="135" t="str">
        <x:v>Sí</x:v>
      </x:c>
      <x:c r="AJ154" s="135" t="str">
        <x:v>Alta</x:v>
      </x:c>
      <x:c r="AK154" s="135" t="str">
        <x:v>Si se ofrece barquilla, validar condiciones de seguridad, seguro y habilitación de maniobra. Percha para pallets: útil para insumos, bolsones, repuestos y materiales palletizados.</x:v>
      </x:c>
      <x:c r="AL154" s="135" t="str">
        <x:v>Hermes único</x:v>
      </x:c>
      <x:c r="AM154" s="135" t="str">
        <x:v>Alta única desde base Hermes; no estaba en el Excel GPT adjunto. | ID fuente: PRESOL-131</x:v>
      </x:c>
    </x:row>
    <x:row r="155" ht="48">
      <x:c r="A155" s="136" t="str">
        <x:v>ONC-020</x:v>
      </x:c>
      <x:c r="B155" s="136" t="str">
        <x:v>Pendiente</x:v>
      </x:c>
      <x:c r="C155" s="136" t="str">
        <x:v>Oncativo / RN9-RP10</x:v>
      </x:c>
      <x:c r="D155" s="136" t="str">
        <x:v>Oncativo / piletas</x:v>
      </x:c>
      <x:c r="E155" s="136" t="str">
        <x:v>Oncativo</x:v>
      </x:c>
      <x:c r="F155" s="136" t="str">
        <x:v>B</x:v>
      </x:c>
      <x:c r="G155" s="136" t="n">
        <x:v>81</x:v>
      </x:c>
      <x:c r="H155" s="136" t="str">
        <x:v>IPC Oncativo / Piscinas IPC</x:v>
      </x:c>
      <x:c r="I155" s="136" t="str">
        <x:v>Piletas de fibra / piscinas PRFV</x:v>
      </x:c>
      <x:c r="J155" s="136" t="str">
        <x:v>PRFV y plásticos</x:v>
      </x:c>
      <x:c r="K155" s="136" t="str">
        <x:v>3572 53-2233</x:v>
      </x:c>
      <x:c r="L155" s="136" t="str">
        <x:v>Verificar</x:v>
      </x:c>
      <x:c r="M155" s="136" t="str">
        <x:v>ventas / logística</x:v>
      </x:c>
      <x:c r="N155" s="136" t="str">
        <x:v>Retiro, traslado y descarga de piletas/fibra o piezas voluminosas livianas, con cuidado de maniobra.</x:v>
      </x:c>
      <x:c r="O155" s="136" t="str">
        <x:v>Plataforma + hidrogrúa para trasladar y descargar piletas/piezas PRFV; coordinar maniobra sin golpes.</x:v>
      </x:c>
      <x:c r="P155" s="136" t="str">
        <x:v>Sucursal/venta de piletas de fibra; posibilidad de traslado y descarga de cascos en temporada.</x:v>
      </x:c>
      <x:c r="Q155" s="136" t="str">
        <x:v>Verificar teléfono y consultar si tercerizan entregas de piletas a clientes finales.</x:v>
      </x:c>
      <x:c r="R155" s="136"/>
      <x:c r="S155" s="158" t="str">
        <x:f>IFERROR(T(INDEX('Prospectos Resumen'!$K$9:$K$295,MATCH(A155,'Prospectos Resumen'!$A$9:$A$295,0))),"")</x:f>
      </x:c>
      <x:c r="T155" s="136"/>
      <x:c r="U155" s="136"/>
      <x:c r="V155" s="136"/>
      <x:c r="W155" s="136"/>
      <x:c r="X155" s="136" t="str">
        <x:v>tel:+543572532233</x:v>
      </x:c>
      <x:c r="Y155" s="136" t="str">
        <x:v>tel:+543572532233</x:v>
      </x:c>
      <x:c r="Z155" s="136" t="str">
        <x:v>Confirmar si es fabricante, sucursal o punto de venta.</x:v>
      </x:c>
      <x:c r="AA155" s="136" t="str">
        <x:v>https://www.google.com/maps/search/?api=1&amp;query=IPC+Oncativo+%2F+Piscinas+IPC+Oncativo+C%C3%B3rdoba+Argentina</x:v>
      </x:c>
      <x:c r="AB155" s="136" t="str">
        <x:v>Facebook público / resultado de búsqueda</x:v>
      </x:c>
      <x:c r="AC155" s="136" t="str">
        <x:v>https://www.facebook.com/siempre.util/posts/lleg%C3%B3-el-momento-de-tener-la-pileta-que-siempre-so%C3%B1aste-%EF%B8%8Fen-ipc-oncativo-te-lo-h/1716180416596562</x:v>
      </x:c>
      <x:c r="AD155" s="136" t="str">
        <x:v>Resultado público: IPC Oncativo, piletas de fibra; teléfono 3572 53-2233.</x:v>
      </x:c>
      <x:c r="AE155" s="136" t="str">
        <x:v>Media</x:v>
      </x:c>
      <x:c r="AF155" s="136" t="str">
        <x:v>Nuevo enriquecimiento zonas priorizadas 2026-09</x:v>
      </x:c>
      <x:c r="AG155" s="136" t="str">
        <x:v>plataforma para piletas/fibra | hidrogrúa para descarga/posicionamiento</x:v>
      </x:c>
      <x:c r="AH155" s="136" t="str">
        <x:v>piletas/plástico/PRFV</x:v>
      </x:c>
      <x:c r="AI155" s="136" t="str">
        <x:v>Sí</x:v>
      </x:c>
      <x:c r="AJ155" s="136" t="str">
        <x:v>Alta</x:v>
      </x:c>
      <x:c r="AK155" s="136"/>
      <x:c r="AL155" s="136" t="str">
        <x:v>Hermes único</x:v>
      </x:c>
      <x:c r="AM155" s="136" t="str">
        <x:v>Alta única desde base Hermes; no estaba en el Excel GPT adjunto. | ID fuente: PRESOL-133</x:v>
      </x:c>
    </x:row>
    <x:row r="156" ht="48">
      <x:c r="A156" s="135" t="str">
        <x:v>ONC-021</x:v>
      </x:c>
      <x:c r="B156" s="135" t="str">
        <x:v>Pendiente</x:v>
      </x:c>
      <x:c r="C156" s="135" t="str">
        <x:v>Oncativo / RN9-RP10</x:v>
      </x:c>
      <x:c r="D156" s="135" t="str">
        <x:v>Oncativo</x:v>
      </x:c>
      <x:c r="E156" s="135" t="str">
        <x:v>Oncativo</x:v>
      </x:c>
      <x:c r="F156" s="135" t="str">
        <x:v>B</x:v>
      </x:c>
      <x:c r="G156" s="135" t="n">
        <x:v>81</x:v>
      </x:c>
      <x:c r="H156" s="135" t="str">
        <x:v>Premoldeados Oncativo</x:v>
      </x:c>
      <x:c r="I156" s="135" t="str">
        <x:v>Premoldeados de hormigón / construcción</x:v>
      </x:c>
      <x:c r="J156" s="135" t="str">
        <x:v>Hormigón, áridos y materiales</x:v>
      </x:c>
      <x:c r="K156" s="135" t="str">
        <x:v>03572 466096</x:v>
      </x:c>
      <x:c r="L156" s="135" t="str">
        <x:v>Verificar</x:v>
      </x:c>
      <x:c r="M156" s="135" t="str">
        <x:v>planta / despacho</x:v>
      </x:c>
      <x:c r="N156" s="135" t="str">
        <x:v>Movimiento de áridos, premoldeados, equipos de planta/cantera, moldes, bolsones y materiales de obra.</x:v>
      </x:c>
      <x:c r="O156" s="135" t="str">
        <x:v>Transporte de áridos/materiales, premoldeados y equipos; hidrogrúa para carga/descarga y percha para pallets.</x:v>
      </x:c>
      <x:c r="P156" s="135" t="str">
        <x:v>Premoldeados de hormigón; encaje directo con plataforma, hidrogrúa, pallets y materiales de obra.</x:v>
      </x:c>
      <x:c r="Q156" s="135" t="str">
        <x:v>Verificar teléfono y preguntar por despachos de placas/piezas y necesidad de descarga en obra.</x:v>
      </x:c>
      <x:c r="R156" s="135"/>
      <x:c r="S156" s="158" t="str">
        <x:f>IFERROR(T(INDEX('Prospectos Resumen'!$K$9:$K$295,MATCH(A156,'Prospectos Resumen'!$A$9:$A$295,0))),"")</x:f>
      </x:c>
      <x:c r="T156" s="135"/>
      <x:c r="U156" s="135"/>
      <x:c r="V156" s="135"/>
      <x:c r="W156" s="135"/>
      <x:c r="X156" s="135" t="str">
        <x:v>tel:+543572466096</x:v>
      </x:c>
      <x:c r="Y156" s="135" t="str">
        <x:v>tel:+543572466096</x:v>
      </x:c>
      <x:c r="Z156" s="135" t="str">
        <x:v>Confirmar vigencia y domicilio Juan B. Justo 101.</x:v>
      </x:c>
      <x:c r="AA156" s="135" t="str">
        <x:v>https://www.google.com/maps/search/?api=1&amp;query=Premoldeados+Oncativo+Oncativo+C%C3%B3rdoba+Argentina</x:v>
      </x:c>
      <x:c r="AB156" s="135" t="str">
        <x:v>Portal Industrial / resultado de búsqueda</x:v>
      </x:c>
      <x:c r="AC156" s="135" t="str">
        <x:v>https://www.portal-industrial.com.ar/rubro/premoldeados-de-hormigon/P-061550/12</x:v>
      </x:c>
      <x:c r="AD156" s="135" t="str">
        <x:v>Resultado público: PREMOLDEADOS ONCATIVO, Juan B. Justo 101, Oncativo; tel. (03572) 46-6096.</x:v>
      </x:c>
      <x:c r="AE156" s="135" t="str">
        <x:v>Media</x:v>
      </x:c>
      <x:c r="AF156" s="135" t="str">
        <x:v>Nuevo enriquecimiento zonas priorizadas 2026-09</x:v>
      </x:c>
      <x:c r="AG156" s="135" t="str">
        <x:v>transporte de áridos/materiales | hidrogrúa para carga/descarga | percha para pallets/bolsones</x:v>
      </x:c>
      <x:c r="AH156" s="135" t="str">
        <x:v>áridos/construcción/premoldeados</x:v>
      </x:c>
      <x:c r="AI156" s="135" t="str">
        <x:v>Sí</x:v>
      </x:c>
      <x:c r="AJ156" s="135" t="str">
        <x:v>Alta</x:v>
      </x:c>
      <x:c r="AK156" s="135" t="str">
        <x:v>Para áridos, validar modalidad de carga/descarga y tipo de unidad requerida antes de cotizar.</x:v>
      </x:c>
      <x:c r="AL156" s="135" t="str">
        <x:v>Hermes único</x:v>
      </x:c>
      <x:c r="AM156" s="135" t="str">
        <x:v>Alta única desde base Hermes; no estaba en el Excel GPT adjunto. | ID fuente: PRESOL-132</x:v>
      </x:c>
    </x:row>
    <x:row r="157" ht="48">
      <x:c r="A157" s="136" t="str">
        <x:v>ONC-022</x:v>
      </x:c>
      <x:c r="B157" s="136" t="str">
        <x:v>Pendiente</x:v>
      </x:c>
      <x:c r="C157" s="136" t="str">
        <x:v>Oncativo / RN9-RP10</x:v>
      </x:c>
      <x:c r="D157" s="136" t="str">
        <x:v>Oncativo / servicios públicos</x:v>
      </x:c>
      <x:c r="E157" s="136" t="str">
        <x:v>Oncativo</x:v>
      </x:c>
      <x:c r="F157" s="136" t="str">
        <x:v>C</x:v>
      </x:c>
      <x:c r="G157" s="136" t="n">
        <x:v>65</x:v>
      </x:c>
      <x:c r="H157" s="136" t="str">
        <x:v>CESOPOL Oncativo</x:v>
      </x:c>
      <x:c r="I157" s="136" t="str">
        <x:v>Cooperativa eléctrica / servicios públicos / redes / agua</x:v>
      </x:c>
      <x:c r="J157" s="136" t="str">
        <x:v>Agro, acopio y cooperativas</x:v>
      </x:c>
      <x:c r="K157" s="136" t="str">
        <x:v>03572 455000 / +54 9 3572 593391</x:v>
      </x:c>
      <x:c r="L157" s="136" t="str">
        <x:v>OK</x:v>
      </x:c>
      <x:c r="M157" s="136" t="str">
        <x:v>mantenimiento / redes / compras</x:v>
      </x:c>
      <x:c r="N157" s="136" t="str">
        <x:v>Traslado de insumos, pallets, fertilizantes, repuestos pesados, silos/equipos y apoyo de mantenimiento en planta.</x:v>
      </x:c>
      <x:c r="O157" s="136" t="str">
        <x:v>Plataforma + percha pallets + hidrogrúa/barquilla para insumos, repuestos, silos/equipos y mantenimiento.</x:v>
      </x:c>
      <x:c r="P157" s="136" t="str">
        <x:v>Servicios públicos/redes: buen caso para barquilla de hidrogrúa, postes, bombas y mantenimiento.</x:v>
      </x:c>
      <x:c r="Q157" s="136" t="str">
        <x:v>Pedir por mantenimiento/redes y ofrecer barquilla/hidrogrúa según necesidad puntual.</x:v>
      </x:c>
      <x:c r="R157" s="136"/>
      <x:c r="S157" s="158" t="str">
        <x:f>IFERROR(T(INDEX('Prospectos Resumen'!$K$9:$K$295,MATCH(A157,'Prospectos Resumen'!$A$9:$A$295,0))),"")</x:f>
      </x:c>
      <x:c r="T157" s="136"/>
      <x:c r="U157" s="136"/>
      <x:c r="V157" s="136"/>
      <x:c r="W157" s="136"/>
      <x:c r="X157" s="136" t="str">
        <x:v>tel:+543572455000</x:v>
      </x:c>
      <x:c r="Y157" s="136" t="str">
        <x:v>tel:+543572455000 | tel:+5493572593391</x:v>
      </x:c>
      <x:c r="Z157" s="136" t="str">
        <x:v>Validar contratación de terceros y requisitos de seguridad/seguro.</x:v>
      </x:c>
      <x:c r="AA157" s="136" t="str">
        <x:v>https://www.google.com/maps/search/?api=1&amp;query=CESOPOL+Oncativo+Oncativo+C%C3%B3rdoba+Argentina</x:v>
      </x:c>
      <x:c r="AB157" s="136" t="str">
        <x:v>Web propia CESOPOL</x:v>
      </x:c>
      <x:c r="AC157" s="136" t="str">
        <x:v>https://www.oncativo.net.ar</x:v>
      </x:c>
      <x:c r="AD157" s="136" t="str">
        <x:v>Sitio propio: Berutti 152, Oncativo; atención 03572-455000; servicios electricidad, agua, internet, parque solar.</x:v>
      </x:c>
      <x:c r="AE157" s="136" t="str">
        <x:v>Alta</x:v>
      </x:c>
      <x:c r="AF157" s="136" t="str">
        <x:v>Nuevo enriquecimiento zonas priorizadas 2026-09</x:v>
      </x:c>
      <x:c r="AG157" s="136" t="str">
        <x:v>percha para pallets de insumos | hidrogrúa para equipos/mantenimiento | barquilla para trabajos en altura | barquilla de hidrogrúa para mantenimiento en altura | hidrogrúa para postes/equipos</x:v>
      </x:c>
      <x:c r="AH157" s="136" t="str">
        <x:v>cooperativa/acopio</x:v>
      </x:c>
      <x:c r="AI157" s="136" t="str">
        <x:v>Sí</x:v>
      </x:c>
      <x:c r="AJ157" s="136" t="str">
        <x:v>Media</x:v>
      </x:c>
      <x:c r="AK157" s="136" t="str">
        <x:v>Si se ofrece barquilla, validar condiciones de seguridad, seguro y habilitación de maniobra.</x:v>
      </x:c>
      <x:c r="AL157" s="136" t="str">
        <x:v>Hermes único</x:v>
      </x:c>
      <x:c r="AM157" s="136" t="str">
        <x:v>Alta única desde base Hermes; no estaba en el Excel GPT adjunto. | ID fuente: PRESOL-134</x:v>
      </x:c>
    </x:row>
    <x:row r="158" ht="84">
      <x:c r="A158" s="135" t="str">
        <x:v>AGI-001</x:v>
      </x:c>
      <x:c r="B158" s="135" t="str">
        <x:v>Pendiente</x:v>
      </x:c>
      <x:c r="C158" s="135" t="str">
        <x:v>Río Cuarto / RN36 sur</x:v>
      </x:c>
      <x:c r="D158" s="135" t="str">
        <x:v>Alcira Gigena</x:v>
      </x:c>
      <x:c r="E158" s="135" t="str">
        <x:v>Alcira Gigena</x:v>
      </x:c>
      <x:c r="F158" s="135" t="str">
        <x:v>A</x:v>
      </x:c>
      <x:c r="G158" s="135" t="n">
        <x:v>100</x:v>
      </x:c>
      <x:c r="H158" s="135" t="str">
        <x:v>Cotagro — Alcira Gigena</x:v>
      </x:c>
      <x:c r="I158" s="135" t="str">
        <x:v>Cooperativa agroindustrial / maní / acopio</x:v>
      </x:c>
      <x:c r="J158" s="135" t="str">
        <x:v>Agroindustria y alimentos</x:v>
      </x:c>
      <x:c r="K158" s="135" t="str">
        <x:v>358 4393127 / 358 4125695 / 0358 4933333</x:v>
      </x:c>
      <x:c r="L158" s="135" t="str">
        <x:v>OK</x:v>
      </x:c>
      <x:c r="M158" s="135" t="str">
        <x:v>operaciones / entregas</x:v>
      </x:c>
      <x:c r="N158" s="135" t="str">
        <x:v>Traslado de equipos de planta, silos, repuestos pesados, balanzas, implementos y cargas especiales.</x:v>
      </x:c>
      <x:c r="O158" s="135" t="str">
        <x:v>Entrega y descarga de módulos/containers con plataforma, malacate e hidrogrúa según maniobra.</x:v>
      </x:c>
      <x:c r="P158" s="135" t="str">
        <x:v>Cotagro concentra 4 puntos del corredor; pedir compras/logística.</x:v>
      </x:c>
      <x:c r="Q158" s="135" t="str">
        <x:v>Visita o llamada de validación; pedir próximo traslado concreto.</x:v>
      </x:c>
      <x:c r="R158" s="135"/>
      <x:c r="S158" s="158" t="str">
        <x:f>IFERROR(T(INDEX('Prospectos Resumen'!$K$9:$K$295,MATCH(A158,'Prospectos Resumen'!$A$9:$A$295,0))),"")</x:f>
      </x:c>
      <x:c r="T158" s="135"/>
      <x:c r="U158" s="135"/>
      <x:c r="V158" s="135"/>
      <x:c r="W158" s="135"/>
      <x:c r="X158" s="135" t="str">
        <x:v>tel:+543584393127</x:v>
      </x:c>
      <x:c r="Y158" s="135" t="str">
        <x:v>tel:+543584393127 | tel:+543584125695 | tel:+543584933333</x:v>
      </x:c>
      <x:c r="Z158" s="135" t="str">
        <x:v>Validar contacto decisor y necesidad inmediata.</x:v>
      </x:c>
      <x:c r="AA158" s="135" t="str">
        <x:v>https://www.google.com/maps/search/?api=1&amp;query=-32.755782,-64.339199</x:v>
      </x:c>
      <x:c r="AB158" s="135" t="str">
        <x:v>Facebook Cotagro / cotagroweb.com.ar</x:v>
      </x:c>
      <x:c r="AC158" s="135"/>
      <x:c r="AD158" s="135" t="str">
        <x:v>Registro curado en documento de dirección PRESOL 2026-09.</x:v>
      </x:c>
      <x:c r="AE158" s="135" t="str">
        <x:v>Alta</x:v>
      </x:c>
      <x:c r="AF158" s="135" t="str">
        <x:v>Base curada PDF dirección</x:v>
      </x:c>
      <x:c r="AG158" s="135" t="str">
        <x:v>transporte de áridos/materiales | hidrogrúa para carga/descarga | percha para pallets/bolsones | plataforma 20 tn para maquinaria/piezas | hidrogrúa para maniobras | percha para pallets | percha para pallets de insumos | hidrogrúa para equipos/mantenimiento | barquilla para trabajos en altura</x:v>
      </x:c>
      <x:c r="AH158" s="135" t="str">
        <x:v>cooperativa/acopio</x:v>
      </x:c>
      <x:c r="AI158" s="135"/>
      <x:c r="AJ158" s="135" t="str">
        <x:v>Muy alta</x:v>
      </x:c>
      <x:c r="AK158" s="135" t="str">
        <x:v>Barquilla: validar seguridad, seguro, permiso de trabajo y alcance de maniobra antes de cotizar. Percha pallets: útil para insumos, bolsones, repuestos y materiales palletizados.</x:v>
      </x:c>
      <x:c r="AL158" s="135" t="str">
        <x:v>GPT adjunto + Hermes</x:v>
      </x:c>
      <x:c r="AM158" s="135" t="str">
        <x:v>Fusionado con base Hermes para completar teléfonos/fuentes/servicios. | ID fuente: ALG-001</x:v>
      </x:c>
    </x:row>
    <x:row r="159" ht="48">
      <x:c r="A159" s="136" t="str">
        <x:v>AGI-004</x:v>
      </x:c>
      <x:c r="B159" s="136" t="str">
        <x:v>Pendiente</x:v>
      </x:c>
      <x:c r="C159" s="136" t="str">
        <x:v>Río Cuarto / RN36 sur</x:v>
      </x:c>
      <x:c r="D159" s="136" t="str">
        <x:v>Alcira Gigena</x:v>
      </x:c>
      <x:c r="E159" s="136" t="str">
        <x:v>Alcira Gigena</x:v>
      </x:c>
      <x:c r="F159" s="136" t="str">
        <x:v>A</x:v>
      </x:c>
      <x:c r="G159" s="136" t="n">
        <x:v>92</x:v>
      </x:c>
      <x:c r="H159" s="136" t="str">
        <x:v>Tecno Mac S.R.L.</x:v>
      </x:c>
      <x:c r="I159" s="136" t="str">
        <x:v>Concesionario / maquinaria agrícola, tractores e implementos</x:v>
      </x:c>
      <x:c r="J159" s="136" t="str">
        <x:v>Maquinaria agrícola</x:v>
      </x:c>
      <x:c r="K159" s="136" t="str">
        <x:v>+54 9 358 4960187</x:v>
      </x:c>
      <x:c r="L159" s="136" t="str">
        <x:v>OK</x:v>
      </x:c>
      <x:c r="M159" s="136" t="str">
        <x:v>logística / ventas / postventa</x:v>
      </x:c>
      <x:c r="N159" s="136" t="str">
        <x:v>Entrega y retiro de tractores, cosechadoras, pulverizadoras, sembradoras e implementos; movimientos por venta, service, canje, demostraciones o ferias.</x:v>
      </x:c>
      <x:c r="O159" s="136" t="str">
        <x:v>Plataforma 20 tn para maquinaria agrícola + malacate/hidrogrúa según maniobra + seguro de carga + trazabilidad GPS.</x:v>
      </x:c>
      <x:c r="P159" s="136" t="str">
        <x:v>Ofrecer transporte tercerizado para entregas a clientes y retiros de usados/service, especialmente en picos de campaña y operaciones fuera de zona.</x:v>
      </x:c>
      <x:c r="Q159" s="136" t="str">
        <x:v>Llamada comercial prioritaria; pedir por logística/ventas/postventa y consultar próximo equipo a trasladar.</x:v>
      </x:c>
      <x:c r="R159" s="136"/>
      <x:c r="S159" s="158" t="str">
        <x:f>IFERROR(T(INDEX('Prospectos Resumen'!$K$9:$K$295,MATCH(A159,'Prospectos Resumen'!$A$9:$A$295,0))),"")</x:f>
      </x:c>
      <x:c r="T159" s="136"/>
      <x:c r="U159" s="136"/>
      <x:c r="V159" s="136"/>
      <x:c r="W159" s="136"/>
      <x:c r="X159" s="136" t="str">
        <x:v>tel:+5493584960187</x:v>
      </x:c>
      <x:c r="Y159" s="136" t="str">
        <x:v>tel:+5493584960187</x:v>
      </x:c>
      <x:c r="Z159" s="136" t="str">
        <x:v>Confirmar decisor y frecuencia de traslados.</x:v>
      </x:c>
      <x:c r="AA159" s="136" t="str">
        <x:v>https://www.google.com/maps/search/?api=1&amp;query=Tecno+Mac+S.R.L.+Alcira+Gigena+C%C3%B3rdoba+Argentina</x:v>
      </x:c>
      <x:c r="AB159" s="136" t="str">
        <x:v>Web oficial Tecno Mac</x:v>
      </x:c>
      <x:c r="AC159" s="136" t="str">
        <x:v>https://tecnomacsrl.com/</x:v>
      </x:c>
      <x:c r="AD159" s="136" t="str">
        <x:v>Concesionario en Alcira Gigena con líneas de tractores, sembradoras, pulverizadoras e implementos.</x:v>
      </x:c>
      <x:c r="AE159" s="136" t="str">
        <x:v>Alta</x:v>
      </x:c>
      <x:c r="AF159" s="136" t="str">
        <x:v>Rastrillaje agro-maquinaria web 2026-09-07</x:v>
      </x:c>
      <x:c r="AG159" s="136" t="str">
        <x:v>plataforma 20 tn para maquinaria/implementos | hidrogrúa para maniobras | malacate | seguro de carga | trazabilidad GPS</x:v>
      </x:c>
      <x:c r="AH159" s="136" t="str">
        <x:v>fabricante/concesionario/servicio maquinaria agrícola</x:v>
      </x:c>
      <x:c r="AI159" s="136" t="str">
        <x:v>Sí</x:v>
      </x:c>
      <x:c r="AJ159" s="136" t="str">
        <x:v>Muy alta</x:v>
      </x:c>
      <x:c r="AK159" s="136" t="str">
        <x:v>Perfil específico maquinaria agrícola: validar pesos/dimensiones, tipo de carga y disponibilidad de medios de izaje antes de cotizar.</x:v>
      </x:c>
      <x:c r="AL159" s="136" t="str">
        <x:v>Rastrillaje agro-maquinaria 2026-09-07</x:v>
      </x:c>
      <x:c r="AM159" s="136" t="str">
        <x:v>Alta nueva luego de barrido específico de fabricantes, implementos, tractores, concesionarios y agropartes; cruzada contra la base maestra para evitar duplicados.</x:v>
      </x:c>
    </x:row>
    <x:row r="160" ht="48">
      <x:c r="A160" s="135" t="str">
        <x:v>AGI-005</x:v>
      </x:c>
      <x:c r="B160" s="135" t="str">
        <x:v>Pendiente</x:v>
      </x:c>
      <x:c r="C160" s="135" t="str">
        <x:v>Río Cuarto / RN36 sur</x:v>
      </x:c>
      <x:c r="D160" s="135" t="str">
        <x:v>Alcira Gigena</x:v>
      </x:c>
      <x:c r="E160" s="135" t="str">
        <x:v>Alcira Gigena</x:v>
      </x:c>
      <x:c r="F160" s="135" t="str">
        <x:v>A</x:v>
      </x:c>
      <x:c r="G160" s="135" t="n">
        <x:v>82</x:v>
      </x:c>
      <x:c r="H160" s="135" t="str">
        <x:v>M y G Maquinarias S.R.L.</x:v>
      </x:c>
      <x:c r="I160" s="135" t="str">
        <x:v>Venta de maquinaria agrícola e implementos</x:v>
      </x:c>
      <x:c r="J160" s="135" t="str">
        <x:v>Maquinaria agrícola</x:v>
      </x:c>
      <x:c r="K160" s="135" t="str">
        <x:v>+54 9 3584 255555</x:v>
      </x:c>
      <x:c r="L160" s="135" t="str">
        <x:v>OK</x:v>
      </x:c>
      <x:c r="M160" s="135" t="str">
        <x:v>logística / ventas / postventa</x:v>
      </x:c>
      <x:c r="N160" s="135" t="str">
        <x:v>Entrega y retiro de tractores, cosechadoras, pulverizadoras, sembradoras e implementos; movimientos por venta, service, canje, demostraciones o ferias.</x:v>
      </x:c>
      <x:c r="O160" s="135" t="str">
        <x:v>Plataforma 20 tn para maquinaria agrícola + malacate/hidrogrúa según maniobra + seguro de carga + trazabilidad GPS.</x:v>
      </x:c>
      <x:c r="P160" s="135" t="str">
        <x:v>Ofrecer transporte tercerizado para entregas a clientes y retiros de usados/service, especialmente en picos de campaña y operaciones fuera de zona.</x:v>
      </x:c>
      <x:c r="Q160" s="135" t="str">
        <x:v>Llamada comercial prioritaria; pedir por logística/ventas/postventa y consultar próximo equipo a trasladar.</x:v>
      </x:c>
      <x:c r="R160" s="135"/>
      <x:c r="S160" s="158" t="str">
        <x:f>IFERROR(T(INDEX('Prospectos Resumen'!$K$9:$K$295,MATCH(A160,'Prospectos Resumen'!$A$9:$A$295,0))),"")</x:f>
      </x:c>
      <x:c r="T160" s="135"/>
      <x:c r="U160" s="135"/>
      <x:c r="V160" s="135"/>
      <x:c r="W160" s="135"/>
      <x:c r="X160" s="135" t="str">
        <x:v>tel:+5493584255555</x:v>
      </x:c>
      <x:c r="Y160" s="135" t="str">
        <x:v>tel:+5493584255555</x:v>
      </x:c>
      <x:c r="Z160" s="135" t="str">
        <x:v>Confirmar decisor y frecuencia de traslados.</x:v>
      </x:c>
      <x:c r="AA160" s="135" t="str">
        <x:v>https://www.google.com/maps/search/?api=1&amp;query=M+y+G+Maquinarias+S.R.L.+Alcira+Gigena+C%C3%B3rdoba+Argentina</x:v>
      </x:c>
      <x:c r="AB160" s="135" t="str">
        <x:v>Red de concesionarios / ficha comercial</x:v>
      </x:c>
      <x:c r="AC160" s="135" t="str">
        <x:v>https://www.google.com/maps/search/?api=1&amp;query=M+y+G+Maquinarias+Alcira+Gigena+C%C3%B3rdoba+Argentina</x:v>
      </x:c>
      <x:c r="AD160" s="135" t="str">
        <x:v>Punto de maquinaria agrícola en rotonda E90/RN36; perfil de venta de equipos e implementos.</x:v>
      </x:c>
      <x:c r="AE160" s="135" t="str">
        <x:v>Media</x:v>
      </x:c>
      <x:c r="AF160" s="135" t="str">
        <x:v>Rastrillaje agro-maquinaria web 2026-09-07</x:v>
      </x:c>
      <x:c r="AG160" s="135" t="str">
        <x:v>plataforma 20 tn para maquinaria/implementos | hidrogrúa para maniobras | malacate | seguro de carga | trazabilidad GPS</x:v>
      </x:c>
      <x:c r="AH160" s="135" t="str">
        <x:v>fabricante/concesionario/servicio maquinaria agrícola</x:v>
      </x:c>
      <x:c r="AI160" s="135" t="str">
        <x:v>Sí</x:v>
      </x:c>
      <x:c r="AJ160" s="135" t="str">
        <x:v>Alta</x:v>
      </x:c>
      <x:c r="AK160" s="135" t="str">
        <x:v>Perfil específico maquinaria agrícola: validar pesos/dimensiones, tipo de carga y disponibilidad de medios de izaje antes de cotizar.</x:v>
      </x:c>
      <x:c r="AL160" s="135" t="str">
        <x:v>Rastrillaje agro-maquinaria 2026-09-07</x:v>
      </x:c>
      <x:c r="AM160" s="135" t="str">
        <x:v>Alta nueva luego de barrido específico de fabricantes, implementos, tractores, concesionarios y agropartes; cruzada contra la base maestra para evitar duplicados.</x:v>
      </x:c>
    </x:row>
    <x:row r="161" ht="48">
      <x:c r="A161" s="136" t="str">
        <x:v>AGI-002</x:v>
      </x:c>
      <x:c r="B161" s="136" t="str">
        <x:v>Pendiente</x:v>
      </x:c>
      <x:c r="C161" s="136" t="str">
        <x:v>Río Cuarto / RN36 sur</x:v>
      </x:c>
      <x:c r="D161" s="136" t="str">
        <x:v>Alcira Gigena</x:v>
      </x:c>
      <x:c r="E161" s="136" t="str">
        <x:v>Alcira Gigena</x:v>
      </x:c>
      <x:c r="F161" s="136" t="str">
        <x:v>B</x:v>
      </x:c>
      <x:c r="G161" s="136" t="n">
        <x:v>75</x:v>
      </x:c>
      <x:c r="H161" s="136" t="str">
        <x:v>Cooperativa Alba de Gigena</x:v>
      </x:c>
      <x:c r="I161" s="136" t="str">
        <x:v>Cooperativa agropecuaria</x:v>
      </x:c>
      <x:c r="J161" s="136" t="str">
        <x:v>Agro, acopio y cooperativas</x:v>
      </x:c>
      <x:c r="K161" s="136" t="str">
        <x:v>0358 4960151</x:v>
      </x:c>
      <x:c r="L161" s="136" t="str">
        <x:v>OK</x:v>
      </x:c>
      <x:c r="M161" s="136" t="str">
        <x:v>responsable de acopio / mantenimiento</x:v>
      </x:c>
      <x:c r="N161" s="136" t="str">
        <x:v>Traslado de equipos de planta, silos, repuestos pesados, balanzas, implementos y cargas especiales.</x:v>
      </x:c>
      <x:c r="O161" s="136" t="str">
        <x:v>Movimiento de equipos de planta, silos, balanzas, repuestos y cargas especiales para acopios/agroindustria.</x:v>
      </x:c>
      <x:c r="P161" s="136" t="str">
        <x:v>Visita de diagnóstico; posible derivación a productores.</x:v>
      </x:c>
      <x:c r="Q161" s="136" t="str">
        <x:v>Visita o llamada de validación; pedir próximo traslado concreto.</x:v>
      </x:c>
      <x:c r="R161" s="136"/>
      <x:c r="S161" s="158" t="str">
        <x:f>IFERROR(T(INDEX('Prospectos Resumen'!$K$9:$K$295,MATCH(A161,'Prospectos Resumen'!$A$9:$A$295,0))),"")</x:f>
      </x:c>
      <x:c r="T161" s="136"/>
      <x:c r="U161" s="136"/>
      <x:c r="V161" s="136"/>
      <x:c r="W161" s="136"/>
      <x:c r="X161" s="136" t="str">
        <x:v>tel:+543584960151</x:v>
      </x:c>
      <x:c r="Y161" s="136" t="str">
        <x:v>tel:+543584960151</x:v>
      </x:c>
      <x:c r="Z161" s="136" t="str">
        <x:v>Validar contacto decisor y necesidad inmediata.</x:v>
      </x:c>
      <x:c r="AA161" s="136" t="str">
        <x:v>https://www.google.com/maps/search/?api=1&amp;query=-32.757500,-64.335000</x:v>
      </x:c>
      <x:c r="AB161" s="136" t="str">
        <x:v>DNB / fuentes públicas</x:v>
      </x:c>
      <x:c r="AC161" s="136"/>
      <x:c r="AD161" s="136" t="str">
        <x:v>Registro curado en documento de dirección PRESOL 2026-09.</x:v>
      </x:c>
      <x:c r="AE161" s="136" t="str">
        <x:v>Alta</x:v>
      </x:c>
      <x:c r="AF161" s="136" t="str">
        <x:v>Base curada PDF dirección</x:v>
      </x:c>
      <x:c r="AG161" s="136" t="str">
        <x:v>plataforma 20 tn para maquinaria/piezas | hidrogrúa para maniobras | percha para pallets | percha para pallets de insumos | hidrogrúa para equipos/mantenimiento | barquilla para trabajos en altura</x:v>
      </x:c>
      <x:c r="AH161" s="136" t="str">
        <x:v>cooperativa/acopio</x:v>
      </x:c>
      <x:c r="AI161" s="136"/>
      <x:c r="AJ161" s="136" t="str">
        <x:v>Alta</x:v>
      </x:c>
      <x:c r="AK161" s="136" t="str">
        <x:v>Barquilla: validar seguridad, seguro, permiso de trabajo y alcance de maniobra antes de cotizar. Percha pallets: útil para insumos, bolsones, repuestos y materiales palletizados.</x:v>
      </x:c>
      <x:c r="AL161" s="136" t="str">
        <x:v>GPT adjunto + Hermes</x:v>
      </x:c>
      <x:c r="AM161" s="136" t="str">
        <x:v>Fusionado con base Hermes para completar teléfonos/fuentes/servicios. | ID fuente: ALG-002</x:v>
      </x:c>
    </x:row>
    <x:row r="162" ht="48">
      <x:c r="A162" s="135" t="str">
        <x:v>AGI-006</x:v>
      </x:c>
      <x:c r="B162" s="135" t="str">
        <x:v>Pendiente</x:v>
      </x:c>
      <x:c r="C162" s="135" t="str">
        <x:v>Río Cuarto / RN36 sur</x:v>
      </x:c>
      <x:c r="D162" s="135" t="str">
        <x:v>Alcira Gigena</x:v>
      </x:c>
      <x:c r="E162" s="135" t="str">
        <x:v>Alcira Gigena</x:v>
      </x:c>
      <x:c r="F162" s="135" t="str">
        <x:v>B</x:v>
      </x:c>
      <x:c r="G162" s="135" t="n">
        <x:v>74</x:v>
      </x:c>
      <x:c r="H162" s="135" t="str">
        <x:v>Daniotti Maquinarias</x:v>
      </x:c>
      <x:c r="I162" s="135" t="str">
        <x:v>Venta mayorista de maquinaria agrícola / implementos</x:v>
      </x:c>
      <x:c r="J162" s="135" t="str">
        <x:v>Maquinaria agrícola</x:v>
      </x:c>
      <x:c r="K162" s="135" t="str">
        <x:v>0358 4960939</x:v>
      </x:c>
      <x:c r="L162" s="135" t="str">
        <x:v>Verificar</x:v>
      </x:c>
      <x:c r="M162" s="135" t="str">
        <x:v>logística / ventas / postventa</x:v>
      </x:c>
      <x:c r="N162" s="135" t="str">
        <x:v>Entrega y retiro de tractores, cosechadoras, pulverizadoras, sembradoras e implementos; movimientos por venta, service, canje, demostraciones o ferias.</x:v>
      </x:c>
      <x:c r="O162" s="135" t="str">
        <x:v>Plataforma 20 tn para maquinaria agrícola + malacate/hidrogrúa según maniobra + seguro de carga + trazabilidad GPS.</x:v>
      </x:c>
      <x:c r="P162" s="135" t="str">
        <x:v>Ofrecer transporte tercerizado para entregas a clientes y retiros de usados/service, especialmente en picos de campaña y operaciones fuera de zona.</x:v>
      </x:c>
      <x:c r="Q162" s="135" t="str">
        <x:v>Validar contacto y volumen de movimientos; si hay encaje, pedir un traslado concreto para cotizar.</x:v>
      </x:c>
      <x:c r="R162" s="135"/>
      <x:c r="S162" s="158" t="str">
        <x:f>IFERROR(T(INDEX('Prospectos Resumen'!$K$9:$K$295,MATCH(A162,'Prospectos Resumen'!$A$9:$A$295,0))),"")</x:f>
      </x:c>
      <x:c r="T162" s="135"/>
      <x:c r="U162" s="135"/>
      <x:c r="V162" s="135"/>
      <x:c r="W162" s="135"/>
      <x:c r="X162" s="135" t="str">
        <x:v>tel:+543584960939</x:v>
      </x:c>
      <x:c r="Y162" s="135" t="str">
        <x:v>tel:+543584960939</x:v>
      </x:c>
      <x:c r="Z162" s="135" t="str">
        <x:v>Confirmar teléfono, decisor y vigencia del punto de venta.</x:v>
      </x:c>
      <x:c r="AA162" s="135" t="str">
        <x:v>https://www.google.com/maps/search/?api=1&amp;query=Daniotti+Maquinarias+Alcira+Gigena+C%C3%B3rdoba+Argentina</x:v>
      </x:c>
      <x:c r="AB162" s="135" t="str">
        <x:v>Red de concesionarios Conese</x:v>
      </x:c>
      <x:c r="AC162" s="135" t="str">
        <x:v>https://conese.com.ar/</x:v>
      </x:c>
      <x:c r="AD162" s="135" t="str">
        <x:v>Comercio de maquinaria agrícola en Alcira Gigena; validar contacto actual.</x:v>
      </x:c>
      <x:c r="AE162" s="135" t="str">
        <x:v>Media</x:v>
      </x:c>
      <x:c r="AF162" s="135" t="str">
        <x:v>Rastrillaje agro-maquinaria web 2026-09-07</x:v>
      </x:c>
      <x:c r="AG162" s="135" t="str">
        <x:v>plataforma 20 tn para maquinaria/implementos | hidrogrúa para maniobras | malacate | seguro de carga | trazabilidad GPS</x:v>
      </x:c>
      <x:c r="AH162" s="135" t="str">
        <x:v>fabricante/concesionario/servicio maquinaria agrícola</x:v>
      </x:c>
      <x:c r="AI162" s="135" t="str">
        <x:v>Sí</x:v>
      </x:c>
      <x:c r="AJ162" s="135" t="str">
        <x:v>Media</x:v>
      </x:c>
      <x:c r="AK162" s="135" t="str">
        <x:v>Perfil específico maquinaria agrícola: validar pesos/dimensiones, tipo de carga y disponibilidad de medios de izaje antes de cotizar.</x:v>
      </x:c>
      <x:c r="AL162" s="135" t="str">
        <x:v>Rastrillaje agro-maquinaria 2026-09-07</x:v>
      </x:c>
      <x:c r="AM162" s="135" t="str">
        <x:v>Alta nueva luego de barrido específico de fabricantes, implementos, tractores, concesionarios y agropartes; cruzada contra la base maestra para evitar duplicados.</x:v>
      </x:c>
    </x:row>
    <x:row r="163" ht="48">
      <x:c r="A163" s="136" t="str">
        <x:v>AGI-003</x:v>
      </x:c>
      <x:c r="B163" s="136" t="str">
        <x:v>Pendiente</x:v>
      </x:c>
      <x:c r="C163" s="136" t="str">
        <x:v>Río Cuarto / RN36 sur</x:v>
      </x:c>
      <x:c r="D163" s="136" t="str">
        <x:v>Alcira Gigena</x:v>
      </x:c>
      <x:c r="E163" s="136" t="str">
        <x:v>Alcira Gigena</x:v>
      </x:c>
      <x:c r="F163" s="136" t="str">
        <x:v>C</x:v>
      </x:c>
      <x:c r="G163" s="136" t="n">
        <x:v>30</x:v>
      </x:c>
      <x:c r="H163" s="136" t="str">
        <x:v>3C Biogás S.A.</x:v>
      </x:c>
      <x:c r="I163" s="136" t="str">
        <x:v>Energía / biogás</x:v>
      </x:c>
      <x:c r="J163" s="136" t="str">
        <x:v>Industria y mantenimiento</x:v>
      </x:c>
      <x:c r="K163" s="136" t="str">
        <x:v>A relevar</x:v>
      </x:c>
      <x:c r="L163" s="136" t="str">
        <x:v>A relevar</x:v>
      </x:c>
      <x:c r="M163" s="136" t="str">
        <x:v>despacho / producción</x:v>
      </x:c>
      <x:c r="N163" s="136" t="str">
        <x:v>Movimientos especiales de mantenimiento, repuestos pesados y mudanzas internas de equipos.</x:v>
      </x:c>
      <x:c r="O163" s="136" t="str">
        <x:v>Despacho de estructuras, tanques, transformadores, piezas de ingeniería y equipos sobre plataforma 20 tn.</x:v>
      </x:c>
      <x:c r="P163" s="136" t="str">
        <x:v>Prospecto técnico; validar contacto local en terreno.</x:v>
      </x:c>
      <x:c r="Q163" s="136" t="str">
        <x:v>Visita o llamada de validación; pedir próximo traslado concreto.</x:v>
      </x:c>
      <x:c r="R163" s="136"/>
      <x:c r="S163" s="158" t="str">
        <x:f>IFERROR(T(INDEX('Prospectos Resumen'!$K$9:$K$295,MATCH(A163,'Prospectos Resumen'!$A$9:$A$295,0))),"")</x:f>
      </x:c>
      <x:c r="T163" s="136"/>
      <x:c r="U163" s="136"/>
      <x:c r="V163" s="136"/>
      <x:c r="W163" s="136"/>
      <x:c r="X163" s="136"/>
      <x:c r="Y163" s="136"/>
      <x:c r="Z163" s="136" t="str">
        <x:v>Validar contacto decisor y necesidad inmediata.</x:v>
      </x:c>
      <x:c r="AA163" s="136" t="str">
        <x:v>https://www.google.com/maps/search/?api=1&amp;query=-32.757000,-64.332000</x:v>
      </x:c>
      <x:c r="AB163" s="136" t="str">
        <x:v>UNRC / investigación web</x:v>
      </x:c>
      <x:c r="AC163" s="136"/>
      <x:c r="AD163" s="136" t="str">
        <x:v>Registro curado en documento de dirección PRESOL 2026-09.</x:v>
      </x:c>
      <x:c r="AE163" s="136" t="str">
        <x:v>Media</x:v>
      </x:c>
      <x:c r="AF163" s="136" t="str">
        <x:v>Base curada PDF dirección</x:v>
      </x:c>
      <x:c r="AG163" s="136" t="str">
        <x:v>plataforma 20 tn para maquinaria/piezas | hidrogrúa para maniobras | percha para pallets</x:v>
      </x:c>
      <x:c r="AH163" s="136" t="str">
        <x:v>otro rubro factible</x:v>
      </x:c>
      <x:c r="AI163" s="136"/>
      <x:c r="AJ163" s="136" t="str">
        <x:v>Baja / visitar solo por cercanía</x:v>
      </x:c>
      <x:c r="AK163" s="136"/>
      <x:c r="AL163" s="136" t="str">
        <x:v>GPT adjunto + Hermes</x:v>
      </x:c>
      <x:c r="AM163" s="136" t="str">
        <x:v>Fusionado con base Hermes para completar teléfonos/fuentes/servicios. | ID fuente: ALG-003</x:v>
      </x:c>
    </x:row>
    <x:row r="164" ht="60">
      <x:c r="A164" s="135" t="str">
        <x:v>BER-003</x:v>
      </x:c>
      <x:c r="B164" s="135" t="str">
        <x:v>Pendiente</x:v>
      </x:c>
      <x:c r="C164" s="135" t="str">
        <x:v>Río Cuarto / RN36 sur</x:v>
      </x:c>
      <x:c r="D164" s="135" t="str">
        <x:v>Berrotarán</x:v>
      </x:c>
      <x:c r="E164" s="135" t="str">
        <x:v>Berrotarán</x:v>
      </x:c>
      <x:c r="F164" s="135" t="str">
        <x:v>A</x:v>
      </x:c>
      <x:c r="G164" s="135" t="n">
        <x:v>85</x:v>
      </x:c>
      <x:c r="H164" s="135" t="str">
        <x:v>Nicola Hnos.</x:v>
      </x:c>
      <x:c r="I164" s="135" t="str">
        <x:v>Concesionario Pauny / venta de tractores y maquinaria agrícola</x:v>
      </x:c>
      <x:c r="J164" s="135" t="str">
        <x:v>Maquinaria agrícola</x:v>
      </x:c>
      <x:c r="K164" s="135" t="str">
        <x:v>0358 4940580 / 0358 4942582</x:v>
      </x:c>
      <x:c r="L164" s="135" t="str">
        <x:v>OK</x:v>
      </x:c>
      <x:c r="M164" s="135" t="str">
        <x:v>logística / ventas / postventa</x:v>
      </x:c>
      <x:c r="N164" s="135" t="str">
        <x:v>Entrega y retiro de tractores, cosechadoras, pulverizadoras, sembradoras e implementos; movimientos por venta, service, canje, demostraciones o ferias.</x:v>
      </x:c>
      <x:c r="O164" s="135" t="str">
        <x:v>Plataforma 20 tn para maquinaria agrícola + malacate/hidrogrúa según maniobra + seguro de carga + trazabilidad GPS.</x:v>
      </x:c>
      <x:c r="P164" s="135" t="str">
        <x:v>Ofrecer transporte tercerizado para entregas a clientes y retiros de usados/service, especialmente en picos de campaña y operaciones fuera de zona.</x:v>
      </x:c>
      <x:c r="Q164" s="135" t="str">
        <x:v>Llamada comercial prioritaria; pedir por logística/ventas/postventa y consultar próximo equipo a trasladar.</x:v>
      </x:c>
      <x:c r="R164" s="135"/>
      <x:c r="S164" s="158" t="str">
        <x:f>IFERROR(T(INDEX('Prospectos Resumen'!$K$9:$K$295,MATCH(A164,'Prospectos Resumen'!$A$9:$A$295,0))),"")</x:f>
      </x:c>
      <x:c r="T164" s="135"/>
      <x:c r="U164" s="135"/>
      <x:c r="V164" s="135"/>
      <x:c r="W164" s="135"/>
      <x:c r="X164" s="135" t="str">
        <x:v>tel:+543584940580</x:v>
      </x:c>
      <x:c r="Y164" s="135" t="str">
        <x:v>tel:+543584940580</x:v>
      </x:c>
      <x:c r="Z164" s="135" t="str">
        <x:v>Confirmar decisor y frecuencia de traslados.</x:v>
      </x:c>
      <x:c r="AA164" s="135" t="str">
        <x:v>https://www.google.com/maps/search/?api=1&amp;query=Nicola+Hnos.+Berrotar%C3%A1n+C%C3%B3rdoba+Argentina</x:v>
      </x:c>
      <x:c r="AB164" s="135" t="str">
        <x:v>Web oficial Nicola Hnos.</x:v>
      </x:c>
      <x:c r="AC164" s="135" t="str">
        <x:v>https://www.nicolahnos.com.ar/</x:v>
      </x:c>
      <x:c r="AD164" s="135" t="str">
        <x:v>Concesionario de maquinaria y tractores en Berrotarán; también presta logística propia, por lo que PRESOL puede entrar como respaldo de picos.</x:v>
      </x:c>
      <x:c r="AE164" s="135" t="str">
        <x:v>Alta</x:v>
      </x:c>
      <x:c r="AF164" s="135" t="str">
        <x:v>Rastrillaje agro-maquinaria web 2026-09-07</x:v>
      </x:c>
      <x:c r="AG164" s="135" t="str">
        <x:v>plataforma 20 tn para maquinaria/implementos | hidrogrúa para maniobras | malacate | seguro de carga | trazabilidad GPS</x:v>
      </x:c>
      <x:c r="AH164" s="135" t="str">
        <x:v>fabricante/concesionario/servicio maquinaria agrícola</x:v>
      </x:c>
      <x:c r="AI164" s="135" t="str">
        <x:v>Sí</x:v>
      </x:c>
      <x:c r="AJ164" s="135" t="str">
        <x:v>Alta</x:v>
      </x:c>
      <x:c r="AK164" s="135" t="str">
        <x:v>Perfil específico maquinaria agrícola: validar pesos/dimensiones, tipo de carga y disponibilidad de medios de izaje antes de cotizar.</x:v>
      </x:c>
      <x:c r="AL164" s="135" t="str">
        <x:v>Rastrillaje agro-maquinaria 2026-09-07</x:v>
      </x:c>
      <x:c r="AM164" s="135" t="str">
        <x:v>Alta nueva luego de barrido específico de fabricantes, implementos, tractores, concesionarios y agropartes; cruzada contra la base maestra para evitar duplicados.</x:v>
      </x:c>
    </x:row>
    <x:row r="165" ht="48">
      <x:c r="A165" s="136" t="str">
        <x:v>BER-001</x:v>
      </x:c>
      <x:c r="B165" s="136" t="str">
        <x:v>Pendiente</x:v>
      </x:c>
      <x:c r="C165" s="136" t="str">
        <x:v>Río Cuarto / RN36 sur</x:v>
      </x:c>
      <x:c r="D165" s="136" t="str">
        <x:v>Berrotarán</x:v>
      </x:c>
      <x:c r="E165" s="136" t="str">
        <x:v>Berrotarán</x:v>
      </x:c>
      <x:c r="F165" s="136" t="str">
        <x:v>B</x:v>
      </x:c>
      <x:c r="G165" s="136" t="n">
        <x:v>75</x:v>
      </x:c>
      <x:c r="H165" s="136" t="str">
        <x:v>Doble A Servicios Metalúrgicos</x:v>
      </x:c>
      <x:c r="I165" s="136" t="str">
        <x:v>Zinguería / estructuras metálicas</x:v>
      </x:c>
      <x:c r="J165" s="136" t="str">
        <x:v>Metalúrgica y fabricación</x:v>
      </x:c>
      <x:c r="K165" s="136" t="str">
        <x:v>358 4185826</x:v>
      </x:c>
      <x:c r="L165" s="136" t="str">
        <x:v>OK</x:v>
      </x:c>
      <x:c r="M165" s="136" t="str">
        <x:v>despacho / producción</x:v>
      </x:c>
      <x:c r="N165" s="136" t="str">
        <x:v>Despacho seguro de estructuras, carrozados, tanques, piezas industriales y equipos sobre plataforma.</x:v>
      </x:c>
      <x:c r="O165" s="136" t="str">
        <x:v>Despacho de estructuras, tanques, transformadores, piezas de ingeniería y equipos sobre plataforma 20 tn.</x:v>
      </x:c>
      <x:c r="P165" s="136" t="str">
        <x:v>Visitar y detectar obras/instalaciones próximas.</x:v>
      </x:c>
      <x:c r="Q165" s="136" t="str">
        <x:v>Visita o llamada de validación; pedir próximo traslado concreto.</x:v>
      </x:c>
      <x:c r="R165" s="136"/>
      <x:c r="S165" s="158" t="str">
        <x:f>IFERROR(T(INDEX('Prospectos Resumen'!$K$9:$K$295,MATCH(A165,'Prospectos Resumen'!$A$9:$A$295,0))),"")</x:f>
      </x:c>
      <x:c r="T165" s="136"/>
      <x:c r="U165" s="136"/>
      <x:c r="V165" s="136"/>
      <x:c r="W165" s="136"/>
      <x:c r="X165" s="136" t="str">
        <x:v>tel:+543584185826</x:v>
      </x:c>
      <x:c r="Y165" s="136" t="str">
        <x:v>tel:+543584185826</x:v>
      </x:c>
      <x:c r="Z165" s="136" t="str">
        <x:v>Validar contacto decisor y necesidad inmediata.</x:v>
      </x:c>
      <x:c r="AA165" s="136" t="str">
        <x:v>https://www.google.com/maps/search/?api=1&amp;query=-32.452000,-64.388000</x:v>
      </x:c>
      <x:c r="AB165" s="136" t="str">
        <x:v>Facebook Doble A Servicios Metalúrgicos</x:v>
      </x:c>
      <x:c r="AC165" s="136"/>
      <x:c r="AD165" s="136" t="str">
        <x:v>Registro curado en documento de dirección PRESOL 2026-09.</x:v>
      </x:c>
      <x:c r="AE165" s="136" t="str">
        <x:v>Alta</x:v>
      </x:c>
      <x:c r="AF165" s="136" t="str">
        <x:v>Base curada PDF dirección</x:v>
      </x:c>
      <x:c r="AG165" s="136" t="str">
        <x:v>plataforma 20 tn para maquinaria/piezas | hidrogrúa para maniobras | percha para pallets</x:v>
      </x:c>
      <x:c r="AH165" s="136" t="str">
        <x:v>otro rubro factible</x:v>
      </x:c>
      <x:c r="AI165" s="136"/>
      <x:c r="AJ165" s="136" t="str">
        <x:v>Alta</x:v>
      </x:c>
      <x:c r="AK165" s="136"/>
      <x:c r="AL165" s="136" t="str">
        <x:v>GPT adjunto + Hermes</x:v>
      </x:c>
      <x:c r="AM165" s="136" t="str">
        <x:v>Fusionado con base Hermes para completar teléfonos/fuentes/servicios.</x:v>
      </x:c>
    </x:row>
    <x:row r="166" ht="48">
      <x:c r="A166" s="135" t="str">
        <x:v>BER-002</x:v>
      </x:c>
      <x:c r="B166" s="135" t="str">
        <x:v>Pendiente</x:v>
      </x:c>
      <x:c r="C166" s="135" t="str">
        <x:v>Río Cuarto / RN36 sur</x:v>
      </x:c>
      <x:c r="D166" s="135" t="str">
        <x:v>Berrotarán</x:v>
      </x:c>
      <x:c r="E166" s="135" t="str">
        <x:v>Berrotarán</x:v>
      </x:c>
      <x:c r="F166" s="135" t="str">
        <x:v>C</x:v>
      </x:c>
      <x:c r="G166" s="135" t="n">
        <x:v>30</x:v>
      </x:c>
      <x:c r="H166" s="135" t="str">
        <x:v>Canteras/corralones locales</x:v>
      </x:c>
      <x:c r="I166" s="135" t="str">
        <x:v>Áridos / materiales</x:v>
      </x:c>
      <x:c r="J166" s="135" t="str">
        <x:v>Hormigón, áridos y materiales</x:v>
      </x:c>
      <x:c r="K166" s="135" t="str">
        <x:v>A relevar</x:v>
      </x:c>
      <x:c r="L166" s="135" t="str">
        <x:v>A relevar</x:v>
      </x:c>
      <x:c r="M166" s="135" t="str">
        <x:v>planta / mantenimiento</x:v>
      </x:c>
      <x:c r="N166" s="135" t="str">
        <x:v>Movimiento de premoldeados, equipos de planta/cantera, bombas, moldes y cargas pesadas.</x:v>
      </x:c>
      <x:c r="O166" s="135" t="str">
        <x:v>Movimiento de equipos de cantera/planta; transporte de material suelto sujeto a confirmar unidad o esquema operativo.</x:v>
      </x:c>
      <x:c r="P166" s="135" t="str">
        <x:v>Relevamiento presencial: la web no muestra nombres confiables.</x:v>
      </x:c>
      <x:c r="Q166" s="135" t="str">
        <x:v>Visita o llamada de validación; pedir próximo traslado concreto.</x:v>
      </x:c>
      <x:c r="R166" s="135"/>
      <x:c r="S166" s="158" t="str">
        <x:f>IFERROR(T(INDEX('Prospectos Resumen'!$K$9:$K$295,MATCH(A166,'Prospectos Resumen'!$A$9:$A$295,0))),"")</x:f>
      </x:c>
      <x:c r="T166" s="135"/>
      <x:c r="U166" s="135"/>
      <x:c r="V166" s="135"/>
      <x:c r="W166" s="135"/>
      <x:c r="X166" s="135"/>
      <x:c r="Y166" s="135"/>
      <x:c r="Z166" s="135" t="str">
        <x:v>Validar contacto decisor y necesidad inmediata.</x:v>
      </x:c>
      <x:c r="AA166" s="135" t="str">
        <x:v>https://www.google.com/maps/search/?api=1&amp;query=-32.452000,-64.384000</x:v>
      </x:c>
      <x:c r="AB166" s="135" t="str">
        <x:v>Relevamiento recomendado</x:v>
      </x:c>
      <x:c r="AC166" s="135"/>
      <x:c r="AD166" s="135" t="str">
        <x:v>Registro curado en documento de dirección PRESOL 2026-09.</x:v>
      </x:c>
      <x:c r="AE166" s="135" t="str">
        <x:v>Media</x:v>
      </x:c>
      <x:c r="AF166" s="135" t="str">
        <x:v>Base curada PDF dirección</x:v>
      </x:c>
      <x:c r="AG166" s="135" t="str">
        <x:v>transporte de áridos/materiales | hidrogrúa para carga/descarga | percha para pallets/bolsones</x:v>
      </x:c>
      <x:c r="AH166" s="135" t="str">
        <x:v>áridos/construcción/premoldeados</x:v>
      </x:c>
      <x:c r="AI166" s="135"/>
      <x:c r="AJ166" s="135" t="str">
        <x:v>Baja / visitar solo por cercanía</x:v>
      </x:c>
      <x:c r="AK166" s="135" t="str">
        <x:v>Áridos/materiales: confirmar modalidad de carga/descarga y tipo de unidad requerida antes de cotizar.</x:v>
      </x:c>
      <x:c r="AL166" s="135" t="str">
        <x:v>GPT adjunto + Hermes</x:v>
      </x:c>
      <x:c r="AM166" s="135" t="str">
        <x:v>Fusionado con base Hermes para completar teléfonos/fuentes/servicios.</x:v>
      </x:c>
    </x:row>
    <x:row r="167" ht="48">
      <x:c r="A167" s="7" t="str">
        <x:v>CHU-001</x:v>
      </x:c>
      <x:c r="B167" s="7" t="str">
        <x:v>Pendiente</x:v>
      </x:c>
      <x:c r="C167" s="7" t="str">
        <x:v>Río Cuarto / RN36 sur</x:v>
      </x:c>
      <x:c r="D167" s="7" t="str">
        <x:v>Chucul</x:v>
      </x:c>
      <x:c r="E167" s="7" t="str">
        <x:v>Chucul</x:v>
      </x:c>
      <x:c r="F167" s="7" t="str">
        <x:v>B</x:v>
      </x:c>
      <x:c r="G167" s="7" t="n">
        <x:v>75</x:v>
      </x:c>
      <x:c r="H167" s="7" t="str">
        <x:v>Cotagro — Sucursal Chucul</x:v>
      </x:c>
      <x:c r="I167" s="7" t="str">
        <x:v>Acopio agropecuario</x:v>
      </x:c>
      <x:c r="J167" s="7" t="str">
        <x:v>Agro, acopio y cooperativas</x:v>
      </x:c>
      <x:c r="K167" s="7" t="str">
        <x:v>0358 4912008 / 0358 4933333</x:v>
      </x:c>
      <x:c r="L167" s="7" t="str">
        <x:v>OK</x:v>
      </x:c>
      <x:c r="M167" s="7" t="str">
        <x:v>responsable de acopio / mantenimiento</x:v>
      </x:c>
      <x:c r="N167" s="7" t="str">
        <x:v>Traslado de equipos de planta, silos, repuestos pesados, balanzas, implementos y cargas especiales.</x:v>
      </x:c>
      <x:c r="O167" s="7" t="str">
        <x:v>Movimiento de equipos de planta, silos, balanzas, repuestos y cargas especiales para acopios/agroindustria.</x:v>
      </x:c>
      <x:c r="P167" s="7" t="str">
        <x:v>Punto de paso; no dedicar medio día.</x:v>
      </x:c>
      <x:c r="Q167" s="7" t="str">
        <x:v>Visita o llamada de validación; pedir próximo traslado concreto.</x:v>
      </x:c>
      <x:c r="R167" s="7"/>
      <x:c r="S167" s="160" t="str">
        <x:f>IFERROR(T(INDEX('Prospectos Resumen'!$K$9:$K$295,MATCH(A167,'Prospectos Resumen'!$A$9:$A$295,0))),"")</x:f>
      </x:c>
      <x:c r="T167" s="7"/>
      <x:c r="U167" s="7"/>
      <x:c r="V167" s="7"/>
      <x:c r="W167" s="7"/>
      <x:c r="X167" s="7" t="str">
        <x:v>tel:+543584912008</x:v>
      </x:c>
      <x:c r="Y167" s="7" t="str">
        <x:v>tel:+543584912008 | tel:+543584933333</x:v>
      </x:c>
      <x:c r="Z167" s="7" t="str">
        <x:v>Validar contacto decisor y necesidad inmediata.</x:v>
      </x:c>
      <x:c r="AA167" s="7" t="str">
        <x:v>https://www.google.com/maps/search/?api=1&amp;query=-33.016000,-64.208000</x:v>
      </x:c>
      <x:c r="AB167" s="7" t="str">
        <x:v>Maptons / Cotagro</x:v>
      </x:c>
      <x:c r="AC167" s="7"/>
      <x:c r="AD167" s="7" t="str">
        <x:v>Registro curado en documento de dirección PRESOL 2026-09.</x:v>
      </x:c>
      <x:c r="AE167" s="7" t="str">
        <x:v>Alta</x:v>
      </x:c>
      <x:c r="AF167" s="7" t="str">
        <x:v>Base curada PDF dirección</x:v>
      </x:c>
      <x:c r="AG167" s="7" t="str">
        <x:v>plataforma 20 tn para maquinaria/piezas | hidrogrúa para maniobras | percha para pallets | percha para pallets de insumos | hidrogrúa para equipos/mantenimiento | barquilla para trabajos en altura</x:v>
      </x:c>
      <x:c r="AH167" s="7" t="str">
        <x:v>cooperativa/acopio</x:v>
      </x:c>
      <x:c r="AI167" s="7"/>
      <x:c r="AJ167" s="7" t="str">
        <x:v>Alta</x:v>
      </x:c>
      <x:c r="AK167" s="7" t="str">
        <x:v>Barquilla: validar seguridad, seguro, permiso de trabajo y alcance de maniobra antes de cotizar. Percha pallets: útil para insumos, bolsones, repuestos y materiales palletizados.</x:v>
      </x:c>
      <x:c r="AL167" s="7" t="str">
        <x:v>GPT adjunto + Hermes</x:v>
      </x:c>
      <x:c r="AM167" s="7" t="str">
        <x:v>Fusionado con base Hermes para completar teléfonos/fuentes/servicios.</x:v>
      </x:c>
    </x:row>
    <x:row r="168" ht="48">
      <x:c r="A168" s="135" t="str">
        <x:v>ELE-001</x:v>
      </x:c>
      <x:c r="B168" s="135" t="str">
        <x:v>Pendiente</x:v>
      </x:c>
      <x:c r="C168" s="135" t="str">
        <x:v>Río Cuarto / RN36 sur</x:v>
      </x:c>
      <x:c r="D168" s="135" t="str">
        <x:v>Elena</x:v>
      </x:c>
      <x:c r="E168" s="135" t="str">
        <x:v>Elena</x:v>
      </x:c>
      <x:c r="F168" s="135" t="str">
        <x:v>A</x:v>
      </x:c>
      <x:c r="G168" s="135" t="n">
        <x:v>100</x:v>
      </x:c>
      <x:c r="H168" s="135" t="str">
        <x:v>CAGLE — Cooperativa Agrícola de Elena</x:v>
      </x:c>
      <x:c r="I168" s="135" t="str">
        <x:v>Acopio / agro / estación de servicios</x:v>
      </x:c>
      <x:c r="J168" s="135" t="str">
        <x:v>Agro, acopio y cooperativas</x:v>
      </x:c>
      <x:c r="K168" s="135" t="str">
        <x:v>3584 881118</x:v>
      </x:c>
      <x:c r="L168" s="135" t="str">
        <x:v>OK</x:v>
      </x:c>
      <x:c r="M168" s="135" t="str">
        <x:v>operaciones / entregas</x:v>
      </x:c>
      <x:c r="N168" s="135" t="str">
        <x:v>Traslado de equipos de planta, silos, repuestos pesados, balanzas, implementos y cargas especiales.</x:v>
      </x:c>
      <x:c r="O168" s="135" t="str">
        <x:v>Entrega y descarga de módulos/containers con plataforma, malacate e hidrogrúa según maniobra.</x:v>
      </x:c>
      <x:c r="P168" s="135" t="str">
        <x:v>Obras recientes + nueva planta futura: transporte de equipos.</x:v>
      </x:c>
      <x:c r="Q168" s="135" t="str">
        <x:v>Visita o llamada de validación; pedir próximo traslado concreto.</x:v>
      </x:c>
      <x:c r="R168" s="135"/>
      <x:c r="S168" s="158" t="str">
        <x:f>IFERROR(T(INDEX('Prospectos Resumen'!$K$9:$K$295,MATCH(A168,'Prospectos Resumen'!$A$9:$A$295,0))),"")</x:f>
      </x:c>
      <x:c r="T168" s="135"/>
      <x:c r="U168" s="135"/>
      <x:c r="V168" s="135"/>
      <x:c r="W168" s="135"/>
      <x:c r="X168" s="135" t="str">
        <x:v>tel:+543584881118</x:v>
      </x:c>
      <x:c r="Y168" s="135" t="str">
        <x:v>tel:+543584881118</x:v>
      </x:c>
      <x:c r="Z168" s="135" t="str">
        <x:v>Validar contacto decisor y necesidad inmediata.</x:v>
      </x:c>
      <x:c r="AA168" s="135" t="str">
        <x:v>https://www.google.com/maps/search/?api=1&amp;query=-32.569649,-64.392432</x:v>
      </x:c>
      <x:c r="AB168" s="135" t="str">
        <x:v>cagle.com.ar</x:v>
      </x:c>
      <x:c r="AC168" s="135"/>
      <x:c r="AD168" s="135" t="str">
        <x:v>Registro curado en documento de dirección PRESOL 2026-09.</x:v>
      </x:c>
      <x:c r="AE168" s="135" t="str">
        <x:v>Alta</x:v>
      </x:c>
      <x:c r="AF168" s="135" t="str">
        <x:v>Base curada PDF dirección</x:v>
      </x:c>
      <x:c r="AG168" s="135" t="str">
        <x:v>transporte de áridos/materiales | hidrogrúa para carga/descarga | percha para pallets/bolsones | plataforma 20 tn para maquinaria/piezas | hidrogrúa para maniobras | percha para pallets | percha para pallets de insumos | hidrogrúa para equipos/mantenimiento | barquilla para trabajos en altura</x:v>
      </x:c>
      <x:c r="AH168" s="135" t="str">
        <x:v>cooperativa/acopio</x:v>
      </x:c>
      <x:c r="AI168" s="135"/>
      <x:c r="AJ168" s="135" t="str">
        <x:v>Muy alta</x:v>
      </x:c>
      <x:c r="AK168" s="135" t="str">
        <x:v>Barquilla: validar seguridad, seguro, permiso de trabajo y alcance de maniobra antes de cotizar. Percha pallets: útil para insumos, bolsones, repuestos y materiales palletizados.</x:v>
      </x:c>
      <x:c r="AL168" s="135" t="str">
        <x:v>GPT adjunto + Hermes</x:v>
      </x:c>
      <x:c r="AM168" s="135" t="str">
        <x:v>Fusionado con base Hermes para completar teléfonos/fuentes/servicios.</x:v>
      </x:c>
    </x:row>
    <x:row r="169" ht="36">
      <x:c r="A169" s="7" t="str">
        <x:v>ELE-003</x:v>
      </x:c>
      <x:c r="B169" s="7" t="str">
        <x:v>Pendiente</x:v>
      </x:c>
      <x:c r="C169" s="7" t="str">
        <x:v>Río Cuarto / RN36 sur</x:v>
      </x:c>
      <x:c r="D169" s="7" t="str">
        <x:v>Elena</x:v>
      </x:c>
      <x:c r="E169" s="7" t="str">
        <x:v>Elena</x:v>
      </x:c>
      <x:c r="F169" s="7" t="str">
        <x:v>A</x:v>
      </x:c>
      <x:c r="G169" s="7" t="n">
        <x:v>85</x:v>
      </x:c>
      <x:c r="H169" s="7" t="str">
        <x:v>Agro Elena</x:v>
      </x:c>
      <x:c r="I169" s="7" t="str">
        <x:v>Concesionario / maquinaria e implementos agrícolas</x:v>
      </x:c>
      <x:c r="J169" s="7" t="str">
        <x:v>Maquinaria agrícola</x:v>
      </x:c>
      <x:c r="K169" s="7" t="str">
        <x:v>03584 012336</x:v>
      </x:c>
      <x:c r="L169" s="7" t="str">
        <x:v>OK</x:v>
      </x:c>
      <x:c r="M169" s="7" t="str">
        <x:v>logística / ventas / postventa</x:v>
      </x:c>
      <x:c r="N169" s="7" t="str">
        <x:v>Entrega y retiro de tractores, cosechadoras, pulverizadoras, sembradoras e implementos; movimientos por venta, service, canje, demostraciones o ferias.</x:v>
      </x:c>
      <x:c r="O169" s="7" t="str">
        <x:v>Plataforma 20 tn para maquinaria agrícola + malacate/hidrogrúa según maniobra + seguro de carga + trazabilidad GPS.</x:v>
      </x:c>
      <x:c r="P169" s="7" t="str">
        <x:v>Ofrecer transporte tercerizado para entregas a clientes y retiros de usados/service, especialmente en picos de campaña y operaciones fuera de zona.</x:v>
      </x:c>
      <x:c r="Q169" s="7" t="str">
        <x:v>Llamada comercial prioritaria; pedir por logística/ventas/postventa y consultar próximo equipo a trasladar.</x:v>
      </x:c>
      <x:c r="R169" s="7"/>
      <x:c r="S169" s="160" t="str">
        <x:f>IFERROR(T(INDEX('Prospectos Resumen'!$K$9:$K$295,MATCH(A169,'Prospectos Resumen'!$A$9:$A$295,0))),"")</x:f>
      </x:c>
      <x:c r="T169" s="7"/>
      <x:c r="U169" s="7"/>
      <x:c r="V169" s="7"/>
      <x:c r="W169" s="7"/>
      <x:c r="X169" s="7" t="str">
        <x:v>tel:+543584012336</x:v>
      </x:c>
      <x:c r="Y169" s="7" t="str">
        <x:v>tel:+543584012336</x:v>
      </x:c>
      <x:c r="Z169" s="7" t="str">
        <x:v>Confirmar decisor y frecuencia de traslados.</x:v>
      </x:c>
      <x:c r="AA169" s="7" t="str">
        <x:v>https://www.google.com/maps/search/?api=1&amp;query=Agro+Elena+Elena+C%C3%B3rdoba+Argentina</x:v>
      </x:c>
      <x:c r="AB169" s="7" t="str">
        <x:v>Red de concesionarios Piersanti</x:v>
      </x:c>
      <x:c r="AC169" s="7" t="str">
        <x:v>https://www.google.com/maps/search/?api=1&amp;query=Agro+Elena+Elena+C%C3%B3rdoba+Argentina</x:v>
      </x:c>
      <x:c r="AD169" s="7" t="str">
        <x:v>Punto de venta en RN36 km 520 Elena; vinculado a maquinaria e implementos agrícolas.</x:v>
      </x:c>
      <x:c r="AE169" s="7" t="str">
        <x:v>Alta</x:v>
      </x:c>
      <x:c r="AF169" s="7" t="str">
        <x:v>Rastrillaje agro-maquinaria web 2026-09-07</x:v>
      </x:c>
      <x:c r="AG169" s="7" t="str">
        <x:v>plataforma 20 tn para maquinaria/implementos | hidrogrúa para maniobras | malacate | seguro de carga | trazabilidad GPS</x:v>
      </x:c>
      <x:c r="AH169" s="7" t="str">
        <x:v>fabricante/concesionario/servicio maquinaria agrícola</x:v>
      </x:c>
      <x:c r="AI169" s="7" t="str">
        <x:v>Sí</x:v>
      </x:c>
      <x:c r="AJ169" s="7" t="str">
        <x:v>Alta</x:v>
      </x:c>
      <x:c r="AK169" s="7" t="str">
        <x:v>Perfil específico maquinaria agrícola: validar pesos/dimensiones, tipo de carga y disponibilidad de medios de izaje antes de cotizar.</x:v>
      </x:c>
      <x:c r="AL169" s="7" t="str">
        <x:v>Rastrillaje agro-maquinaria 2026-09-07</x:v>
      </x:c>
      <x:c r="AM169" s="7" t="str">
        <x:v>Alta nueva luego de barrido específico de fabricantes, implementos, tractores, concesionarios y agropartes; cruzada contra la base maestra para evitar duplicados.</x:v>
      </x:c>
    </x:row>
    <x:row r="170" ht="36">
      <x:c r="A170" s="135" t="str">
        <x:v>ELE-002</x:v>
      </x:c>
      <x:c r="B170" s="135" t="str">
        <x:v>Pendiente</x:v>
      </x:c>
      <x:c r="C170" s="135" t="str">
        <x:v>Río Cuarto / RN36 sur</x:v>
      </x:c>
      <x:c r="D170" s="135" t="str">
        <x:v>Elena</x:v>
      </x:c>
      <x:c r="E170" s="135" t="str">
        <x:v>Elena</x:v>
      </x:c>
      <x:c r="F170" s="135" t="str">
        <x:v>B</x:v>
      </x:c>
      <x:c r="G170" s="135" t="n">
        <x:v>75</x:v>
      </x:c>
      <x:c r="H170" s="135" t="str">
        <x:v>Gliestore S.A.</x:v>
      </x:c>
      <x:c r="I170" s="135" t="str">
        <x:v>Soja / alimentos / exportación</x:v>
      </x:c>
      <x:c r="J170" s="135" t="str">
        <x:v>Agroindustria y alimentos</x:v>
      </x:c>
      <x:c r="K170" s="135" t="str">
        <x:v>0358 4641548 / 9358 4024598</x:v>
      </x:c>
      <x:c r="L170" s="135" t="str">
        <x:v>OK</x:v>
      </x:c>
      <x:c r="M170" s="135" t="str">
        <x:v>responsable de acopio / mantenimiento</x:v>
      </x:c>
      <x:c r="N170" s="135" t="str">
        <x:v>Movimientos especiales de mantenimiento, repuestos pesados y mudanzas internas de equipos.</x:v>
      </x:c>
      <x:c r="O170" s="135" t="str">
        <x:v>Movimiento de equipos de planta, silos, balanzas, repuestos y cargas especiales para acopios/agroindustria.</x:v>
      </x:c>
      <x:c r="P170" s="135" t="str">
        <x:v>Empresa exportadora; preguntar por logística de equipos y planta.</x:v>
      </x:c>
      <x:c r="Q170" s="135" t="str">
        <x:v>Visita o llamada de validación; pedir próximo traslado concreto.</x:v>
      </x:c>
      <x:c r="R170" s="135"/>
      <x:c r="S170" s="158" t="str">
        <x:f>IFERROR(T(INDEX('Prospectos Resumen'!$K$9:$K$295,MATCH(A170,'Prospectos Resumen'!$A$9:$A$295,0))),"")</x:f>
      </x:c>
      <x:c r="T170" s="135"/>
      <x:c r="U170" s="135"/>
      <x:c r="V170" s="135"/>
      <x:c r="W170" s="135"/>
      <x:c r="X170" s="135" t="str">
        <x:v>tel:+543584641548</x:v>
      </x:c>
      <x:c r="Y170" s="135" t="str">
        <x:v>tel:+543584641548 | tel:+5493584024598</x:v>
      </x:c>
      <x:c r="Z170" s="135" t="str">
        <x:v>Validar contacto decisor y necesidad inmediata.</x:v>
      </x:c>
      <x:c r="AA170" s="135" t="str">
        <x:v>https://www.google.com/maps/search/?api=1&amp;query=-32.571800,-64.390000</x:v>
      </x:c>
      <x:c r="AB170" s="135" t="str">
        <x:v>Exportadores de Córdoba</x:v>
      </x:c>
      <x:c r="AC170" s="135"/>
      <x:c r="AD170" s="135" t="str">
        <x:v>Registro curado en documento de dirección PRESOL 2026-09.</x:v>
      </x:c>
      <x:c r="AE170" s="135" t="str">
        <x:v>Alta</x:v>
      </x:c>
      <x:c r="AF170" s="135" t="str">
        <x:v>Base curada PDF dirección</x:v>
      </x:c>
      <x:c r="AG170" s="135" t="str">
        <x:v>plataforma 20 tn para maquinaria/piezas | hidrogrúa para maniobras | percha para pallets | percha para pallets de insumos | hidrogrúa para equipos/mantenimiento | barquilla para trabajos en altura</x:v>
      </x:c>
      <x:c r="AH170" s="135" t="str">
        <x:v>planta agroindustrial</x:v>
      </x:c>
      <x:c r="AI170" s="135"/>
      <x:c r="AJ170" s="135" t="str">
        <x:v>Alta</x:v>
      </x:c>
      <x:c r="AK170" s="135" t="str">
        <x:v>Percha pallets: útil para insumos, bolsones, repuestos y materiales palletizados.</x:v>
      </x:c>
      <x:c r="AL170" s="135" t="str">
        <x:v>GPT adjunto + Hermes</x:v>
      </x:c>
      <x:c r="AM170" s="135" t="str">
        <x:v>Fusionado con base Hermes para completar teléfonos/fuentes/servicios.</x:v>
      </x:c>
    </x:row>
    <x:row r="171" ht="48">
      <x:c r="A171" s="136" t="str">
        <x:v>ELE-004</x:v>
      </x:c>
      <x:c r="B171" s="136" t="str">
        <x:v>Pendiente</x:v>
      </x:c>
      <x:c r="C171" s="136" t="str">
        <x:v>Río Cuarto / RN36 sur</x:v>
      </x:c>
      <x:c r="D171" s="136" t="str">
        <x:v>Elena</x:v>
      </x:c>
      <x:c r="E171" s="136" t="str">
        <x:v>Elena</x:v>
      </x:c>
      <x:c r="F171" s="136" t="str">
        <x:v>B</x:v>
      </x:c>
      <x:c r="G171" s="136" t="n">
        <x:v>68</x:v>
      </x:c>
      <x:c r="H171" s="136" t="str">
        <x:v>Ecocaio</x:v>
      </x:c>
      <x:c r="I171" s="136" t="str">
        <x:v>Maquinaria e implementos agrícolas</x:v>
      </x:c>
      <x:c r="J171" s="136" t="str">
        <x:v>Maquinaria agrícola</x:v>
      </x:c>
      <x:c r="K171" s="136" t="str">
        <x:v>A relevar</x:v>
      </x:c>
      <x:c r="L171" s="136" t="str">
        <x:v>A relevar</x:v>
      </x:c>
      <x:c r="M171" s="136" t="str">
        <x:v>logística / ventas / postventa</x:v>
      </x:c>
      <x:c r="N171" s="136" t="str">
        <x:v>Entrega y retiro de tractores, cosechadoras, pulverizadoras, sembradoras e implementos; movimientos por venta, service, canje, demostraciones o ferias.</x:v>
      </x:c>
      <x:c r="O171" s="136" t="str">
        <x:v>Plataforma 20 tn para maquinaria agrícola + malacate/hidrogrúa según maniobra + seguro de carga + trazabilidad GPS.</x:v>
      </x:c>
      <x:c r="P171" s="136" t="str">
        <x:v>Ofrecer transporte tercerizado para entregas a clientes y retiros de usados/service, especialmente en picos de campaña y operaciones fuera de zona.</x:v>
      </x:c>
      <x:c r="Q171" s="136" t="str">
        <x:v>Validar contacto y volumen de movimientos; si hay encaje, pedir un traslado concreto para cotizar.</x:v>
      </x:c>
      <x:c r="R171" s="136"/>
      <x:c r="S171" s="158" t="str">
        <x:f>IFERROR(T(INDEX('Prospectos Resumen'!$K$9:$K$295,MATCH(A171,'Prospectos Resumen'!$A$9:$A$295,0))),"")</x:f>
      </x:c>
      <x:c r="T171" s="136"/>
      <x:c r="U171" s="136"/>
      <x:c r="V171" s="136"/>
      <x:c r="W171" s="136"/>
      <x:c r="X171" s="136"/>
      <x:c r="Y171" s="136"/>
      <x:c r="Z171" s="136" t="str">
        <x:v>Relevar teléfono directo de ventas/logística y validar decisor.</x:v>
      </x:c>
      <x:c r="AA171" s="136" t="str">
        <x:v>https://www.google.com/maps/search/?api=1&amp;query=Ecocaio+Elena+C%C3%B3rdoba+Argentina</x:v>
      </x:c>
      <x:c r="AB171" s="136" t="str">
        <x:v>Expositores AgroActiva 2026 / ficha regional</x:v>
      </x:c>
      <x:c r="AC171" s="136" t="str">
        <x:v>https://www.google.com/maps/search/?api=1&amp;query=Ecocaio+Elena+C%C3%B3rdoba+Argentina</x:v>
      </x:c>
      <x:c r="AD171" s="136" t="str">
        <x:v>Empresa de Elena detectada en listados recientes de expositores de maquinaria/implementos; relevar contacto.</x:v>
      </x:c>
      <x:c r="AE171" s="136" t="str">
        <x:v>Media</x:v>
      </x:c>
      <x:c r="AF171" s="136" t="str">
        <x:v>Rastrillaje agro-maquinaria web 2026-09-07</x:v>
      </x:c>
      <x:c r="AG171" s="136" t="str">
        <x:v>plataforma 20 tn para maquinaria/implementos | hidrogrúa para maniobras | malacate | seguro de carga | trazabilidad GPS</x:v>
      </x:c>
      <x:c r="AH171" s="136" t="str">
        <x:v>fabricante/concesionario/servicio maquinaria agrícola</x:v>
      </x:c>
      <x:c r="AI171" s="136" t="str">
        <x:v>Sí</x:v>
      </x:c>
      <x:c r="AJ171" s="136" t="str">
        <x:v>Media</x:v>
      </x:c>
      <x:c r="AK171" s="136" t="str">
        <x:v>Perfil específico maquinaria agrícola: validar pesos/dimensiones, tipo de carga y disponibilidad de medios de izaje antes de cotizar.</x:v>
      </x:c>
      <x:c r="AL171" s="136" t="str">
        <x:v>Rastrillaje agro-maquinaria 2026-09-07</x:v>
      </x:c>
      <x:c r="AM171" s="136" t="str">
        <x:v>Alta nueva luego de barrido específico de fabricantes, implementos, tractores, concesionarios y agropartes; cruzada contra la base maestra para evitar duplicados.</x:v>
      </x:c>
    </x:row>
    <x:row r="172" ht="36">
      <x:c r="A172" s="135" t="str">
        <x:v>LAC-001</x:v>
      </x:c>
      <x:c r="B172" s="135" t="str">
        <x:v>Pendiente</x:v>
      </x:c>
      <x:c r="C172" s="135" t="str">
        <x:v>Río Cuarto / RN36 sur</x:v>
      </x:c>
      <x:c r="D172" s="135" t="str">
        <x:v>Las Acequias / corredor Río Cuarto</x:v>
      </x:c>
      <x:c r="E172" s="135" t="str">
        <x:v>Las Acequias</x:v>
      </x:c>
      <x:c r="F172" s="135" t="str">
        <x:v>A</x:v>
      </x:c>
      <x:c r="G172" s="135" t="n">
        <x:v>95</x:v>
      </x:c>
      <x:c r="H172" s="135" t="str">
        <x:v>Todo Campo S.R.L.</x:v>
      </x:c>
      <x:c r="I172" s="135" t="str">
        <x:v>Concesionaria multimarca / sembradoras, pulverizadoras, tolvas, mixers y equipos agroviales</x:v>
      </x:c>
      <x:c r="J172" s="135" t="str">
        <x:v>Maquinaria agrícola</x:v>
      </x:c>
      <x:c r="K172" s="135" t="str">
        <x:v>0358 4890191 / 0358 4890057</x:v>
      </x:c>
      <x:c r="L172" s="135" t="str">
        <x:v>OK</x:v>
      </x:c>
      <x:c r="M172" s="135" t="str">
        <x:v>logística / entregas / usados / postventa / gerente comercial</x:v>
      </x:c>
      <x:c r="N172" s="135" t="str">
        <x:v>Entrega y retiro de tractores, cosechadoras, pulverizadoras, sembradoras e implementos; movimientos por ventas, canjes, usados, service, demostraciones y ferias.</x:v>
      </x:c>
      <x:c r="O172" s="135" t="str">
        <x:v>Plataforma 20 tn para equipos e implementos + malacate/hidrogrúa según maniobra + seguro de carga + trazabilidad GPS + coordinación de entrega.</x:v>
      </x:c>
      <x:c r="P172" s="135" t="str">
        <x:v>Tercerizar entregas y retiros para no inmovilizar flota propia; absorber picos de campaña, ventas, canjes y service fuera de zona con un proveedor regional.</x:v>
      </x:c>
      <x:c r="Q172" s="135" t="str">
        <x:v>Llamada prioritaria; pedir por logística/ventas/postventa y consultar cómo resuelven hoy el próximo equipo a entregar o retirar.</x:v>
      </x:c>
      <x:c r="R172" s="135"/>
      <x:c r="S172" s="158" t="str">
        <x:f>IFERROR(T(INDEX('Prospectos Resumen'!$K$9:$K$295,MATCH(A172,'Prospectos Resumen'!$A$9:$A$295,0))),"")</x:f>
      </x:c>
      <x:c r="T172" s="135"/>
      <x:c r="U172" s="135"/>
      <x:c r="V172" s="135"/>
      <x:c r="W172" s="135"/>
      <x:c r="X172" s="135" t="str">
        <x:v>tel:+543584890191</x:v>
      </x:c>
      <x:c r="Y172" s="135" t="str">
        <x:v>tel:+543584890191</x:v>
      </x:c>
      <x:c r="Z172" s="135" t="str">
        <x:v>Confirmar decisor de logística/entregas y frecuencia mensual de movimientos de equipos.</x:v>
      </x:c>
      <x:c r="AA172" s="135" t="str">
        <x:v>https://www.google.com/maps/search/?api=1&amp;query=Todo+Campo+S.R.L.+Las+Acequias+C%C3%B3rdoba+Argentina</x:v>
      </x:c>
      <x:c r="AB172" s="135" t="str">
        <x:v>Web oficial Todo Campo / Conese</x:v>
      </x:c>
      <x:c r="AC172" s="135" t="str">
        <x:v>https://todocamposrl.com/</x:v>
      </x:c>
      <x:c r="AD172" s="135" t="str">
        <x:v>Punto de Las Acequias con línea completa de maquinaria e implementos y catálogo de usados; pertenece al corredor de Río Cuarto.</x:v>
      </x:c>
      <x:c r="AE172" s="135" t="str">
        <x:v>Alta</x:v>
      </x:c>
      <x:c r="AF172" s="135" t="str">
        <x:v>Rastrillaje concesionarios agro 2026-09-07</x:v>
      </x:c>
      <x:c r="AG172" s="135" t="str">
        <x:v>plataforma 20 tn para maquinaria agrícola | hidrogrúa para maniobras | malacate | seguro de carga | trazabilidad GPS | coordinación de entregas</x:v>
      </x:c>
      <x:c r="AH172" s="135" t="str">
        <x:v>concesionario agro / maquinaria agrícola</x:v>
      </x:c>
      <x:c r="AI172" s="135" t="str">
        <x:v>Corredor</x:v>
      </x:c>
      <x:c r="AJ172" s="135" t="str">
        <x:v>Alta</x:v>
      </x:c>
      <x:c r="AK172" s="135" t="str">
        <x:v>Concesionario: preguntar específicamente cómo resuelven entregas, retiros de usados, canjes, service fuera de zona y traslados a exposiciones.</x:v>
      </x:c>
      <x:c r="AL172" s="135" t="str">
        <x:v>Rastrillaje concesionarios agro 2026-09-07</x:v>
      </x:c>
      <x:c r="AM172" s="135" t="str">
        <x:v>Alta nueva del barrido específico de concesionarios, sucursales y multimarca agro; cruzada contra la base maestra para evitar duplicados.</x:v>
      </x:c>
    </x:row>
    <x:row r="173" ht="60">
      <x:c r="A173" s="136" t="str">
        <x:v>LH-001</x:v>
      </x:c>
      <x:c r="B173" s="136" t="str">
        <x:v>Pendiente</x:v>
      </x:c>
      <x:c r="C173" s="136" t="str">
        <x:v>Río Cuarto / RN36 sur</x:v>
      </x:c>
      <x:c r="D173" s="136" t="str">
        <x:v>Las Higueras</x:v>
      </x:c>
      <x:c r="E173" s="136" t="str">
        <x:v>Las Higueras</x:v>
      </x:c>
      <x:c r="F173" s="136" t="str">
        <x:v>B</x:v>
      </x:c>
      <x:c r="G173" s="136" t="n">
        <x:v>50</x:v>
      </x:c>
      <x:c r="H173" s="136" t="str">
        <x:v>Parque Industrial y Logístico Las Higueras</x:v>
      </x:c>
      <x:c r="I173" s="136" t="str">
        <x:v>Radicaciones / logística</x:v>
      </x:c>
      <x:c r="J173" s="136" t="str">
        <x:v>Institucional y parques</x:v>
      </x:c>
      <x:c r="K173" s="136" t="str">
        <x:v>A relevar vía municipio/parque</x:v>
      </x:c>
      <x:c r="L173" s="136" t="str">
        <x:v>A relevar</x:v>
      </x:c>
      <x:c r="M173" s="136" t="str">
        <x:v>despacho / producción</x:v>
      </x:c>
      <x:c r="N173" s="136" t="str">
        <x:v>Acceso a padrón de empresas radicadas, obras de infraestructura y derivaciones a responsables.</x:v>
      </x:c>
      <x:c r="O173" s="136" t="str">
        <x:v>Despacho de estructuras, tanques, transformadores, piezas de ingeniería y equipos sobre plataforma 20 tn.</x:v>
      </x:c>
      <x:c r="P173" s="136" t="str">
        <x:v>Pedir listado de empresas radicadas y obras en apertura de calles.</x:v>
      </x:c>
      <x:c r="Q173" s="136" t="str">
        <x:v>Visita o llamada de validación; pedir próximo traslado concreto.</x:v>
      </x:c>
      <x:c r="R173" s="136"/>
      <x:c r="S173" s="158" t="str">
        <x:f>IFERROR(T(INDEX('Prospectos Resumen'!$K$9:$K$295,MATCH(A173,'Prospectos Resumen'!$A$9:$A$295,0))),"")</x:f>
      </x:c>
      <x:c r="T173" s="136"/>
      <x:c r="U173" s="136"/>
      <x:c r="V173" s="136"/>
      <x:c r="W173" s="136"/>
      <x:c r="X173" s="136"/>
      <x:c r="Y173" s="136"/>
      <x:c r="Z173" s="136" t="str">
        <x:v>Validar contacto decisor y necesidad inmediata.</x:v>
      </x:c>
      <x:c r="AA173" s="136" t="str">
        <x:v>https://www.google.com/maps/search/?api=1&amp;query=-33.093000,-64.288000</x:v>
      </x:c>
      <x:c r="AB173" s="136" t="str">
        <x:v>argentina.gob.ar / La Voz</x:v>
      </x:c>
      <x:c r="AC173" s="136"/>
      <x:c r="AD173" s="136" t="str">
        <x:v>Registro curado en documento de dirección PRESOL 2026-09.</x:v>
      </x:c>
      <x:c r="AE173" s="136" t="str">
        <x:v>Media</x:v>
      </x:c>
      <x:c r="AF173" s="136" t="str">
        <x:v>Base curada PDF dirección</x:v>
      </x:c>
      <x:c r="AG173" s="136" t="str">
        <x:v>transporte de áridos/materiales | hidrogrúa para carga/descarga | percha para pallets/bolsones</x:v>
      </x:c>
      <x:c r="AH173" s="136" t="str">
        <x:v>otro rubro factible</x:v>
      </x:c>
      <x:c r="AI173" s="136"/>
      <x:c r="AJ173" s="136" t="str">
        <x:v>Media</x:v>
      </x:c>
      <x:c r="AK173" s="136"/>
      <x:c r="AL173" s="136" t="str">
        <x:v>GPT adjunto + Hermes</x:v>
      </x:c>
      <x:c r="AM173" s="136" t="str">
        <x:v>Fusionado con base Hermes para completar teléfonos/fuentes/servicios.</x:v>
      </x:c>
    </x:row>
    <x:row r="174" ht="48">
      <x:c r="A174" s="135" t="str">
        <x:v>RC-001</x:v>
      </x:c>
      <x:c r="B174" s="135" t="str">
        <x:v>Pendiente</x:v>
      </x:c>
      <x:c r="C174" s="135" t="str">
        <x:v>Río Cuarto / RN36 sur</x:v>
      </x:c>
      <x:c r="D174" s="135" t="str">
        <x:v>Río Cuarto</x:v>
      </x:c>
      <x:c r="E174" s="135" t="str">
        <x:v>Río Cuarto</x:v>
      </x:c>
      <x:c r="F174" s="135" t="str">
        <x:v>A</x:v>
      </x:c>
      <x:c r="G174" s="135" t="n">
        <x:v>100</x:v>
      </x:c>
      <x:c r="H174" s="135" t="str">
        <x:v>AFEMA S.A.</x:v>
      </x:c>
      <x:c r="I174" s="135" t="str">
        <x:v>Constructora vial</x:v>
      </x:c>
      <x:c r="J174" s="135" t="str">
        <x:v>Construcción y obra vial</x:v>
      </x:c>
      <x:c r="K174" s="135" t="str">
        <x:v>0351 7371862</x:v>
      </x:c>
      <x:c r="L174" s="135" t="str">
        <x:v>OK</x:v>
      </x:c>
      <x:c r="M174" s="135" t="str">
        <x:v>jefe de obra / logística</x:v>
      </x:c>
      <x:c r="N174" s="135" t="str">
        <x:v>Traslado de maquinaria, módulos de obrador, estructuras, equipos y cargas pesadas entre frentes.</x:v>
      </x:c>
      <x:c r="O174" s="135" t="str">
        <x:v>Transporte de equipos, módulos de obrador, estructuras y materiales pesados; descarga o posicionamiento cuando aplique.</x:v>
      </x:c>
      <x:c r="P174" s="135" t="str">
        <x:v>Obras viales activas; pedir jefe de obra/logística.</x:v>
      </x:c>
      <x:c r="Q174" s="135" t="str">
        <x:v>Visita o llamada de validación; pedir próximo traslado concreto.</x:v>
      </x:c>
      <x:c r="R174" s="135"/>
      <x:c r="S174" s="158" t="str">
        <x:f>IFERROR(T(INDEX('Prospectos Resumen'!$K$9:$K$295,MATCH(A174,'Prospectos Resumen'!$A$9:$A$295,0))),"")</x:f>
      </x:c>
      <x:c r="T174" s="135"/>
      <x:c r="U174" s="135"/>
      <x:c r="V174" s="135"/>
      <x:c r="W174" s="135"/>
      <x:c r="X174" s="135" t="str">
        <x:v>tel:+543517371862</x:v>
      </x:c>
      <x:c r="Y174" s="135" t="str">
        <x:v>tel:+543517371862</x:v>
      </x:c>
      <x:c r="Z174" s="135" t="str">
        <x:v>Validar contacto decisor y necesidad inmediata.</x:v>
      </x:c>
      <x:c r="AA174" s="135" t="str">
        <x:v>https://www.google.com/maps/search/?api=1&amp;query=-33.105000,-64.335000</x:v>
      </x:c>
      <x:c r="AB174" s="135" t="str">
        <x:v>Facebook AFEMA</x:v>
      </x:c>
      <x:c r="AC174" s="135"/>
      <x:c r="AD174" s="135" t="str">
        <x:v>Registro curado en documento de dirección PRESOL 2026-09.</x:v>
      </x:c>
      <x:c r="AE174" s="135" t="str">
        <x:v>Alta</x:v>
      </x:c>
      <x:c r="AF174" s="135" t="str">
        <x:v>Base curada PDF dirección</x:v>
      </x:c>
      <x:c r="AG174" s="135" t="str">
        <x:v>transporte de áridos/materiales | hidrogrúa para carga/descarga | percha para pallets/bolsones</x:v>
      </x:c>
      <x:c r="AH174" s="135" t="str">
        <x:v>otro rubro factible</x:v>
      </x:c>
      <x:c r="AI174" s="135"/>
      <x:c r="AJ174" s="135" t="str">
        <x:v>Muy alta</x:v>
      </x:c>
      <x:c r="AK174" s="135"/>
      <x:c r="AL174" s="135" t="str">
        <x:v>GPT adjunto + Hermes</x:v>
      </x:c>
      <x:c r="AM174" s="135" t="str">
        <x:v>Fusionado con base Hermes para completar teléfonos/fuentes/servicios.</x:v>
      </x:c>
    </x:row>
    <x:row r="175" ht="48">
      <x:c r="A175" s="136" t="str">
        <x:v>RC-034</x:v>
      </x:c>
      <x:c r="B175" s="136" t="str">
        <x:v>Pendiente</x:v>
      </x:c>
      <x:c r="C175" s="136" t="str">
        <x:v>Río Cuarto / RN36 sur</x:v>
      </x:c>
      <x:c r="D175" s="136" t="str">
        <x:v>Río Cuarto / corredor agro</x:v>
      </x:c>
      <x:c r="E175" s="136" t="str">
        <x:v>Río Cuarto</x:v>
      </x:c>
      <x:c r="F175" s="136" t="str">
        <x:v>A</x:v>
      </x:c>
      <x:c r="G175" s="136" t="n">
        <x:v>100</x:v>
      </x:c>
      <x:c r="H175" s="136" t="str">
        <x:v>AgroBigo Maquinarias</x:v>
      </x:c>
      <x:c r="I175" s="136" t="str">
        <x:v>Concesionario oficial Chery / Ascanelli / tractores e implementos</x:v>
      </x:c>
      <x:c r="J175" s="136" t="str">
        <x:v>Maquinaria agrícola</x:v>
      </x:c>
      <x:c r="K175" s="136" t="str">
        <x:v>0358 4335762</x:v>
      </x:c>
      <x:c r="L175" s="136" t="str">
        <x:v>Verificar</x:v>
      </x:c>
      <x:c r="M175" s="136" t="str">
        <x:v>logística / entregas / usados / postventa / gerente comercial</x:v>
      </x:c>
      <x:c r="N175" s="136" t="str">
        <x:v>Entrega y retiro de tractores, cosechadoras, pulverizadoras, sembradoras e implementos; movimientos por ventas, canjes, usados, service, demostraciones y ferias.</x:v>
      </x:c>
      <x:c r="O175" s="136" t="str">
        <x:v>Plataforma 20 tn para equipos e implementos + malacate/hidrogrúa según maniobra + seguro de carga + trazabilidad GPS + coordinación de entrega.</x:v>
      </x:c>
      <x:c r="P175" s="136" t="str">
        <x:v>Tercerizar entregas y retiros para no inmovilizar flota propia; absorber picos de campaña, ventas, canjes y service fuera de zona con un proveedor regional.</x:v>
      </x:c>
      <x:c r="Q175" s="136" t="str">
        <x:v>Llamada prioritaria; pedir por logística/ventas/postventa y consultar cómo resuelven hoy el próximo equipo a entregar o retirar.</x:v>
      </x:c>
      <x:c r="R175" s="136"/>
      <x:c r="S175" s="158" t="str">
        <x:f>IFERROR(T(INDEX('Prospectos Resumen'!$K$9:$K$295,MATCH(A175,'Prospectos Resumen'!$A$9:$A$295,0))),"")</x:f>
      </x:c>
      <x:c r="T175" s="136"/>
      <x:c r="U175" s="136"/>
      <x:c r="V175" s="136"/>
      <x:c r="W175" s="136"/>
      <x:c r="X175" s="136" t="str">
        <x:v>tel:+543584335762</x:v>
      </x:c>
      <x:c r="Y175" s="136" t="str">
        <x:v>tel:+543584335762</x:v>
      </x:c>
      <x:c r="Z175" s="136" t="str">
        <x:v>Relevar/confirmar teléfono directo de ventas o logística y validar decisor de entregas.</x:v>
      </x:c>
      <x:c r="AA175" s="136" t="str">
        <x:v>https://www.google.com/maps/search/?api=1&amp;query=AgroBigo+Maquinarias+R%C3%ADo+Cuarto+C%C3%B3rdoba+Argentina</x:v>
      </x:c>
      <x:c r="AB175" s="136" t="str">
        <x:v>Valor Agregado Agro / Expo Rural Río Cuarto 2026</x:v>
      </x:c>
      <x:c r="AC175" s="136" t="str">
        <x:v>https://www.valoragregadoagro.com/2026/09/04/agro-bigo-tractor-260-hp-rural-rio-cuarto/</x:v>
      </x:c>
      <x:c r="AD175" s="136" t="str">
        <x:v>En septiembre de 2026 se presenta como concesionario oficial Chery y Ascanelli en Río Cuarto, con tractores de hasta 260 HP y servicio posventa.</x:v>
      </x:c>
      <x:c r="AE175" s="136" t="str">
        <x:v>Alta</x:v>
      </x:c>
      <x:c r="AF175" s="136" t="str">
        <x:v>Rastrillaje concesionarios agro 2026-09-07</x:v>
      </x:c>
      <x:c r="AG175" s="136" t="str">
        <x:v>plataforma 20 tn para maquinaria agrícola | hidrogrúa para maniobras | malacate | seguro de carga | trazabilidad GPS | coordinación de entregas</x:v>
      </x:c>
      <x:c r="AH175" s="136" t="str">
        <x:v>concesionario agro / maquinaria agrícola</x:v>
      </x:c>
      <x:c r="AI175" s="136" t="str">
        <x:v>Sí</x:v>
      </x:c>
      <x:c r="AJ175" s="136" t="str">
        <x:v>Muy alta</x:v>
      </x:c>
      <x:c r="AK175" s="136" t="str">
        <x:v>Concesionario: preguntar específicamente cómo resuelven entregas, retiros de usados, canjes, service fuera de zona y traslados a exposiciones.</x:v>
      </x:c>
      <x:c r="AL175" s="136" t="str">
        <x:v>Rastrillaje concesionarios agro 2026-09-07</x:v>
      </x:c>
      <x:c r="AM175" s="136" t="str">
        <x:v>Alta nueva del barrido específico de concesionarios, sucursales y multimarca agro; cruzada contra la base maestra para evitar duplicados.</x:v>
      </x:c>
    </x:row>
    <x:row r="176" ht="36">
      <x:c r="A176" s="135" t="str">
        <x:v>RC-002</x:v>
      </x:c>
      <x:c r="B176" s="135" t="str">
        <x:v>Pendiente</x:v>
      </x:c>
      <x:c r="C176" s="135" t="str">
        <x:v>Río Cuarto / RN36 sur</x:v>
      </x:c>
      <x:c r="D176" s="135" t="str">
        <x:v>Río Cuarto</x:v>
      </x:c>
      <x:c r="E176" s="135" t="str">
        <x:v>Río Cuarto</x:v>
      </x:c>
      <x:c r="F176" s="135" t="str">
        <x:v>A</x:v>
      </x:c>
      <x:c r="G176" s="135" t="n">
        <x:v>100</x:v>
      </x:c>
      <x:c r="H176" s="135" t="str">
        <x:v>Canteras Bringas</x:v>
      </x:c>
      <x:c r="I176" s="135" t="str">
        <x:v>Áridos / hormigón / obra pública</x:v>
      </x:c>
      <x:c r="J176" s="135" t="str">
        <x:v>Hormigón, áridos y materiales</x:v>
      </x:c>
      <x:c r="K176" s="135" t="str">
        <x:v>0358 154906010</x:v>
      </x:c>
      <x:c r="L176" s="135" t="str">
        <x:v>OK</x:v>
      </x:c>
      <x:c r="M176" s="135" t="str">
        <x:v>jefe de obra / logística</x:v>
      </x:c>
      <x:c r="N176" s="135" t="str">
        <x:v>Movimiento de premoldeados, equipos de planta/cantera, bombas, moldes y cargas pesadas.</x:v>
      </x:c>
      <x:c r="O176" s="135" t="str">
        <x:v>Transporte de equipos, módulos de obrador, estructuras y materiales pesados; descarga o posicionamiento cuando aplique.</x:v>
      </x:c>
      <x:c r="P176" s="135" t="str">
        <x:v>Pegada a Circunvalación: muy caliente para obra vial.</x:v>
      </x:c>
      <x:c r="Q176" s="135" t="str">
        <x:v>Visita o llamada de validación; pedir próximo traslado concreto.</x:v>
      </x:c>
      <x:c r="R176" s="135"/>
      <x:c r="S176" s="158" t="str">
        <x:f>IFERROR(T(INDEX('Prospectos Resumen'!$K$9:$K$295,MATCH(A176,'Prospectos Resumen'!$A$9:$A$295,0))),"")</x:f>
      </x:c>
      <x:c r="T176" s="135"/>
      <x:c r="U176" s="135"/>
      <x:c r="V176" s="135"/>
      <x:c r="W176" s="135"/>
      <x:c r="X176" s="135" t="str">
        <x:v>tel:+5493584906010</x:v>
      </x:c>
      <x:c r="Y176" s="135" t="str">
        <x:v>tel:+5493584906010</x:v>
      </x:c>
      <x:c r="Z176" s="135" t="str">
        <x:v>Validar contacto decisor y necesidad inmediata.</x:v>
      </x:c>
      <x:c r="AA176" s="135" t="str">
        <x:v>https://www.google.com/maps/search/?api=1&amp;query=-33.145000,-64.425000</x:v>
      </x:c>
      <x:c r="AB176" s="135" t="str">
        <x:v>gurugo.com.ar / canterasbringas.ar</x:v>
      </x:c>
      <x:c r="AC176" s="135"/>
      <x:c r="AD176" s="135" t="str">
        <x:v>Registro curado en documento de dirección PRESOL 2026-09.</x:v>
      </x:c>
      <x:c r="AE176" s="135" t="str">
        <x:v>Alta</x:v>
      </x:c>
      <x:c r="AF176" s="135" t="str">
        <x:v>Base curada PDF dirección</x:v>
      </x:c>
      <x:c r="AG176" s="135" t="str">
        <x:v>transporte de áridos/materiales | hidrogrúa para carga/descarga | percha para pallets/bolsones</x:v>
      </x:c>
      <x:c r="AH176" s="135" t="str">
        <x:v>áridos/construcción/premoldeados</x:v>
      </x:c>
      <x:c r="AI176" s="135"/>
      <x:c r="AJ176" s="135" t="str">
        <x:v>Muy alta</x:v>
      </x:c>
      <x:c r="AK176" s="135" t="str">
        <x:v>Áridos/materiales: confirmar modalidad de carga/descarga y tipo de unidad requerida antes de cotizar.</x:v>
      </x:c>
      <x:c r="AL176" s="135" t="str">
        <x:v>GPT adjunto + Hermes</x:v>
      </x:c>
      <x:c r="AM176" s="135" t="str">
        <x:v>Fusionado con base Hermes para completar teléfonos/fuentes/servicios.</x:v>
      </x:c>
    </x:row>
    <x:row r="177" ht="36">
      <x:c r="A177" s="6" t="str">
        <x:v>RC-003</x:v>
      </x:c>
      <x:c r="B177" s="6" t="str">
        <x:v>Pendiente</x:v>
      </x:c>
      <x:c r="C177" s="6" t="str">
        <x:v>Río Cuarto / RN36 sur</x:v>
      </x:c>
      <x:c r="D177" s="6" t="str">
        <x:v>Río Cuarto</x:v>
      </x:c>
      <x:c r="E177" s="6" t="str">
        <x:v>Río Cuarto</x:v>
      </x:c>
      <x:c r="F177" s="6" t="str">
        <x:v>A</x:v>
      </x:c>
      <x:c r="G177" s="6" t="n">
        <x:v>100</x:v>
      </x:c>
      <x:c r="H177" s="6" t="str">
        <x:v>CasaContainer Río Cuarto</x:v>
      </x:c>
      <x:c r="I177" s="6" t="str">
        <x:v>Módulos / containers</x:v>
      </x:c>
      <x:c r="J177" s="6" t="str">
        <x:v>Módulos y contenedores</x:v>
      </x:c>
      <x:c r="K177" s="6" t="str">
        <x:v>0358 4310288</x:v>
      </x:c>
      <x:c r="L177" s="6" t="str">
        <x:v>OK</x:v>
      </x:c>
      <x:c r="M177" s="6" t="str">
        <x:v>operaciones / entregas</x:v>
      </x:c>
      <x:c r="N177" s="6" t="str">
        <x:v>Entrega, descarga y posicionamiento de módulos/containers en obra o cliente final.</x:v>
      </x:c>
      <x:c r="O177" s="6" t="str">
        <x:v>Entrega y descarga de módulos/containers con plataforma, malacate e hidrogrúa según maniobra.</x:v>
      </x:c>
      <x:c r="P177" s="6" t="str">
        <x:v>Ellos venden “te lo llevamos”; PRESOL puede ser proveedor logístico.</x:v>
      </x:c>
      <x:c r="Q177" s="6" t="str">
        <x:v>Visita o llamada de validación; pedir próximo traslado concreto.</x:v>
      </x:c>
      <x:c r="R177" s="6"/>
      <x:c r="S177" s="159" t="str">
        <x:f>IFERROR(T(INDEX('Prospectos Resumen'!$K$9:$K$295,MATCH(A177,'Prospectos Resumen'!$A$9:$A$295,0))),"")</x:f>
      </x:c>
      <x:c r="T177" s="6"/>
      <x:c r="U177" s="6"/>
      <x:c r="V177" s="6"/>
      <x:c r="W177" s="6"/>
      <x:c r="X177" s="6" t="str">
        <x:v>tel:+543584310288</x:v>
      </x:c>
      <x:c r="Y177" s="6" t="str">
        <x:v>tel:+543584310288</x:v>
      </x:c>
      <x:c r="Z177" s="6" t="str">
        <x:v>Validar contacto decisor y necesidad inmediata.</x:v>
      </x:c>
      <x:c r="AA177" s="6" t="str">
        <x:v>https://www.google.com/maps/search/?api=1&amp;query=-33.118737,-64.382102</x:v>
      </x:c>
      <x:c r="AB177" s="6" t="str">
        <x:v>Facebook CasaContainer</x:v>
      </x:c>
      <x:c r="AC177" s="6"/>
      <x:c r="AD177" s="6" t="str">
        <x:v>Registro curado en documento de dirección PRESOL 2026-09.</x:v>
      </x:c>
      <x:c r="AE177" s="6" t="str">
        <x:v>Alta</x:v>
      </x:c>
      <x:c r="AF177" s="6" t="str">
        <x:v>Base curada PDF dirección</x:v>
      </x:c>
      <x:c r="AG177" s="6" t="str">
        <x:v>transporte de áridos/materiales | hidrogrúa para carga/descarga | percha para pallets/bolsones</x:v>
      </x:c>
      <x:c r="AH177" s="6" t="str">
        <x:v>otro rubro factible</x:v>
      </x:c>
      <x:c r="AI177" s="6"/>
      <x:c r="AJ177" s="6" t="str">
        <x:v>Muy alta</x:v>
      </x:c>
      <x:c r="AK177" s="6"/>
      <x:c r="AL177" s="6" t="str">
        <x:v>GPT adjunto + Hermes</x:v>
      </x:c>
      <x:c r="AM177" s="6" t="str">
        <x:v>Fusionado con base Hermes para completar teléfonos/fuentes/servicios.</x:v>
      </x:c>
    </x:row>
    <x:row r="178" ht="36">
      <x:c r="A178" s="135" t="str">
        <x:v>RC-018</x:v>
      </x:c>
      <x:c r="B178" s="135" t="str">
        <x:v>Pendiente</x:v>
      </x:c>
      <x:c r="C178" s="135" t="str">
        <x:v>Río Cuarto / RN36 sur</x:v>
      </x:c>
      <x:c r="D178" s="135" t="str">
        <x:v>Río Cuarto</x:v>
      </x:c>
      <x:c r="E178" s="135" t="str">
        <x:v>Río Cuarto</x:v>
      </x:c>
      <x:c r="F178" s="135" t="str">
        <x:v>A</x:v>
      </x:c>
      <x:c r="G178" s="135" t="n">
        <x:v>100</x:v>
      </x:c>
      <x:c r="H178" s="135" t="str">
        <x:v>Catpro Maquinarias</x:v>
      </x:c>
      <x:c r="I178" s="135" t="str">
        <x:v>Concesionario oficial New Holland / tractores, cosechadoras e implementos</x:v>
      </x:c>
      <x:c r="J178" s="135" t="str">
        <x:v>Maquinaria agrícola</x:v>
      </x:c>
      <x:c r="K178" s="135" t="str">
        <x:v>0358 4650092 / 0358 4632206</x:v>
      </x:c>
      <x:c r="L178" s="135" t="str">
        <x:v>OK</x:v>
      </x:c>
      <x:c r="M178" s="135" t="str">
        <x:v>logística / ventas / postventa</x:v>
      </x:c>
      <x:c r="N178" s="135" t="str">
        <x:v>Entrega y retiro de tractores, cosechadoras, pulverizadoras, sembradoras e implementos; movimientos por venta, service, canje, demostraciones o ferias.</x:v>
      </x:c>
      <x:c r="O178" s="135" t="str">
        <x:v>Plataforma 20 tn para maquinaria agrícola + malacate/hidrogrúa según maniobra + seguro de carga + trazabilidad GPS.</x:v>
      </x:c>
      <x:c r="P178" s="135" t="str">
        <x:v>Ofrecer transporte tercerizado para entregas a clientes y retiros de usados/service, especialmente en picos de campaña y operaciones fuera de zona.</x:v>
      </x:c>
      <x:c r="Q178" s="135" t="str">
        <x:v>Llamada comercial prioritaria; pedir por logística/ventas/postventa y consultar próximo equipo a trasladar.</x:v>
      </x:c>
      <x:c r="R178" s="135"/>
      <x:c r="S178" s="158" t="str">
        <x:f>IFERROR(T(INDEX('Prospectos Resumen'!$K$9:$K$295,MATCH(A178,'Prospectos Resumen'!$A$9:$A$295,0))),"")</x:f>
      </x:c>
      <x:c r="T178" s="135"/>
      <x:c r="U178" s="135"/>
      <x:c r="V178" s="135"/>
      <x:c r="W178" s="135"/>
      <x:c r="X178" s="135" t="str">
        <x:v>tel:+543584650092</x:v>
      </x:c>
      <x:c r="Y178" s="135" t="str">
        <x:v>tel:+543584650092</x:v>
      </x:c>
      <x:c r="Z178" s="135" t="str">
        <x:v>Confirmar decisor y frecuencia de traslados.</x:v>
      </x:c>
      <x:c r="AA178" s="135" t="str">
        <x:v>https://www.google.com/maps/search/?api=1&amp;query=Catpro+Maquinarias+R%C3%ADo+Cuarto+C%C3%B3rdoba+Argentina</x:v>
      </x:c>
      <x:c r="AB178" s="135" t="str">
        <x:v>Web oficial Catpro</x:v>
      </x:c>
      <x:c r="AC178" s="135" t="str">
        <x:v>https://www.catprosa.com.ar/index.php/empresa</x:v>
      </x:c>
      <x:c r="AD178" s="135" t="str">
        <x:v>Concesionario oficial New Holland en Río Cuarto; vende tractores, cosechadoras, pulverizadoras e implementos.</x:v>
      </x:c>
      <x:c r="AE178" s="135" t="str">
        <x:v>Alta</x:v>
      </x:c>
      <x:c r="AF178" s="135" t="str">
        <x:v>Rastrillaje agro-maquinaria web 2026-09-07</x:v>
      </x:c>
      <x:c r="AG178" s="135" t="str">
        <x:v>plataforma 20 tn para maquinaria/implementos | hidrogrúa para maniobras | malacate | seguro de carga | trazabilidad GPS</x:v>
      </x:c>
      <x:c r="AH178" s="135" t="str">
        <x:v>fabricante/concesionario/servicio maquinaria agrícola</x:v>
      </x:c>
      <x:c r="AI178" s="135" t="str">
        <x:v>Sí</x:v>
      </x:c>
      <x:c r="AJ178" s="135" t="str">
        <x:v>Muy alta</x:v>
      </x:c>
      <x:c r="AK178" s="135" t="str">
        <x:v>Perfil específico maquinaria agrícola: validar pesos/dimensiones, tipo de carga y disponibilidad de medios de izaje antes de cotizar.</x:v>
      </x:c>
      <x:c r="AL178" s="135" t="str">
        <x:v>Rastrillaje agro-maquinaria 2026-09-07</x:v>
      </x:c>
      <x:c r="AM178" s="135" t="str">
        <x:v>Alta nueva luego de barrido específico de fabricantes, implementos, tractores, concesionarios y agropartes; cruzada contra la base maestra para evitar duplicados.</x:v>
      </x:c>
    </x:row>
    <x:row r="179" ht="36">
      <x:c r="A179" s="136" t="str">
        <x:v>RC-004</x:v>
      </x:c>
      <x:c r="B179" s="136" t="str">
        <x:v>Pendiente</x:v>
      </x:c>
      <x:c r="C179" s="136" t="str">
        <x:v>Río Cuarto / RN36 sur</x:v>
      </x:c>
      <x:c r="D179" s="136" t="str">
        <x:v>Río Cuarto</x:v>
      </x:c>
      <x:c r="E179" s="136" t="str">
        <x:v>Río Cuarto</x:v>
      </x:c>
      <x:c r="F179" s="136" t="str">
        <x:v>A</x:v>
      </x:c>
      <x:c r="G179" s="136" t="n">
        <x:v>100</x:v>
      </x:c>
      <x:c r="H179" s="136" t="str">
        <x:v>Construcciones Metálicas El Colono S.A.</x:v>
      </x:c>
      <x:c r="I179" s="136" t="str">
        <x:v>Estructuras metálicas / silos</x:v>
      </x:c>
      <x:c r="J179" s="136" t="str">
        <x:v>Metalúrgica y fabricación</x:v>
      </x:c>
      <x:c r="K179" s="136" t="str">
        <x:v>0358 4628525</x:v>
      </x:c>
      <x:c r="L179" s="136" t="str">
        <x:v>OK</x:v>
      </x:c>
      <x:c r="M179" s="136" t="str">
        <x:v>jefe de obra / logística</x:v>
      </x:c>
      <x:c r="N179" s="136" t="str">
        <x:v>Traslado de equipos de planta, silos, repuestos pesados, balanzas, implementos y cargas especiales.</x:v>
      </x:c>
      <x:c r="O179" s="136" t="str">
        <x:v>Transporte de equipos, módulos de obrador, estructuras y materiales pesados; descarga o posicionamiento cuando aplique.</x:v>
      </x:c>
      <x:c r="P179" s="136" t="str">
        <x:v>Uno de los mejores encajes; pedir despacho/montaje.</x:v>
      </x:c>
      <x:c r="Q179" s="136" t="str">
        <x:v>Visita o llamada de validación; pedir próximo traslado concreto.</x:v>
      </x:c>
      <x:c r="R179" s="136"/>
      <x:c r="S179" s="158" t="str">
        <x:f>IFERROR(T(INDEX('Prospectos Resumen'!$K$9:$K$295,MATCH(A179,'Prospectos Resumen'!$A$9:$A$295,0))),"")</x:f>
      </x:c>
      <x:c r="T179" s="136"/>
      <x:c r="U179" s="136"/>
      <x:c r="V179" s="136"/>
      <x:c r="W179" s="136"/>
      <x:c r="X179" s="136" t="str">
        <x:v>tel:+543584628525</x:v>
      </x:c>
      <x:c r="Y179" s="136" t="str">
        <x:v>tel:+543584628525</x:v>
      </x:c>
      <x:c r="Z179" s="136" t="str">
        <x:v>Validar contacto decisor y necesidad inmediata.</x:v>
      </x:c>
      <x:c r="AA179" s="136" t="str">
        <x:v>https://www.google.com/maps/search/?api=1&amp;query=-33.151690,-64.357888</x:v>
      </x:c>
      <x:c r="AB179" s="136" t="str">
        <x:v>elcolonosa.com.ar / Facebook</x:v>
      </x:c>
      <x:c r="AC179" s="136"/>
      <x:c r="AD179" s="136" t="str">
        <x:v>Registro curado en documento de dirección PRESOL 2026-09.</x:v>
      </x:c>
      <x:c r="AE179" s="136" t="str">
        <x:v>Alta</x:v>
      </x:c>
      <x:c r="AF179" s="136" t="str">
        <x:v>Base curada PDF dirección</x:v>
      </x:c>
      <x:c r="AG179" s="136" t="str">
        <x:v>transporte de áridos/materiales | hidrogrúa para carga/descarga | percha para pallets/bolsones | plataforma 20 tn para maquinaria/piezas | hidrogrúa para maniobras | percha para pallets</x:v>
      </x:c>
      <x:c r="AH179" s="136" t="str">
        <x:v>otro rubro factible</x:v>
      </x:c>
      <x:c r="AI179" s="136"/>
      <x:c r="AJ179" s="136" t="str">
        <x:v>Muy alta</x:v>
      </x:c>
      <x:c r="AK179" s="136"/>
      <x:c r="AL179" s="136" t="str">
        <x:v>GPT adjunto + Hermes</x:v>
      </x:c>
      <x:c r="AM179" s="136" t="str">
        <x:v>Fusionado con base Hermes para completar teléfonos/fuentes/servicios.</x:v>
      </x:c>
    </x:row>
    <x:row r="180" ht="36">
      <x:c r="A180" s="135" t="str">
        <x:v>RC-005</x:v>
      </x:c>
      <x:c r="B180" s="135" t="str">
        <x:v>Pendiente</x:v>
      </x:c>
      <x:c r="C180" s="135" t="str">
        <x:v>Río Cuarto / RN36 sur</x:v>
      </x:c>
      <x:c r="D180" s="135" t="str">
        <x:v>Río Cuarto</x:v>
      </x:c>
      <x:c r="E180" s="135" t="str">
        <x:v>Río Cuarto</x:v>
      </x:c>
      <x:c r="F180" s="135" t="str">
        <x:v>A</x:v>
      </x:c>
      <x:c r="G180" s="135" t="n">
        <x:v>100</x:v>
      </x:c>
      <x:c r="H180" s="135" t="str">
        <x:v>Da Ros Premoldeados</x:v>
      </x:c>
      <x:c r="I180" s="135" t="str">
        <x:v>Premoldeados de hormigón / agro e industria</x:v>
      </x:c>
      <x:c r="J180" s="135" t="str">
        <x:v>Agro, acopio y cooperativas</x:v>
      </x:c>
      <x:c r="K180" s="135" t="str">
        <x:v>+54 358 508-9009</x:v>
      </x:c>
      <x:c r="L180" s="135" t="str">
        <x:v>OK</x:v>
      </x:c>
      <x:c r="M180" s="135" t="str">
        <x:v>despacho / logística</x:v>
      </x:c>
      <x:c r="N180" s="135" t="str">
        <x:v>Traslado de equipos de planta, silos, repuestos pesados, balanzas, implementos y cargas especiales.</x:v>
      </x:c>
      <x:c r="O180" s="135" t="str">
        <x:v>Transporte de repuestos/equipos/silos/implementos + coordinación de retiro y descarga.</x:v>
      </x:c>
      <x:c r="P180" s="135" t="str">
        <x:v>Premoldeados con productos agro e industriales y envío propio; PRESOL puede ofrecer refuerzo o traslados especiales.</x:v>
      </x:c>
      <x:c r="Q180" s="135" t="str">
        <x:v>Validar teléfono/contacto; si responde, pedir un caso concreto de traslado o próximo movimiento.</x:v>
      </x:c>
      <x:c r="R180" s="135"/>
      <x:c r="S180" s="158" t="str">
        <x:f>IFERROR(T(INDEX('Prospectos Resumen'!$K$9:$K$295,MATCH(A180,'Prospectos Resumen'!$A$9:$A$295,0))),"")</x:f>
      </x:c>
      <x:c r="T180" s="135"/>
      <x:c r="U180" s="135"/>
      <x:c r="V180" s="135"/>
      <x:c r="W180" s="135"/>
      <x:c r="X180" s="135" t="str">
        <x:v>tel:+543585089009</x:v>
      </x:c>
      <x:c r="Y180" s="135" t="str">
        <x:v>tel:+543585089009</x:v>
      </x:c>
      <x:c r="Z180" s="135" t="str">
        <x:v>Confirmar decisor y vigencia del dato antes de incluir en salida prioritaria.</x:v>
      </x:c>
      <x:c r="AA180" s="135" t="str">
        <x:v>https://www.google.com/maps/search/?api=1&amp;query=Da+Ros+Premoldeados+R%C3%ADo+Cuarto+C%C3%B3rdoba+Argentina</x:v>
      </x:c>
      <x:c r="AB180" s="135" t="str">
        <x:v>Web propia Da Ros Premoldeados</x:v>
      </x:c>
      <x:c r="AC180" s="135" t="str">
        <x:v>https://www.darospremoldeados.com.ar</x:v>
      </x:c>
      <x:c r="AD180" s="135" t="str">
        <x:v>Sitio propio informa 100 años, productos agro/industria, envío propio, teléfono y dirección.</x:v>
      </x:c>
      <x:c r="AE180" s="135" t="str">
        <x:v>Alta</x:v>
      </x:c>
      <x:c r="AF180" s="135" t="str">
        <x:v>Nuevo enriquecimiento 2026-09-02</x:v>
      </x:c>
      <x:c r="AG180" s="135" t="str">
        <x:v>transporte de áridos/materiales | hidrogrúa para carga/descarga | percha para pallets/bolsones | plataforma 20 tn para maquinaria/piezas | hidrogrúa para maniobras | percha para pallets</x:v>
      </x:c>
      <x:c r="AH180" s="135" t="str">
        <x:v>áridos/construcción/premoldeados</x:v>
      </x:c>
      <x:c r="AI180" s="135"/>
      <x:c r="AJ180" s="135" t="str">
        <x:v>Muy alta</x:v>
      </x:c>
      <x:c r="AK180" s="135" t="str">
        <x:v>Áridos/materiales: confirmar modalidad de carga/descarga y tipo de unidad requerida antes de cotizar. Percha pallets: útil para insumos, bolsones, repuestos y materiales palletizados.</x:v>
      </x:c>
      <x:c r="AL180" s="135" t="str">
        <x:v>GPT adjunto + Hermes</x:v>
      </x:c>
      <x:c r="AM180" s="135" t="str">
        <x:v>Fusionado con base Hermes para completar teléfonos/fuentes/servicios.</x:v>
      </x:c>
    </x:row>
    <x:row r="181" ht="36">
      <x:c r="A181" s="6" t="str">
        <x:v>RC-035</x:v>
      </x:c>
      <x:c r="B181" s="6" t="str">
        <x:v>Pendiente</x:v>
      </x:c>
      <x:c r="C181" s="6" t="str">
        <x:v>Río Cuarto / RN36 sur</x:v>
      </x:c>
      <x:c r="D181" s="6" t="str">
        <x:v>Río Cuarto / corredor agro</x:v>
      </x:c>
      <x:c r="E181" s="6" t="str">
        <x:v>Río Cuarto</x:v>
      </x:c>
      <x:c r="F181" s="6" t="str">
        <x:v>A</x:v>
      </x:c>
      <x:c r="G181" s="6" t="n">
        <x:v>100</x:v>
      </x:c>
      <x:c r="H181" s="6" t="str">
        <x:v>Demarchi S.A.</x:v>
      </x:c>
      <x:c r="I181" s="6" t="str">
        <x:v>Concesionario Valtra / tractores / maquinaria agrícola / repuestos / servicio técnico</x:v>
      </x:c>
      <x:c r="J181" s="6" t="str">
        <x:v>Maquinaria agrícola</x:v>
      </x:c>
      <x:c r="K181" s="6" t="str">
        <x:v>0358 4010714</x:v>
      </x:c>
      <x:c r="L181" s="6" t="str">
        <x:v>OK</x:v>
      </x:c>
      <x:c r="M181" s="6" t="str">
        <x:v>logística / entregas / usados / postventa / gerente comercial</x:v>
      </x:c>
      <x:c r="N181" s="6" t="str">
        <x:v>Entrega y retiro de tractores, cosechadoras, pulverizadoras, sembradoras e implementos; movimientos por ventas, canjes, usados, service, demostraciones y ferias.</x:v>
      </x:c>
      <x:c r="O181" s="6" t="str">
        <x:v>Plataforma 20 tn para equipos e implementos + malacate/hidrogrúa según maniobra + seguro de carga + trazabilidad GPS + coordinación de entrega.</x:v>
      </x:c>
      <x:c r="P181" s="6" t="str">
        <x:v>Tercerizar entregas y retiros para no inmovilizar flota propia; absorber picos de campaña, ventas, canjes y service fuera de zona con un proveedor regional.</x:v>
      </x:c>
      <x:c r="Q181" s="6" t="str">
        <x:v>Llamada prioritaria; pedir por logística/ventas/postventa y consultar cómo resuelven hoy el próximo equipo a entregar o retirar.</x:v>
      </x:c>
      <x:c r="R181" s="6"/>
      <x:c r="S181" s="159" t="str">
        <x:f>IFERROR(T(INDEX('Prospectos Resumen'!$K$9:$K$295,MATCH(A181,'Prospectos Resumen'!$A$9:$A$295,0))),"")</x:f>
      </x:c>
      <x:c r="T181" s="6"/>
      <x:c r="U181" s="6"/>
      <x:c r="V181" s="6"/>
      <x:c r="W181" s="6"/>
      <x:c r="X181" s="6" t="str">
        <x:v>tel:+543584010714</x:v>
      </x:c>
      <x:c r="Y181" s="6" t="str">
        <x:v>tel:+543584010714</x:v>
      </x:c>
      <x:c r="Z181" s="6" t="str">
        <x:v>Confirmar decisor de logística/entregas y frecuencia mensual de movimientos de equipos.</x:v>
      </x:c>
      <x:c r="AA181" s="6" t="str">
        <x:v>https://www.google.com/maps/search/?api=1&amp;query=Demarchi+S.A.+R%C3%ADo+Cuarto+C%C3%B3rdoba+Argentina</x:v>
      </x:c>
      <x:c r="AB181" s="6" t="str">
        <x:v>Web oficial Demarchi</x:v>
      </x:c>
      <x:c r="AC181" s="6" t="str">
        <x:v>https://www.demarchi.com.ar/es/quienes-somos/</x:v>
      </x:c>
      <x:c r="AD181" s="6" t="str">
        <x:v>Concesionario Valtra de larga trayectoria en Río Cuarto; concentra venta de maquinaria, repuestos y servicio técnico.</x:v>
      </x:c>
      <x:c r="AE181" s="6" t="str">
        <x:v>Alta</x:v>
      </x:c>
      <x:c r="AF181" s="6" t="str">
        <x:v>Rastrillaje concesionarios agro 2026-09-07</x:v>
      </x:c>
      <x:c r="AG181" s="6" t="str">
        <x:v>plataforma 20 tn para maquinaria agrícola | hidrogrúa para maniobras | malacate | seguro de carga | trazabilidad GPS | coordinación de entregas</x:v>
      </x:c>
      <x:c r="AH181" s="6" t="str">
        <x:v>concesionario agro / maquinaria agrícola</x:v>
      </x:c>
      <x:c r="AI181" s="6" t="str">
        <x:v>Sí</x:v>
      </x:c>
      <x:c r="AJ181" s="6" t="str">
        <x:v>Muy alta</x:v>
      </x:c>
      <x:c r="AK181" s="6" t="str">
        <x:v>Concesionario: preguntar específicamente cómo resuelven entregas, retiros de usados, canjes, service fuera de zona y traslados a exposiciones.</x:v>
      </x:c>
      <x:c r="AL181" s="6" t="str">
        <x:v>Rastrillaje concesionarios agro 2026-09-07</x:v>
      </x:c>
      <x:c r="AM181" s="6" t="str">
        <x:v>Alta nueva del barrido específico de concesionarios, sucursales y multimarca agro; cruzada contra la base maestra para evitar duplicados.</x:v>
      </x:c>
    </x:row>
    <x:row r="182" ht="36">
      <x:c r="A182" s="135" t="str">
        <x:v>RC-006</x:v>
      </x:c>
      <x:c r="B182" s="135" t="str">
        <x:v>Pendiente</x:v>
      </x:c>
      <x:c r="C182" s="135" t="str">
        <x:v>Río Cuarto / RN36 sur</x:v>
      </x:c>
      <x:c r="D182" s="135" t="str">
        <x:v>Río Cuarto</x:v>
      </x:c>
      <x:c r="E182" s="135" t="str">
        <x:v>Río Cuarto</x:v>
      </x:c>
      <x:c r="F182" s="135" t="str">
        <x:v>A</x:v>
      </x:c>
      <x:c r="G182" s="135" t="n">
        <x:v>100</x:v>
      </x:c>
      <x:c r="H182" s="135" t="str">
        <x:v>Dexco Constructora</x:v>
      </x:c>
      <x:c r="I182" s="135" t="str">
        <x:v>Constructora local</x:v>
      </x:c>
      <x:c r="J182" s="135" t="str">
        <x:v>Construcción y obra vial</x:v>
      </x:c>
      <x:c r="K182" s="135" t="str">
        <x:v>0358 4640139 / 0358 154869634</x:v>
      </x:c>
      <x:c r="L182" s="135" t="str">
        <x:v>OK</x:v>
      </x:c>
      <x:c r="M182" s="135" t="str">
        <x:v>jefe de obra / logística</x:v>
      </x:c>
      <x:c r="N182" s="135" t="str">
        <x:v>Traslado de maquinaria, módulos de obrador, estructuras, equipos y cargas pesadas entre frentes.</x:v>
      </x:c>
      <x:c r="O182" s="135" t="str">
        <x:v>Transporte de equipos, módulos de obrador, estructuras y materiales pesados; descarga o posicionamiento cuando aplique.</x:v>
      </x:c>
      <x:c r="P182" s="135" t="str">
        <x:v>Tiene obras activas; pedir compras/operaciones.</x:v>
      </x:c>
      <x:c r="Q182" s="135" t="str">
        <x:v>Visita o llamada de validación; pedir próximo traslado concreto.</x:v>
      </x:c>
      <x:c r="R182" s="135"/>
      <x:c r="S182" s="158" t="str">
        <x:f>IFERROR(T(INDEX('Prospectos Resumen'!$K$9:$K$295,MATCH(A182,'Prospectos Resumen'!$A$9:$A$295,0))),"")</x:f>
      </x:c>
      <x:c r="T182" s="135"/>
      <x:c r="U182" s="135"/>
      <x:c r="V182" s="135"/>
      <x:c r="W182" s="135"/>
      <x:c r="X182" s="135" t="str">
        <x:v>tel:+543584640139</x:v>
      </x:c>
      <x:c r="Y182" s="135" t="str">
        <x:v>tel:+543584640139 | tel:+5493584869634</x:v>
      </x:c>
      <x:c r="Z182" s="135" t="str">
        <x:v>Validar contacto decisor y necesidad inmediata.</x:v>
      </x:c>
      <x:c r="AA182" s="135" t="str">
        <x:v>https://www.google.com/maps/search/?api=1&amp;query=-33.112715,-64.369622</x:v>
      </x:c>
      <x:c r="AB182" s="135" t="str">
        <x:v>constructoradexco.com/contacto</x:v>
      </x:c>
      <x:c r="AC182" s="135"/>
      <x:c r="AD182" s="135" t="str">
        <x:v>Registro curado en documento de dirección PRESOL 2026-09.</x:v>
      </x:c>
      <x:c r="AE182" s="135" t="str">
        <x:v>Alta</x:v>
      </x:c>
      <x:c r="AF182" s="135" t="str">
        <x:v>Base curada PDF dirección</x:v>
      </x:c>
      <x:c r="AG182" s="135" t="str">
        <x:v>transporte de áridos/materiales | hidrogrúa para carga/descarga | percha para pallets/bolsones</x:v>
      </x:c>
      <x:c r="AH182" s="135" t="str">
        <x:v>otro rubro factible</x:v>
      </x:c>
      <x:c r="AI182" s="135"/>
      <x:c r="AJ182" s="135" t="str">
        <x:v>Muy alta</x:v>
      </x:c>
      <x:c r="AK182" s="135"/>
      <x:c r="AL182" s="135" t="str">
        <x:v>GPT adjunto + Hermes</x:v>
      </x:c>
      <x:c r="AM182" s="135" t="str">
        <x:v>Fusionado con base Hermes para completar teléfonos/fuentes/servicios.</x:v>
      </x:c>
    </x:row>
    <x:row r="183" ht="48">
      <x:c r="A183" s="7" t="str">
        <x:v>RC-007</x:v>
      </x:c>
      <x:c r="B183" s="7" t="str">
        <x:v>Pendiente</x:v>
      </x:c>
      <x:c r="C183" s="7" t="str">
        <x:v>Río Cuarto / RN36 sur</x:v>
      </x:c>
      <x:c r="D183" s="7" t="str">
        <x:v>Río Cuarto / Holmberg / General Cabrera</x:v>
      </x:c>
      <x:c r="E183" s="7" t="str">
        <x:v>Río Cuarto</x:v>
      </x:c>
      <x:c r="F183" s="7" t="str">
        <x:v>A</x:v>
      </x:c>
      <x:c r="G183" s="7" t="n">
        <x:v>100</x:v>
      </x:c>
      <x:c r="H183" s="7" t="str">
        <x:v>INCISA S.A. — División Hormigones</x:v>
      </x:c>
      <x:c r="I183" s="7" t="str">
        <x:v>Hormigón elaborado / plantas y bombeo</x:v>
      </x:c>
      <x:c r="J183" s="7" t="str">
        <x:v>Hormigón, áridos y materiales</x:v>
      </x:c>
      <x:c r="K183" s="7" t="str">
        <x:v>3584 38 9870</x:v>
      </x:c>
      <x:c r="L183" s="7" t="str">
        <x:v>OK</x:v>
      </x:c>
      <x:c r="M183" s="7" t="str">
        <x:v>planta / mantenimiento / logística</x:v>
      </x:c>
      <x:c r="N183" s="7" t="str">
        <x:v>Movimiento de premoldeados, equipos de planta/cantera, bombas, moldes y cargas pesadas.</x:v>
      </x:c>
      <x:c r="O183" s="7" t="str">
        <x:v>Transporte de premoldeados/equipos; áridos sueltos solo sujeto a validar caja volcadora o tercerización.</x:v>
      </x:c>
      <x:c r="P183" s="7" t="str">
        <x:v>Dos plantas estratégicas y planta móvil; puede requerir traslados de equipos, bombas y apoyo en obras.</x:v>
      </x:c>
      <x:c r="Q183" s="7" t="str">
        <x:v>Validar teléfono/contacto; si responde, pedir un caso concreto de traslado o próximo movimiento.</x:v>
      </x:c>
      <x:c r="R183" s="7"/>
      <x:c r="S183" s="160" t="str">
        <x:f>IFERROR(T(INDEX('Prospectos Resumen'!$K$9:$K$295,MATCH(A183,'Prospectos Resumen'!$A$9:$A$295,0))),"")</x:f>
      </x:c>
      <x:c r="T183" s="7"/>
      <x:c r="U183" s="7"/>
      <x:c r="V183" s="7"/>
      <x:c r="W183" s="7"/>
      <x:c r="X183" s="7" t="str">
        <x:v>tel:+543584389870</x:v>
      </x:c>
      <x:c r="Y183" s="7" t="str">
        <x:v>tel:+543584389870</x:v>
      </x:c>
      <x:c r="Z183" s="7" t="str">
        <x:v>Confirmar decisor y vigencia del dato antes de incluir en salida prioritaria.</x:v>
      </x:c>
      <x:c r="AA183" s="7" t="str">
        <x:v>https://www.google.com/maps/search/?api=1&amp;query=INCISA+S.A.+%E2%80%94+Divisi%C3%B3n+Hormigones+R%C3%ADo+Cuarto+C%C3%B3rdoba+Argentina</x:v>
      </x:c>
      <x:c r="AB183" s="7" t="str">
        <x:v>Web propia INCISA</x:v>
      </x:c>
      <x:c r="AC183" s="7" t="str">
        <x:v>https://incisa-sa.com/division-hormigones</x:v>
      </x:c>
      <x:c r="AD183" s="7" t="str">
        <x:v>Sitio informa plantas Santa Catalina-Holmberg y General Cabrera, planta móvil, bombeo y teléfono de ventas.</x:v>
      </x:c>
      <x:c r="AE183" s="7" t="str">
        <x:v>Alta</x:v>
      </x:c>
      <x:c r="AF183" s="7" t="str">
        <x:v>Nuevo enriquecimiento 2026-09-02</x:v>
      </x:c>
      <x:c r="AG183" s="7" t="str">
        <x:v>transporte de áridos/materiales | hidrogrúa para carga/descarga | percha para pallets/bolsones</x:v>
      </x:c>
      <x:c r="AH183" s="7" t="str">
        <x:v>áridos/construcción/premoldeados</x:v>
      </x:c>
      <x:c r="AI183" s="7"/>
      <x:c r="AJ183" s="7" t="str">
        <x:v>Muy alta</x:v>
      </x:c>
      <x:c r="AK183" s="7" t="str">
        <x:v>Barquilla: validar seguridad, seguro, permiso de trabajo y alcance de maniobra antes de cotizar. Áridos/materiales: confirmar modalidad de carga/descarga y tipo de unidad requerida antes de cotizar.</x:v>
      </x:c>
      <x:c r="AL183" s="7" t="str">
        <x:v>GPT adjunto + Hermes</x:v>
      </x:c>
      <x:c r="AM183" s="7" t="str">
        <x:v>Fusionado con base Hermes para completar teléfonos/fuentes/servicios.</x:v>
      </x:c>
    </x:row>
    <x:row r="184" ht="48">
      <x:c r="A184" s="135" t="str">
        <x:v>RC-008</x:v>
      </x:c>
      <x:c r="B184" s="135" t="str">
        <x:v>Pendiente</x:v>
      </x:c>
      <x:c r="C184" s="135" t="str">
        <x:v>Río Cuarto / RN36 sur</x:v>
      </x:c>
      <x:c r="D184" s="135" t="str">
        <x:v>Río Cuarto</x:v>
      </x:c>
      <x:c r="E184" s="135" t="str">
        <x:v>Río Cuarto</x:v>
      </x:c>
      <x:c r="F184" s="135" t="str">
        <x:v>A</x:v>
      </x:c>
      <x:c r="G184" s="135" t="n">
        <x:v>100</x:v>
      </x:c>
      <x:c r="H184" s="135" t="str">
        <x:v>Marinelli S.A.</x:v>
      </x:c>
      <x:c r="I184" s="135" t="str">
        <x:v>Áridos / hormigón / obras</x:v>
      </x:c>
      <x:c r="J184" s="135" t="str">
        <x:v>Construcción y obra vial</x:v>
      </x:c>
      <x:c r="K184" s="135" t="str">
        <x:v>0358 4647058</x:v>
      </x:c>
      <x:c r="L184" s="135" t="str">
        <x:v>OK</x:v>
      </x:c>
      <x:c r="M184" s="135" t="str">
        <x:v>jefe de obra / logística</x:v>
      </x:c>
      <x:c r="N184" s="135" t="str">
        <x:v>Traslado de maquinaria, módulos de obrador, estructuras, equipos y cargas pesadas entre frentes.</x:v>
      </x:c>
      <x:c r="O184" s="135" t="str">
        <x:v>Transporte de equipos, módulos de obrador, estructuras y materiales pesados; descarga o posicionamiento cuando aplique.</x:v>
      </x:c>
      <x:c r="P184" s="135" t="str">
        <x:v>Tiene cantera y flota; ofrecer respaldo/picos/traslados especiales.</x:v>
      </x:c>
      <x:c r="Q184" s="135" t="str">
        <x:v>Visita o llamada de validación; pedir próximo traslado concreto.</x:v>
      </x:c>
      <x:c r="R184" s="135"/>
      <x:c r="S184" s="158" t="str">
        <x:f>IFERROR(T(INDEX('Prospectos Resumen'!$K$9:$K$295,MATCH(A184,'Prospectos Resumen'!$A$9:$A$295,0))),"")</x:f>
      </x:c>
      <x:c r="T184" s="135"/>
      <x:c r="U184" s="135"/>
      <x:c r="V184" s="135"/>
      <x:c r="W184" s="135"/>
      <x:c r="X184" s="135" t="str">
        <x:v>tel:+543584647058</x:v>
      </x:c>
      <x:c r="Y184" s="135" t="str">
        <x:v>tel:+543584647058</x:v>
      </x:c>
      <x:c r="Z184" s="135" t="str">
        <x:v>Validar contacto decisor y necesidad inmediata.</x:v>
      </x:c>
      <x:c r="AA184" s="135" t="str">
        <x:v>https://www.google.com/maps/search/?api=1&amp;query=-33.102771,-64.336058</x:v>
      </x:c>
      <x:c r="AB184" s="135" t="str">
        <x:v>marinellisa.store</x:v>
      </x:c>
      <x:c r="AC184" s="135"/>
      <x:c r="AD184" s="135" t="str">
        <x:v>Registro curado en documento de dirección PRESOL 2026-09.</x:v>
      </x:c>
      <x:c r="AE184" s="135" t="str">
        <x:v>Alta</x:v>
      </x:c>
      <x:c r="AF184" s="135" t="str">
        <x:v>Base curada PDF dirección</x:v>
      </x:c>
      <x:c r="AG184" s="135" t="str">
        <x:v>transporte de áridos/materiales | hidrogrúa para carga/descarga | percha para pallets/bolsones</x:v>
      </x:c>
      <x:c r="AH184" s="135" t="str">
        <x:v>áridos/construcción/premoldeados</x:v>
      </x:c>
      <x:c r="AI184" s="135"/>
      <x:c r="AJ184" s="135" t="str">
        <x:v>Muy alta</x:v>
      </x:c>
      <x:c r="AK184" s="135" t="str">
        <x:v>Áridos/materiales: confirmar modalidad de carga/descarga y tipo de unidad requerida antes de cotizar.</x:v>
      </x:c>
      <x:c r="AL184" s="135" t="str">
        <x:v>GPT adjunto + Hermes</x:v>
      </x:c>
      <x:c r="AM184" s="135" t="str">
        <x:v>Fusionado con base Hermes para completar teléfonos/fuentes/servicios.</x:v>
      </x:c>
    </x:row>
    <x:row r="185" ht="60">
      <x:c r="A185" s="136" t="str">
        <x:v>RC-009</x:v>
      </x:c>
      <x:c r="B185" s="136" t="str">
        <x:v>Pendiente</x:v>
      </x:c>
      <x:c r="C185" s="136" t="str">
        <x:v>Río Cuarto / RN36 sur</x:v>
      </x:c>
      <x:c r="D185" s="136" t="str">
        <x:v>Río Cuarto</x:v>
      </x:c>
      <x:c r="E185" s="136" t="str">
        <x:v>Río Cuarto</x:v>
      </x:c>
      <x:c r="F185" s="136" t="str">
        <x:v>A</x:v>
      </x:c>
      <x:c r="G185" s="136" t="n">
        <x:v>100</x:v>
      </x:c>
      <x:c r="H185" s="136" t="str">
        <x:v>Paolini Hnos S.A.</x:v>
      </x:c>
      <x:c r="I185" s="136" t="str">
        <x:v>Obra vial / constructora nacional</x:v>
      </x:c>
      <x:c r="J185" s="136" t="str">
        <x:v>Construcción y obra vial</x:v>
      </x:c>
      <x:c r="K185" s="136" t="str">
        <x:v>011 48779600</x:v>
      </x:c>
      <x:c r="L185" s="136" t="str">
        <x:v>OK</x:v>
      </x:c>
      <x:c r="M185" s="136" t="str">
        <x:v>jefe de obra / logística</x:v>
      </x:c>
      <x:c r="N185" s="136" t="str">
        <x:v>Traslado de maquinaria, módulos de obrador, estructuras, equipos y cargas pesadas entre frentes.</x:v>
      </x:c>
      <x:c r="O185" s="136" t="str">
        <x:v>Transporte de equipos, módulos de obrador, estructuras y materiales pesados; descarga o posicionamiento cuando aplique.</x:v>
      </x:c>
      <x:c r="P185" s="136" t="str">
        <x:v>Teléfono central; mejor entrar por obrador local.</x:v>
      </x:c>
      <x:c r="Q185" s="136" t="str">
        <x:v>Visita o llamada de validación; pedir próximo traslado concreto.</x:v>
      </x:c>
      <x:c r="R185" s="136"/>
      <x:c r="S185" s="158" t="str">
        <x:f>IFERROR(T(INDEX('Prospectos Resumen'!$K$9:$K$295,MATCH(A185,'Prospectos Resumen'!$A$9:$A$295,0))),"")</x:f>
      </x:c>
      <x:c r="T185" s="136"/>
      <x:c r="U185" s="136"/>
      <x:c r="V185" s="136"/>
      <x:c r="W185" s="136"/>
      <x:c r="X185" s="136" t="str">
        <x:v>tel:+541148779600</x:v>
      </x:c>
      <x:c r="Y185" s="136" t="str">
        <x:v>tel:+541148779600</x:v>
      </x:c>
      <x:c r="Z185" s="136" t="str">
        <x:v>Validar contacto decisor y necesidad inmediata.</x:v>
      </x:c>
      <x:c r="AA185" s="136" t="str">
        <x:v>https://www.google.com/maps/search/?api=1&amp;query=-33.114000,-64.331000</x:v>
      </x:c>
      <x:c r="AB185" s="136" t="str">
        <x:v>paolini.com.ar</x:v>
      </x:c>
      <x:c r="AC185" s="136"/>
      <x:c r="AD185" s="136" t="str">
        <x:v>Registro curado en documento de dirección PRESOL 2026-09.</x:v>
      </x:c>
      <x:c r="AE185" s="136" t="str">
        <x:v>Alta</x:v>
      </x:c>
      <x:c r="AF185" s="136" t="str">
        <x:v>Base curada PDF dirección</x:v>
      </x:c>
      <x:c r="AG185" s="136" t="str">
        <x:v>transporte de áridos/materiales | hidrogrúa para carga/descarga | percha para pallets/bolsones</x:v>
      </x:c>
      <x:c r="AH185" s="136" t="str">
        <x:v>otro rubro factible</x:v>
      </x:c>
      <x:c r="AI185" s="136"/>
      <x:c r="AJ185" s="136" t="str">
        <x:v>Muy alta</x:v>
      </x:c>
      <x:c r="AK185" s="136"/>
      <x:c r="AL185" s="136" t="str">
        <x:v>GPT adjunto + Hermes</x:v>
      </x:c>
      <x:c r="AM185" s="136" t="str">
        <x:v>Fusionado con base Hermes para completar teléfonos/fuentes/servicios.</x:v>
      </x:c>
    </x:row>
    <x:row r="186" ht="48">
      <x:c r="A186" s="135" t="str">
        <x:v>RC-032</x:v>
      </x:c>
      <x:c r="B186" s="135" t="str">
        <x:v>Pendiente</x:v>
      </x:c>
      <x:c r="C186" s="135" t="str">
        <x:v>Río Cuarto / RN36 sur</x:v>
      </x:c>
      <x:c r="D186" s="135" t="str">
        <x:v>Río Cuarto / corredor agro</x:v>
      </x:c>
      <x:c r="E186" s="135" t="str">
        <x:v>Río Cuarto</x:v>
      </x:c>
      <x:c r="F186" s="135" t="str">
        <x:v>A</x:v>
      </x:c>
      <x:c r="G186" s="135" t="n">
        <x:v>100</x:v>
      </x:c>
      <x:c r="H186" s="135" t="str">
        <x:v>SALA / Agrotecnología Sala — Río Cuarto</x:v>
      </x:c>
      <x:c r="I186" s="135" t="str">
        <x:v>Concesionario John Deere / PLA / maquinaria agrícola / postventa</x:v>
      </x:c>
      <x:c r="J186" s="135" t="str">
        <x:v>Maquinaria agrícola</x:v>
      </x:c>
      <x:c r="K186" s="135" t="str">
        <x:v>A relevar</x:v>
      </x:c>
      <x:c r="L186" s="135" t="str">
        <x:v>A relevar</x:v>
      </x:c>
      <x:c r="M186" s="135" t="str">
        <x:v>logística / entregas / usados / postventa / gerente comercial</x:v>
      </x:c>
      <x:c r="N186" s="135" t="str">
        <x:v>Entrega y retiro de tractores, cosechadoras, pulverizadoras, sembradoras e implementos; movimientos por ventas, canjes, usados, service, demostraciones y ferias.</x:v>
      </x:c>
      <x:c r="O186" s="135" t="str">
        <x:v>Plataforma 20 tn para equipos e implementos + malacate/hidrogrúa según maniobra + seguro de carga + trazabilidad GPS + coordinación de entrega.</x:v>
      </x:c>
      <x:c r="P186" s="135" t="str">
        <x:v>Tercerizar entregas y retiros para no inmovilizar flota propia; absorber picos de campaña, ventas, canjes y service fuera de zona con un proveedor regional.</x:v>
      </x:c>
      <x:c r="Q186" s="135" t="str">
        <x:v>Llamada prioritaria; pedir por logística/ventas/postventa y consultar cómo resuelven hoy el próximo equipo a entregar o retirar.</x:v>
      </x:c>
      <x:c r="R186" s="135"/>
      <x:c r="S186" s="158" t="str">
        <x:f>IFERROR(T(INDEX('Prospectos Resumen'!$K$9:$K$295,MATCH(A186,'Prospectos Resumen'!$A$9:$A$295,0))),"")</x:f>
      </x:c>
      <x:c r="T186" s="135"/>
      <x:c r="U186" s="135"/>
      <x:c r="V186" s="135"/>
      <x:c r="W186" s="135"/>
      <x:c r="X186" s="135"/>
      <x:c r="Y186" s="135"/>
      <x:c r="Z186" s="135" t="str">
        <x:v>Relevar/confirmar teléfono directo de ventas o logística y validar decisor de entregas.</x:v>
      </x:c>
      <x:c r="AA186" s="135" t="str">
        <x:v>https://www.google.com/maps/search/?api=1&amp;query=SALA+%2F+Agrotecnolog%C3%ADa+Sala+%E2%80%94+R%C3%ADo+Cuarto+R%C3%ADo+Cuarto+C%C3%B3rdoba+Argentina</x:v>
      </x:c>
      <x:c r="AB186" s="135" t="str">
        <x:v>Asociación de Concesionarios John Deere</x:v>
      </x:c>
      <x:c r="AC186" s="135" t="str">
        <x:v>https://acjd.com.ar/concesionarios/</x:v>
      </x:c>
      <x:c r="AD186" s="135" t="str">
        <x:v>La red oficial John Deere publica a Agrotecnología Sala con sucursal en Río Cuarto.</x:v>
      </x:c>
      <x:c r="AE186" s="135" t="str">
        <x:v>Alta</x:v>
      </x:c>
      <x:c r="AF186" s="135" t="str">
        <x:v>Rastrillaje concesionarios agro 2026-09-07</x:v>
      </x:c>
      <x:c r="AG186" s="135" t="str">
        <x:v>plataforma 20 tn para maquinaria agrícola | hidrogrúa para maniobras | malacate | seguro de carga | trazabilidad GPS | coordinación de entregas</x:v>
      </x:c>
      <x:c r="AH186" s="135" t="str">
        <x:v>concesionario agro / maquinaria agrícola</x:v>
      </x:c>
      <x:c r="AI186" s="135" t="str">
        <x:v>Sí</x:v>
      </x:c>
      <x:c r="AJ186" s="135" t="str">
        <x:v>Muy alta</x:v>
      </x:c>
      <x:c r="AK186" s="135" t="str">
        <x:v>Concesionario: preguntar específicamente cómo resuelven entregas, retiros de usados, canjes, service fuera de zona y traslados a exposiciones.</x:v>
      </x:c>
      <x:c r="AL186" s="135" t="str">
        <x:v>Rastrillaje concesionarios agro 2026-09-07</x:v>
      </x:c>
      <x:c r="AM186" s="135" t="str">
        <x:v>Alta nueva del barrido específico de concesionarios, sucursales y multimarca agro; cruzada contra la base maestra para evitar duplicados.</x:v>
      </x:c>
    </x:row>
    <x:row r="187" ht="48">
      <x:c r="A187" s="136" t="str">
        <x:v>RC-010</x:v>
      </x:c>
      <x:c r="B187" s="136" t="str">
        <x:v>Pendiente</x:v>
      </x:c>
      <x:c r="C187" s="136" t="str">
        <x:v>Río Cuarto / RN36 sur</x:v>
      </x:c>
      <x:c r="D187" s="136" t="str">
        <x:v>Río Cuarto</x:v>
      </x:c>
      <x:c r="E187" s="136" t="str">
        <x:v>Río Cuarto</x:v>
      </x:c>
      <x:c r="F187" s="136" t="str">
        <x:v>A</x:v>
      </x:c>
      <x:c r="G187" s="136" t="n">
        <x:v>100</x:v>
      </x:c>
      <x:c r="H187" s="136" t="str">
        <x:v>Soardo Construcciones</x:v>
      </x:c>
      <x:c r="I187" s="136" t="str">
        <x:v>Constructora local</x:v>
      </x:c>
      <x:c r="J187" s="136" t="str">
        <x:v>Construcción y obra vial</x:v>
      </x:c>
      <x:c r="K187" s="136" t="str">
        <x:v>0358 4166315</x:v>
      </x:c>
      <x:c r="L187" s="136" t="str">
        <x:v>OK</x:v>
      </x:c>
      <x:c r="M187" s="136" t="str">
        <x:v>jefe de obra / logística</x:v>
      </x:c>
      <x:c r="N187" s="136" t="str">
        <x:v>Traslado de maquinaria, módulos de obrador, estructuras, equipos y cargas pesadas entre frentes.</x:v>
      </x:c>
      <x:c r="O187" s="136" t="str">
        <x:v>Transporte de equipos, módulos de obrador, estructuras y materiales pesados; descarga o posicionamiento cuando aplique.</x:v>
      </x:c>
      <x:c r="P187" s="136" t="str">
        <x:v>Pedir responsable de obra; cotizar un próximo traslado.</x:v>
      </x:c>
      <x:c r="Q187" s="136" t="str">
        <x:v>Visita o llamada de validación; pedir próximo traslado concreto.</x:v>
      </x:c>
      <x:c r="R187" s="136"/>
      <x:c r="S187" s="158" t="str">
        <x:f>IFERROR(T(INDEX('Prospectos Resumen'!$K$9:$K$295,MATCH(A187,'Prospectos Resumen'!$A$9:$A$295,0))),"")</x:f>
      </x:c>
      <x:c r="T187" s="136"/>
      <x:c r="U187" s="136"/>
      <x:c r="V187" s="136"/>
      <x:c r="W187" s="136"/>
      <x:c r="X187" s="136" t="str">
        <x:v>tel:+543584166315</x:v>
      </x:c>
      <x:c r="Y187" s="136" t="str">
        <x:v>tel:+543584166315</x:v>
      </x:c>
      <x:c r="Z187" s="136" t="str">
        <x:v>Validar contacto decisor y necesidad inmediata.</x:v>
      </x:c>
      <x:c r="AA187" s="136" t="str">
        <x:v>https://www.google.com/maps/search/?api=1&amp;query=-33.119000,-64.351000</x:v>
      </x:c>
      <x:c r="AB187" s="136" t="str">
        <x:v>soardoconstrucciones.site</x:v>
      </x:c>
      <x:c r="AC187" s="136"/>
      <x:c r="AD187" s="136" t="str">
        <x:v>Registro curado en documento de dirección PRESOL 2026-09.</x:v>
      </x:c>
      <x:c r="AE187" s="136" t="str">
        <x:v>Alta</x:v>
      </x:c>
      <x:c r="AF187" s="136" t="str">
        <x:v>Base curada PDF dirección</x:v>
      </x:c>
      <x:c r="AG187" s="136" t="str">
        <x:v>transporte de áridos/materiales | hidrogrúa para carga/descarga | percha para pallets/bolsones</x:v>
      </x:c>
      <x:c r="AH187" s="136" t="str">
        <x:v>otro rubro factible</x:v>
      </x:c>
      <x:c r="AI187" s="136"/>
      <x:c r="AJ187" s="136" t="str">
        <x:v>Muy alta</x:v>
      </x:c>
      <x:c r="AK187" s="136"/>
      <x:c r="AL187" s="136" t="str">
        <x:v>GPT adjunto + Hermes</x:v>
      </x:c>
      <x:c r="AM187" s="136" t="str">
        <x:v>Fusionado con base Hermes para completar teléfonos/fuentes/servicios.</x:v>
      </x:c>
    </x:row>
    <x:row r="188" ht="36">
      <x:c r="A188" s="5" t="str">
        <x:v>RC-036</x:v>
      </x:c>
      <x:c r="B188" s="5" t="str">
        <x:v>Pendiente</x:v>
      </x:c>
      <x:c r="C188" s="5" t="str">
        <x:v>Río Cuarto / RN36 sur</x:v>
      </x:c>
      <x:c r="D188" s="5" t="str">
        <x:v>Río Cuarto / corredor agro</x:v>
      </x:c>
      <x:c r="E188" s="5" t="str">
        <x:v>Río Cuarto</x:v>
      </x:c>
      <x:c r="F188" s="5" t="str">
        <x:v>A</x:v>
      </x:c>
      <x:c r="G188" s="5" t="n">
        <x:v>98</x:v>
      </x:c>
      <x:c r="H188" s="5" t="str">
        <x:v>Agrokeegan Maquinarias</x:v>
      </x:c>
      <x:c r="I188" s="5" t="str">
        <x:v>Concesionario multimarca / maquinaria agrícola nueva y usada</x:v>
      </x:c>
      <x:c r="J188" s="5" t="str">
        <x:v>Maquinaria agrícola</x:v>
      </x:c>
      <x:c r="K188" s="5" t="str">
        <x:v>+54 358 6014848</x:v>
      </x:c>
      <x:c r="L188" s="5" t="str">
        <x:v>OK</x:v>
      </x:c>
      <x:c r="M188" s="5" t="str">
        <x:v>logística / entregas / usados / postventa / gerente comercial</x:v>
      </x:c>
      <x:c r="N188" s="5" t="str">
        <x:v>Entrega y retiro de tractores, cosechadoras, pulverizadoras, sembradoras e implementos; movimientos por ventas, canjes, usados, service, demostraciones y ferias.</x:v>
      </x:c>
      <x:c r="O188" s="5" t="str">
        <x:v>Plataforma 20 tn para equipos e implementos + malacate/hidrogrúa según maniobra + seguro de carga + trazabilidad GPS + coordinación de entrega.</x:v>
      </x:c>
      <x:c r="P188" s="5" t="str">
        <x:v>Tercerizar entregas y retiros para no inmovilizar flota propia; absorber picos de campaña, ventas, canjes y service fuera de zona con un proveedor regional.</x:v>
      </x:c>
      <x:c r="Q188" s="5" t="str">
        <x:v>Llamada prioritaria; pedir por logística/ventas/postventa y consultar cómo resuelven hoy el próximo equipo a entregar o retirar.</x:v>
      </x:c>
      <x:c r="R188" s="5"/>
      <x:c r="S188" s="161" t="str">
        <x:f>IFERROR(T(INDEX('Prospectos Resumen'!$K$9:$K$295,MATCH(A188,'Prospectos Resumen'!$A$9:$A$295,0))),"")</x:f>
      </x:c>
      <x:c r="T188" s="5"/>
      <x:c r="U188" s="5"/>
      <x:c r="V188" s="5"/>
      <x:c r="W188" s="5"/>
      <x:c r="X188" s="5" t="str">
        <x:v>tel:+543586014848</x:v>
      </x:c>
      <x:c r="Y188" s="5" t="str">
        <x:v>tel:+543586014848</x:v>
      </x:c>
      <x:c r="Z188" s="5" t="str">
        <x:v>Confirmar decisor de logística/entregas y frecuencia mensual de movimientos de equipos.</x:v>
      </x:c>
      <x:c r="AA188" s="5" t="str">
        <x:v>https://www.google.com/maps/search/?api=1&amp;query=Agrokeegan+Maquinarias+R%C3%ADo+Cuarto+C%C3%B3rdoba+Argentina</x:v>
      </x:c>
      <x:c r="AB188" s="5" t="str">
        <x:v>Web oficial Agrokeegan</x:v>
      </x:c>
      <x:c r="AC188" s="5" t="str">
        <x:v>https://www.agrokeegan.com.ar/about-us</x:v>
      </x:c>
      <x:c r="AD188" s="5" t="str">
        <x:v>Más de 30 años en maquinaria agrícola; amplio stock permanente de equipos nuevos y usados en Ruta A005 km 0,5.</x:v>
      </x:c>
      <x:c r="AE188" s="5" t="str">
        <x:v>Alta</x:v>
      </x:c>
      <x:c r="AF188" s="5" t="str">
        <x:v>Rastrillaje concesionarios agro 2026-09-07</x:v>
      </x:c>
      <x:c r="AG188" s="5" t="str">
        <x:v>plataforma 20 tn para maquinaria agrícola | hidrogrúa para maniobras | malacate | seguro de carga | trazabilidad GPS | coordinación de entregas</x:v>
      </x:c>
      <x:c r="AH188" s="5" t="str">
        <x:v>concesionario agro / maquinaria agrícola</x:v>
      </x:c>
      <x:c r="AI188" s="5" t="str">
        <x:v>Sí</x:v>
      </x:c>
      <x:c r="AJ188" s="5" t="str">
        <x:v>Muy alta</x:v>
      </x:c>
      <x:c r="AK188" s="5" t="str">
        <x:v>Concesionario: preguntar específicamente cómo resuelven entregas, retiros de usados, canjes, service fuera de zona y traslados a exposiciones.</x:v>
      </x:c>
      <x:c r="AL188" s="5" t="str">
        <x:v>Rastrillaje concesionarios agro 2026-09-07</x:v>
      </x:c>
      <x:c r="AM188" s="5" t="str">
        <x:v>Alta nueva del barrido específico de concesionarios, sucursales y multimarca agro; cruzada contra la base maestra para evitar duplicados.</x:v>
      </x:c>
    </x:row>
    <x:row r="189">
      <x:c r="A189" s="136" t="str">
        <x:v>RC-037</x:v>
      </x:c>
      <x:c r="B189" s="136" t="str">
        <x:v>Pendiente</x:v>
      </x:c>
      <x:c r="C189" s="136" t="str">
        <x:v>Río Cuarto / RN36 sur</x:v>
      </x:c>
      <x:c r="D189" s="136" t="str">
        <x:v>Río Cuarto / corredor agro</x:v>
      </x:c>
      <x:c r="E189" s="136" t="str">
        <x:v>Río Cuarto</x:v>
      </x:c>
      <x:c r="F189" s="136" t="str">
        <x:v>A</x:v>
      </x:c>
      <x:c r="G189" s="136" t="n">
        <x:v>98</x:v>
      </x:c>
      <x:c r="H189" s="136" t="str">
        <x:v>Risio Maquinarias</x:v>
      </x:c>
      <x:c r="I189" s="136" t="str">
        <x:v>Concesionario oficial Agrometal / Favot / Chalero / Cestari</x:v>
      </x:c>
      <x:c r="J189" s="136" t="str">
        <x:v>Maquinaria agrícola</x:v>
      </x:c>
      <x:c r="K189" s="136" t="str">
        <x:v>0358 4195111</x:v>
      </x:c>
      <x:c r="L189" s="136" t="str">
        <x:v>OK</x:v>
      </x:c>
      <x:c r="M189" s="136" t="str">
        <x:v>logística / entregas / usados / postventa / gerente comercial</x:v>
      </x:c>
      <x:c r="N189" s="136" t="str">
        <x:v>Entrega y retiro de tractores, cosechadoras, pulverizadoras, sembradoras e implementos; movimientos por ventas, canjes, usados, service, demostraciones y ferias.</x:v>
      </x:c>
      <x:c r="O189" s="136" t="str">
        <x:v>Plataforma 20 tn para equipos e implementos + malacate/hidrogrúa según maniobra + seguro de carga + trazabilidad GPS + coordinación de entrega.</x:v>
      </x:c>
      <x:c r="P189" s="136" t="str">
        <x:v>Tercerizar entregas y retiros para no inmovilizar flota propia; absorber picos de campaña, ventas, canjes y service fuera de zona con un proveedor regional.</x:v>
      </x:c>
      <x:c r="Q189" s="136" t="str">
        <x:v>Llamada prioritaria; pedir por logística/ventas/postventa y consultar cómo resuelven hoy el próximo equipo a entregar o retirar.</x:v>
      </x:c>
      <x:c r="R189" s="136"/>
      <x:c r="S189" s="158" t="str">
        <x:f>IFERROR(T(INDEX('Prospectos Resumen'!$K$9:$K$295,MATCH(A189,'Prospectos Resumen'!$A$9:$A$295,0))),"")</x:f>
      </x:c>
      <x:c r="T189" s="136"/>
      <x:c r="U189" s="136"/>
      <x:c r="V189" s="136"/>
      <x:c r="W189" s="136"/>
      <x:c r="X189" s="136" t="str">
        <x:v>tel:+543584195111</x:v>
      </x:c>
      <x:c r="Y189" s="136" t="str">
        <x:v>tel:+543584195111</x:v>
      </x:c>
      <x:c r="Z189" s="136" t="str">
        <x:v>Confirmar decisor de logística/entregas y frecuencia mensual de movimientos de equipos.</x:v>
      </x:c>
      <x:c r="AA189" s="136" t="str">
        <x:v>https://www.google.com/maps/search/?api=1&amp;query=Risio+Maquinarias+R%C3%ADo+Cuarto+C%C3%B3rdoba+Argentina</x:v>
      </x:c>
      <x:c r="AB189" s="136" t="str">
        <x:v>Web oficial Risio / actualidad 2026</x:v>
      </x:c>
      <x:c r="AC189" s="136" t="str">
        <x:v>https://risiomaquinarias.com/</x:v>
      </x:c>
      <x:c r="AD189" s="136" t="str">
        <x:v>Concesionario de Agrometal y otras marcas, con venta de maquinaria, repuestos y servicio a campo en Río Cuarto.</x:v>
      </x:c>
      <x:c r="AE189" s="136" t="str">
        <x:v>Alta</x:v>
      </x:c>
      <x:c r="AF189" s="136" t="str">
        <x:v>Rastrillaje concesionarios agro 2026-09-07</x:v>
      </x:c>
      <x:c r="AG189" s="136" t="str">
        <x:v>plataforma 20 tn para maquinaria agrícola | hidrogrúa para maniobras | malacate | seguro de carga | trazabilidad GPS | coordinación de entregas</x:v>
      </x:c>
      <x:c r="AH189" s="136" t="str">
        <x:v>concesionario agro / maquinaria agrícola</x:v>
      </x:c>
      <x:c r="AI189" s="136" t="str">
        <x:v>Sí</x:v>
      </x:c>
      <x:c r="AJ189" s="136" t="str">
        <x:v>Muy alta</x:v>
      </x:c>
      <x:c r="AK189" s="136" t="str">
        <x:v>Concesionario: preguntar específicamente cómo resuelven entregas, retiros de usados, canjes, service fuera de zona y traslados a exposiciones.</x:v>
      </x:c>
      <x:c r="AL189" s="136" t="str">
        <x:v>Rastrillaje concesionarios agro 2026-09-07</x:v>
      </x:c>
      <x:c r="AM189" s="136" t="str">
        <x:v>Alta nueva del barrido específico de concesionarios, sucursales y multimarca agro; cruzada contra la base maestra para evitar duplicados.</x:v>
      </x:c>
    </x:row>
    <x:row r="190">
      <x:c r="A190" s="135" t="str">
        <x:v>RC-021</x:v>
      </x:c>
      <x:c r="B190" s="135" t="str">
        <x:v>Pendiente</x:v>
      </x:c>
      <x:c r="C190" s="135" t="str">
        <x:v>Río Cuarto / RN36 sur</x:v>
      </x:c>
      <x:c r="D190" s="135" t="str">
        <x:v>Río Cuarto</x:v>
      </x:c>
      <x:c r="E190" s="135" t="str">
        <x:v>Río Cuarto</x:v>
      </x:c>
      <x:c r="F190" s="135" t="str">
        <x:v>A</x:v>
      </x:c>
      <x:c r="G190" s="135" t="n">
        <x:v>95</x:v>
      </x:c>
      <x:c r="H190" s="135" t="str">
        <x:v>Agro GM — Río Cuarto</x:v>
      </x:c>
      <x:c r="I190" s="135" t="str">
        <x:v>Concesionario / maquinaria agrícola y tractores</x:v>
      </x:c>
      <x:c r="J190" s="135" t="str">
        <x:v>Maquinaria agrícola</x:v>
      </x:c>
      <x:c r="K190" s="135" t="str">
        <x:v>0358 4626444 / +54 9 358 4296332</x:v>
      </x:c>
      <x:c r="L190" s="135" t="str">
        <x:v>OK</x:v>
      </x:c>
      <x:c r="M190" s="135" t="str">
        <x:v>logística / ventas / postventa</x:v>
      </x:c>
      <x:c r="N190" s="135" t="str">
        <x:v>Entrega y retiro de tractores, cosechadoras, pulverizadoras, sembradoras e implementos; movimientos por venta, service, canje, demostraciones o ferias.</x:v>
      </x:c>
      <x:c r="O190" s="135" t="str">
        <x:v>Plataforma 20 tn para maquinaria agrícola + malacate/hidrogrúa según maniobra + seguro de carga + trazabilidad GPS.</x:v>
      </x:c>
      <x:c r="P190" s="135" t="str">
        <x:v>Ofrecer transporte tercerizado para entregas a clientes y retiros de usados/service, especialmente en picos de campaña y operaciones fuera de zona.</x:v>
      </x:c>
      <x:c r="Q190" s="135" t="str">
        <x:v>Llamada comercial prioritaria; pedir por logística/ventas/postventa y consultar próximo equipo a trasladar.</x:v>
      </x:c>
      <x:c r="R190" s="135"/>
      <x:c r="S190" s="158" t="str">
        <x:f>IFERROR(T(INDEX('Prospectos Resumen'!$K$9:$K$295,MATCH(A190,'Prospectos Resumen'!$A$9:$A$295,0))),"")</x:f>
      </x:c>
      <x:c r="T190" s="135"/>
      <x:c r="U190" s="135"/>
      <x:c r="V190" s="135"/>
      <x:c r="W190" s="135"/>
      <x:c r="X190" s="135" t="str">
        <x:v>tel:+543584626444</x:v>
      </x:c>
      <x:c r="Y190" s="135" t="str">
        <x:v>tel:+543584626444</x:v>
      </x:c>
      <x:c r="Z190" s="135" t="str">
        <x:v>Confirmar decisor y frecuencia de traslados.</x:v>
      </x:c>
      <x:c r="AA190" s="135" t="str">
        <x:v>https://www.google.com/maps/search/?api=1&amp;query=Agro+GM+%E2%80%94+R%C3%ADo+Cuarto+R%C3%ADo+Cuarto+C%C3%B3rdoba+Argentina</x:v>
      </x:c>
      <x:c r="AB190" s="135" t="str">
        <x:v>Web oficial Agro GM</x:v>
      </x:c>
      <x:c r="AC190" s="135" t="str">
        <x:v>https://www.agrogmsa.com.ar/contacto/</x:v>
      </x:c>
      <x:c r="AD190" s="135" t="str">
        <x:v>Casa central de Agro GM en Ruta 8 km 606,5 Río Cuarto; venta, repuestos y servicio.</x:v>
      </x:c>
      <x:c r="AE190" s="135" t="str">
        <x:v>Alta</x:v>
      </x:c>
      <x:c r="AF190" s="135" t="str">
        <x:v>Rastrillaje agro-maquinaria web 2026-09-07</x:v>
      </x:c>
      <x:c r="AG190" s="135" t="str">
        <x:v>plataforma 20 tn para maquinaria/implementos | hidrogrúa para maniobras | malacate | seguro de carga | trazabilidad GPS</x:v>
      </x:c>
      <x:c r="AH190" s="135" t="str">
        <x:v>fabricante/concesionario/servicio maquinaria agrícola</x:v>
      </x:c>
      <x:c r="AI190" s="135" t="str">
        <x:v>Sí</x:v>
      </x:c>
      <x:c r="AJ190" s="135" t="str">
        <x:v>Muy alta</x:v>
      </x:c>
      <x:c r="AK190" s="135" t="str">
        <x:v>Perfil específico maquinaria agrícola: validar pesos/dimensiones, tipo de carga y disponibilidad de medios de izaje antes de cotizar.</x:v>
      </x:c>
      <x:c r="AL190" s="135" t="str">
        <x:v>Rastrillaje agro-maquinaria 2026-09-07</x:v>
      </x:c>
      <x:c r="AM190" s="135" t="str">
        <x:v>Alta nueva luego de barrido específico de fabricantes, implementos, tractores, concesionarios y agropartes; cruzada contra la base maestra para evitar duplicados.</x:v>
      </x:c>
    </x:row>
    <x:row r="191">
      <x:c r="A191" s="136" t="str">
        <x:v>RC-019</x:v>
      </x:c>
      <x:c r="B191" s="136" t="str">
        <x:v>Pendiente</x:v>
      </x:c>
      <x:c r="C191" s="136" t="str">
        <x:v>Río Cuarto / RN36 sur</x:v>
      </x:c>
      <x:c r="D191" s="136" t="str">
        <x:v>Río Cuarto</x:v>
      </x:c>
      <x:c r="E191" s="136" t="str">
        <x:v>Río Cuarto</x:v>
      </x:c>
      <x:c r="F191" s="136" t="str">
        <x:v>A</x:v>
      </x:c>
      <x:c r="G191" s="136" t="n">
        <x:v>95</x:v>
      </x:c>
      <x:c r="H191" s="136" t="str">
        <x:v>Pallotti Maquinarias</x:v>
      </x:c>
      <x:c r="I191" s="136" t="str">
        <x:v>Maquinaria agrícola/vial / concesionario y postventa</x:v>
      </x:c>
      <x:c r="J191" s="136" t="str">
        <x:v>Maquinaria agrícola</x:v>
      </x:c>
      <x:c r="K191" s="136" t="str">
        <x:v>+54 358 5713137 / +54 358 5091218</x:v>
      </x:c>
      <x:c r="L191" s="136" t="str">
        <x:v>OK</x:v>
      </x:c>
      <x:c r="M191" s="136" t="str">
        <x:v>logística / ventas / postventa</x:v>
      </x:c>
      <x:c r="N191" s="136" t="str">
        <x:v>Entrega y retiro de tractores, cosechadoras, pulverizadoras, sembradoras e implementos; movimientos por venta, service, canje, demostraciones o ferias.</x:v>
      </x:c>
      <x:c r="O191" s="136" t="str">
        <x:v>Plataforma 20 tn para maquinaria agrícola + malacate/hidrogrúa según maniobra + seguro de carga + trazabilidad GPS.</x:v>
      </x:c>
      <x:c r="P191" s="136" t="str">
        <x:v>Ofrecer transporte tercerizado para entregas a clientes y retiros de usados/service, especialmente en picos de campaña y operaciones fuera de zona.</x:v>
      </x:c>
      <x:c r="Q191" s="136" t="str">
        <x:v>Llamada comercial prioritaria; pedir por logística/ventas/postventa y consultar próximo equipo a trasladar.</x:v>
      </x:c>
      <x:c r="R191" s="136"/>
      <x:c r="S191" s="158" t="str">
        <x:f>IFERROR(T(INDEX('Prospectos Resumen'!$K$9:$K$295,MATCH(A191,'Prospectos Resumen'!$A$9:$A$295,0))),"")</x:f>
      </x:c>
      <x:c r="T191" s="136"/>
      <x:c r="U191" s="136"/>
      <x:c r="V191" s="136"/>
      <x:c r="W191" s="136"/>
      <x:c r="X191" s="136" t="str">
        <x:v>tel:+543585713137</x:v>
      </x:c>
      <x:c r="Y191" s="136" t="str">
        <x:v>tel:+543585713137</x:v>
      </x:c>
      <x:c r="Z191" s="136" t="str">
        <x:v>Confirmar decisor y frecuencia de traslados.</x:v>
      </x:c>
      <x:c r="AA191" s="136" t="str">
        <x:v>https://www.google.com/maps/search/?api=1&amp;query=Pallotti+Maquinarias+R%C3%ADo+Cuarto+C%C3%B3rdoba+Argentina</x:v>
      </x:c>
      <x:c r="AB191" s="136" t="str">
        <x:v>Web oficial Pallotti</x:v>
      </x:c>
      <x:c r="AC191" s="136" t="str">
        <x:v>https://pallottimaquinarias.ar/contacto</x:v>
      </x:c>
      <x:c r="AD191" s="136" t="str">
        <x:v>Punto comercial en RN A005 km 3,5; ventas, repuestos y servicio técnico de maquinaria.</x:v>
      </x:c>
      <x:c r="AE191" s="136" t="str">
        <x:v>Alta</x:v>
      </x:c>
      <x:c r="AF191" s="136" t="str">
        <x:v>Rastrillaje agro-maquinaria web 2026-09-07</x:v>
      </x:c>
      <x:c r="AG191" s="136" t="str">
        <x:v>plataforma 20 tn para maquinaria/implementos | hidrogrúa para maniobras | malacate | seguro de carga | trazabilidad GPS</x:v>
      </x:c>
      <x:c r="AH191" s="136" t="str">
        <x:v>fabricante/concesionario/servicio maquinaria agrícola</x:v>
      </x:c>
      <x:c r="AI191" s="136" t="str">
        <x:v>Sí</x:v>
      </x:c>
      <x:c r="AJ191" s="136" t="str">
        <x:v>Muy alta</x:v>
      </x:c>
      <x:c r="AK191" s="136" t="str">
        <x:v>Perfil específico maquinaria agrícola: validar pesos/dimensiones, tipo de carga y disponibilidad de medios de izaje antes de cotizar.</x:v>
      </x:c>
      <x:c r="AL191" s="136" t="str">
        <x:v>Rastrillaje agro-maquinaria 2026-09-07</x:v>
      </x:c>
      <x:c r="AM191" s="136" t="str">
        <x:v>Alta nueva luego de barrido específico de fabricantes, implementos, tractores, concesionarios y agropartes; cruzada contra la base maestra para evitar duplicados.</x:v>
      </x:c>
    </x:row>
    <x:row r="192">
      <x:c r="A192" s="135" t="str">
        <x:v>RC-039</x:v>
      </x:c>
      <x:c r="B192" s="135" t="str">
        <x:v>Pendiente</x:v>
      </x:c>
      <x:c r="C192" s="135" t="str">
        <x:v>Río Cuarto / RN36 sur</x:v>
      </x:c>
      <x:c r="D192" s="135" t="str">
        <x:v>Río Cuarto / corredor agro</x:v>
      </x:c>
      <x:c r="E192" s="135" t="str">
        <x:v>Río Cuarto</x:v>
      </x:c>
      <x:c r="F192" s="135" t="str">
        <x:v>A</x:v>
      </x:c>
      <x:c r="G192" s="135" t="n">
        <x:v>95</x:v>
      </x:c>
      <x:c r="H192" s="135" t="str">
        <x:v>Rodagro — Río Cuarto</x:v>
      </x:c>
      <x:c r="I192" s="135" t="str">
        <x:v>Representante CLAAS / Allochis / Ascanelli / GEMA / maquinaria agrícola</x:v>
      </x:c>
      <x:c r="J192" s="135" t="str">
        <x:v>Maquinaria agrícola</x:v>
      </x:c>
      <x:c r="K192" s="135" t="str">
        <x:v>+54 9 358 4797917</x:v>
      </x:c>
      <x:c r="L192" s="135" t="str">
        <x:v>Verificar</x:v>
      </x:c>
      <x:c r="M192" s="135" t="str">
        <x:v>logística / entregas / usados / postventa / gerente comercial</x:v>
      </x:c>
      <x:c r="N192" s="135" t="str">
        <x:v>Entrega y retiro de tractores, cosechadoras, pulverizadoras, sembradoras e implementos; movimientos por ventas, canjes, usados, service, demostraciones y ferias.</x:v>
      </x:c>
      <x:c r="O192" s="135" t="str">
        <x:v>Plataforma 20 tn para equipos e implementos + malacate/hidrogrúa según maniobra + seguro de carga + trazabilidad GPS + coordinación de entrega.</x:v>
      </x:c>
      <x:c r="P192" s="135" t="str">
        <x:v>Tercerizar entregas y retiros para no inmovilizar flota propia; absorber picos de campaña, ventas, canjes y service fuera de zona con un proveedor regional.</x:v>
      </x:c>
      <x:c r="Q192" s="135" t="str">
        <x:v>Llamada prioritaria; pedir por logística/ventas/postventa y consultar cómo resuelven hoy el próximo equipo a entregar o retirar.</x:v>
      </x:c>
      <x:c r="R192" s="135"/>
      <x:c r="S192" s="158" t="str">
        <x:f>IFERROR(T(INDEX('Prospectos Resumen'!$K$9:$K$295,MATCH(A192,'Prospectos Resumen'!$A$9:$A$295,0))),"")</x:f>
      </x:c>
      <x:c r="T192" s="135"/>
      <x:c r="U192" s="135"/>
      <x:c r="V192" s="135"/>
      <x:c r="W192" s="135"/>
      <x:c r="X192" s="135" t="str">
        <x:v>tel:+5493584797917</x:v>
      </x:c>
      <x:c r="Y192" s="135" t="str">
        <x:v>tel:+5493584797917</x:v>
      </x:c>
      <x:c r="Z192" s="135" t="str">
        <x:v>Relevar/confirmar teléfono directo de ventas o logística y validar decisor de entregas.</x:v>
      </x:c>
      <x:c r="AA192" s="135" t="str">
        <x:v>https://www.google.com/maps/search/?api=1&amp;query=Rodagro+%E2%80%94+R%C3%ADo+Cuarto+R%C3%ADo+Cuarto+C%C3%B3rdoba+Argentina</x:v>
      </x:c>
      <x:c r="AB192" s="135" t="str">
        <x:v>GEMA / Rodagro</x:v>
      </x:c>
      <x:c r="AC192" s="135" t="str">
        <x:v>https://gemaargentina.com/distribuidores/</x:v>
      </x:c>
      <x:c r="AD192" s="135" t="str">
        <x:v>Distribuidor en Av. Amadeo Sabattini 2520; trabaja con maquinaria CLAAS, Allochis, Ascanelli y GEMA.</x:v>
      </x:c>
      <x:c r="AE192" s="135" t="str">
        <x:v>Alta</x:v>
      </x:c>
      <x:c r="AF192" s="135" t="str">
        <x:v>Rastrillaje concesionarios agro 2026-09-07</x:v>
      </x:c>
      <x:c r="AG192" s="135" t="str">
        <x:v>plataforma 20 tn para maquinaria agrícola | hidrogrúa para maniobras | malacate | seguro de carga | trazabilidad GPS | coordinación de entregas</x:v>
      </x:c>
      <x:c r="AH192" s="135" t="str">
        <x:v>concesionario agro / maquinaria agrícola</x:v>
      </x:c>
      <x:c r="AI192" s="135" t="str">
        <x:v>Sí</x:v>
      </x:c>
      <x:c r="AJ192" s="135" t="str">
        <x:v>Muy alta</x:v>
      </x:c>
      <x:c r="AK192" s="135" t="str">
        <x:v>Concesionario: preguntar específicamente cómo resuelven entregas, retiros de usados, canjes, service fuera de zona y traslados a exposiciones.</x:v>
      </x:c>
      <x:c r="AL192" s="135" t="str">
        <x:v>Rastrillaje concesionarios agro 2026-09-07</x:v>
      </x:c>
      <x:c r="AM192" s="135" t="str">
        <x:v>Alta nueva del barrido específico de concesionarios, sucursales y multimarca agro; cruzada contra la base maestra para evitar duplicados.</x:v>
      </x:c>
    </x:row>
    <x:row r="193">
      <x:c r="A193" s="136" t="str">
        <x:v>RC-020</x:v>
      </x:c>
      <x:c r="B193" s="136" t="str">
        <x:v>Pendiente</x:v>
      </x:c>
      <x:c r="C193" s="136" t="str">
        <x:v>Río Cuarto / RN36 sur</x:v>
      </x:c>
      <x:c r="D193" s="136" t="str">
        <x:v>Río Cuarto</x:v>
      </x:c>
      <x:c r="E193" s="136" t="str">
        <x:v>Río Cuarto</x:v>
      </x:c>
      <x:c r="F193" s="136" t="str">
        <x:v>A</x:v>
      </x:c>
      <x:c r="G193" s="136" t="n">
        <x:v>95</x:v>
      </x:c>
      <x:c r="H193" s="136" t="str">
        <x:v>Semtraco — Río Cuarto</x:v>
      </x:c>
      <x:c r="I193" s="136" t="str">
        <x:v>Concesionario Case IH / Erca / JCB / implementos</x:v>
      </x:c>
      <x:c r="J193" s="136" t="str">
        <x:v>Maquinaria agrícola</x:v>
      </x:c>
      <x:c r="K193" s="136" t="str">
        <x:v>03584 158451</x:v>
      </x:c>
      <x:c r="L193" s="136" t="str">
        <x:v>Verificar</x:v>
      </x:c>
      <x:c r="M193" s="136" t="str">
        <x:v>logística / ventas / postventa</x:v>
      </x:c>
      <x:c r="N193" s="136" t="str">
        <x:v>Entrega y retiro de tractores, cosechadoras, pulverizadoras, sembradoras e implementos; movimientos por venta, service, canje, demostraciones o ferias.</x:v>
      </x:c>
      <x:c r="O193" s="136" t="str">
        <x:v>Plataforma 20 tn para maquinaria agrícola + malacate/hidrogrúa según maniobra + seguro de carga + trazabilidad GPS.</x:v>
      </x:c>
      <x:c r="P193" s="136" t="str">
        <x:v>Ofrecer transporte tercerizado para entregas a clientes y retiros de usados/service, especialmente en picos de campaña y operaciones fuera de zona.</x:v>
      </x:c>
      <x:c r="Q193" s="136" t="str">
        <x:v>Llamada comercial prioritaria; pedir por logística/ventas/postventa y consultar próximo equipo a trasladar.</x:v>
      </x:c>
      <x:c r="R193" s="136"/>
      <x:c r="S193" s="158" t="str">
        <x:f>IFERROR(T(INDEX('Prospectos Resumen'!$K$9:$K$295,MATCH(A193,'Prospectos Resumen'!$A$9:$A$295,0))),"")</x:f>
      </x:c>
      <x:c r="T193" s="136"/>
      <x:c r="U193" s="136"/>
      <x:c r="V193" s="136"/>
      <x:c r="W193" s="136"/>
      <x:c r="X193" s="136" t="str">
        <x:v>tel:+543584158451</x:v>
      </x:c>
      <x:c r="Y193" s="136" t="str">
        <x:v>tel:+543584158451</x:v>
      </x:c>
      <x:c r="Z193" s="136" t="str">
        <x:v>Confirmar teléfono, decisor y vigencia del punto de venta.</x:v>
      </x:c>
      <x:c r="AA193" s="136" t="str">
        <x:v>https://www.google.com/maps/search/?api=1&amp;query=Semtraco+%E2%80%94+R%C3%ADo+Cuarto+R%C3%ADo+Cuarto+C%C3%B3rdoba+Argentina</x:v>
      </x:c>
      <x:c r="AB193" s="136" t="str">
        <x:v>Web oficial Semtraco</x:v>
      </x:c>
      <x:c r="AC193" s="136" t="str">
        <x:v>https://www.semtraco.com.ar/</x:v>
      </x:c>
      <x:c r="AD193" s="136" t="str">
        <x:v>Concesionario de maquinaria agrícola y equipos; sucursal/operación en Río Cuarto.</x:v>
      </x:c>
      <x:c r="AE193" s="136" t="str">
        <x:v>Alta</x:v>
      </x:c>
      <x:c r="AF193" s="136" t="str">
        <x:v>Rastrillaje agro-maquinaria web 2026-09-07</x:v>
      </x:c>
      <x:c r="AG193" s="136" t="str">
        <x:v>plataforma 20 tn para maquinaria/implementos | hidrogrúa para maniobras | malacate | seguro de carga | trazabilidad GPS</x:v>
      </x:c>
      <x:c r="AH193" s="136" t="str">
        <x:v>fabricante/concesionario/servicio maquinaria agrícola</x:v>
      </x:c>
      <x:c r="AI193" s="136" t="str">
        <x:v>Sí</x:v>
      </x:c>
      <x:c r="AJ193" s="136" t="str">
        <x:v>Muy alta</x:v>
      </x:c>
      <x:c r="AK193" s="136" t="str">
        <x:v>Perfil específico maquinaria agrícola: validar pesos/dimensiones, tipo de carga y disponibilidad de medios de izaje antes de cotizar.</x:v>
      </x:c>
      <x:c r="AL193" s="136" t="str">
        <x:v>Rastrillaje agro-maquinaria 2026-09-07</x:v>
      </x:c>
      <x:c r="AM193" s="136" t="str">
        <x:v>Alta nueva luego de barrido específico de fabricantes, implementos, tractores, concesionarios y agropartes; cruzada contra la base maestra para evitar duplicados.</x:v>
      </x:c>
    </x:row>
    <x:row r="194">
      <x:c r="A194" s="135" t="str">
        <x:v>RC-026</x:v>
      </x:c>
      <x:c r="B194" s="135" t="str">
        <x:v>Pendiente</x:v>
      </x:c>
      <x:c r="C194" s="135" t="str">
        <x:v>Río Cuarto / RN36 sur</x:v>
      </x:c>
      <x:c r="D194" s="135" t="str">
        <x:v>Río Cuarto</x:v>
      </x:c>
      <x:c r="E194" s="135" t="str">
        <x:v>Río Cuarto</x:v>
      </x:c>
      <x:c r="F194" s="135" t="str">
        <x:v>A</x:v>
      </x:c>
      <x:c r="G194" s="135" t="n">
        <x:v>95</x:v>
      </x:c>
      <x:c r="H194" s="135" t="str">
        <x:v>Simonassi — Río Cuarto</x:v>
      </x:c>
      <x:c r="I194" s="135" t="str">
        <x:v>Concesionario de maquinaria agrícola / tractores / postventa</x:v>
      </x:c>
      <x:c r="J194" s="135" t="str">
        <x:v>Maquinaria agrícola</x:v>
      </x:c>
      <x:c r="K194" s="135" t="str">
        <x:v>0358 4654124 / 0358 4637034</x:v>
      </x:c>
      <x:c r="L194" s="135" t="str">
        <x:v>OK</x:v>
      </x:c>
      <x:c r="M194" s="135" t="str">
        <x:v>logística / ventas / postventa</x:v>
      </x:c>
      <x:c r="N194" s="135" t="str">
        <x:v>Entrega y retiro de tractores, cosechadoras, pulverizadoras, sembradoras e implementos; movimientos por venta, service, canje, demostraciones o ferias.</x:v>
      </x:c>
      <x:c r="O194" s="135" t="str">
        <x:v>Plataforma 20 tn para maquinaria agrícola + malacate/hidrogrúa según maniobra + seguro de carga + trazabilidad GPS.</x:v>
      </x:c>
      <x:c r="P194" s="135" t="str">
        <x:v>Ofrecer transporte tercerizado para entregas a clientes y retiros de usados/service, especialmente en picos de campaña y operaciones fuera de zona.</x:v>
      </x:c>
      <x:c r="Q194" s="135" t="str">
        <x:v>Llamada comercial prioritaria; pedir por logística/ventas/postventa y consultar próximo equipo a trasladar.</x:v>
      </x:c>
      <x:c r="R194" s="135"/>
      <x:c r="S194" s="158" t="str">
        <x:f>IFERROR(T(INDEX('Prospectos Resumen'!$K$9:$K$295,MATCH(A194,'Prospectos Resumen'!$A$9:$A$295,0))),"")</x:f>
      </x:c>
      <x:c r="T194" s="135"/>
      <x:c r="U194" s="135"/>
      <x:c r="V194" s="135"/>
      <x:c r="W194" s="135"/>
      <x:c r="X194" s="135" t="str">
        <x:v>tel:+543584654124</x:v>
      </x:c>
      <x:c r="Y194" s="135" t="str">
        <x:v>tel:+543584654124</x:v>
      </x:c>
      <x:c r="Z194" s="135" t="str">
        <x:v>Confirmar decisor y frecuencia de traslados.</x:v>
      </x:c>
      <x:c r="AA194" s="135" t="str">
        <x:v>https://www.google.com/maps/search/?api=1&amp;query=Simonassi+%E2%80%94+R%C3%ADo+Cuarto+R%C3%ADo+Cuarto+C%C3%B3rdoba+Argentina</x:v>
      </x:c>
      <x:c r="AB194" s="135" t="str">
        <x:v>Web oficial Simonassi</x:v>
      </x:c>
      <x:c r="AC194" s="135" t="str">
        <x:v>https://simonassi.com.ar/</x:v>
      </x:c>
      <x:c r="AD194" s="135" t="str">
        <x:v>Concesionario histórico de maquinaria agrícola en Río Cuarto; venta, repuestos y postventa.</x:v>
      </x:c>
      <x:c r="AE194" s="135" t="str">
        <x:v>Alta</x:v>
      </x:c>
      <x:c r="AF194" s="135" t="str">
        <x:v>Rastrillaje agro-maquinaria web 2026-09-07</x:v>
      </x:c>
      <x:c r="AG194" s="135" t="str">
        <x:v>plataforma 20 tn para maquinaria/implementos | hidrogrúa para maniobras | malacate | seguro de carga | trazabilidad GPS</x:v>
      </x:c>
      <x:c r="AH194" s="135" t="str">
        <x:v>fabricante/concesionario/servicio maquinaria agrícola</x:v>
      </x:c>
      <x:c r="AI194" s="135" t="str">
        <x:v>Sí</x:v>
      </x:c>
      <x:c r="AJ194" s="135" t="str">
        <x:v>Muy alta</x:v>
      </x:c>
      <x:c r="AK194" s="135" t="str">
        <x:v>Perfil específico maquinaria agrícola: validar pesos/dimensiones, tipo de carga y disponibilidad de medios de izaje antes de cotizar.</x:v>
      </x:c>
      <x:c r="AL194" s="135" t="str">
        <x:v>Rastrillaje agro-maquinaria 2026-09-07</x:v>
      </x:c>
      <x:c r="AM194" s="135" t="str">
        <x:v>Alta nueva luego de barrido específico de fabricantes, implementos, tractores, concesionarios y agropartes; cruzada contra la base maestra para evitar duplicados.</x:v>
      </x:c>
    </x:row>
    <x:row r="195">
      <x:c r="A195" s="136" t="str">
        <x:v>RC-033</x:v>
      </x:c>
      <x:c r="B195" s="136" t="str">
        <x:v>Pendiente</x:v>
      </x:c>
      <x:c r="C195" s="136" t="str">
        <x:v>Río Cuarto / RN36 sur</x:v>
      </x:c>
      <x:c r="D195" s="136" t="str">
        <x:v>Río Cuarto / corredor agro</x:v>
      </x:c>
      <x:c r="E195" s="136" t="str">
        <x:v>Río Cuarto</x:v>
      </x:c>
      <x:c r="F195" s="136" t="str">
        <x:v>A</x:v>
      </x:c>
      <x:c r="G195" s="136" t="n">
        <x:v>95</x:v>
      </x:c>
      <x:c r="H195" s="136" t="str">
        <x:v>Ulla Maquinarias — Río Cuarto</x:v>
      </x:c>
      <x:c r="I195" s="136" t="str">
        <x:v>Concesionario oficial Case IH / maquinaria agrícola / postventa</x:v>
      </x:c>
      <x:c r="J195" s="136" t="str">
        <x:v>Maquinaria agrícola</x:v>
      </x:c>
      <x:c r="K195" s="136" t="str">
        <x:v>A relevar</x:v>
      </x:c>
      <x:c r="L195" s="136" t="str">
        <x:v>A relevar</x:v>
      </x:c>
      <x:c r="M195" s="136" t="str">
        <x:v>logística / entregas / usados / postventa / gerente comercial</x:v>
      </x:c>
      <x:c r="N195" s="136" t="str">
        <x:v>Entrega y retiro de tractores, cosechadoras, pulverizadoras, sembradoras e implementos; movimientos por ventas, canjes, usados, service, demostraciones y ferias.</x:v>
      </x:c>
      <x:c r="O195" s="136" t="str">
        <x:v>Plataforma 20 tn para equipos e implementos + malacate/hidrogrúa según maniobra + seguro de carga + trazabilidad GPS + coordinación de entrega.</x:v>
      </x:c>
      <x:c r="P195" s="136" t="str">
        <x:v>Tercerizar entregas y retiros para no inmovilizar flota propia; absorber picos de campaña, ventas, canjes y service fuera de zona con un proveedor regional.</x:v>
      </x:c>
      <x:c r="Q195" s="136" t="str">
        <x:v>Llamada prioritaria; pedir por logística/ventas/postventa y consultar cómo resuelven hoy el próximo equipo a entregar o retirar.</x:v>
      </x:c>
      <x:c r="R195" s="136"/>
      <x:c r="S195" s="158" t="str">
        <x:f>IFERROR(T(INDEX('Prospectos Resumen'!$K$9:$K$295,MATCH(A195,'Prospectos Resumen'!$A$9:$A$295,0))),"")</x:f>
      </x:c>
      <x:c r="T195" s="136"/>
      <x:c r="U195" s="136"/>
      <x:c r="V195" s="136"/>
      <x:c r="W195" s="136"/>
      <x:c r="X195" s="136"/>
      <x:c r="Y195" s="136"/>
      <x:c r="Z195" s="136" t="str">
        <x:v>Relevar/confirmar teléfono directo de ventas o logística y validar decisor de entregas.</x:v>
      </x:c>
      <x:c r="AA195" s="136" t="str">
        <x:v>https://www.google.com/maps/search/?api=1&amp;query=Ulla+Maquinarias+%E2%80%94+R%C3%ADo+Cuarto+R%C3%ADo+Cuarto+C%C3%B3rdoba+Argentina</x:v>
      </x:c>
      <x:c r="AB195" s="136" t="str">
        <x:v>Ulla Maquinarias</x:v>
      </x:c>
      <x:c r="AC195" s="136" t="str">
        <x:v>https://www.ulla.com.ar/ulla-maquinarias/blog/2022/11/tractores-linea-puma-marcando-la-diferencia/</x:v>
      </x:c>
      <x:c r="AD195" s="136" t="str">
        <x:v>Ulla publica Río Cuarto como una de sus tres sucursales del centro de Córdoba.</x:v>
      </x:c>
      <x:c r="AE195" s="136" t="str">
        <x:v>Alta</x:v>
      </x:c>
      <x:c r="AF195" s="136" t="str">
        <x:v>Rastrillaje concesionarios agro 2026-09-07</x:v>
      </x:c>
      <x:c r="AG195" s="136" t="str">
        <x:v>plataforma 20 tn para maquinaria agrícola | hidrogrúa para maniobras | malacate | seguro de carga | trazabilidad GPS | coordinación de entregas</x:v>
      </x:c>
      <x:c r="AH195" s="136" t="str">
        <x:v>concesionario agro / maquinaria agrícola</x:v>
      </x:c>
      <x:c r="AI195" s="136" t="str">
        <x:v>Sí</x:v>
      </x:c>
      <x:c r="AJ195" s="136" t="str">
        <x:v>Muy alta</x:v>
      </x:c>
      <x:c r="AK195" s="136" t="str">
        <x:v>Concesionario: preguntar específicamente cómo resuelven entregas, retiros de usados, canjes, service fuera de zona y traslados a exposiciones.</x:v>
      </x:c>
      <x:c r="AL195" s="136" t="str">
        <x:v>Rastrillaje concesionarios agro 2026-09-07</x:v>
      </x:c>
      <x:c r="AM195" s="136" t="str">
        <x:v>Alta nueva del barrido específico de concesionarios, sucursales y multimarca agro; cruzada contra la base maestra para evitar duplicados.</x:v>
      </x:c>
    </x:row>
    <x:row r="196">
      <x:c r="A196" s="135" t="str">
        <x:v>RC-027</x:v>
      </x:c>
      <x:c r="B196" s="135" t="str">
        <x:v>Pendiente</x:v>
      </x:c>
      <x:c r="C196" s="135" t="str">
        <x:v>Río Cuarto / RN36 sur</x:v>
      </x:c>
      <x:c r="D196" s="135" t="str">
        <x:v>Río Cuarto / A005</x:v>
      </x:c>
      <x:c r="E196" s="135" t="str">
        <x:v>Río Cuarto</x:v>
      </x:c>
      <x:c r="F196" s="135" t="str">
        <x:v>A</x:v>
      </x:c>
      <x:c r="G196" s="135" t="n">
        <x:v>94</x:v>
      </x:c>
      <x:c r="H196" s="135" t="str">
        <x:v>Indusplast Piscinas — Río Cuarto</x:v>
      </x:c>
      <x:c r="I196" s="135" t="str">
        <x:v>Franquicia / piscinas de fibra de vidrio / instalación</x:v>
      </x:c>
      <x:c r="J196" s="135" t="str">
        <x:v>PRFV y plásticos</x:v>
      </x:c>
      <x:c r="K196" s="135" t="str">
        <x:v>0358 6028628</x:v>
      </x:c>
      <x:c r="L196" s="135" t="str">
        <x:v>OK</x:v>
      </x:c>
      <x:c r="M196" s="135" t="str">
        <x:v>logística / instalaciones / obras / ventas</x:v>
      </x:c>
      <x:c r="N196" s="135" t="str">
        <x:v>Entrega de piscinas de fibra desde depósito/franquicia hasta domicilio y apoyo de grúa cuando el casco debe superar medianeras, techos o accesos angostos.</x:v>
      </x:c>
      <x:c r="O196" s="135" t="str">
        <x:v>Flete de piscina PRFV + hidrogrúa para descarga/posicionamiento + coordinación con excavación e instalador + seguro de carga.</x:v>
      </x:c>
      <x:c r="P196" s="135" t="str">
        <x:v>Resolver la parte más crítica de la instalación —logística y maniobra— sin depender de proveedores distintos para camión y grúa.</x:v>
      </x:c>
      <x:c r="Q196" s="135" t="str">
        <x:v>Llamada prioritaria; pedir por responsable de logística/instalaciones/obras y consultar cómo resuelven hoy el flete y la hidrogrúa de cada casco.</x:v>
      </x:c>
      <x:c r="R196" s="135"/>
      <x:c r="S196" s="158" t="str">
        <x:f>IFERROR(T(INDEX('Prospectos Resumen'!$K$9:$K$295,MATCH(A196,'Prospectos Resumen'!$A$9:$A$295,0))),"")</x:f>
      </x:c>
      <x:c r="T196" s="135"/>
      <x:c r="U196" s="135"/>
      <x:c r="V196" s="135"/>
      <x:c r="W196" s="135"/>
      <x:c r="X196" s="135" t="str">
        <x:v>tel:+543586028628</x:v>
      </x:c>
      <x:c r="Y196" s="135" t="str">
        <x:v>tel:+543586028628</x:v>
      </x:c>
      <x:c r="Z196" s="135" t="str">
        <x:v>Confirmar decisor de logística/instalaciones y frecuencia mensual de entregas.</x:v>
      </x:c>
      <x:c r="AA196" s="135" t="str">
        <x:v>https://www.google.com/maps/search/?api=1&amp;query=Indusplast+Piscinas+%E2%80%94+R%C3%ADo+Cuarto+R%C3%ADo+Cuarto+C%C3%B3rdoba+Argentina</x:v>
      </x:c>
      <x:c r="AB196" s="135" t="str">
        <x:v>Indusplast / Google Business</x:v>
      </x:c>
      <x:c r="AC196" s="135" t="str">
        <x:v>https://indusplast.com/</x:v>
      </x:c>
      <x:c r="AD196" s="135" t="str">
        <x:v>Punto Indusplast en Río Cuarto; la marca es fabricante nacional de piscinas de fibra y opera con franquicias.</x:v>
      </x:c>
      <x:c r="AE196" s="135" t="str">
        <x:v>Alta</x:v>
      </x:c>
      <x:c r="AF196" s="135" t="str">
        <x:v>Rastrillaje piletas PRFV 2026-09-07</x:v>
      </x:c>
      <x:c r="AG196" s="135" t="str">
        <x:v>transporte especial de cascos PRFV | hidrogrúa para descarga y posicionamiento | coordinación de entrega con instalador | seguro de carga | trazabilidad GPS</x:v>
      </x:c>
      <x:c r="AH196" s="135" t="str">
        <x:v>piletas/plástico/PRFV</x:v>
      </x:c>
      <x:c r="AI196" s="135" t="str">
        <x:v>Sí</x:v>
      </x:c>
      <x:c r="AJ196" s="135" t="str">
        <x:v>Muy alta</x:v>
      </x:c>
      <x:c r="AK196" s="135" t="str">
        <x:v>Oportunidad de encaje directo: el casco es voluminoso y liviano; confirmar puntos de izaje, eslingado, radio de giro, obstáculos del lote y recomendaciones del fabricante antes de la maniobra.</x:v>
      </x:c>
      <x:c r="AL196" s="135" t="str">
        <x:v>Rastrillaje PRFV 2026-09-07</x:v>
      </x:c>
      <x:c r="AM196" s="135" t="str">
        <x:v>Alta nueva luego de barrido específico de fabricantes, franquicias y colocadores de piscinas de fibra; cruzada contra la base maestra para evitar duplicados.</x:v>
      </x:c>
    </x:row>
    <x:row r="197">
      <x:c r="A197" s="136" t="str">
        <x:v>RC-030</x:v>
      </x:c>
      <x:c r="B197" s="136" t="str">
        <x:v>Pendiente</x:v>
      </x:c>
      <x:c r="C197" s="136" t="str">
        <x:v>Río Cuarto / RN36 sur</x:v>
      </x:c>
      <x:c r="D197" s="136" t="str">
        <x:v>Río Cuarto / A005</x:v>
      </x:c>
      <x:c r="E197" s="136" t="str">
        <x:v>Río Cuarto</x:v>
      </x:c>
      <x:c r="F197" s="136" t="str">
        <x:v>A</x:v>
      </x:c>
      <x:c r="G197" s="136" t="n">
        <x:v>94</x:v>
      </x:c>
      <x:c r="H197" s="136" t="str">
        <x:v>Luvi Piscinas — Río Cuarto</x:v>
      </x:c>
      <x:c r="I197" s="136" t="str">
        <x:v>Fabricante de piscinas PRFV / sucursal Río Cuarto / instalación</x:v>
      </x:c>
      <x:c r="J197" s="136" t="str">
        <x:v>PRFV y plásticos</x:v>
      </x:c>
      <x:c r="K197" s="136" t="str">
        <x:v>0358 4826734</x:v>
      </x:c>
      <x:c r="L197" s="136" t="str">
        <x:v>OK</x:v>
      </x:c>
      <x:c r="M197" s="136" t="str">
        <x:v>logística / instalaciones / obras / ventas</x:v>
      </x:c>
      <x:c r="N197" s="136" t="str">
        <x:v>Despacho recurrente de cascos PRFV de gran volumen desde fábrica hacia obras, franquicias o domicilios; coordinación de descarga y posicionamiento en patios con accesos restringidos.</x:v>
      </x:c>
      <x:c r="O197" s="136" t="str">
        <x:v>Transporte especial de cascos PRFV + hidrogrúa para descarga y posicionamiento en patio/excavación + coordinación con equipo instalador + seguro de carga + trazabilidad GPS.</x:v>
      </x:c>
      <x:c r="P197" s="136" t="str">
        <x:v>Proponer a PRESOL como operador logístico recurrente para entregas de fábrica: un solo proveedor para flete, descarga con hidrogrúa y posicionamiento final del casco.</x:v>
      </x:c>
      <x:c r="Q197" s="136" t="str">
        <x:v>Llamada prioritaria; pedir por responsable de logística/instalaciones/obras y consultar cómo resuelven hoy el flete y la hidrogrúa de cada casco.</x:v>
      </x:c>
      <x:c r="R197" s="136"/>
      <x:c r="S197" s="158" t="str">
        <x:f>IFERROR(T(INDEX('Prospectos Resumen'!$K$9:$K$295,MATCH(A197,'Prospectos Resumen'!$A$9:$A$295,0))),"")</x:f>
      </x:c>
      <x:c r="T197" s="136"/>
      <x:c r="U197" s="136"/>
      <x:c r="V197" s="136"/>
      <x:c r="W197" s="136"/>
      <x:c r="X197" s="136" t="str">
        <x:v>tel:+543584826734</x:v>
      </x:c>
      <x:c r="Y197" s="136" t="str">
        <x:v>tel:+543584826734</x:v>
      </x:c>
      <x:c r="Z197" s="136" t="str">
        <x:v>Confirmar decisor de logística/instalaciones y frecuencia mensual de entregas.</x:v>
      </x:c>
      <x:c r="AA197" s="136" t="str">
        <x:v>https://www.google.com/maps/search/?api=1&amp;query=Luvi+Piscinas+%E2%80%94+R%C3%ADo+Cuarto+R%C3%ADo+Cuarto+C%C3%B3rdoba+Argentina</x:v>
      </x:c>
      <x:c r="AB197" s="136" t="str">
        <x:v>Web oficial Luvi</x:v>
      </x:c>
      <x:c r="AC197" s="136" t="str">
        <x:v>https://luvi.com.ar/sucursales/</x:v>
      </x:c>
      <x:c r="AD197" s="136" t="str">
        <x:v>Luvi fabrica piscinas PRFV y publica sucursal en Río Cuarto; su propuesta incluye instalación rápida.</x:v>
      </x:c>
      <x:c r="AE197" s="136" t="str">
        <x:v>Alta</x:v>
      </x:c>
      <x:c r="AF197" s="136" t="str">
        <x:v>Rastrillaje piletas PRFV 2026-09-07</x:v>
      </x:c>
      <x:c r="AG197" s="136" t="str">
        <x:v>transporte especial de cascos PRFV | hidrogrúa para descarga y posicionamiento | coordinación de entrega con instalador | seguro de carga | trazabilidad GPS</x:v>
      </x:c>
      <x:c r="AH197" s="136" t="str">
        <x:v>piletas/plástico/PRFV</x:v>
      </x:c>
      <x:c r="AI197" s="136" t="str">
        <x:v>Sí</x:v>
      </x:c>
      <x:c r="AJ197" s="136" t="str">
        <x:v>Muy alta</x:v>
      </x:c>
      <x:c r="AK197" s="136" t="str">
        <x:v>Oportunidad de encaje directo: el casco es voluminoso y liviano; confirmar puntos de izaje, eslingado, radio de giro, obstáculos del lote y recomendaciones del fabricante antes de la maniobra.</x:v>
      </x:c>
      <x:c r="AL197" s="136" t="str">
        <x:v>Rastrillaje PRFV 2026-09-07</x:v>
      </x:c>
      <x:c r="AM197" s="136" t="str">
        <x:v>Alta nueva luego de barrido específico de fabricantes, franquicias y colocadores de piscinas de fibra; cruzada contra la base maestra para evitar duplicados.</x:v>
      </x:c>
    </x:row>
    <x:row r="198">
      <x:c r="A198" s="135" t="str">
        <x:v>RC-028</x:v>
      </x:c>
      <x:c r="B198" s="135" t="str">
        <x:v>Pendiente</x:v>
      </x:c>
      <x:c r="C198" s="135" t="str">
        <x:v>Río Cuarto / RN36 sur</x:v>
      </x:c>
      <x:c r="D198" s="135" t="str">
        <x:v>Río Cuarto / A005</x:v>
      </x:c>
      <x:c r="E198" s="135" t="str">
        <x:v>Río Cuarto</x:v>
      </x:c>
      <x:c r="F198" s="135" t="str">
        <x:v>A</x:v>
      </x:c>
      <x:c r="G198" s="135" t="n">
        <x:v>92</x:v>
      </x:c>
      <x:c r="H198" s="135" t="str">
        <x:v>Da Natureza Piscinas y Riegos</x:v>
      </x:c>
      <x:c r="I198" s="135" t="str">
        <x:v>Punto de venta Moldear / piscinas PRFV / instalación</x:v>
      </x:c>
      <x:c r="J198" s="135" t="str">
        <x:v>PRFV y plásticos</x:v>
      </x:c>
      <x:c r="K198" s="135" t="str">
        <x:v>+54 9 358 4287330</x:v>
      </x:c>
      <x:c r="L198" s="135" t="str">
        <x:v>OK</x:v>
      </x:c>
      <x:c r="M198" s="135" t="str">
        <x:v>logística / instalaciones / obras / ventas</x:v>
      </x:c>
      <x:c r="N198" s="135" t="str">
        <x:v>Entrega de piscinas de fibra desde depósito/franquicia hasta domicilio y apoyo de grúa cuando el casco debe superar medianeras, techos o accesos angostos.</x:v>
      </x:c>
      <x:c r="O198" s="135" t="str">
        <x:v>Flete de piscina PRFV + hidrogrúa para descarga/posicionamiento + coordinación con excavación e instalador + seguro de carga.</x:v>
      </x:c>
      <x:c r="P198" s="135" t="str">
        <x:v>Resolver la parte más crítica de la instalación —logística y maniobra— sin depender de proveedores distintos para camión y grúa.</x:v>
      </x:c>
      <x:c r="Q198" s="135" t="str">
        <x:v>Llamada prioritaria; pedir por responsable de logística/instalaciones/obras y consultar cómo resuelven hoy el flete y la hidrogrúa de cada casco.</x:v>
      </x:c>
      <x:c r="R198" s="135"/>
      <x:c r="S198" s="158" t="str">
        <x:f>IFERROR(T(INDEX('Prospectos Resumen'!$K$9:$K$295,MATCH(A198,'Prospectos Resumen'!$A$9:$A$295,0))),"")</x:f>
      </x:c>
      <x:c r="T198" s="135"/>
      <x:c r="U198" s="135"/>
      <x:c r="V198" s="135"/>
      <x:c r="W198" s="135"/>
      <x:c r="X198" s="135" t="str">
        <x:v>tel:+5493584287330</x:v>
      </x:c>
      <x:c r="Y198" s="135" t="str">
        <x:v>tel:+5493584287330</x:v>
      </x:c>
      <x:c r="Z198" s="135" t="str">
        <x:v>Confirmar decisor de logística/instalaciones y frecuencia mensual de entregas.</x:v>
      </x:c>
      <x:c r="AA198" s="135" t="str">
        <x:v>https://www.google.com/maps/search/?api=1&amp;query=Da+Natureza+Piscinas+y+Riegos+R%C3%ADo+Cuarto+C%C3%B3rdoba+Argentina</x:v>
      </x:c>
      <x:c r="AB198" s="135" t="str">
        <x:v>Moldear</x:v>
      </x:c>
      <x:c r="AC198" s="135" t="str">
        <x:v>https://www.moldear.com.ar/cordoba/rio-cuarto/danatureza/</x:v>
      </x:c>
      <x:c r="AD198" s="135" t="str">
        <x:v>Punto certificado Moldear en Río Cuarto; comercializa piscinas, losetas y casillas de fibra.</x:v>
      </x:c>
      <x:c r="AE198" s="135" t="str">
        <x:v>Alta</x:v>
      </x:c>
      <x:c r="AF198" s="135" t="str">
        <x:v>Rastrillaje piletas PRFV 2026-09-07</x:v>
      </x:c>
      <x:c r="AG198" s="135" t="str">
        <x:v>transporte especial de cascos PRFV | hidrogrúa para descarga y posicionamiento | coordinación de entrega con instalador | seguro de carga | trazabilidad GPS</x:v>
      </x:c>
      <x:c r="AH198" s="135" t="str">
        <x:v>piletas/plástico/PRFV</x:v>
      </x:c>
      <x:c r="AI198" s="135" t="str">
        <x:v>Sí</x:v>
      </x:c>
      <x:c r="AJ198" s="135" t="str">
        <x:v>Muy alta</x:v>
      </x:c>
      <x:c r="AK198" s="135" t="str">
        <x:v>Oportunidad de encaje directo: el casco es voluminoso y liviano; confirmar puntos de izaje, eslingado, radio de giro, obstáculos del lote y recomendaciones del fabricante antes de la maniobra.</x:v>
      </x:c>
      <x:c r="AL198" s="135" t="str">
        <x:v>Rastrillaje PRFV 2026-09-07</x:v>
      </x:c>
      <x:c r="AM198" s="135" t="str">
        <x:v>Alta nueva luego de barrido específico de fabricantes, franquicias y colocadores de piscinas de fibra; cruzada contra la base maestra para evitar duplicados.</x:v>
      </x:c>
    </x:row>
    <x:row r="199">
      <x:c r="A199" s="136" t="str">
        <x:v>RC-031</x:v>
      </x:c>
      <x:c r="B199" s="136" t="str">
        <x:v>Pendiente</x:v>
      </x:c>
      <x:c r="C199" s="136" t="str">
        <x:v>Río Cuarto / RN36 sur</x:v>
      </x:c>
      <x:c r="D199" s="136" t="str">
        <x:v>Río Cuarto / A005</x:v>
      </x:c>
      <x:c r="E199" s="136" t="str">
        <x:v>Río Cuarto</x:v>
      </x:c>
      <x:c r="F199" s="136" t="str">
        <x:v>A</x:v>
      </x:c>
      <x:c r="G199" s="136" t="n">
        <x:v>90</x:v>
      </x:c>
      <x:c r="H199" s="136" t="str">
        <x:v>Piscinas iGUi — Río Cuarto</x:v>
      </x:c>
      <x:c r="I199" s="136" t="str">
        <x:v>Piscinas de fibra / contratista / franquicia</x:v>
      </x:c>
      <x:c r="J199" s="136" t="str">
        <x:v>PRFV y plásticos</x:v>
      </x:c>
      <x:c r="K199" s="136" t="str">
        <x:v>0800 222 4484</x:v>
      </x:c>
      <x:c r="L199" s="136" t="str">
        <x:v>Verificar</x:v>
      </x:c>
      <x:c r="M199" s="136" t="str">
        <x:v>logística / instalaciones / obras / ventas</x:v>
      </x:c>
      <x:c r="N199" s="136" t="str">
        <x:v>Entrega de piscinas de fibra desde depósito/franquicia hasta domicilio y apoyo de grúa cuando el casco debe superar medianeras, techos o accesos angostos.</x:v>
      </x:c>
      <x:c r="O199" s="136" t="str">
        <x:v>Flete de piscina PRFV + hidrogrúa para descarga/posicionamiento + coordinación con excavación e instalador + seguro de carga.</x:v>
      </x:c>
      <x:c r="P199" s="136" t="str">
        <x:v>Resolver la parte más crítica de la instalación —logística y maniobra— sin depender de proveedores distintos para camión y grúa.</x:v>
      </x:c>
      <x:c r="Q199" s="136" t="str">
        <x:v>Llamada prioritaria; pedir por responsable de logística/instalaciones/obras y consultar cómo resuelven hoy el flete y la hidrogrúa de cada casco.</x:v>
      </x:c>
      <x:c r="R199" s="136"/>
      <x:c r="S199" s="158" t="str">
        <x:f>IFERROR(T(INDEX('Prospectos Resumen'!$K$9:$K$295,MATCH(A199,'Prospectos Resumen'!$A$9:$A$295,0))),"")</x:f>
      </x:c>
      <x:c r="T199" s="136"/>
      <x:c r="U199" s="136"/>
      <x:c r="V199" s="136"/>
      <x:c r="W199" s="136"/>
      <x:c r="X199" s="136" t="str">
        <x:v>tel:+548002224484</x:v>
      </x:c>
      <x:c r="Y199" s="136" t="str">
        <x:v>tel:+548002224484</x:v>
      </x:c>
      <x:c r="Z199" s="136" t="str">
        <x:v>Validar teléfono directo, decisor y si la instalación/manipulación se realiza con equipo propio o tercerizado.</x:v>
      </x:c>
      <x:c r="AA199" s="136" t="str">
        <x:v>https://www.google.com/maps/search/?api=1&amp;query=Piscinas+iGUi+%E2%80%94+R%C3%ADo+Cuarto+R%C3%ADo+Cuarto+C%C3%B3rdoba+Argentina</x:v>
      </x:c>
      <x:c r="AB199" s="136" t="str">
        <x:v>iGUi / Google Business</x:v>
      </x:c>
      <x:c r="AC199" s="136" t="str">
        <x:v>https://www.igui.com/es/piscinas</x:v>
      </x:c>
      <x:c r="AD199" s="136" t="str">
        <x:v>Punto local de iGUi en Río Cuarto; la marca comercializa piscinas prefabricadas y el local figura como contratista de piscinas.</x:v>
      </x:c>
      <x:c r="AE199" s="136" t="str">
        <x:v>Media</x:v>
      </x:c>
      <x:c r="AF199" s="136" t="str">
        <x:v>Rastrillaje piletas PRFV 2026-09-07</x:v>
      </x:c>
      <x:c r="AG199" s="136" t="str">
        <x:v>transporte especial de cascos PRFV | hidrogrúa para descarga y posicionamiento | coordinación de entrega con instalador | seguro de carga | trazabilidad GPS</x:v>
      </x:c>
      <x:c r="AH199" s="136" t="str">
        <x:v>piletas/plástico/PRFV</x:v>
      </x:c>
      <x:c r="AI199" s="136" t="str">
        <x:v>Sí</x:v>
      </x:c>
      <x:c r="AJ199" s="136" t="str">
        <x:v>Alta</x:v>
      </x:c>
      <x:c r="AK199" s="136" t="str">
        <x:v>Oportunidad de encaje directo: el casco es voluminoso y liviano; confirmar puntos de izaje, eslingado, radio de giro, obstáculos del lote y recomendaciones del fabricante antes de la maniobra.</x:v>
      </x:c>
      <x:c r="AL199" s="136" t="str">
        <x:v>Rastrillaje PRFV 2026-09-07</x:v>
      </x:c>
      <x:c r="AM199" s="136" t="str">
        <x:v>Alta nueva luego de barrido específico de fabricantes, franquicias y colocadores de piscinas de fibra; cruzada contra la base maestra para evitar duplicados.</x:v>
      </x:c>
    </x:row>
    <x:row r="200">
      <x:c r="A200" s="135" t="str">
        <x:v>RC-038</x:v>
      </x:c>
      <x:c r="B200" s="135" t="str">
        <x:v>Pendiente</x:v>
      </x:c>
      <x:c r="C200" s="135" t="str">
        <x:v>Río Cuarto / RN36 sur</x:v>
      </x:c>
      <x:c r="D200" s="135" t="str">
        <x:v>Río Cuarto / corredor agro</x:v>
      </x:c>
      <x:c r="E200" s="135" t="str">
        <x:v>Río Cuarto</x:v>
      </x:c>
      <x:c r="F200" s="135" t="str">
        <x:v>A</x:v>
      </x:c>
      <x:c r="G200" s="135" t="n">
        <x:v>90</x:v>
      </x:c>
      <x:c r="H200" s="135" t="str">
        <x:v>Rubén Marconi Maquinarias</x:v>
      </x:c>
      <x:c r="I200" s="135" t="str">
        <x:v>Concesionario de sembradoras Bertini / maquinaria agrícola</x:v>
      </x:c>
      <x:c r="J200" s="135" t="str">
        <x:v>Maquinaria agrícola</x:v>
      </x:c>
      <x:c r="K200" s="135" t="str">
        <x:v>0358 4629706</x:v>
      </x:c>
      <x:c r="L200" s="135" t="str">
        <x:v>OK</x:v>
      </x:c>
      <x:c r="M200" s="135" t="str">
        <x:v>logística / entregas / usados / postventa / gerente comercial</x:v>
      </x:c>
      <x:c r="N200" s="135" t="str">
        <x:v>Entrega y retiro de tractores, cosechadoras, pulverizadoras, sembradoras e implementos; movimientos por ventas, canjes, usados, service, demostraciones y ferias.</x:v>
      </x:c>
      <x:c r="O200" s="135" t="str">
        <x:v>Plataforma 20 tn para equipos e implementos + malacate/hidrogrúa según maniobra + seguro de carga + trazabilidad GPS + coordinación de entrega.</x:v>
      </x:c>
      <x:c r="P200" s="135" t="str">
        <x:v>Tercerizar entregas y retiros para no inmovilizar flota propia; absorber picos de campaña, ventas, canjes y service fuera de zona con un proveedor regional.</x:v>
      </x:c>
      <x:c r="Q200" s="135" t="str">
        <x:v>Llamada prioritaria; pedir por logística/ventas/postventa y consultar cómo resuelven hoy el próximo equipo a entregar o retirar.</x:v>
      </x:c>
      <x:c r="R200" s="135"/>
      <x:c r="S200" s="158" t="str">
        <x:f>IFERROR(T(INDEX('Prospectos Resumen'!$K$9:$K$295,MATCH(A200,'Prospectos Resumen'!$A$9:$A$295,0))),"")</x:f>
      </x:c>
      <x:c r="T200" s="135"/>
      <x:c r="U200" s="135"/>
      <x:c r="V200" s="135"/>
      <x:c r="W200" s="135"/>
      <x:c r="X200" s="135" t="str">
        <x:v>tel:+543584629706</x:v>
      </x:c>
      <x:c r="Y200" s="135" t="str">
        <x:v>tel:+543584629706</x:v>
      </x:c>
      <x:c r="Z200" s="135" t="str">
        <x:v>Confirmar decisor de logística/entregas y frecuencia mensual de movimientos de equipos.</x:v>
      </x:c>
      <x:c r="AA200" s="135" t="str">
        <x:v>https://www.google.com/maps/search/?api=1&amp;query=Rub%C3%A9n+Marconi+Maquinarias+R%C3%ADo+Cuarto+C%C3%B3rdoba+Argentina</x:v>
      </x:c>
      <x:c r="AB200" s="135" t="str">
        <x:v>Red oficial Bertini</x:v>
      </x:c>
      <x:c r="AC200" s="135" t="str">
        <x:v>https://www.bertini.com.ar/es/concesionarios/</x:v>
      </x:c>
      <x:c r="AD200" s="135" t="str">
        <x:v>Bertini publica el punto de Río Cuarto en Ruta A005 km 3 como concesionario de sembradoras.</x:v>
      </x:c>
      <x:c r="AE200" s="135" t="str">
        <x:v>Alta</x:v>
      </x:c>
      <x:c r="AF200" s="135" t="str">
        <x:v>Rastrillaje concesionarios agro 2026-09-07</x:v>
      </x:c>
      <x:c r="AG200" s="135" t="str">
        <x:v>plataforma 20 tn para maquinaria agrícola | hidrogrúa para maniobras | malacate | seguro de carga | trazabilidad GPS | coordinación de entregas</x:v>
      </x:c>
      <x:c r="AH200" s="135" t="str">
        <x:v>concesionario agro / maquinaria agrícola</x:v>
      </x:c>
      <x:c r="AI200" s="135" t="str">
        <x:v>Sí</x:v>
      </x:c>
      <x:c r="AJ200" s="135" t="str">
        <x:v>Alta</x:v>
      </x:c>
      <x:c r="AK200" s="135" t="str">
        <x:v>Concesionario: preguntar específicamente cómo resuelven entregas, retiros de usados, canjes, service fuera de zona y traslados a exposiciones.</x:v>
      </x:c>
      <x:c r="AL200" s="135" t="str">
        <x:v>Rastrillaje concesionarios agro 2026-09-07</x:v>
      </x:c>
      <x:c r="AM200" s="135" t="str">
        <x:v>Alta nueva del barrido específico de concesionarios, sucursales y multimarca agro; cruzada contra la base maestra para evitar duplicados.</x:v>
      </x:c>
    </x:row>
    <x:row r="201">
      <x:c r="A201" s="136" t="str">
        <x:v>RC-022</x:v>
      </x:c>
      <x:c r="B201" s="136" t="str">
        <x:v>Pendiente</x:v>
      </x:c>
      <x:c r="C201" s="136" t="str">
        <x:v>Río Cuarto / RN36 sur</x:v>
      </x:c>
      <x:c r="D201" s="136" t="str">
        <x:v>Río Cuarto</x:v>
      </x:c>
      <x:c r="E201" s="136" t="str">
        <x:v>Río Cuarto</x:v>
      </x:c>
      <x:c r="F201" s="136" t="str">
        <x:v>A</x:v>
      </x:c>
      <x:c r="G201" s="136" t="n">
        <x:v>88</x:v>
      </x:c>
      <x:c r="H201" s="136" t="str">
        <x:v>CyS Agro — Río Cuarto</x:v>
      </x:c>
      <x:c r="I201" s="136" t="str">
        <x:v>Concesionario Case IH / Jacto / maquinaria agrícola</x:v>
      </x:c>
      <x:c r="J201" s="136" t="str">
        <x:v>Maquinaria agrícola</x:v>
      </x:c>
      <x:c r="K201" s="136" t="str">
        <x:v>+54 9 358 6012240</x:v>
      </x:c>
      <x:c r="L201" s="136" t="str">
        <x:v>OK</x:v>
      </x:c>
      <x:c r="M201" s="136" t="str">
        <x:v>logística / ventas / postventa</x:v>
      </x:c>
      <x:c r="N201" s="136" t="str">
        <x:v>Entrega y retiro de tractores, cosechadoras, pulverizadoras, sembradoras e implementos; movimientos por venta, service, canje, demostraciones o ferias.</x:v>
      </x:c>
      <x:c r="O201" s="136" t="str">
        <x:v>Plataforma 20 tn para maquinaria agrícola + malacate/hidrogrúa según maniobra + seguro de carga + trazabilidad GPS.</x:v>
      </x:c>
      <x:c r="P201" s="136" t="str">
        <x:v>Ofrecer transporte tercerizado para entregas a clientes y retiros de usados/service, especialmente en picos de campaña y operaciones fuera de zona.</x:v>
      </x:c>
      <x:c r="Q201" s="136" t="str">
        <x:v>Llamada comercial prioritaria; pedir por logística/ventas/postventa y consultar próximo equipo a trasladar.</x:v>
      </x:c>
      <x:c r="R201" s="136"/>
      <x:c r="S201" s="158" t="str">
        <x:f>IFERROR(T(INDEX('Prospectos Resumen'!$K$9:$K$295,MATCH(A201,'Prospectos Resumen'!$A$9:$A$295,0))),"")</x:f>
      </x:c>
      <x:c r="T201" s="136"/>
      <x:c r="U201" s="136"/>
      <x:c r="V201" s="136"/>
      <x:c r="W201" s="136"/>
      <x:c r="X201" s="136" t="str">
        <x:v>tel:+5493586012240</x:v>
      </x:c>
      <x:c r="Y201" s="136" t="str">
        <x:v>tel:+5493586012240</x:v>
      </x:c>
      <x:c r="Z201" s="136" t="str">
        <x:v>Confirmar decisor y frecuencia de traslados.</x:v>
      </x:c>
      <x:c r="AA201" s="136" t="str">
        <x:v>https://www.google.com/maps/search/?api=1&amp;query=CyS+Agro+%E2%80%94+R%C3%ADo+Cuarto+R%C3%ADo+Cuarto+C%C3%B3rdoba+Argentina</x:v>
      </x:c>
      <x:c r="AB201" s="136" t="str">
        <x:v>Web oficial CyS Agro</x:v>
      </x:c>
      <x:c r="AC201" s="136" t="str">
        <x:v>https://cysagro.com/</x:v>
      </x:c>
      <x:c r="AD201" s="136" t="str">
        <x:v>Sucursal Río Cuarto con comercialización y soporte de maquinaria agrícola.</x:v>
      </x:c>
      <x:c r="AE201" s="136" t="str">
        <x:v>Alta</x:v>
      </x:c>
      <x:c r="AF201" s="136" t="str">
        <x:v>Rastrillaje agro-maquinaria web 2026-09-07</x:v>
      </x:c>
      <x:c r="AG201" s="136" t="str">
        <x:v>plataforma 20 tn para maquinaria/implementos | hidrogrúa para maniobras | malacate | seguro de carga | trazabilidad GPS</x:v>
      </x:c>
      <x:c r="AH201" s="136" t="str">
        <x:v>fabricante/concesionario/servicio maquinaria agrícola</x:v>
      </x:c>
      <x:c r="AI201" s="136" t="str">
        <x:v>Sí</x:v>
      </x:c>
      <x:c r="AJ201" s="136" t="str">
        <x:v>Alta</x:v>
      </x:c>
      <x:c r="AK201" s="136" t="str">
        <x:v>Perfil específico maquinaria agrícola: validar pesos/dimensiones, tipo de carga y disponibilidad de medios de izaje antes de cotizar.</x:v>
      </x:c>
      <x:c r="AL201" s="136" t="str">
        <x:v>Rastrillaje agro-maquinaria 2026-09-07</x:v>
      </x:c>
      <x:c r="AM201" s="136" t="str">
        <x:v>Alta nueva luego de barrido específico de fabricantes, implementos, tractores, concesionarios y agropartes; cruzada contra la base maestra para evitar duplicados.</x:v>
      </x:c>
    </x:row>
    <x:row r="202">
      <x:c r="A202" s="135" t="str">
        <x:v>RC-025</x:v>
      </x:c>
      <x:c r="B202" s="135" t="str">
        <x:v>Pendiente</x:v>
      </x:c>
      <x:c r="C202" s="135" t="str">
        <x:v>Río Cuarto / RN36 sur</x:v>
      </x:c>
      <x:c r="D202" s="135" t="str">
        <x:v>Río Cuarto</x:v>
      </x:c>
      <x:c r="E202" s="135" t="str">
        <x:v>Río Cuarto</x:v>
      </x:c>
      <x:c r="F202" s="135" t="str">
        <x:v>A</x:v>
      </x:c>
      <x:c r="G202" s="135" t="n">
        <x:v>88</x:v>
      </x:c>
      <x:c r="H202" s="135" t="str">
        <x:v>Establecimiento Industrial Rattini S.A.</x:v>
      </x:c>
      <x:c r="I202" s="135" t="str">
        <x:v>Fabricante de componentes e implementos agrícolas</x:v>
      </x:c>
      <x:c r="J202" s="135" t="str">
        <x:v>Maquinaria agrícola</x:v>
      </x:c>
      <x:c r="K202" s="135" t="str">
        <x:v>0358 4621480 / 0358 6003429</x:v>
      </x:c>
      <x:c r="L202" s="135" t="str">
        <x:v>OK</x:v>
      </x:c>
      <x:c r="M202" s="135" t="str">
        <x:v>logística / ventas / postventa</x:v>
      </x:c>
      <x:c r="N202" s="135" t="str">
        <x:v>Despacho de implementos, tolvas, sembradoras, estructuras, equipos terminados y componentes de gran porte hacia concesionarios, clientes, ferias o campo.</x:v>
      </x:c>
      <x:c r="O202" s="135" t="str">
        <x:v>Plataforma 20 tn para maquinaria/implementos + malacate e hidrogrúa según maniobra + seguro de carga + trazabilidad GPS.</x:v>
      </x:c>
      <x:c r="P202" s="135" t="str">
        <x:v>Proponer a PRESOL como transporte tercerizado para entregas, picos de producción, ferias y movimientos especiales sin inmovilizar flota propia.</x:v>
      </x:c>
      <x:c r="Q202" s="135" t="str">
        <x:v>Llamada comercial prioritaria; pedir por logística/ventas/postventa y consultar próximo equipo a trasladar.</x:v>
      </x:c>
      <x:c r="R202" s="135"/>
      <x:c r="S202" s="158" t="str">
        <x:f>IFERROR(T(INDEX('Prospectos Resumen'!$K$9:$K$295,MATCH(A202,'Prospectos Resumen'!$A$9:$A$295,0))),"")</x:f>
      </x:c>
      <x:c r="T202" s="135"/>
      <x:c r="U202" s="135"/>
      <x:c r="V202" s="135"/>
      <x:c r="W202" s="135"/>
      <x:c r="X202" s="135" t="str">
        <x:v>tel:+543584621480</x:v>
      </x:c>
      <x:c r="Y202" s="135" t="str">
        <x:v>tel:+543584621480</x:v>
      </x:c>
      <x:c r="Z202" s="135" t="str">
        <x:v>Confirmar decisor y frecuencia de traslados.</x:v>
      </x:c>
      <x:c r="AA202" s="135" t="str">
        <x:v>https://www.google.com/maps/search/?api=1&amp;query=Establecimiento+Industrial+Rattini+S.A.+R%C3%ADo+Cuarto+C%C3%B3rdoba+Argentina</x:v>
      </x:c>
      <x:c r="AB202" s="135" t="str">
        <x:v>Web oficial Rattini</x:v>
      </x:c>
      <x:c r="AC202" s="135" t="str">
        <x:v>https://rattini.com.ar/nosotros/</x:v>
      </x:c>
      <x:c r="AD202" s="135" t="str">
        <x:v>Fabricante industrial de componentes e implementos para agro en Río Cuarto.</x:v>
      </x:c>
      <x:c r="AE202" s="135" t="str">
        <x:v>Alta</x:v>
      </x:c>
      <x:c r="AF202" s="135" t="str">
        <x:v>Rastrillaje agro-maquinaria web 2026-09-07</x:v>
      </x:c>
      <x:c r="AG202" s="135" t="str">
        <x:v>plataforma 20 tn para maquinaria/implementos | hidrogrúa para maniobras | malacate | seguro de carga | trazabilidad GPS</x:v>
      </x:c>
      <x:c r="AH202" s="135" t="str">
        <x:v>fabricante/concesionario/servicio maquinaria agrícola</x:v>
      </x:c>
      <x:c r="AI202" s="135" t="str">
        <x:v>Sí</x:v>
      </x:c>
      <x:c r="AJ202" s="135" t="str">
        <x:v>Alta</x:v>
      </x:c>
      <x:c r="AK202" s="135" t="str">
        <x:v>Perfil específico maquinaria agrícola: validar pesos/dimensiones, tipo de carga y disponibilidad de medios de izaje antes de cotizar.</x:v>
      </x:c>
      <x:c r="AL202" s="135" t="str">
        <x:v>Rastrillaje agro-maquinaria 2026-09-07</x:v>
      </x:c>
      <x:c r="AM202" s="135" t="str">
        <x:v>Alta nueva luego de barrido específico de fabricantes, implementos, tractores, concesionarios y agropartes; cruzada contra la base maestra para evitar duplicados.</x:v>
      </x:c>
    </x:row>
    <x:row r="203">
      <x:c r="A203" s="7" t="str">
        <x:v>RC-023</x:v>
      </x:c>
      <x:c r="B203" s="7" t="str">
        <x:v>Pendiente</x:v>
      </x:c>
      <x:c r="C203" s="7" t="str">
        <x:v>Río Cuarto / RN36 sur</x:v>
      </x:c>
      <x:c r="D203" s="7" t="str">
        <x:v>Río Cuarto</x:v>
      </x:c>
      <x:c r="E203" s="7" t="str">
        <x:v>Río Cuarto</x:v>
      </x:c>
      <x:c r="F203" s="7" t="str">
        <x:v>A</x:v>
      </x:c>
      <x:c r="G203" s="7" t="n">
        <x:v>85</x:v>
      </x:c>
      <x:c r="H203" s="7" t="str">
        <x:v>Alfredo y Diego D'Eramo</x:v>
      </x:c>
      <x:c r="I203" s="7" t="str">
        <x:v>Venta de maquinaria agrícola / implementos</x:v>
      </x:c>
      <x:c r="J203" s="7" t="str">
        <x:v>Maquinaria agrícola</x:v>
      </x:c>
      <x:c r="K203" s="7" t="str">
        <x:v>0358 4630339 / +54 9 358 6017301</x:v>
      </x:c>
      <x:c r="L203" s="7" t="str">
        <x:v>OK</x:v>
      </x:c>
      <x:c r="M203" s="7" t="str">
        <x:v>logística / ventas / postventa</x:v>
      </x:c>
      <x:c r="N203" s="7" t="str">
        <x:v>Entrega y retiro de tractores, cosechadoras, pulverizadoras, sembradoras e implementos; movimientos por venta, service, canje, demostraciones o ferias.</x:v>
      </x:c>
      <x:c r="O203" s="7" t="str">
        <x:v>Plataforma 20 tn para maquinaria agrícola + malacate/hidrogrúa según maniobra + seguro de carga + trazabilidad GPS.</x:v>
      </x:c>
      <x:c r="P203" s="7" t="str">
        <x:v>Ofrecer transporte tercerizado para entregas a clientes y retiros de usados/service, especialmente en picos de campaña y operaciones fuera de zona.</x:v>
      </x:c>
      <x:c r="Q203" s="7" t="str">
        <x:v>Llamada comercial prioritaria; pedir por logística/ventas/postventa y consultar próximo equipo a trasladar.</x:v>
      </x:c>
      <x:c r="R203" s="7"/>
      <x:c r="S203" s="160" t="str">
        <x:f>IFERROR(T(INDEX('Prospectos Resumen'!$K$9:$K$295,MATCH(A203,'Prospectos Resumen'!$A$9:$A$295,0))),"")</x:f>
      </x:c>
      <x:c r="T203" s="7"/>
      <x:c r="U203" s="7"/>
      <x:c r="V203" s="7"/>
      <x:c r="W203" s="7"/>
      <x:c r="X203" s="7" t="str">
        <x:v>tel:+543584630339</x:v>
      </x:c>
      <x:c r="Y203" s="7" t="str">
        <x:v>tel:+543584630339</x:v>
      </x:c>
      <x:c r="Z203" s="7" t="str">
        <x:v>Confirmar decisor y frecuencia de traslados.</x:v>
      </x:c>
      <x:c r="AA203" s="7" t="str">
        <x:v>https://www.google.com/maps/search/?api=1&amp;query=Alfredo+y+Diego+D%27Eramo+R%C3%ADo+Cuarto+C%C3%B3rdoba+Argentina</x:v>
      </x:c>
      <x:c r="AB203" s="7" t="str">
        <x:v>Red comercial / ficha de concesionario</x:v>
      </x:c>
      <x:c r="AC203" s="7" t="str">
        <x:v>https://www.google.com/maps/search/?api=1&amp;query=Alfredo+y+Diego+D%27Eramo+maquinaria+R%C3%ADo+Cuarto+C%C3%B3rdoba+Argentina</x:v>
      </x:c>
      <x:c r="AD203" s="7" t="str">
        <x:v>Comercio de maquinaria agrícola en corredor A005 de Río Cuarto; perfil de equipos e implementos.</x:v>
      </x:c>
      <x:c r="AE203" s="7" t="str">
        <x:v>Media</x:v>
      </x:c>
      <x:c r="AF203" s="7" t="str">
        <x:v>Rastrillaje agro-maquinaria web 2026-09-07</x:v>
      </x:c>
      <x:c r="AG203" s="7" t="str">
        <x:v>plataforma 20 tn para maquinaria/implementos | hidrogrúa para maniobras | malacate | seguro de carga | trazabilidad GPS</x:v>
      </x:c>
      <x:c r="AH203" s="7" t="str">
        <x:v>fabricante/concesionario/servicio maquinaria agrícola</x:v>
      </x:c>
      <x:c r="AI203" s="7" t="str">
        <x:v>Sí</x:v>
      </x:c>
      <x:c r="AJ203" s="7" t="str">
        <x:v>Alta</x:v>
      </x:c>
      <x:c r="AK203" s="7" t="str">
        <x:v>Perfil específico maquinaria agrícola: validar pesos/dimensiones, tipo de carga y disponibilidad de medios de izaje antes de cotizar.</x:v>
      </x:c>
      <x:c r="AL203" s="7" t="str">
        <x:v>Rastrillaje agro-maquinaria 2026-09-07</x:v>
      </x:c>
      <x:c r="AM203" s="7" t="str">
        <x:v>Alta nueva luego de barrido específico de fabricantes, implementos, tractores, concesionarios y agropartes; cruzada contra la base maestra para evitar duplicados.</x:v>
      </x:c>
    </x:row>
    <x:row r="204">
      <x:c r="A204" s="135" t="str">
        <x:v>RC-011</x:v>
      </x:c>
      <x:c r="B204" s="135" t="str">
        <x:v>Pendiente</x:v>
      </x:c>
      <x:c r="C204" s="135" t="str">
        <x:v>Río Cuarto / RN36 sur</x:v>
      </x:c>
      <x:c r="D204" s="135" t="str">
        <x:v>Río Cuarto</x:v>
      </x:c>
      <x:c r="E204" s="135" t="str">
        <x:v>Río Cuarto</x:v>
      </x:c>
      <x:c r="F204" s="135" t="str">
        <x:v>A</x:v>
      </x:c>
      <x:c r="G204" s="135" t="n">
        <x:v>75</x:v>
      </x:c>
      <x:c r="H204" s="135" t="str">
        <x:v>BIDESA Obras Viales y Civiles</x:v>
      </x:c>
      <x:c r="I204" s="135" t="str">
        <x:v>Obra vial / UTE</x:v>
      </x:c>
      <x:c r="J204" s="135" t="str">
        <x:v>Construcción y obra vial</x:v>
      </x:c>
      <x:c r="K204" s="135" t="str">
        <x:v>A relevar en obrador</x:v>
      </x:c>
      <x:c r="L204" s="135" t="str">
        <x:v>A relevar</x:v>
      </x:c>
      <x:c r="M204" s="135" t="str">
        <x:v>jefe de obra / logística</x:v>
      </x:c>
      <x:c r="N204" s="135" t="str">
        <x:v>Traslado de maquinaria, módulos de obrador, estructuras, equipos y cargas pesadas entre frentes.</x:v>
      </x:c>
      <x:c r="O204" s="135" t="str">
        <x:v>Transporte de equipos, módulos de obrador, estructuras y materiales pesados; descarga o posicionamiento cuando aplique.</x:v>
      </x:c>
      <x:c r="P204" s="135" t="str">
        <x:v>Si está en obra, entrar por obrador; teléfono no público.</x:v>
      </x:c>
      <x:c r="Q204" s="135" t="str">
        <x:v>Visita o llamada de validación; pedir próximo traslado concreto.</x:v>
      </x:c>
      <x:c r="R204" s="135"/>
      <x:c r="S204" s="158" t="str">
        <x:f>IFERROR(T(INDEX('Prospectos Resumen'!$K$9:$K$295,MATCH(A204,'Prospectos Resumen'!$A$9:$A$295,0))),"")</x:f>
      </x:c>
      <x:c r="T204" s="135"/>
      <x:c r="U204" s="135"/>
      <x:c r="V204" s="135"/>
      <x:c r="W204" s="135"/>
      <x:c r="X204" s="135"/>
      <x:c r="Y204" s="135"/>
      <x:c r="Z204" s="135" t="str">
        <x:v>Validar contacto decisor y necesidad inmediata.</x:v>
      </x:c>
      <x:c r="AA204" s="135" t="str">
        <x:v>https://www.google.com/maps/search/?api=1&amp;query=-33.108000,-64.327000</x:v>
      </x:c>
      <x:c r="AB204" s="135" t="str">
        <x:v>Construar / Boletín Oficial</x:v>
      </x:c>
      <x:c r="AC204" s="135"/>
      <x:c r="AD204" s="135" t="str">
        <x:v>Registro curado en documento de dirección PRESOL 2026-09.</x:v>
      </x:c>
      <x:c r="AE204" s="135" t="str">
        <x:v>Media</x:v>
      </x:c>
      <x:c r="AF204" s="135" t="str">
        <x:v>Base curada PDF dirección</x:v>
      </x:c>
      <x:c r="AG204" s="135" t="str">
        <x:v>transporte de áridos/materiales | hidrogrúa para carga/descarga | percha para pallets/bolsones</x:v>
      </x:c>
      <x:c r="AH204" s="135" t="str">
        <x:v>otro rubro factible</x:v>
      </x:c>
      <x:c r="AI204" s="135"/>
      <x:c r="AJ204" s="135" t="str">
        <x:v>Alta</x:v>
      </x:c>
      <x:c r="AK204" s="135"/>
      <x:c r="AL204" s="135" t="str">
        <x:v>GPT adjunto + Hermes</x:v>
      </x:c>
      <x:c r="AM204" s="135" t="str">
        <x:v>Fusionado con base Hermes para completar teléfonos/fuentes/servicios.</x:v>
      </x:c>
    </x:row>
    <x:row r="205">
      <x:c r="A205" s="7" t="str">
        <x:v>RC-012</x:v>
      </x:c>
      <x:c r="B205" s="7" t="str">
        <x:v>Pendiente</x:v>
      </x:c>
      <x:c r="C205" s="7" t="str">
        <x:v>Río Cuarto / RN36 sur</x:v>
      </x:c>
      <x:c r="D205" s="7" t="str">
        <x:v>Río Cuarto</x:v>
      </x:c>
      <x:c r="E205" s="7" t="str">
        <x:v>Río Cuarto</x:v>
      </x:c>
      <x:c r="F205" s="7" t="str">
        <x:v>A</x:v>
      </x:c>
      <x:c r="G205" s="7" t="n">
        <x:v>75</x:v>
      </x:c>
      <x:c r="H205" s="7" t="str">
        <x:v>Luciano S.A.</x:v>
      </x:c>
      <x:c r="I205" s="7" t="str">
        <x:v>Obra vial / UTE</x:v>
      </x:c>
      <x:c r="J205" s="7" t="str">
        <x:v>Construcción y obra vial</x:v>
      </x:c>
      <x:c r="K205" s="7" t="str">
        <x:v>A relevar</x:v>
      </x:c>
      <x:c r="L205" s="7" t="str">
        <x:v>A relevar</x:v>
      </x:c>
      <x:c r="M205" s="7" t="str">
        <x:v>jefe de obra / logística</x:v>
      </x:c>
      <x:c r="N205" s="7" t="str">
        <x:v>Traslado de maquinaria, módulos de obrador, estructuras, equipos y cargas pesadas entre frentes.</x:v>
      </x:c>
      <x:c r="O205" s="7" t="str">
        <x:v>Transporte de equipos, módulos de obrador, estructuras y materiales pesados; descarga o posicionamiento cuando aplique.</x:v>
      </x:c>
      <x:c r="P205" s="7" t="str">
        <x:v>Oferente/contratista; buscar obrador primero.</x:v>
      </x:c>
      <x:c r="Q205" s="7" t="str">
        <x:v>Visita o llamada de validación; pedir próximo traslado concreto.</x:v>
      </x:c>
      <x:c r="R205" s="7"/>
      <x:c r="S205" s="160" t="str">
        <x:f>IFERROR(T(INDEX('Prospectos Resumen'!$K$9:$K$295,MATCH(A205,'Prospectos Resumen'!$A$9:$A$295,0))),"")</x:f>
      </x:c>
      <x:c r="T205" s="7"/>
      <x:c r="U205" s="7"/>
      <x:c r="V205" s="7"/>
      <x:c r="W205" s="7"/>
      <x:c r="X205" s="7"/>
      <x:c r="Y205" s="7"/>
      <x:c r="Z205" s="7" t="str">
        <x:v>Validar contacto decisor y necesidad inmediata.</x:v>
      </x:c>
      <x:c r="AA205" s="7" t="str">
        <x:v>https://www.google.com/maps/search/?api=1&amp;query=-33.111000,-64.329000</x:v>
      </x:c>
      <x:c r="AB205" s="7" t="str">
        <x:v>Construar / licitaciones</x:v>
      </x:c>
      <x:c r="AC205" s="7"/>
      <x:c r="AD205" s="7" t="str">
        <x:v>Registro curado en documento de dirección PRESOL 2026-09.</x:v>
      </x:c>
      <x:c r="AE205" s="7" t="str">
        <x:v>Media</x:v>
      </x:c>
      <x:c r="AF205" s="7" t="str">
        <x:v>Base curada PDF dirección</x:v>
      </x:c>
      <x:c r="AG205" s="7" t="str">
        <x:v>transporte de áridos/materiales | hidrogrúa para carga/descarga | percha para pallets/bolsones</x:v>
      </x:c>
      <x:c r="AH205" s="7" t="str">
        <x:v>otro rubro factible</x:v>
      </x:c>
      <x:c r="AI205" s="7"/>
      <x:c r="AJ205" s="7" t="str">
        <x:v>Alta</x:v>
      </x:c>
      <x:c r="AK205" s="7"/>
      <x:c r="AL205" s="7" t="str">
        <x:v>GPT adjunto + Hermes</x:v>
      </x:c>
      <x:c r="AM205" s="7" t="str">
        <x:v>Fusionado con base Hermes para completar teléfonos/fuentes/servicios.</x:v>
      </x:c>
    </x:row>
    <x:row r="206">
      <x:c r="A206" s="135" t="str">
        <x:v>RC-029</x:v>
      </x:c>
      <x:c r="B206" s="135" t="str">
        <x:v>Pendiente</x:v>
      </x:c>
      <x:c r="C206" s="135" t="str">
        <x:v>Río Cuarto / RN36 sur</x:v>
      </x:c>
      <x:c r="D206" s="135" t="str">
        <x:v>Río Cuarto / A005</x:v>
      </x:c>
      <x:c r="E206" s="135" t="str">
        <x:v>Río Cuarto</x:v>
      </x:c>
      <x:c r="F206" s="135" t="str">
        <x:v>B</x:v>
      </x:c>
      <x:c r="G206" s="135" t="n">
        <x:v>84</x:v>
      </x:c>
      <x:c r="H206" s="135" t="str">
        <x:v>Corralón Rolotti — Moldear Piscinas</x:v>
      </x:c>
      <x:c r="I206" s="135" t="str">
        <x:v>Punto de venta Moldear / piscinas de fibra / materiales</x:v>
      </x:c>
      <x:c r="J206" s="135" t="str">
        <x:v>PRFV y plásticos</x:v>
      </x:c>
      <x:c r="K206" s="135" t="str">
        <x:v>0358 4642105 / +54 9 3585 091698</x:v>
      </x:c>
      <x:c r="L206" s="135" t="str">
        <x:v>OK</x:v>
      </x:c>
      <x:c r="M206" s="135" t="str">
        <x:v>logística / instalaciones / obras / ventas</x:v>
      </x:c>
      <x:c r="N206" s="135" t="str">
        <x:v>Entrega de piscinas de fibra desde depósito/franquicia hasta domicilio y apoyo de grúa cuando el casco debe superar medianeras, techos o accesos angostos.</x:v>
      </x:c>
      <x:c r="O206" s="135" t="str">
        <x:v>Flete de piscina PRFV + hidrogrúa para descarga/posicionamiento + coordinación con excavación e instalador + seguro de carga.</x:v>
      </x:c>
      <x:c r="P206" s="135" t="str">
        <x:v>Resolver la parte más crítica de la instalación —logística y maniobra— sin depender de proveedores distintos para camión y grúa.</x:v>
      </x:c>
      <x:c r="Q206" s="135" t="str">
        <x:v>Validar volumen mensual de instalaciones y si tercerizan flete/grúa; pedir un caso reciente o próximo para cotizar.</x:v>
      </x:c>
      <x:c r="R206" s="135"/>
      <x:c r="S206" s="158" t="str">
        <x:f>IFERROR(T(INDEX('Prospectos Resumen'!$K$9:$K$295,MATCH(A206,'Prospectos Resumen'!$A$9:$A$295,0))),"")</x:f>
      </x:c>
      <x:c r="T206" s="135"/>
      <x:c r="U206" s="135"/>
      <x:c r="V206" s="135"/>
      <x:c r="W206" s="135"/>
      <x:c r="X206" s="135" t="str">
        <x:v>tel:+543584642105</x:v>
      </x:c>
      <x:c r="Y206" s="135" t="str">
        <x:v>tel:+543584642105</x:v>
      </x:c>
      <x:c r="Z206" s="135" t="str">
        <x:v>Confirmar decisor de logística/instalaciones y frecuencia mensual de entregas.</x:v>
      </x:c>
      <x:c r="AA206" s="135" t="str">
        <x:v>https://www.google.com/maps/search/?api=1&amp;query=Corral%C3%B3n+Rolotti+%E2%80%94+Moldear+Piscinas+R%C3%ADo+Cuarto+C%C3%B3rdoba+Argentina</x:v>
      </x:c>
      <x:c r="AB206" s="135" t="str">
        <x:v>Moldear / Corralón Rolotti</x:v>
      </x:c>
      <x:c r="AC206" s="135" t="str">
        <x:v>https://www.moldear.com.ar/cordoba/rio-cuarto/corralon-rolotti/</x:v>
      </x:c>
      <x:c r="AD206" s="135" t="str">
        <x:v>Punto certificado Moldear en Río Cuarto; comercializa piscinas y casillas PRFV.</x:v>
      </x:c>
      <x:c r="AE206" s="135" t="str">
        <x:v>Alta</x:v>
      </x:c>
      <x:c r="AF206" s="135" t="str">
        <x:v>Rastrillaje piletas PRFV 2026-09-07</x:v>
      </x:c>
      <x:c r="AG206" s="135" t="str">
        <x:v>transporte especial de cascos PRFV | hidrogrúa para descarga y posicionamiento | coordinación de entrega con instalador | seguro de carga | trazabilidad GPS</x:v>
      </x:c>
      <x:c r="AH206" s="135" t="str">
        <x:v>piletas/plástico/PRFV</x:v>
      </x:c>
      <x:c r="AI206" s="135" t="str">
        <x:v>Sí</x:v>
      </x:c>
      <x:c r="AJ206" s="135" t="str">
        <x:v>Alta</x:v>
      </x:c>
      <x:c r="AK206" s="135" t="str">
        <x:v>Oportunidad de encaje directo: el casco es voluminoso y liviano; confirmar puntos de izaje, eslingado, radio de giro, obstáculos del lote y recomendaciones del fabricante antes de la maniobra.</x:v>
      </x:c>
      <x:c r="AL206" s="135" t="str">
        <x:v>Rastrillaje PRFV 2026-09-07</x:v>
      </x:c>
      <x:c r="AM206" s="135" t="str">
        <x:v>Alta nueva luego de barrido específico de fabricantes, franquicias y colocadores de piscinas de fibra; cruzada contra la base maestra para evitar duplicados.</x:v>
      </x:c>
    </x:row>
    <x:row r="207">
      <x:c r="A207" s="136" t="str">
        <x:v>RC-013</x:v>
      </x:c>
      <x:c r="B207" s="136" t="str">
        <x:v>Pendiente</x:v>
      </x:c>
      <x:c r="C207" s="136" t="str">
        <x:v>Río Cuarto / RN36 sur</x:v>
      </x:c>
      <x:c r="D207" s="136" t="str">
        <x:v>Río Cuarto</x:v>
      </x:c>
      <x:c r="E207" s="136" t="str">
        <x:v>Río Cuarto</x:v>
      </x:c>
      <x:c r="F207" s="136" t="str">
        <x:v>B</x:v>
      </x:c>
      <x:c r="G207" s="136" t="n">
        <x:v>75</x:v>
      </x:c>
      <x:c r="H207" s="136" t="str">
        <x:v>Agrorio Maquinarias</x:v>
      </x:c>
      <x:c r="I207" s="136" t="str">
        <x:v>Maquinaria agrícola</x:v>
      </x:c>
      <x:c r="J207" s="136" t="str">
        <x:v>Maquinaria agrícola</x:v>
      </x:c>
      <x:c r="K207" s="136" t="str">
        <x:v>03586 093110</x:v>
      </x:c>
      <x:c r="L207" s="136" t="str">
        <x:v>OK</x:v>
      </x:c>
      <x:c r="M207" s="136" t="str">
        <x:v>responsable de acopio / mantenimiento</x:v>
      </x:c>
      <x:c r="N207" s="136" t="str">
        <x:v>Movimientos especiales de mantenimiento, repuestos pesados y mudanzas internas de equipos.</x:v>
      </x:c>
      <x:c r="O207" s="136" t="str">
        <x:v>Movimiento de equipos de planta, silos, balanzas, repuestos y cargas especiales para acopios/agroindustria.</x:v>
      </x:c>
      <x:c r="P207" s="136" t="str">
        <x:v>Ofrecer PRESOL como transportista regional confiable.</x:v>
      </x:c>
      <x:c r="Q207" s="136" t="str">
        <x:v>Visita o llamada de validación; pedir próximo traslado concreto.</x:v>
      </x:c>
      <x:c r="R207" s="136"/>
      <x:c r="S207" s="158" t="str">
        <x:f>IFERROR(T(INDEX('Prospectos Resumen'!$K$9:$K$295,MATCH(A207,'Prospectos Resumen'!$A$9:$A$295,0))),"")</x:f>
      </x:c>
      <x:c r="T207" s="136"/>
      <x:c r="U207" s="136"/>
      <x:c r="V207" s="136"/>
      <x:c r="W207" s="136"/>
      <x:c r="X207" s="136" t="str">
        <x:v>tel:+543586093110</x:v>
      </x:c>
      <x:c r="Y207" s="136" t="str">
        <x:v>tel:+543586093110</x:v>
      </x:c>
      <x:c r="Z207" s="136" t="str">
        <x:v>Validar contacto decisor y necesidad inmediata.</x:v>
      </x:c>
      <x:c r="AA207" s="136" t="str">
        <x:v>https://www.google.com/maps/search/?api=1&amp;query=-33.125500,-64.382000</x:v>
      </x:c>
      <x:c r="AB207" s="136" t="str">
        <x:v>Facebook AgroRío</x:v>
      </x:c>
      <x:c r="AC207" s="136"/>
      <x:c r="AD207" s="136" t="str">
        <x:v>Registro curado en documento de dirección PRESOL 2026-09.</x:v>
      </x:c>
      <x:c r="AE207" s="136" t="str">
        <x:v>Alta</x:v>
      </x:c>
      <x:c r="AF207" s="136" t="str">
        <x:v>Base curada PDF dirección</x:v>
      </x:c>
      <x:c r="AG207" s="136" t="str">
        <x:v>plataforma 20 tn para maquinaria/piezas | hidrogrúa para maniobras | percha para pallets | percha para pallets de insumos | hidrogrúa para equipos/mantenimiento | barquilla para trabajos en altura</x:v>
      </x:c>
      <x:c r="AH207" s="136" t="str">
        <x:v>fabricante/servicio maquinaria agrícola</x:v>
      </x:c>
      <x:c r="AI207" s="136"/>
      <x:c r="AJ207" s="136" t="str">
        <x:v>Alta</x:v>
      </x:c>
      <x:c r="AK207" s="136"/>
      <x:c r="AL207" s="136" t="str">
        <x:v>GPT adjunto + Hermes</x:v>
      </x:c>
      <x:c r="AM207" s="136" t="str">
        <x:v>Fusionado con base Hermes para completar teléfonos/fuentes/servicios.</x:v>
      </x:c>
    </x:row>
    <x:row r="208">
      <x:c r="A208" s="135" t="str">
        <x:v>RC-014</x:v>
      </x:c>
      <x:c r="B208" s="135" t="str">
        <x:v>Pendiente</x:v>
      </x:c>
      <x:c r="C208" s="135" t="str">
        <x:v>Río Cuarto / RN36 sur</x:v>
      </x:c>
      <x:c r="D208" s="135" t="str">
        <x:v>Río Cuarto</x:v>
      </x:c>
      <x:c r="E208" s="135" t="str">
        <x:v>Río Cuarto</x:v>
      </x:c>
      <x:c r="F208" s="135" t="str">
        <x:v>B</x:v>
      </x:c>
      <x:c r="G208" s="135" t="n">
        <x:v>75</x:v>
      </x:c>
      <x:c r="H208" s="135" t="str">
        <x:v>Capello S.A.</x:v>
      </x:c>
      <x:c r="I208" s="135" t="str">
        <x:v>Constructora / corralón</x:v>
      </x:c>
      <x:c r="J208" s="135" t="str">
        <x:v>Construcción y obra vial</x:v>
      </x:c>
      <x:c r="K208" s="135" t="str">
        <x:v>0358 4645929</x:v>
      </x:c>
      <x:c r="L208" s="135" t="str">
        <x:v>OK</x:v>
      </x:c>
      <x:c r="M208" s="135" t="str">
        <x:v>jefe de obra / logística</x:v>
      </x:c>
      <x:c r="N208" s="135" t="str">
        <x:v>Traslado de maquinaria, módulos de obrador, estructuras, equipos y cargas pesadas entre frentes.</x:v>
      </x:c>
      <x:c r="O208" s="135" t="str">
        <x:v>Transporte de equipos, módulos de obrador, estructuras y materiales pesados; descarga o posicionamiento cuando aplique.</x:v>
      </x:c>
      <x:c r="P208" s="135" t="str">
        <x:v>Vender apoyo logístico para obras y compras pesadas.</x:v>
      </x:c>
      <x:c r="Q208" s="135" t="str">
        <x:v>Visita o llamada de validación; pedir próximo traslado concreto.</x:v>
      </x:c>
      <x:c r="R208" s="135"/>
      <x:c r="S208" s="158" t="str">
        <x:f>IFERROR(T(INDEX('Prospectos Resumen'!$K$9:$K$295,MATCH(A208,'Prospectos Resumen'!$A$9:$A$295,0))),"")</x:f>
      </x:c>
      <x:c r="T208" s="135"/>
      <x:c r="U208" s="135"/>
      <x:c r="V208" s="135"/>
      <x:c r="W208" s="135"/>
      <x:c r="X208" s="135" t="str">
        <x:v>tel:+543584645929</x:v>
      </x:c>
      <x:c r="Y208" s="135" t="str">
        <x:v>tel:+543584645929</x:v>
      </x:c>
      <x:c r="Z208" s="135" t="str">
        <x:v>Validar contacto decisor y necesidad inmediata.</x:v>
      </x:c>
      <x:c r="AA208" s="135" t="str">
        <x:v>https://www.google.com/maps/search/?api=1&amp;query=-33.121500,-64.350500</x:v>
      </x:c>
      <x:c r="AB208" s="135" t="str">
        <x:v>guia.deriocuarto.ar</x:v>
      </x:c>
      <x:c r="AC208" s="135"/>
      <x:c r="AD208" s="135" t="str">
        <x:v>Registro curado en documento de dirección PRESOL 2026-09.</x:v>
      </x:c>
      <x:c r="AE208" s="135" t="str">
        <x:v>Alta</x:v>
      </x:c>
      <x:c r="AF208" s="135" t="str">
        <x:v>Base curada PDF dirección</x:v>
      </x:c>
      <x:c r="AG208" s="135" t="str">
        <x:v>transporte de áridos/materiales | hidrogrúa para carga/descarga | percha para pallets/bolsones</x:v>
      </x:c>
      <x:c r="AH208" s="135" t="str">
        <x:v>áridos/construcción/premoldeados</x:v>
      </x:c>
      <x:c r="AI208" s="135"/>
      <x:c r="AJ208" s="135" t="str">
        <x:v>Alta</x:v>
      </x:c>
      <x:c r="AK208" s="135" t="str">
        <x:v>Áridos/materiales: confirmar modalidad de carga/descarga y tipo de unidad requerida antes de cotizar.</x:v>
      </x:c>
      <x:c r="AL208" s="135" t="str">
        <x:v>GPT adjunto + Hermes</x:v>
      </x:c>
      <x:c r="AM208" s="135" t="str">
        <x:v>Fusionado con base Hermes para completar teléfonos/fuentes/servicios.</x:v>
      </x:c>
    </x:row>
    <x:row r="209">
      <x:c r="A209" s="136" t="str">
        <x:v>RC-015</x:v>
      </x:c>
      <x:c r="B209" s="136" t="str">
        <x:v>Pendiente</x:v>
      </x:c>
      <x:c r="C209" s="136" t="str">
        <x:v>Río Cuarto / RN36 sur</x:v>
      </x:c>
      <x:c r="D209" s="136" t="str">
        <x:v>Río Cuarto</x:v>
      </x:c>
      <x:c r="E209" s="136" t="str">
        <x:v>Río Cuarto</x:v>
      </x:c>
      <x:c r="F209" s="136" t="str">
        <x:v>B</x:v>
      </x:c>
      <x:c r="G209" s="136" t="n">
        <x:v>75</x:v>
      </x:c>
      <x:c r="H209" s="136" t="str">
        <x:v>Cotagro — Río Cuarto</x:v>
      </x:c>
      <x:c r="I209" s="136" t="str">
        <x:v>Agro / fertilizantes / acopio</x:v>
      </x:c>
      <x:c r="J209" s="136" t="str">
        <x:v>Agro, acopio y cooperativas</x:v>
      </x:c>
      <x:c r="K209" s="136" t="str">
        <x:v>0358 4933333</x:v>
      </x:c>
      <x:c r="L209" s="136" t="str">
        <x:v>OK</x:v>
      </x:c>
      <x:c r="M209" s="136" t="str">
        <x:v>responsable de acopio / mantenimiento</x:v>
      </x:c>
      <x:c r="N209" s="136" t="str">
        <x:v>Traslado de equipos de planta, silos, repuestos pesados, balanzas, implementos y cargas especiales.</x:v>
      </x:c>
      <x:c r="O209" s="136" t="str">
        <x:v>Movimiento de equipos de planta, silos, balanzas, repuestos y cargas especiales para acopios/agroindustria.</x:v>
      </x:c>
      <x:c r="P209" s="136" t="str">
        <x:v>Punto dentro de red Cotagro; usar puerta Alcira si funciona.</x:v>
      </x:c>
      <x:c r="Q209" s="136" t="str">
        <x:v>Visita o llamada de validación; pedir próximo traslado concreto.</x:v>
      </x:c>
      <x:c r="R209" s="136"/>
      <x:c r="S209" s="158" t="str">
        <x:f>IFERROR(T(INDEX('Prospectos Resumen'!$K$9:$K$295,MATCH(A209,'Prospectos Resumen'!$A$9:$A$295,0))),"")</x:f>
      </x:c>
      <x:c r="T209" s="136"/>
      <x:c r="U209" s="136"/>
      <x:c r="V209" s="136"/>
      <x:c r="W209" s="136"/>
      <x:c r="X209" s="136" t="str">
        <x:v>tel:+543584933333</x:v>
      </x:c>
      <x:c r="Y209" s="136" t="str">
        <x:v>tel:+543584933333</x:v>
      </x:c>
      <x:c r="Z209" s="136" t="str">
        <x:v>Validar contacto decisor y necesidad inmediata.</x:v>
      </x:c>
      <x:c r="AA209" s="136" t="str">
        <x:v>https://www.google.com/maps/search/?api=1&amp;query=-33.118000,-64.322000</x:v>
      </x:c>
      <x:c r="AB209" s="136" t="str">
        <x:v>cotagroweb.com.ar/contacto</x:v>
      </x:c>
      <x:c r="AC209" s="136"/>
      <x:c r="AD209" s="136" t="str">
        <x:v>Registro curado en documento de dirección PRESOL 2026-09.</x:v>
      </x:c>
      <x:c r="AE209" s="136" t="str">
        <x:v>Alta</x:v>
      </x:c>
      <x:c r="AF209" s="136" t="str">
        <x:v>Base curada PDF dirección</x:v>
      </x:c>
      <x:c r="AG209" s="136" t="str">
        <x:v>plataforma 20 tn para maquinaria/piezas | hidrogrúa para maniobras | percha para pallets | percha para pallets de insumos | hidrogrúa para equipos/mantenimiento | barquilla para trabajos en altura</x:v>
      </x:c>
      <x:c r="AH209" s="136" t="str">
        <x:v>cooperativa/acopio | planta agroindustrial</x:v>
      </x:c>
      <x:c r="AI209" s="136"/>
      <x:c r="AJ209" s="136" t="str">
        <x:v>Alta</x:v>
      </x:c>
      <x:c r="AK209" s="136" t="str">
        <x:v>Barquilla: validar seguridad, seguro, permiso de trabajo y alcance de maniobra antes de cotizar. Percha pallets: útil para insumos, bolsones, repuestos y materiales palletizados.</x:v>
      </x:c>
      <x:c r="AL209" s="136" t="str">
        <x:v>GPT adjunto + Hermes</x:v>
      </x:c>
      <x:c r="AM209" s="136" t="str">
        <x:v>Fusionado con base Hermes para completar teléfonos/fuentes/servicios.</x:v>
      </x:c>
    </x:row>
    <x:row r="210">
      <x:c r="A210" s="135" t="str">
        <x:v>RC-016</x:v>
      </x:c>
      <x:c r="B210" s="135" t="str">
        <x:v>Pendiente</x:v>
      </x:c>
      <x:c r="C210" s="135" t="str">
        <x:v>Río Cuarto / RN36 sur</x:v>
      </x:c>
      <x:c r="D210" s="135" t="str">
        <x:v>Río Cuarto</x:v>
      </x:c>
      <x:c r="E210" s="135" t="str">
        <x:v>Río Cuarto</x:v>
      </x:c>
      <x:c r="F210" s="135" t="str">
        <x:v>B</x:v>
      </x:c>
      <x:c r="G210" s="135" t="n">
        <x:v>75</x:v>
      </x:c>
      <x:c r="H210" s="135" t="str">
        <x:v>Fontezuela Cereales</x:v>
      </x:c>
      <x:c r="I210" s="135" t="str">
        <x:v>Acopio / cereales</x:v>
      </x:c>
      <x:c r="J210" s="135" t="str">
        <x:v>Agro, acopio y cooperativas</x:v>
      </x:c>
      <x:c r="K210" s="135" t="str">
        <x:v>02477 497135/37</x:v>
      </x:c>
      <x:c r="L210" s="135" t="str">
        <x:v>OK</x:v>
      </x:c>
      <x:c r="M210" s="135" t="str">
        <x:v>responsable de acopio / mantenimiento</x:v>
      </x:c>
      <x:c r="N210" s="135" t="str">
        <x:v>Traslado de equipos de planta, silos, repuestos pesados, balanzas, implementos y cargas especiales.</x:v>
      </x:c>
      <x:c r="O210" s="135" t="str">
        <x:v>Movimiento de equipos de planta, silos, balanzas, repuestos y cargas especiales para acopios/agroindustria.</x:v>
      </x:c>
      <x:c r="P210" s="135" t="str">
        <x:v>Consultar frecuencia de movimientos especiales.</x:v>
      </x:c>
      <x:c r="Q210" s="135" t="str">
        <x:v>Visita o llamada de validación; pedir próximo traslado concreto.</x:v>
      </x:c>
      <x:c r="R210" s="135"/>
      <x:c r="S210" s="158" t="str">
        <x:f>IFERROR(T(INDEX('Prospectos Resumen'!$K$9:$K$295,MATCH(A210,'Prospectos Resumen'!$A$9:$A$295,0))),"")</x:f>
      </x:c>
      <x:c r="T210" s="135"/>
      <x:c r="U210" s="135"/>
      <x:c r="V210" s="135"/>
      <x:c r="W210" s="135"/>
      <x:c r="X210" s="135" t="str">
        <x:v>tel:+542477497135</x:v>
      </x:c>
      <x:c r="Y210" s="135" t="str">
        <x:v>tel:+542477497135</x:v>
      </x:c>
      <x:c r="Z210" s="135" t="str">
        <x:v>Validar contacto decisor y necesidad inmediata.</x:v>
      </x:c>
      <x:c r="AA210" s="135" t="str">
        <x:v>https://www.google.com/maps/search/?api=1&amp;query=-33.123200,-64.345300</x:v>
      </x:c>
      <x:c r="AB210" s="135" t="str">
        <x:v>fontezuelacereales.com.ar</x:v>
      </x:c>
      <x:c r="AC210" s="135"/>
      <x:c r="AD210" s="135" t="str">
        <x:v>Registro curado en documento de dirección PRESOL 2026-09.</x:v>
      </x:c>
      <x:c r="AE210" s="135" t="str">
        <x:v>Alta</x:v>
      </x:c>
      <x:c r="AF210" s="135" t="str">
        <x:v>Base curada PDF dirección</x:v>
      </x:c>
      <x:c r="AG210" s="135" t="str">
        <x:v>plataforma 20 tn para maquinaria/piezas | hidrogrúa para maniobras | percha para pallets | percha para pallets de insumos | hidrogrúa para equipos/mantenimiento | barquilla para trabajos en altura</x:v>
      </x:c>
      <x:c r="AH210" s="135" t="str">
        <x:v>cooperativa/acopio</x:v>
      </x:c>
      <x:c r="AI210" s="135"/>
      <x:c r="AJ210" s="135" t="str">
        <x:v>Alta</x:v>
      </x:c>
      <x:c r="AK210" s="135" t="str">
        <x:v>Barquilla: validar seguridad, seguro, permiso de trabajo y alcance de maniobra antes de cotizar.</x:v>
      </x:c>
      <x:c r="AL210" s="135" t="str">
        <x:v>GPT adjunto + Hermes</x:v>
      </x:c>
      <x:c r="AM210" s="135" t="str">
        <x:v>Fusionado con base Hermes para completar teléfonos/fuentes/servicios.</x:v>
      </x:c>
    </x:row>
    <x:row r="211">
      <x:c r="A211" s="136" t="str">
        <x:v>RC-024</x:v>
      </x:c>
      <x:c r="B211" s="136" t="str">
        <x:v>Pendiente</x:v>
      </x:c>
      <x:c r="C211" s="136" t="str">
        <x:v>Río Cuarto / RN36 sur</x:v>
      </x:c>
      <x:c r="D211" s="136" t="str">
        <x:v>Río Cuarto</x:v>
      </x:c>
      <x:c r="E211" s="136" t="str">
        <x:v>Río Cuarto</x:v>
      </x:c>
      <x:c r="F211" s="136" t="str">
        <x:v>B</x:v>
      </x:c>
      <x:c r="G211" s="136" t="n">
        <x:v>74</x:v>
      </x:c>
      <x:c r="H211" s="136" t="str">
        <x:v>Hugo y Enzo Reinaudo S.A.</x:v>
      </x:c>
      <x:c r="I211" s="136" t="str">
        <x:v>Venta de tractores y maquinaria agrícola</x:v>
      </x:c>
      <x:c r="J211" s="136" t="str">
        <x:v>Maquinaria agrícola</x:v>
      </x:c>
      <x:c r="K211" s="136" t="str">
        <x:v>0358 4646025</x:v>
      </x:c>
      <x:c r="L211" s="136" t="str">
        <x:v>Verificar</x:v>
      </x:c>
      <x:c r="M211" s="136" t="str">
        <x:v>logística / ventas / postventa</x:v>
      </x:c>
      <x:c r="N211" s="136" t="str">
        <x:v>Entrega y retiro de tractores, cosechadoras, pulverizadoras, sembradoras e implementos; movimientos por venta, service, canje, demostraciones o ferias.</x:v>
      </x:c>
      <x:c r="O211" s="136" t="str">
        <x:v>Plataforma 20 tn para maquinaria agrícola + malacate/hidrogrúa según maniobra + seguro de carga + trazabilidad GPS.</x:v>
      </x:c>
      <x:c r="P211" s="136" t="str">
        <x:v>Ofrecer transporte tercerizado para entregas a clientes y retiros de usados/service, especialmente en picos de campaña y operaciones fuera de zona.</x:v>
      </x:c>
      <x:c r="Q211" s="136" t="str">
        <x:v>Validar contacto y volumen de movimientos; si hay encaje, pedir un traslado concreto para cotizar.</x:v>
      </x:c>
      <x:c r="R211" s="136"/>
      <x:c r="S211" s="158" t="str">
        <x:f>IFERROR(T(INDEX('Prospectos Resumen'!$K$9:$K$295,MATCH(A211,'Prospectos Resumen'!$A$9:$A$295,0))),"")</x:f>
      </x:c>
      <x:c r="T211" s="136"/>
      <x:c r="U211" s="136"/>
      <x:c r="V211" s="136"/>
      <x:c r="W211" s="136"/>
      <x:c r="X211" s="136" t="str">
        <x:v>tel:+543584646025</x:v>
      </x:c>
      <x:c r="Y211" s="136" t="str">
        <x:v>tel:+543584646025</x:v>
      </x:c>
      <x:c r="Z211" s="136" t="str">
        <x:v>Confirmar teléfono, decisor y vigencia del punto de venta.</x:v>
      </x:c>
      <x:c r="AA211" s="136" t="str">
        <x:v>https://www.google.com/maps/search/?api=1&amp;query=Hugo+y+Enzo+Reinaudo+S.A.+R%C3%ADo+Cuarto+C%C3%B3rdoba+Argentina</x:v>
      </x:c>
      <x:c r="AB211" s="136" t="str">
        <x:v>Directorio comercial</x:v>
      </x:c>
      <x:c r="AC211" s="136" t="str">
        <x:v>https://www.telexplorer.com.ar/Maquinaria-agricola-EN-Rio-cuarto</x:v>
      </x:c>
      <x:c r="AD211" s="136" t="str">
        <x:v>Firma listada en tractores y maquinaria agrícola en Río Cuarto; validar vigencia.</x:v>
      </x:c>
      <x:c r="AE211" s="136" t="str">
        <x:v>Media</x:v>
      </x:c>
      <x:c r="AF211" s="136" t="str">
        <x:v>Rastrillaje agro-maquinaria web 2026-09-07</x:v>
      </x:c>
      <x:c r="AG211" s="136" t="str">
        <x:v>plataforma 20 tn para maquinaria/implementos | hidrogrúa para maniobras | malacate | seguro de carga | trazabilidad GPS</x:v>
      </x:c>
      <x:c r="AH211" s="136" t="str">
        <x:v>fabricante/concesionario/servicio maquinaria agrícola</x:v>
      </x:c>
      <x:c r="AI211" s="136" t="str">
        <x:v>Sí</x:v>
      </x:c>
      <x:c r="AJ211" s="136" t="str">
        <x:v>Media</x:v>
      </x:c>
      <x:c r="AK211" s="136" t="str">
        <x:v>Perfil específico maquinaria agrícola: validar pesos/dimensiones, tipo de carga y disponibilidad de medios de izaje antes de cotizar.</x:v>
      </x:c>
      <x:c r="AL211" s="136" t="str">
        <x:v>Rastrillaje agro-maquinaria 2026-09-07</x:v>
      </x:c>
      <x:c r="AM211" s="136" t="str">
        <x:v>Alta nueva luego de barrido específico de fabricantes, implementos, tractores, concesionarios y agropartes; cruzada contra la base maestra para evitar duplicados.</x:v>
      </x:c>
    </x:row>
    <x:row r="212">
      <x:c r="A212" s="135" t="str">
        <x:v>RC-017</x:v>
      </x:c>
      <x:c r="B212" s="135" t="str">
        <x:v>Pendiente</x:v>
      </x:c>
      <x:c r="C212" s="135" t="str">
        <x:v>Río Cuarto / RN36 sur</x:v>
      </x:c>
      <x:c r="D212" s="135" t="str">
        <x:v>Río Cuarto</x:v>
      </x:c>
      <x:c r="E212" s="135" t="str">
        <x:v>Río Cuarto</x:v>
      </x:c>
      <x:c r="F212" s="135" t="str">
        <x:v>B</x:v>
      </x:c>
      <x:c r="G212" s="135" t="n">
        <x:v>50</x:v>
      </x:c>
      <x:c r="H212" s="135" t="str">
        <x:v>CARMIX S.R.L.</x:v>
      </x:c>
      <x:c r="I212" s="135" t="str">
        <x:v>Premoldeados / pisos industriales / pavimento / silos</x:v>
      </x:c>
      <x:c r="J212" s="135" t="str">
        <x:v>Agro, acopio y cooperativas</x:v>
      </x:c>
      <x:c r="K212" s="135" t="str">
        <x:v>A relevar</x:v>
      </x:c>
      <x:c r="L212" s="135" t="str">
        <x:v>A relevar</x:v>
      </x:c>
      <x:c r="M212" s="135" t="str">
        <x:v>despacho / obra</x:v>
      </x:c>
      <x:c r="N212" s="135" t="str">
        <x:v>Traslado de equipos de planta, silos, repuestos pesados, balanzas, implementos y cargas especiales.</x:v>
      </x:c>
      <x:c r="O212" s="135" t="str">
        <x:v>Transporte de repuestos/equipos/silos/implementos + coordinación de retiro y descarga.</x:v>
      </x:c>
      <x:c r="P212" s="135" t="str">
        <x:v>Premoldeados, pisos industriales, pavimento y silos: potencial movimiento de piezas/equipos.</x:v>
      </x:c>
      <x:c r="Q212" s="135" t="str">
        <x:v>Validar teléfono/contacto; si responde, pedir un caso concreto de traslado o próximo movimiento.</x:v>
      </x:c>
      <x:c r="R212" s="135"/>
      <x:c r="S212" s="158" t="str">
        <x:f>IFERROR(T(INDEX('Prospectos Resumen'!$K$9:$K$295,MATCH(A212,'Prospectos Resumen'!$A$9:$A$295,0))),"")</x:f>
      </x:c>
      <x:c r="T212" s="135"/>
      <x:c r="U212" s="135"/>
      <x:c r="V212" s="135"/>
      <x:c r="W212" s="135"/>
      <x:c r="X212" s="135"/>
      <x:c r="Y212" s="135"/>
      <x:c r="Z212" s="135" t="str">
        <x:v>Confirmar decisor y vigencia del dato antes de incluir en salida prioritaria.</x:v>
      </x:c>
      <x:c r="AA212" s="135" t="str">
        <x:v>https://www.google.com/maps/search/?api=1&amp;query=CARMIX+S.R.L.+R%C3%ADo+Cuarto+C%C3%B3rdoba+Argentina</x:v>
      </x:c>
      <x:c r="AB212" s="135" t="str">
        <x:v>Guía de Río Cuarto / resultado de búsqueda</x:v>
      </x:c>
      <x:c r="AC212" s="135" t="str">
        <x:v>https://guia.deriocuarto.ar/carmix-srl-dd2328.html</x:v>
      </x:c>
      <x:c r="AD212" s="135" t="str">
        <x:v>Resultado público describe premoldeados de hormigón, pisos industriales, pavimento, cordón cuneta y silos.</x:v>
      </x:c>
      <x:c r="AE212" s="135" t="str">
        <x:v>Media</x:v>
      </x:c>
      <x:c r="AF212" s="135" t="str">
        <x:v>Nuevo enriquecimiento 2026-09-02</x:v>
      </x:c>
      <x:c r="AG212" s="135" t="str">
        <x:v>transporte de áridos/materiales | hidrogrúa para carga/descarga | percha para pallets/bolsones | plataforma 20 tn para maquinaria/piezas | hidrogrúa para maniobras | percha para pallets</x:v>
      </x:c>
      <x:c r="AH212" s="135" t="str">
        <x:v>áridos/construcción/premoldeados</x:v>
      </x:c>
      <x:c r="AI212" s="135"/>
      <x:c r="AJ212" s="135" t="str">
        <x:v>Media</x:v>
      </x:c>
      <x:c r="AK212" s="135"/>
      <x:c r="AL212" s="135" t="str">
        <x:v>GPT adjunto + Hermes</x:v>
      </x:c>
      <x:c r="AM212" s="135" t="str">
        <x:v>Fusionado con base Hermes para completar teléfonos/fuentes/servicios.</x:v>
      </x:c>
    </x:row>
    <x:row r="213">
      <x:c r="A213" s="136" t="str">
        <x:v>VA-001</x:v>
      </x:c>
      <x:c r="B213" s="136" t="str">
        <x:v>Pendiente</x:v>
      </x:c>
      <x:c r="C213" s="136" t="str">
        <x:v>Villa Ascasubi / RP6-E79</x:v>
      </x:c>
      <x:c r="D213" s="136" t="str">
        <x:v>Villa Ascasubi / Ruta E79</x:v>
      </x:c>
      <x:c r="E213" s="136" t="str">
        <x:v>Villa Ascasubi</x:v>
      </x:c>
      <x:c r="F213" s="136" t="str">
        <x:v>A</x:v>
      </x:c>
      <x:c r="G213" s="136" t="n">
        <x:v>99</x:v>
      </x:c>
      <x:c r="H213" s="136" t="str">
        <x:v>Costa del Río SRL</x:v>
      </x:c>
      <x:c r="I213" s="136" t="str">
        <x:v>Cantera / áridos lavados / fertilizantes / feedlot</x:v>
      </x:c>
      <x:c r="J213" s="136" t="str">
        <x:v>Agro, acopio y cooperativas</x:v>
      </x:c>
      <x:c r="K213" s="136" t="str">
        <x:v>+54 9 3571 363338</x:v>
      </x:c>
      <x:c r="L213" s="136" t="str">
        <x:v>OK</x:v>
      </x:c>
      <x:c r="M213" s="136" t="str">
        <x:v>cantera / despacho / logística</x:v>
      </x:c>
      <x:c r="N213" s="136" t="str">
        <x:v>Traslado de insumos, pallets, fertilizantes, repuestos pesados, silos/equipos y apoyo de mantenimiento en planta.</x:v>
      </x:c>
      <x:c r="O213" s="136" t="str">
        <x:v>Plataforma + percha pallets + hidrogrúa/barquilla para insumos, repuestos, silos/equipos y mantenimiento.</x:v>
      </x:c>
      <x:c r="P213" s="136" t="str">
        <x:v>Cantera de áridos lavados y clasificados en Villa Ascasubi; encaje directo para transporte de áridos/materiales.</x:v>
      </x:c>
      <x:c r="Q213" s="136" t="str">
        <x:v>Llamar a despacho/cantera y ofrecer transporte de áridos, bolsones/pallets y apoyo de hidrogrúa si requiere.</x:v>
      </x:c>
      <x:c r="R213" s="136"/>
      <x:c r="S213" s="158" t="str">
        <x:f>IFERROR(T(INDEX('Prospectos Resumen'!$K$9:$K$295,MATCH(A213,'Prospectos Resumen'!$A$9:$A$295,0))),"")</x:f>
      </x:c>
      <x:c r="T213" s="136"/>
      <x:c r="U213" s="136"/>
      <x:c r="V213" s="136"/>
      <x:c r="W213" s="136"/>
      <x:c r="X213" s="136" t="str">
        <x:v>tel:+5493571363338</x:v>
      </x:c>
      <x:c r="Y213" s="136" t="str">
        <x:v>tel:+5493571363338</x:v>
      </x:c>
      <x:c r="Z213" s="136" t="str">
        <x:v>Confirmar modalidad de carga, tipo de árido y unidad apta antes de cotizar.</x:v>
      </x:c>
      <x:c r="AA213" s="136" t="str">
        <x:v>https://www.google.com/maps/search/?api=1&amp;query=Costa+del+R%C3%ADo+SRL+Villa+Ascasubi+C%C3%B3rdoba+Argentina</x:v>
      </x:c>
      <x:c r="AB213" s="136" t="str">
        <x:v>Web propia Costa del Río</x:v>
      </x:c>
      <x:c r="AC213" s="136" t="str">
        <x:v>https://costadelrio.com/contacto</x:v>
      </x:c>
      <x:c r="AD213" s="136" t="str">
        <x:v>Contacto web: WhatsApp 5493571363338; dirección Villa Ascasubi Ruta E79 45; sección cantera lista arena, canto rodado, ripio y 0-20.</x:v>
      </x:c>
      <x:c r="AE213" s="136" t="str">
        <x:v>Alta</x:v>
      </x:c>
      <x:c r="AF213" s="136" t="str">
        <x:v>Nuevo enriquecimiento zonas priorizadas 2026-09</x:v>
      </x:c>
      <x:c r="AG213" s="136" t="str">
        <x:v>transporte de áridos/materiales | hidrogrúa para carga/descarga | percha para pallets/bolsones | percha para pallets de insumos | hidrogrúa para equipos/mantenimiento | barquilla para trabajos en altura</x:v>
      </x:c>
      <x:c r="AH213" s="136" t="str">
        <x:v>áridos/construcción/premoldeados | planta agroindustrial</x:v>
      </x:c>
      <x:c r="AI213" s="136" t="str">
        <x:v>Sí</x:v>
      </x:c>
      <x:c r="AJ213" s="136" t="str">
        <x:v>Muy alta</x:v>
      </x:c>
      <x:c r="AK213" s="136" t="str">
        <x:v>Para áridos, validar modalidad de carga/descarga y tipo de unidad requerida antes de cotizar. Percha para pallets: útil para insumos, bolsones, repuestos y materiales palletizados.</x:v>
      </x:c>
      <x:c r="AL213" s="136" t="str">
        <x:v>Hermes único</x:v>
      </x:c>
      <x:c r="AM213" s="136" t="str">
        <x:v>Alta única desde base Hermes; no estaba en el Excel GPT adjunto. | ID fuente: PRESOL-124</x:v>
      </x:c>
    </x:row>
    <x:row r="214">
      <x:c r="A214" s="135" t="str">
        <x:v>VA-002</x:v>
      </x:c>
      <x:c r="B214" s="135" t="str">
        <x:v>Pendiente</x:v>
      </x:c>
      <x:c r="C214" s="135" t="str">
        <x:v>Villa Ascasubi / RP6-E79</x:v>
      </x:c>
      <x:c r="D214" s="135" t="str">
        <x:v>Villa Ascasubi / centro</x:v>
      </x:c>
      <x:c r="E214" s="135" t="str">
        <x:v>Villa Ascasubi</x:v>
      </x:c>
      <x:c r="F214" s="135" t="str">
        <x:v>B</x:v>
      </x:c>
      <x:c r="G214" s="135" t="n">
        <x:v>85</x:v>
      </x:c>
      <x:c r="H214" s="135" t="str">
        <x:v>Cooperativa de Villa Ascasubi</x:v>
      </x:c>
      <x:c r="I214" s="135" t="str">
        <x:v>Cooperativa de servicios públicos / infraestructura local</x:v>
      </x:c>
      <x:c r="J214" s="135" t="str">
        <x:v>Construcción y obra vial</x:v>
      </x:c>
      <x:c r="K214" s="135" t="str">
        <x:v>03571 498118 / 3571 520004 guardia</x:v>
      </x:c>
      <x:c r="L214" s="135" t="str">
        <x:v>OK</x:v>
      </x:c>
      <x:c r="M214" s="135" t="str">
        <x:v>mantenimiento / administración / obras</x:v>
      </x:c>
      <x:c r="N214" s="135" t="str">
        <x:v>Traslado de áridos/materiales, maquinaria, módulos de obrador, estructuras y cargas pesadas entre frentes.</x:v>
      </x:c>
      <x:c r="O214" s="135" t="str">
        <x:v>Transporte de áridos/materiales y cargas de obra + hidrogrúa/barquilla/percha pallets según necesidad.</x:v>
      </x:c>
      <x:c r="P214" s="135" t="str">
        <x:v>Cooperativa local con redes/servicios; oportunidad para barquilla, hidrogrúa y materiales en obras/mantenimiento.</x:v>
      </x:c>
      <x:c r="Q214" s="135" t="str">
        <x:v>Pedir por mantenimiento/obras y ofrecer barquilla de hidrogrúa para trabajos en altura y movimientos de equipos.</x:v>
      </x:c>
      <x:c r="R214" s="135"/>
      <x:c r="S214" s="158" t="str">
        <x:f>IFERROR(T(INDEX('Prospectos Resumen'!$K$9:$K$295,MATCH(A214,'Prospectos Resumen'!$A$9:$A$295,0))),"")</x:f>
      </x:c>
      <x:c r="T214" s="135"/>
      <x:c r="U214" s="135"/>
      <x:c r="V214" s="135"/>
      <x:c r="W214" s="135"/>
      <x:c r="X214" s="135" t="str">
        <x:v>tel:+543571498118</x:v>
      </x:c>
      <x:c r="Y214" s="135" t="str">
        <x:v>tel:+543571498118 | tel:+543571520004</x:v>
      </x:c>
      <x:c r="Z214" s="135" t="str">
        <x:v>Validar si contratan terceros para trabajos de red, postes, bombas o mantenimiento.</x:v>
      </x:c>
      <x:c r="AA214" s="135" t="str">
        <x:v>https://www.google.com/maps/search/?api=1&amp;query=Cooperativa+de+Villa+Ascasubi+Villa+Ascasubi+C%C3%B3rdoba+Argentina</x:v>
      </x:c>
      <x:c r="AB214" s="135" t="str">
        <x:v>Web propia Cooperativa Villa Ascasubi</x:v>
      </x:c>
      <x:c r="AC214" s="135" t="str">
        <x:v>https://va.coop.ar/contacto</x:v>
      </x:c>
      <x:c r="AD214" s="135" t="str">
        <x:v>Contacto publicado: Libertad 70, Villa Ascasubi; teléfono 03571 498118; guardia 3571 520004.</x:v>
      </x:c>
      <x:c r="AE214" s="135" t="str">
        <x:v>Alta</x:v>
      </x:c>
      <x:c r="AF214" s="135" t="str">
        <x:v>Nuevo enriquecimiento zonas priorizadas 2026-09</x:v>
      </x:c>
      <x:c r="AG214" s="135" t="str">
        <x:v>percha para pallets de insumos | hidrogrúa para equipos/mantenimiento | barquilla para trabajos en altura | barquilla de hidrogrúa para mantenimiento en altura | hidrogrúa para postes/equipos</x:v>
      </x:c>
      <x:c r="AH214" s="135" t="str">
        <x:v>cooperativa/acopio</x:v>
      </x:c>
      <x:c r="AI214" s="135" t="str">
        <x:v>Sí</x:v>
      </x:c>
      <x:c r="AJ214" s="135" t="str">
        <x:v>Alta</x:v>
      </x:c>
      <x:c r="AK214" s="135" t="str">
        <x:v>Si se ofrece barquilla, validar condiciones de seguridad, seguro y habilitación de maniobra.</x:v>
      </x:c>
      <x:c r="AL214" s="135" t="str">
        <x:v>Hermes único</x:v>
      </x:c>
      <x:c r="AM214" s="135" t="str">
        <x:v>Alta única desde base Hermes; no estaba en el Excel GPT adjunto. | ID fuente: PRESOL-125</x:v>
      </x:c>
    </x:row>
    <x:row r="215">
      <x:c r="A215" s="136" t="str">
        <x:v>VA-003</x:v>
      </x:c>
      <x:c r="B215" s="136" t="str">
        <x:v>Pendiente</x:v>
      </x:c>
      <x:c r="C215" s="136" t="str">
        <x:v>Villa Ascasubi / RP6-E79</x:v>
      </x:c>
      <x:c r="D215" s="136" t="str">
        <x:v>Villa Ascasubi / tránsito pesado</x:v>
      </x:c>
      <x:c r="E215" s="136" t="str">
        <x:v>Villa Ascasubi</x:v>
      </x:c>
      <x:c r="F215" s="136" t="str">
        <x:v>B</x:v>
      </x:c>
      <x:c r="G215" s="136" t="n">
        <x:v>77</x:v>
      </x:c>
      <x:c r="H215" s="136" t="str">
        <x:v>Construir Villa Ascasubi</x:v>
      </x:c>
      <x:c r="I215" s="136" t="str">
        <x:v>Corralón / materiales construcción / tránsito pesado</x:v>
      </x:c>
      <x:c r="J215" s="136" t="str">
        <x:v>Hormigón, áridos y materiales</x:v>
      </x:c>
      <x:c r="K215" s="136" t="str">
        <x:v>3571 577272</x:v>
      </x:c>
      <x:c r="L215" s="136" t="str">
        <x:v>Verificar</x:v>
      </x:c>
      <x:c r="M215" s="136" t="str">
        <x:v>dueño / compras / logística</x:v>
      </x:c>
      <x:c r="N215" s="136" t="str">
        <x:v>Movimiento de áridos, premoldeados, equipos de planta/cantera, moldes, bolsones y materiales de obra.</x:v>
      </x:c>
      <x:c r="O215" s="136" t="str">
        <x:v>Transporte de áridos/materiales, premoldeados y equipos; hidrogrúa para carga/descarga y percha para pallets.</x:v>
      </x:c>
      <x:c r="P215" s="136" t="str">
        <x:v>Corralón sobre tránsito pesado; potencial de pallets, bolsones, áridos, materiales y entregas a obra.</x:v>
      </x:c>
      <x:c r="Q215" s="136" t="str">
        <x:v>Verificar teléfono y preguntar si tercerizan fletes de pallets/bolsones/áridos o entregas de obra.</x:v>
      </x:c>
      <x:c r="R215" s="136"/>
      <x:c r="S215" s="158" t="str">
        <x:f>IFERROR(T(INDEX('Prospectos Resumen'!$K$9:$K$295,MATCH(A215,'Prospectos Resumen'!$A$9:$A$295,0))),"")</x:f>
      </x:c>
      <x:c r="T215" s="136"/>
      <x:c r="U215" s="136"/>
      <x:c r="V215" s="136"/>
      <x:c r="W215" s="136"/>
      <x:c r="X215" s="136" t="str">
        <x:v>tel:+543571577272</x:v>
      </x:c>
      <x:c r="Y215" s="136" t="str">
        <x:v>tel:+543571577272</x:v>
      </x:c>
      <x:c r="Z215" s="136" t="str">
        <x:v>Confirmar teléfono alternativo y frecuencia de fletes pesados.</x:v>
      </x:c>
      <x:c r="AA215" s="136" t="str">
        <x:v>https://www.google.com/maps/search/?api=1&amp;query=Construir+Villa+Ascasubi+Villa+Ascasubi+C%C3%B3rdoba+Argentina</x:v>
      </x:c>
      <x:c r="AB215" s="136" t="str">
        <x:v>Instagram público Construir Villa Ascasubi</x:v>
      </x:c>
      <x:c r="AC215" s="136" t="str">
        <x:v>https://www.instagram.com/construir.va</x:v>
      </x:c>
      <x:c r="AD215" s="136" t="str">
        <x:v>Perfil público: Materiales de Construcción; Pueyrredón esq. Dr. Tomás Garzón, Villa Ascasubi; teléfono 3571577272.</x:v>
      </x:c>
      <x:c r="AE215" s="136" t="str">
        <x:v>Media</x:v>
      </x:c>
      <x:c r="AF215" s="136" t="str">
        <x:v>Nuevo enriquecimiento zonas priorizadas 2026-09</x:v>
      </x:c>
      <x:c r="AG215" s="136" t="str">
        <x:v>transporte de áridos/materiales | hidrogrúa para carga/descarga | percha para pallets/bolsones</x:v>
      </x:c>
      <x:c r="AH215" s="136" t="str">
        <x:v>áridos/construcción/premoldeados</x:v>
      </x:c>
      <x:c r="AI215" s="136" t="str">
        <x:v>Sí</x:v>
      </x:c>
      <x:c r="AJ215" s="136" t="str">
        <x:v>Media</x:v>
      </x:c>
      <x:c r="AK215" s="136" t="str">
        <x:v>Para áridos, validar modalidad de carga/descarga y tipo de unidad requerida antes de cotizar.</x:v>
      </x:c>
      <x:c r="AL215" s="136" t="str">
        <x:v>Hermes único</x:v>
      </x:c>
      <x:c r="AM215" s="136" t="str">
        <x:v>Alta única desde base Hermes; no estaba en el Excel GPT adjunto. | ID fuente: PRESOL-126</x:v>
      </x:c>
    </x:row>
    <x:row r="216">
      <x:c r="A216" s="135" t="str">
        <x:v>VA-004</x:v>
      </x:c>
      <x:c r="B216" s="135" t="str">
        <x:v>Pendiente</x:v>
      </x:c>
      <x:c r="C216" s="135" t="str">
        <x:v>Villa Ascasubi / RP6-E79</x:v>
      </x:c>
      <x:c r="D216" s="135" t="str">
        <x:v>Villa Ascasubi / ruta E79</x:v>
      </x:c>
      <x:c r="E216" s="135" t="str">
        <x:v>Villa Ascasubi</x:v>
      </x:c>
      <x:c r="F216" s="135" t="str">
        <x:v>B</x:v>
      </x:c>
      <x:c r="G216" s="135" t="n">
        <x:v>73</x:v>
      </x:c>
      <x:c r="H216" s="135" t="str">
        <x:v>La Vencedora — Sucursal Villa Ascasubi</x:v>
      </x:c>
      <x:c r="I216" s="135" t="str">
        <x:v>Cooperativa agropecuaria / cereales y combustible</x:v>
      </x:c>
      <x:c r="J216" s="135" t="str">
        <x:v>Agro, acopio y cooperativas</x:v>
      </x:c>
      <x:c r="K216" s="135" t="str">
        <x:v>A relevar</x:v>
      </x:c>
      <x:c r="L216" s="135" t="str">
        <x:v>A relevar</x:v>
      </x:c>
      <x:c r="M216" s="135" t="str">
        <x:v>acopio / encargado de sucursal</x:v>
      </x:c>
      <x:c r="N216" s="135" t="str">
        <x:v>Traslado de insumos, pallets, fertilizantes, repuestos pesados, silos/equipos y apoyo de mantenimiento en planta.</x:v>
      </x:c>
      <x:c r="O216" s="135" t="str">
        <x:v>Plataforma + percha pallets + hidrogrúa/barquilla para insumos, repuestos, silos/equipos y mantenimiento.</x:v>
      </x:c>
      <x:c r="P216" s="135" t="str">
        <x:v>Sucursal agro/cooperativa en Villa Ascasubi: cereales, combustible e insumos generan oportunidades de pallets y equipos.</x:v>
      </x:c>
      <x:c r="Q216" s="135" t="str">
        <x:v>Usar contacto central de La Vencedora o relevar en campo el responsable de sucursal.</x:v>
      </x:c>
      <x:c r="R216" s="135"/>
      <x:c r="S216" s="158" t="str">
        <x:f>IFERROR(T(INDEX('Prospectos Resumen'!$K$9:$K$295,MATCH(A216,'Prospectos Resumen'!$A$9:$A$295,0))),"")</x:f>
      </x:c>
      <x:c r="T216" s="135"/>
      <x:c r="U216" s="135"/>
      <x:c r="V216" s="135"/>
      <x:c r="W216" s="135"/>
      <x:c r="X216" s="135"/>
      <x:c r="Y216" s="135"/>
      <x:c r="Z216" s="135" t="str">
        <x:v>Relevar teléfono directo de sucursal y responsable operativo.</x:v>
      </x:c>
      <x:c r="AA216" s="135" t="str">
        <x:v>https://www.google.com/maps/search/?api=1&amp;query=La+Vencedora+%E2%80%94+Sucursal+Villa+Ascasubi+Villa+Ascasubi+C%C3%B3rdoba+Argentina</x:v>
      </x:c>
      <x:c r="AB216" s="135" t="str">
        <x:v>El Manisero / nota pública</x:v>
      </x:c>
      <x:c r="AC216" s="135" t="str">
        <x:v>https://elmanisero.com.ar/contenido/5464/la-vencedora-abrio-una-sucursal-en-villa-ascasubi</x:v>
      </x:c>
      <x:c r="AD216" s="135" t="str">
        <x:v>Resultado público informa apertura de sucursal en Provincial E79 Km 43.2, Villa Ascasubi; cereales y combustible.</x:v>
      </x:c>
      <x:c r="AE216" s="135" t="str">
        <x:v>Media</x:v>
      </x:c>
      <x:c r="AF216" s="135" t="str">
        <x:v>Nuevo enriquecimiento zonas priorizadas 2026-09</x:v>
      </x:c>
      <x:c r="AG216" s="135" t="str">
        <x:v>percha para pallets de insumos | hidrogrúa para equipos/mantenimiento | barquilla para trabajos en altura</x:v>
      </x:c>
      <x:c r="AH216" s="135" t="str">
        <x:v>cooperativa/acopio</x:v>
      </x:c>
      <x:c r="AI216" s="135" t="str">
        <x:v>Sí</x:v>
      </x:c>
      <x:c r="AJ216" s="135" t="str">
        <x:v>Media</x:v>
      </x:c>
      <x:c r="AK216" s="135" t="str">
        <x:v>Si se ofrece barquilla, validar condiciones de seguridad, seguro y habilitación de maniobra. Percha para pallets: útil para insumos, bolsones, repuestos y materiales palletizados.</x:v>
      </x:c>
      <x:c r="AL216" s="135" t="str">
        <x:v>Hermes único</x:v>
      </x:c>
      <x:c r="AM216" s="135" t="str">
        <x:v>Alta única desde base Hermes; no estaba en el Excel GPT adjunto. | ID fuente: PRESOL-127</x:v>
      </x:c>
    </x:row>
    <x:row r="217">
      <x:c r="A217" s="136" t="str">
        <x:v>ALM-003</x:v>
      </x:c>
      <x:c r="B217" s="136" t="str">
        <x:v>Pendiente</x:v>
      </x:c>
      <x:c r="C217" s="136" t="str">
        <x:v>Villa María / RP6</x:v>
      </x:c>
      <x:c r="D217" s="136" t="str">
        <x:v>Almafuerte</x:v>
      </x:c>
      <x:c r="E217" s="136" t="str">
        <x:v>Almafuerte</x:v>
      </x:c>
      <x:c r="F217" s="136" t="str">
        <x:v>A</x:v>
      </x:c>
      <x:c r="G217" s="136" t="n">
        <x:v>92</x:v>
      </x:c>
      <x:c r="H217" s="136" t="str">
        <x:v>Servisol Piscinas</x:v>
      </x:c>
      <x:c r="I217" s="136" t="str">
        <x:v>Punto de venta Moldear / piscinas de fibra / instalación</x:v>
      </x:c>
      <x:c r="J217" s="136" t="str">
        <x:v>PRFV y plásticos</x:v>
      </x:c>
      <x:c r="K217" s="136" t="str">
        <x:v>+54 9 3571 696296</x:v>
      </x:c>
      <x:c r="L217" s="136" t="str">
        <x:v>OK</x:v>
      </x:c>
      <x:c r="M217" s="136" t="str">
        <x:v>logística / instalaciones / obras / ventas</x:v>
      </x:c>
      <x:c r="N217" s="136" t="str">
        <x:v>Entrega de piscinas de fibra desde depósito/franquicia hasta domicilio y apoyo de grúa cuando el casco debe superar medianeras, techos o accesos angostos.</x:v>
      </x:c>
      <x:c r="O217" s="136" t="str">
        <x:v>Flete de piscina PRFV + hidrogrúa para descarga/posicionamiento + coordinación con excavación e instalador + seguro de carga.</x:v>
      </x:c>
      <x:c r="P217" s="136" t="str">
        <x:v>Resolver la parte más crítica de la instalación —logística y maniobra— sin depender de proveedores distintos para camión y grúa.</x:v>
      </x:c>
      <x:c r="Q217" s="136" t="str">
        <x:v>Llamada prioritaria; pedir por responsable de logística/instalaciones/obras y consultar cómo resuelven hoy el flete y la hidrogrúa de cada casco.</x:v>
      </x:c>
      <x:c r="R217" s="136"/>
      <x:c r="S217" s="158" t="str">
        <x:f>IFERROR(T(INDEX('Prospectos Resumen'!$K$9:$K$295,MATCH(A217,'Prospectos Resumen'!$A$9:$A$295,0))),"")</x:f>
      </x:c>
      <x:c r="T217" s="136"/>
      <x:c r="U217" s="136"/>
      <x:c r="V217" s="136"/>
      <x:c r="W217" s="136"/>
      <x:c r="X217" s="136" t="str">
        <x:v>tel:+5493571696296</x:v>
      </x:c>
      <x:c r="Y217" s="136" t="str">
        <x:v>tel:+5493571696296</x:v>
      </x:c>
      <x:c r="Z217" s="136" t="str">
        <x:v>Confirmar decisor de logística/instalaciones y frecuencia mensual de entregas.</x:v>
      </x:c>
      <x:c r="AA217" s="136" t="str">
        <x:v>https://www.google.com/maps/search/?api=1&amp;query=Servisol+Piscinas+Almafuerte+C%C3%B3rdoba+Argentina</x:v>
      </x:c>
      <x:c r="AB217" s="136" t="str">
        <x:v>Moldear</x:v>
      </x:c>
      <x:c r="AC217" s="136" t="str">
        <x:v>https://www.moldear.com.ar/cordoba/almafuerte/servisol-piscinas/</x:v>
      </x:c>
      <x:c r="AD217" s="136" t="str">
        <x:v>Punto de venta certificado Moldear en Almafuerte; ofrece piscinas PRFV y acompaña desde la elección hasta la instalación.</x:v>
      </x:c>
      <x:c r="AE217" s="136" t="str">
        <x:v>Alta</x:v>
      </x:c>
      <x:c r="AF217" s="136" t="str">
        <x:v>Rastrillaje piletas PRFV 2026-09-07</x:v>
      </x:c>
      <x:c r="AG217" s="136" t="str">
        <x:v>transporte especial de cascos PRFV | hidrogrúa para descarga y posicionamiento | coordinación de entrega con instalador | seguro de carga | trazabilidad GPS</x:v>
      </x:c>
      <x:c r="AH217" s="136" t="str">
        <x:v>piletas/plástico/PRFV</x:v>
      </x:c>
      <x:c r="AI217" s="136" t="str">
        <x:v>Sí</x:v>
      </x:c>
      <x:c r="AJ217" s="136" t="str">
        <x:v>Muy alta</x:v>
      </x:c>
      <x:c r="AK217" s="136" t="str">
        <x:v>Oportunidad de encaje directo: el casco es voluminoso y liviano; confirmar puntos de izaje, eslingado, radio de giro, obstáculos del lote y recomendaciones del fabricante antes de la maniobra.</x:v>
      </x:c>
      <x:c r="AL217" s="136" t="str">
        <x:v>Rastrillaje PRFV 2026-09-07</x:v>
      </x:c>
      <x:c r="AM217" s="136" t="str">
        <x:v>Alta nueva luego de barrido específico de fabricantes, franquicias y colocadores de piscinas de fibra; cruzada contra la base maestra para evitar duplicados.</x:v>
      </x:c>
    </x:row>
    <x:row r="218">
      <x:c r="A218" s="135" t="str">
        <x:v>ALM-001</x:v>
      </x:c>
      <x:c r="B218" s="135" t="str">
        <x:v>Pendiente</x:v>
      </x:c>
      <x:c r="C218" s="135" t="str">
        <x:v>Villa María / RP6</x:v>
      </x:c>
      <x:c r="D218" s="135" t="str">
        <x:v>Almafuerte</x:v>
      </x:c>
      <x:c r="E218" s="135" t="str">
        <x:v>Almafuerte</x:v>
      </x:c>
      <x:c r="F218" s="135" t="str">
        <x:v>B</x:v>
      </x:c>
      <x:c r="G218" s="135" t="n">
        <x:v>75</x:v>
      </x:c>
      <x:c r="H218" s="135" t="str">
        <x:v>Cooperativa Agropecuaria Almafuerte</x:v>
      </x:c>
      <x:c r="I218" s="135" t="str">
        <x:v>Acopio / semillas / agroinsumos</x:v>
      </x:c>
      <x:c r="J218" s="135" t="str">
        <x:v>Agro, acopio y cooperativas</x:v>
      </x:c>
      <x:c r="K218" s="135" t="str">
        <x:v>03571 471182</x:v>
      </x:c>
      <x:c r="L218" s="135" t="str">
        <x:v>OK</x:v>
      </x:c>
      <x:c r="M218" s="135" t="str">
        <x:v>operaciones / entregas</x:v>
      </x:c>
      <x:c r="N218" s="135" t="str">
        <x:v>Traslado de equipos de planta, silos, repuestos pesados, balanzas, implementos y cargas especiales.</x:v>
      </x:c>
      <x:c r="O218" s="135" t="str">
        <x:v>Entrega y descarga de módulos/containers con plataforma, malacate e hidrogrúa según maniobra.</x:v>
      </x:c>
      <x:c r="P218" s="135" t="str">
        <x:v>100.000 tn acopiadas; preguntar ampliaciones/mantenimiento.</x:v>
      </x:c>
      <x:c r="Q218" s="135" t="str">
        <x:v>Visita o llamada de validación; pedir próximo traslado concreto.</x:v>
      </x:c>
      <x:c r="R218" s="135"/>
      <x:c r="S218" s="158" t="str">
        <x:f>IFERROR(T(INDEX('Prospectos Resumen'!$K$9:$K$295,MATCH(A218,'Prospectos Resumen'!$A$9:$A$295,0))),"")</x:f>
      </x:c>
      <x:c r="T218" s="135"/>
      <x:c r="U218" s="135"/>
      <x:c r="V218" s="135"/>
      <x:c r="W218" s="135"/>
      <x:c r="X218" s="135" t="str">
        <x:v>tel:+543571471182</x:v>
      </x:c>
      <x:c r="Y218" s="135" t="str">
        <x:v>tel:+543571471182</x:v>
      </x:c>
      <x:c r="Z218" s="135" t="str">
        <x:v>Validar contacto decisor y necesidad inmediata.</x:v>
      </x:c>
      <x:c r="AA218" s="135" t="str">
        <x:v>https://www.google.com/maps/search/?api=1&amp;query=-32.192000,-64.255000</x:v>
      </x:c>
      <x:c r="AB218" s="135" t="str">
        <x:v>essapp.coop / Coop. Almafuerte</x:v>
      </x:c>
      <x:c r="AC218" s="135"/>
      <x:c r="AD218" s="135" t="str">
        <x:v>Registro curado en documento de dirección PRESOL 2026-09.</x:v>
      </x:c>
      <x:c r="AE218" s="135" t="str">
        <x:v>Alta</x:v>
      </x:c>
      <x:c r="AF218" s="135" t="str">
        <x:v>Base curada PDF dirección</x:v>
      </x:c>
      <x:c r="AG218" s="135" t="str">
        <x:v>transporte de áridos/materiales | hidrogrúa para carga/descarga | percha para pallets/bolsones | plataforma 20 tn para maquinaria/piezas | hidrogrúa para maniobras | percha para pallets | percha para pallets de insumos | hidrogrúa para equipos/mantenimiento | barquilla para trabajos en altura</x:v>
      </x:c>
      <x:c r="AH218" s="135" t="str">
        <x:v>cooperativa/acopio | planta agroindustrial</x:v>
      </x:c>
      <x:c r="AI218" s="135"/>
      <x:c r="AJ218" s="135" t="str">
        <x:v>Alta</x:v>
      </x:c>
      <x:c r="AK218" s="135" t="str">
        <x:v>Barquilla: validar seguridad, seguro, permiso de trabajo y alcance de maniobra antes de cotizar. Percha pallets: útil para insumos, bolsones, repuestos y materiales palletizados.</x:v>
      </x:c>
      <x:c r="AL218" s="135" t="str">
        <x:v>GPT adjunto + Hermes</x:v>
      </x:c>
      <x:c r="AM218" s="135" t="str">
        <x:v>Fusionado con base Hermes para completar teléfonos/fuentes/servicios.</x:v>
      </x:c>
    </x:row>
    <x:row r="219">
      <x:c r="A219" s="136" t="str">
        <x:v>ALM-002</x:v>
      </x:c>
      <x:c r="B219" s="136" t="str">
        <x:v>Pendiente</x:v>
      </x:c>
      <x:c r="C219" s="136" t="str">
        <x:v>Villa María / RP6</x:v>
      </x:c>
      <x:c r="D219" s="136" t="str">
        <x:v>Almafuerte</x:v>
      </x:c>
      <x:c r="E219" s="136" t="str">
        <x:v>Almafuerte</x:v>
      </x:c>
      <x:c r="F219" s="136" t="str">
        <x:v>B</x:v>
      </x:c>
      <x:c r="G219" s="136" t="n">
        <x:v>70</x:v>
      </x:c>
      <x:c r="H219" s="136" t="str">
        <x:v>Gil Daniel — Maquinaria Agrícola</x:v>
      </x:c>
      <x:c r="I219" s="136" t="str">
        <x:v>Venta de maquinaria e implementos agrícolas</x:v>
      </x:c>
      <x:c r="J219" s="136" t="str">
        <x:v>Maquinaria agrícola</x:v>
      </x:c>
      <x:c r="K219" s="136" t="str">
        <x:v>03571 472325</x:v>
      </x:c>
      <x:c r="L219" s="136" t="str">
        <x:v>Verificar</x:v>
      </x:c>
      <x:c r="M219" s="136" t="str">
        <x:v>logística / ventas / postventa</x:v>
      </x:c>
      <x:c r="N219" s="136" t="str">
        <x:v>Entrega y retiro de tractores, cosechadoras, pulverizadoras, sembradoras e implementos; movimientos por venta, service, canje, demostraciones o ferias.</x:v>
      </x:c>
      <x:c r="O219" s="136" t="str">
        <x:v>Plataforma 20 tn para maquinaria agrícola + malacate/hidrogrúa según maniobra + seguro de carga + trazabilidad GPS.</x:v>
      </x:c>
      <x:c r="P219" s="136" t="str">
        <x:v>Ofrecer transporte tercerizado para entregas a clientes y retiros de usados/service, especialmente en picos de campaña y operaciones fuera de zona.</x:v>
      </x:c>
      <x:c r="Q219" s="136" t="str">
        <x:v>Validar contacto y volumen de movimientos; si hay encaje, pedir un traslado concreto para cotizar.</x:v>
      </x:c>
      <x:c r="R219" s="136"/>
      <x:c r="S219" s="158" t="str">
        <x:f>IFERROR(T(INDEX('Prospectos Resumen'!$K$9:$K$295,MATCH(A219,'Prospectos Resumen'!$A$9:$A$295,0))),"")</x:f>
      </x:c>
      <x:c r="T219" s="136"/>
      <x:c r="U219" s="136"/>
      <x:c r="V219" s="136"/>
      <x:c r="W219" s="136"/>
      <x:c r="X219" s="136" t="str">
        <x:v>tel:+543571472325</x:v>
      </x:c>
      <x:c r="Y219" s="136" t="str">
        <x:v>tel:+543571472325</x:v>
      </x:c>
      <x:c r="Z219" s="136" t="str">
        <x:v>Confirmar teléfono, decisor y vigencia del punto de venta.</x:v>
      </x:c>
      <x:c r="AA219" s="136" t="str">
        <x:v>https://www.google.com/maps/search/?api=1&amp;query=Gil+Daniel+%E2%80%94+Maquinaria+Agr%C3%ADcola+Almafuerte+C%C3%B3rdoba+Argentina</x:v>
      </x:c>
      <x:c r="AB219" s="136" t="str">
        <x:v>Red de concesionarios Conese</x:v>
      </x:c>
      <x:c r="AC219" s="136" t="str">
        <x:v>https://conese.com.ar/</x:v>
      </x:c>
      <x:c r="AD219" s="136" t="str">
        <x:v>Punto comercial de maquinaria agrícola en Almafuerte; validar vigencia y decisor.</x:v>
      </x:c>
      <x:c r="AE219" s="136" t="str">
        <x:v>Media</x:v>
      </x:c>
      <x:c r="AF219" s="136" t="str">
        <x:v>Rastrillaje agro-maquinaria web 2026-09-07</x:v>
      </x:c>
      <x:c r="AG219" s="136" t="str">
        <x:v>plataforma 20 tn para maquinaria/implementos | hidrogrúa para maniobras | malacate | seguro de carga | trazabilidad GPS</x:v>
      </x:c>
      <x:c r="AH219" s="136" t="str">
        <x:v>fabricante/concesionario/servicio maquinaria agrícola</x:v>
      </x:c>
      <x:c r="AI219" s="136" t="str">
        <x:v>Sí</x:v>
      </x:c>
      <x:c r="AJ219" s="136" t="str">
        <x:v>Media</x:v>
      </x:c>
      <x:c r="AK219" s="136" t="str">
        <x:v>Perfil específico maquinaria agrícola: validar pesos/dimensiones, tipo de carga y disponibilidad de medios de izaje antes de cotizar.</x:v>
      </x:c>
      <x:c r="AL219" s="136" t="str">
        <x:v>Rastrillaje agro-maquinaria 2026-09-07</x:v>
      </x:c>
      <x:c r="AM219" s="136" t="str">
        <x:v>Alta nueva luego de barrido específico de fabricantes, implementos, tractores, concesionarios y agropartes; cruzada contra la base maestra para evitar duplicados.</x:v>
      </x:c>
    </x:row>
    <x:row r="220">
      <x:c r="A220" s="135" t="str">
        <x:v>HER-001</x:v>
      </x:c>
      <x:c r="B220" s="135" t="str">
        <x:v>Pendiente</x:v>
      </x:c>
      <x:c r="C220" s="135" t="str">
        <x:v>Villa María / RP6</x:v>
      </x:c>
      <x:c r="D220" s="135" t="str">
        <x:v>Hernando</x:v>
      </x:c>
      <x:c r="E220" s="135" t="str">
        <x:v>Hernando</x:v>
      </x:c>
      <x:c r="F220" s="135" t="str">
        <x:v>A</x:v>
      </x:c>
      <x:c r="G220" s="135" t="n">
        <x:v>100</x:v>
      </x:c>
      <x:c r="H220" s="135" t="str">
        <x:v>Cooperativa Agrícola La Vencedora</x:v>
      </x:c>
      <x:c r="I220" s="135" t="str">
        <x:v>Acopio / agroinsumos / combustible</x:v>
      </x:c>
      <x:c r="J220" s="135" t="str">
        <x:v>Agro, acopio y cooperativas</x:v>
      </x:c>
      <x:c r="K220" s="135" t="str">
        <x:v>0353 4847133</x:v>
      </x:c>
      <x:c r="L220" s="135" t="str">
        <x:v>OK</x:v>
      </x:c>
      <x:c r="M220" s="135" t="str">
        <x:v>operaciones / entregas</x:v>
      </x:c>
      <x:c r="N220" s="135" t="str">
        <x:v>Traslado de equipos de planta, silos, repuestos pesados, balanzas, implementos y cargas especiales.</x:v>
      </x:c>
      <x:c r="O220" s="135" t="str">
        <x:v>Entrega y descarga de módulos/containers con plataforma, malacate e hidrogrúa según maniobra.</x:v>
      </x:c>
      <x:c r="P220" s="135" t="str">
        <x:v>Planta nueva 24.000 tn; pedir gerente Ariel Ferreyra.</x:v>
      </x:c>
      <x:c r="Q220" s="135" t="str">
        <x:v>Visita o llamada de validación; pedir próximo traslado concreto.</x:v>
      </x:c>
      <x:c r="R220" s="135"/>
      <x:c r="S220" s="158" t="str">
        <x:f>IFERROR(T(INDEX('Prospectos Resumen'!$K$9:$K$295,MATCH(A220,'Prospectos Resumen'!$A$9:$A$295,0))),"")</x:f>
      </x:c>
      <x:c r="T220" s="135"/>
      <x:c r="U220" s="135"/>
      <x:c r="V220" s="135"/>
      <x:c r="W220" s="135"/>
      <x:c r="X220" s="135" t="str">
        <x:v>tel:+543534847133</x:v>
      </x:c>
      <x:c r="Y220" s="135" t="str">
        <x:v>tel:+543534847133</x:v>
      </x:c>
      <x:c r="Z220" s="135" t="str">
        <x:v>Validar contacto decisor y necesidad inmediata.</x:v>
      </x:c>
      <x:c r="AA220" s="135" t="str">
        <x:v>https://www.google.com/maps/search/?api=1&amp;query=-32.426000,-63.733000</x:v>
      </x:c>
      <x:c r="AB220" s="135" t="str">
        <x:v>Facebook / LinkedIn La Vencedora | Agroverdad / La Vencedora</x:v>
      </x:c>
      <x:c r="AC220" s="135" t="str">
        <x:v>https://agroverdad.com.ar/2024/03/la-nueva-planta-de-acopio-de-la-vencedora-obtuvo-certificacion-ambiental-de-la-provincia</x:v>
      </x:c>
      <x:c r="AD220" s="135" t="str">
        <x:v>Registro curado en documento de dirección PRESOL 2026-09. | Nueva planta de acopio de 24.000 toneladas en predio de 14 ha sobre Ruta 6 km 56; instalaciones para fertilizantes, agroinsumos, combustibles y playa de operaciones.</x:v>
      </x:c>
      <x:c r="AE220" s="135" t="str">
        <x:v>Alta</x:v>
      </x:c>
      <x:c r="AF220" s="135" t="str">
        <x:v>Base curada PDF dirección</x:v>
      </x:c>
      <x:c r="AG220" s="135" t="str">
        <x:v>transporte de áridos/materiales | hidrogrúa para carga/descarga | percha para pallets/bolsones | plataforma 20 tn para maquinaria/piezas | hidrogrúa para maniobras | percha para pallets | percha para pallets de insumos | hidrogrúa para equipos/mantenimiento | barquilla para trabajos en altura</x:v>
      </x:c>
      <x:c r="AH220" s="135" t="str">
        <x:v>cooperativa/acopio | planta agroindustrial</x:v>
      </x:c>
      <x:c r="AI220" s="135" t="str">
        <x:v>Sí</x:v>
      </x:c>
      <x:c r="AJ220" s="135" t="str">
        <x:v>Muy alta</x:v>
      </x:c>
      <x:c r="AK220" s="135" t="str">
        <x:v>Barquilla: validar seguridad, seguro, permiso de trabajo y alcance de maniobra antes de cotizar. Percha pallets: útil para insumos, bolsones, repuestos y materiales palletizados.</x:v>
      </x:c>
      <x:c r="AL220" s="135" t="str">
        <x:v>GPT adjunto + Hermes</x:v>
      </x:c>
      <x:c r="AM220" s="135" t="str">
        <x:v>Fusionado con base Hermes para completar teléfonos/fuentes/servicios.</x:v>
      </x:c>
    </x:row>
    <x:row r="221">
      <x:c r="A221" s="136" t="str">
        <x:v>HER-002</x:v>
      </x:c>
      <x:c r="B221" s="136" t="str">
        <x:v>Pendiente</x:v>
      </x:c>
      <x:c r="C221" s="136" t="str">
        <x:v>Villa María / RP6</x:v>
      </x:c>
      <x:c r="D221" s="136" t="str">
        <x:v>Hernando / RP6-RP10</x:v>
      </x:c>
      <x:c r="E221" s="136" t="str">
        <x:v>Hernando</x:v>
      </x:c>
      <x:c r="F221" s="136" t="str">
        <x:v>A</x:v>
      </x:c>
      <x:c r="G221" s="136" t="n">
        <x:v>100</x:v>
      </x:c>
      <x:c r="H221" s="136" t="str">
        <x:v>DELCRE Construcciones SRL</x:v>
      </x:c>
      <x:c r="I221" s="136" t="str">
        <x:v>Construcción / hormigón</x:v>
      </x:c>
      <x:c r="J221" s="136" t="str">
        <x:v>Construcción y obra vial</x:v>
      </x:c>
      <x:c r="K221" s="136" t="str">
        <x:v>0353 4961086</x:v>
      </x:c>
      <x:c r="L221" s="136" t="str">
        <x:v>OK</x:v>
      </x:c>
      <x:c r="M221" s="136" t="str">
        <x:v>jefe de obra / operaciones</x:v>
      </x:c>
      <x:c r="N221" s="136" t="str">
        <x:v>Traslado de maquinaria, módulos de obrador, estructuras y equipos entre depósitos y frentes de obra.</x:v>
      </x:c>
      <x:c r="O221" s="136" t="str">
        <x:v>Transporte especial de equipos/obrador + plataforma 20 tn + apoyo de hidrogrúa según maniobra + seguro/GPS.</x:v>
      </x:c>
      <x:c r="P221" s="136" t="str">
        <x:v>Constructora y fábrica de hormigón sobre RP6; alto encaje para movimiento de maquinaria, moldes y equipos de obra.</x:v>
      </x:c>
      <x:c r="Q221" s="136" t="str">
        <x:v>Llamada prioritaria; pedir próximo traslado concreto y, si hay encaje, coordinar visita.</x:v>
      </x:c>
      <x:c r="R221" s="136"/>
      <x:c r="S221" s="158" t="str">
        <x:f>IFERROR(T(INDEX('Prospectos Resumen'!$K$9:$K$295,MATCH(A221,'Prospectos Resumen'!$A$9:$A$295,0))),"")</x:f>
      </x:c>
      <x:c r="T221" s="136"/>
      <x:c r="U221" s="136"/>
      <x:c r="V221" s="136"/>
      <x:c r="W221" s="136"/>
      <x:c r="X221" s="136" t="str">
        <x:v>tel:+543534961086</x:v>
      </x:c>
      <x:c r="Y221" s="136" t="str">
        <x:v>tel:+543534961086</x:v>
      </x:c>
      <x:c r="Z221" s="136" t="str">
        <x:v>Confirmar decisor, frecuencia de movimientos y vigencia del contacto antes de cotizar.</x:v>
      </x:c>
      <x:c r="AA221" s="136" t="str">
        <x:v>https://www.google.com/maps/search/?api=1&amp;query=DELCRE+Construcciones+SRL+Hernando+C%C3%B3rdoba+Argentina</x:v>
      </x:c>
      <x:c r="AB221" s="136" t="str">
        <x:v>Google Maps / ficha pública</x:v>
      </x:c>
      <x:c r="AC221" s="136" t="str">
        <x:v>https://www.google.com/maps/search/?api=1&amp;query=DELCRE+CONSTRUCCIONES+SRL+Hernando+C%C3%B3rdoba+Argentina</x:v>
      </x:c>
      <x:c r="AD221" s="136" t="str">
        <x:v>Constructora y fábrica de hormigón sobre RP6; alto encaje para movimiento de maquinaria, moldes y equipos de obra.</x:v>
      </x:c>
      <x:c r="AE221" s="136" t="str">
        <x:v>Alta</x:v>
      </x:c>
      <x:c r="AF221" s="136" t="str">
        <x:v>Enriquecimiento web 2026-09-07</x:v>
      </x:c>
      <x:c r="AG221" s="136" t="str">
        <x:v>transporte de áridos/materiales | hidrogrúa para carga/descarga | percha para pallets/bolsones</x:v>
      </x:c>
      <x:c r="AH221" s="136" t="str">
        <x:v>áridos/construcción/premoldeados</x:v>
      </x:c>
      <x:c r="AI221" s="136" t="str">
        <x:v>Sí</x:v>
      </x:c>
      <x:c r="AJ221" s="136" t="str">
        <x:v>Muy alta</x:v>
      </x:c>
      <x:c r="AK221" s="136" t="str">
        <x:v>Áridos/materiales: confirmar modalidad de carga/descarga y tipo de unidad requerida antes de cotizar.</x:v>
      </x:c>
      <x:c r="AL221" s="136" t="str">
        <x:v>GPT adjunto</x:v>
      </x:c>
      <x:c r="AM221" s="136"/>
    </x:row>
    <x:row r="222">
      <x:c r="A222" s="135" t="str">
        <x:v>HER-003</x:v>
      </x:c>
      <x:c r="B222" s="135" t="str">
        <x:v>Pendiente</x:v>
      </x:c>
      <x:c r="C222" s="135" t="str">
        <x:v>Villa María / RP6</x:v>
      </x:c>
      <x:c r="D222" s="135" t="str">
        <x:v>Hernando / RP6-RP10</x:v>
      </x:c>
      <x:c r="E222" s="135" t="str">
        <x:v>Hernando</x:v>
      </x:c>
      <x:c r="F222" s="135" t="str">
        <x:v>A</x:v>
      </x:c>
      <x:c r="G222" s="135" t="n">
        <x:v>100</x:v>
      </x:c>
      <x:c r="H222" s="135" t="str">
        <x:v>NEUF Agricole</x:v>
      </x:c>
      <x:c r="I222" s="135" t="str">
        <x:v>Tolvas, acoplados, contenedores y equipos especiales</x:v>
      </x:c>
      <x:c r="J222" s="135" t="str">
        <x:v>Módulos y contenedores</x:v>
      </x:c>
      <x:c r="K222" s="135" t="str">
        <x:v>+54 9 353 4846256 / +54 353 4960391</x:v>
      </x:c>
      <x:c r="L222" s="135" t="str">
        <x:v>OK</x:v>
      </x:c>
      <x:c r="M222" s="135" t="str">
        <x:v>logística / despacho / postventa</x:v>
      </x:c>
      <x:c r="N222" s="135" t="str">
        <x:v>Traslado de maquinaria, implementos, equipos terminados y componentes de gran porte entre planta, cliente, obra o feria.</x:v>
      </x:c>
      <x:c r="O222" s="135" t="str">
        <x:v>Plataforma 20 tn + malacate/hidrogrúa según maniobra + seguro de carga + trazabilidad GPS.</x:v>
      </x:c>
      <x:c r="P222" s="135" t="str">
        <x:v>Metalúrgica de Hernando; fabrica tolvas autodescargables, acoplados, contenedores y porta-contenedores.</x:v>
      </x:c>
      <x:c r="Q222" s="135" t="str">
        <x:v>Llamada prioritaria; pedir próximo traslado concreto y, si hay encaje, coordinar visita.</x:v>
      </x:c>
      <x:c r="R222" s="135"/>
      <x:c r="S222" s="158" t="str">
        <x:f>IFERROR(T(INDEX('Prospectos Resumen'!$K$9:$K$295,MATCH(A222,'Prospectos Resumen'!$A$9:$A$295,0))),"")</x:f>
      </x:c>
      <x:c r="T222" s="135"/>
      <x:c r="U222" s="135"/>
      <x:c r="V222" s="135"/>
      <x:c r="W222" s="135"/>
      <x:c r="X222" s="135" t="str">
        <x:v>tel:+5493534846256</x:v>
      </x:c>
      <x:c r="Y222" s="135" t="str">
        <x:v>tel:+5493534846256 | tel:+543534960391</x:v>
      </x:c>
      <x:c r="Z222" s="135" t="str">
        <x:v>Confirmar decisor, frecuencia de movimientos y vigencia del contacto antes de cotizar.</x:v>
      </x:c>
      <x:c r="AA222" s="135" t="str">
        <x:v>https://www.google.com/maps/search/?api=1&amp;query=NEUF+Agricole+Hernando+C%C3%B3rdoba+Argentina</x:v>
      </x:c>
      <x:c r="AB222" s="135" t="str">
        <x:v>AFAMAC | Maquinac</x:v>
      </x:c>
      <x:c r="AC222" s="135" t="str">
        <x:v>https://afamac.com.ar/catalogo/asociados-afamac/neuf/ | https://maquinac.com/empresas/neuf-agricole</x:v>
      </x:c>
      <x:c r="AD222" s="135" t="str">
        <x:v>Metalúrgica de Hernando; fabrica tolvas autodescargables, acoplados, contenedores y porta-contenedores. | Maquinac: Bv. Moreno 1240, Hernando; +54 353 4960391; fabrica tolvas, equipos para construcción y desarrollos especiales.</x:v>
      </x:c>
      <x:c r="AE222" s="135" t="str">
        <x:v>Alta</x:v>
      </x:c>
      <x:c r="AF222" s="135" t="str">
        <x:v>Enriquecimiento web 2026-09-07</x:v>
      </x:c>
      <x:c r="AG222" s="135" t="str">
        <x:v>transporte de áridos/materiales | hidrogrúa para carga/descarga | percha para pallets/bolsones | plataforma 20 tn para maquinaria/piezas | hidrogrúa para maniobras | percha para pallets</x:v>
      </x:c>
      <x:c r="AH222" s="135" t="str">
        <x:v>fabricante/servicio maquinaria agrícola</x:v>
      </x:c>
      <x:c r="AI222" s="135" t="str">
        <x:v>Sí</x:v>
      </x:c>
      <x:c r="AJ222" s="135" t="str">
        <x:v>Muy alta</x:v>
      </x:c>
      <x:c r="AK222" s="135"/>
      <x:c r="AL222" s="135" t="str">
        <x:v>GPT adjunto + Hermes</x:v>
      </x:c>
      <x:c r="AM222" s="135" t="str">
        <x:v>Fusionado con base Hermes para completar teléfonos/fuentes/servicios.</x:v>
      </x:c>
    </x:row>
    <x:row r="223">
      <x:c r="A223" s="136" t="str">
        <x:v>HER-018</x:v>
      </x:c>
      <x:c r="B223" s="136" t="str">
        <x:v>Pendiente</x:v>
      </x:c>
      <x:c r="C223" s="136" t="str">
        <x:v>Villa María / RP6</x:v>
      </x:c>
      <x:c r="D223" s="136" t="str">
        <x:v>Hernando / RP6-RP10</x:v>
      </x:c>
      <x:c r="E223" s="136" t="str">
        <x:v>Hernando</x:v>
      </x:c>
      <x:c r="F223" s="136" t="str">
        <x:v>A</x:v>
      </x:c>
      <x:c r="G223" s="136" t="n">
        <x:v>90</x:v>
      </x:c>
      <x:c r="H223" s="136" t="str">
        <x:v>Caón Maquinarias — Hernando</x:v>
      </x:c>
      <x:c r="I223" s="136" t="str">
        <x:v>Concesionario de maquinaria agrícola / implementos</x:v>
      </x:c>
      <x:c r="J223" s="136" t="str">
        <x:v>Maquinaria agrícola</x:v>
      </x:c>
      <x:c r="K223" s="136" t="str">
        <x:v>+54 9 353 4201218</x:v>
      </x:c>
      <x:c r="L223" s="136" t="str">
        <x:v>OK</x:v>
      </x:c>
      <x:c r="M223" s="136" t="str">
        <x:v>logística / ventas / postventa</x:v>
      </x:c>
      <x:c r="N223" s="136" t="str">
        <x:v>Entrega y retiro de tractores, cosechadoras, pulverizadoras, sembradoras e implementos; movimientos por venta, service, canje, demostraciones o ferias.</x:v>
      </x:c>
      <x:c r="O223" s="136" t="str">
        <x:v>Plataforma 20 tn para maquinaria agrícola + malacate/hidrogrúa según maniobra + seguro de carga + trazabilidad GPS.</x:v>
      </x:c>
      <x:c r="P223" s="136" t="str">
        <x:v>Ofrecer transporte tercerizado para entregas a clientes y retiros de usados/service, especialmente en picos de campaña y operaciones fuera de zona.</x:v>
      </x:c>
      <x:c r="Q223" s="136" t="str">
        <x:v>Llamada comercial prioritaria; pedir por logística/ventas/postventa y consultar próximo equipo a trasladar.</x:v>
      </x:c>
      <x:c r="R223" s="136"/>
      <x:c r="S223" s="158" t="str">
        <x:f>IFERROR(T(INDEX('Prospectos Resumen'!$K$9:$K$295,MATCH(A223,'Prospectos Resumen'!$A$9:$A$295,0))),"")</x:f>
      </x:c>
      <x:c r="T223" s="136"/>
      <x:c r="U223" s="136"/>
      <x:c r="V223" s="136"/>
      <x:c r="W223" s="136"/>
      <x:c r="X223" s="136" t="str">
        <x:v>tel:+5493534201218</x:v>
      </x:c>
      <x:c r="Y223" s="136" t="str">
        <x:v>tel:+5493534201218</x:v>
      </x:c>
      <x:c r="Z223" s="136" t="str">
        <x:v>Confirmar decisor y frecuencia de traslados.</x:v>
      </x:c>
      <x:c r="AA223" s="136" t="str">
        <x:v>https://www.google.com/maps/search/?api=1&amp;query=Ca%C3%B3n+Maquinarias+%E2%80%94+Hernando+Hernando+C%C3%B3rdoba+Argentina</x:v>
      </x:c>
      <x:c r="AB223" s="136" t="str">
        <x:v>Red de concesionarios / Grupo Caon</x:v>
      </x:c>
      <x:c r="AC223" s="136" t="str">
        <x:v>https://www.google.com/maps/search/?api=1&amp;query=Ca%C3%B3n+Maquinarias+Hernando+C%C3%B3rdoba+Argentina</x:v>
      </x:c>
      <x:c r="AD223" s="136" t="str">
        <x:v>Punto comercial de Grupo Caon en Hernando; perfil de venta y postventa de maquinaria agrícola.</x:v>
      </x:c>
      <x:c r="AE223" s="136" t="str">
        <x:v>Alta</x:v>
      </x:c>
      <x:c r="AF223" s="136" t="str">
        <x:v>Rastrillaje agro-maquinaria web 2026-09-07</x:v>
      </x:c>
      <x:c r="AG223" s="136" t="str">
        <x:v>plataforma 20 tn para maquinaria/implementos | hidrogrúa para maniobras | malacate | seguro de carga | trazabilidad GPS</x:v>
      </x:c>
      <x:c r="AH223" s="136" t="str">
        <x:v>fabricante/concesionario/servicio maquinaria agrícola</x:v>
      </x:c>
      <x:c r="AI223" s="136" t="str">
        <x:v>Sí</x:v>
      </x:c>
      <x:c r="AJ223" s="136" t="str">
        <x:v>Muy alta</x:v>
      </x:c>
      <x:c r="AK223" s="136" t="str">
        <x:v>Perfil específico maquinaria agrícola: validar pesos/dimensiones, tipo de carga y disponibilidad de medios de izaje antes de cotizar.</x:v>
      </x:c>
      <x:c r="AL223" s="136" t="str">
        <x:v>Rastrillaje agro-maquinaria 2026-09-07</x:v>
      </x:c>
      <x:c r="AM223" s="136" t="str">
        <x:v>Alta nueva luego de barrido específico de fabricantes, implementos, tractores, concesionarios y agropartes; cruzada contra la base maestra para evitar duplicados.</x:v>
      </x:c>
    </x:row>
    <x:row r="224">
      <x:c r="A224" s="135" t="str">
        <x:v>HER-019</x:v>
      </x:c>
      <x:c r="B224" s="135" t="str">
        <x:v>Pendiente</x:v>
      </x:c>
      <x:c r="C224" s="135" t="str">
        <x:v>Villa María / RP6</x:v>
      </x:c>
      <x:c r="D224" s="135" t="str">
        <x:v>Hernando / RP6-RP10</x:v>
      </x:c>
      <x:c r="E224" s="135" t="str">
        <x:v>Hernando</x:v>
      </x:c>
      <x:c r="F224" s="135" t="str">
        <x:v>A</x:v>
      </x:c>
      <x:c r="G224" s="135" t="n">
        <x:v>90</x:v>
      </x:c>
      <x:c r="H224" s="135" t="str">
        <x:v>Viejo Tala S.R.L. — Hernando</x:v>
      </x:c>
      <x:c r="I224" s="135" t="str">
        <x:v>Concesionario Pauny / tractores y maquinaria agrícola</x:v>
      </x:c>
      <x:c r="J224" s="135" t="str">
        <x:v>Maquinaria agrícola</x:v>
      </x:c>
      <x:c r="K224" s="135" t="str">
        <x:v>0353 4962995</x:v>
      </x:c>
      <x:c r="L224" s="135" t="str">
        <x:v>OK</x:v>
      </x:c>
      <x:c r="M224" s="135" t="str">
        <x:v>logística / ventas / postventa</x:v>
      </x:c>
      <x:c r="N224" s="135" t="str">
        <x:v>Entrega y retiro de tractores, cosechadoras, pulverizadoras, sembradoras e implementos; movimientos por venta, service, canje, demostraciones o ferias.</x:v>
      </x:c>
      <x:c r="O224" s="135" t="str">
        <x:v>Plataforma 20 tn para maquinaria agrícola + malacate/hidrogrúa según maniobra + seguro de carga + trazabilidad GPS.</x:v>
      </x:c>
      <x:c r="P224" s="135" t="str">
        <x:v>Ofrecer transporte tercerizado para entregas a clientes y retiros de usados/service, especialmente en picos de campaña y operaciones fuera de zona.</x:v>
      </x:c>
      <x:c r="Q224" s="135" t="str">
        <x:v>Llamada comercial prioritaria; pedir por logística/ventas/postventa y consultar próximo equipo a trasladar.</x:v>
      </x:c>
      <x:c r="R224" s="135"/>
      <x:c r="S224" s="158" t="str">
        <x:f>IFERROR(T(INDEX('Prospectos Resumen'!$K$9:$K$295,MATCH(A224,'Prospectos Resumen'!$A$9:$A$295,0))),"")</x:f>
      </x:c>
      <x:c r="T224" s="135"/>
      <x:c r="U224" s="135"/>
      <x:c r="V224" s="135"/>
      <x:c r="W224" s="135"/>
      <x:c r="X224" s="135" t="str">
        <x:v>tel:+543534962995</x:v>
      </x:c>
      <x:c r="Y224" s="135" t="str">
        <x:v>tel:+543534962995</x:v>
      </x:c>
      <x:c r="Z224" s="135" t="str">
        <x:v>Confirmar decisor y frecuencia de traslados.</x:v>
      </x:c>
      <x:c r="AA224" s="135" t="str">
        <x:v>https://www.google.com/maps/search/?api=1&amp;query=Viejo+Tala+S.R.L.+%E2%80%94+Hernando+Hernando+C%C3%B3rdoba+Argentina</x:v>
      </x:c>
      <x:c r="AB224" s="135" t="str">
        <x:v>Red de concesionarios Pauny</x:v>
      </x:c>
      <x:c r="AC224" s="135" t="str">
        <x:v>https://www.pauny.com.ar/</x:v>
      </x:c>
      <x:c r="AD224" s="135" t="str">
        <x:v>Sucursal Hernando publicada por Pauny; venta/atención de tractores y maquinaria.</x:v>
      </x:c>
      <x:c r="AE224" s="135" t="str">
        <x:v>Alta</x:v>
      </x:c>
      <x:c r="AF224" s="135" t="str">
        <x:v>Rastrillaje agro-maquinaria web 2026-09-07</x:v>
      </x:c>
      <x:c r="AG224" s="135" t="str">
        <x:v>plataforma 20 tn para maquinaria/implementos | hidrogrúa para maniobras | malacate | seguro de carga | trazabilidad GPS</x:v>
      </x:c>
      <x:c r="AH224" s="135" t="str">
        <x:v>fabricante/concesionario/servicio maquinaria agrícola</x:v>
      </x:c>
      <x:c r="AI224" s="135" t="str">
        <x:v>Sí</x:v>
      </x:c>
      <x:c r="AJ224" s="135" t="str">
        <x:v>Muy alta</x:v>
      </x:c>
      <x:c r="AK224" s="135" t="str">
        <x:v>Perfil específico maquinaria agrícola: validar pesos/dimensiones, tipo de carga y disponibilidad de medios de izaje antes de cotizar.</x:v>
      </x:c>
      <x:c r="AL224" s="135" t="str">
        <x:v>Rastrillaje agro-maquinaria 2026-09-07</x:v>
      </x:c>
      <x:c r="AM224" s="135" t="str">
        <x:v>Alta nueva luego de barrido específico de fabricantes, implementos, tractores, concesionarios y agropartes; cruzada contra la base maestra para evitar duplicados.</x:v>
      </x:c>
    </x:row>
    <x:row r="225">
      <x:c r="A225" s="136" t="str">
        <x:v>HER-017</x:v>
      </x:c>
      <x:c r="B225" s="136" t="str">
        <x:v>Pendiente</x:v>
      </x:c>
      <x:c r="C225" s="136" t="str">
        <x:v>Villa María / RP6</x:v>
      </x:c>
      <x:c r="D225" s="136" t="str">
        <x:v>Hernando / RP6-RP10</x:v>
      </x:c>
      <x:c r="E225" s="136" t="str">
        <x:v>Hernando</x:v>
      </x:c>
      <x:c r="F225" s="136" t="str">
        <x:v>A</x:v>
      </x:c>
      <x:c r="G225" s="136" t="n">
        <x:v>88</x:v>
      </x:c>
      <x:c r="H225" s="136" t="str">
        <x:v>CyS Agro — Hernando</x:v>
      </x:c>
      <x:c r="I225" s="136" t="str">
        <x:v>Concesionario Case IH / Jacto / maquinaria agrícola</x:v>
      </x:c>
      <x:c r="J225" s="136" t="str">
        <x:v>Maquinaria agrícola</x:v>
      </x:c>
      <x:c r="K225" s="136" t="str">
        <x:v>0353 4846206</x:v>
      </x:c>
      <x:c r="L225" s="136" t="str">
        <x:v>OK</x:v>
      </x:c>
      <x:c r="M225" s="136" t="str">
        <x:v>logística / ventas / postventa</x:v>
      </x:c>
      <x:c r="N225" s="136" t="str">
        <x:v>Entrega y retiro de tractores, cosechadoras, pulverizadoras, sembradoras e implementos; movimientos por venta, service, canje, demostraciones o ferias.</x:v>
      </x:c>
      <x:c r="O225" s="136" t="str">
        <x:v>Plataforma 20 tn para maquinaria agrícola + malacate/hidrogrúa según maniobra + seguro de carga + trazabilidad GPS.</x:v>
      </x:c>
      <x:c r="P225" s="136" t="str">
        <x:v>Ofrecer transporte tercerizado para entregas a clientes y retiros de usados/service, especialmente en picos de campaña y operaciones fuera de zona.</x:v>
      </x:c>
      <x:c r="Q225" s="136" t="str">
        <x:v>Llamada comercial prioritaria; pedir por logística/ventas/postventa y consultar próximo equipo a trasladar.</x:v>
      </x:c>
      <x:c r="R225" s="136"/>
      <x:c r="S225" s="158" t="str">
        <x:f>IFERROR(T(INDEX('Prospectos Resumen'!$K$9:$K$295,MATCH(A225,'Prospectos Resumen'!$A$9:$A$295,0))),"")</x:f>
      </x:c>
      <x:c r="T225" s="136"/>
      <x:c r="U225" s="136"/>
      <x:c r="V225" s="136"/>
      <x:c r="W225" s="136"/>
      <x:c r="X225" s="136" t="str">
        <x:v>tel:+543534846206</x:v>
      </x:c>
      <x:c r="Y225" s="136" t="str">
        <x:v>tel:+543534846206</x:v>
      </x:c>
      <x:c r="Z225" s="136" t="str">
        <x:v>Confirmar decisor y frecuencia de traslados.</x:v>
      </x:c>
      <x:c r="AA225" s="136" t="str">
        <x:v>https://www.google.com/maps/search/?api=1&amp;query=CyS+Agro+%E2%80%94+Hernando+Hernando+C%C3%B3rdoba+Argentina</x:v>
      </x:c>
      <x:c r="AB225" s="136" t="str">
        <x:v>Web oficial CyS Agro</x:v>
      </x:c>
      <x:c r="AC225" s="136" t="str">
        <x:v>https://cysagro.com/</x:v>
      </x:c>
      <x:c r="AD225" s="136" t="str">
        <x:v>Sucursal Hernando; comercializa maquinaria agrícola de marcas líderes y presta servicio/posventa.</x:v>
      </x:c>
      <x:c r="AE225" s="136" t="str">
        <x:v>Alta</x:v>
      </x:c>
      <x:c r="AF225" s="136" t="str">
        <x:v>Rastrillaje agro-maquinaria web 2026-09-07</x:v>
      </x:c>
      <x:c r="AG225" s="136" t="str">
        <x:v>plataforma 20 tn para maquinaria/implementos | hidrogrúa para maniobras | malacate | seguro de carga | trazabilidad GPS</x:v>
      </x:c>
      <x:c r="AH225" s="136" t="str">
        <x:v>fabricante/concesionario/servicio maquinaria agrícola</x:v>
      </x:c>
      <x:c r="AI225" s="136" t="str">
        <x:v>Sí</x:v>
      </x:c>
      <x:c r="AJ225" s="136" t="str">
        <x:v>Alta</x:v>
      </x:c>
      <x:c r="AK225" s="136" t="str">
        <x:v>Perfil específico maquinaria agrícola: validar pesos/dimensiones, tipo de carga y disponibilidad de medios de izaje antes de cotizar.</x:v>
      </x:c>
      <x:c r="AL225" s="136" t="str">
        <x:v>Rastrillaje agro-maquinaria 2026-09-07</x:v>
      </x:c>
      <x:c r="AM225" s="136" t="str">
        <x:v>Alta nueva luego de barrido específico de fabricantes, implementos, tractores, concesionarios y agropartes; cruzada contra la base maestra para evitar duplicados.</x:v>
      </x:c>
    </x:row>
    <x:row r="226">
      <x:c r="A226" s="135" t="str">
        <x:v>HER-021</x:v>
      </x:c>
      <x:c r="B226" s="135" t="str">
        <x:v>Pendiente</x:v>
      </x:c>
      <x:c r="C226" s="135" t="str">
        <x:v>Villa María / RP6</x:v>
      </x:c>
      <x:c r="D226" s="135" t="str">
        <x:v>Hernando / RP6-RP10</x:v>
      </x:c>
      <x:c r="E226" s="135" t="str">
        <x:v>Hernando</x:v>
      </x:c>
      <x:c r="F226" s="135" t="str">
        <x:v>A</x:v>
      </x:c>
      <x:c r="G226" s="135" t="n">
        <x:v>88</x:v>
      </x:c>
      <x:c r="H226" s="135" t="str">
        <x:v>Zuppa Hermanos — Hernando</x:v>
      </x:c>
      <x:c r="I226" s="135" t="str">
        <x:v>Sucursal regional / piscinas, construcción e instalación</x:v>
      </x:c>
      <x:c r="J226" s="135" t="str">
        <x:v>PRFV y plásticos</x:v>
      </x:c>
      <x:c r="K226" s="135" t="str">
        <x:v>0353 154257089</x:v>
      </x:c>
      <x:c r="L226" s="135" t="str">
        <x:v>Verificar</x:v>
      </x:c>
      <x:c r="M226" s="135" t="str">
        <x:v>logística / instalaciones / obras / ventas</x:v>
      </x:c>
      <x:c r="N226" s="135" t="str">
        <x:v>Entrega de piscinas de fibra desde depósito/franquicia hasta domicilio y apoyo de grúa cuando el casco debe superar medianeras, techos o accesos angostos.</x:v>
      </x:c>
      <x:c r="O226" s="135" t="str">
        <x:v>Flete de piscina PRFV + hidrogrúa para descarga/posicionamiento + coordinación con excavación e instalador + seguro de carga.</x:v>
      </x:c>
      <x:c r="P226" s="135" t="str">
        <x:v>Resolver la parte más crítica de la instalación —logística y maniobra— sin depender de proveedores distintos para camión y grúa.</x:v>
      </x:c>
      <x:c r="Q226" s="135" t="str">
        <x:v>Llamada prioritaria; pedir por responsable de logística/instalaciones/obras y consultar cómo resuelven hoy el flete y la hidrogrúa de cada casco.</x:v>
      </x:c>
      <x:c r="R226" s="135"/>
      <x:c r="S226" s="158" t="str">
        <x:f>IFERROR(T(INDEX('Prospectos Resumen'!$K$9:$K$295,MATCH(A226,'Prospectos Resumen'!$A$9:$A$295,0))),"")</x:f>
      </x:c>
      <x:c r="T226" s="135"/>
      <x:c r="U226" s="135"/>
      <x:c r="V226" s="135"/>
      <x:c r="W226" s="135"/>
      <x:c r="X226" s="135" t="str">
        <x:v>tel:+54353154257089</x:v>
      </x:c>
      <x:c r="Y226" s="135" t="str">
        <x:v>tel:+54353154257089</x:v>
      </x:c>
      <x:c r="Z226" s="135" t="str">
        <x:v>Validar teléfono directo, decisor y si la instalación/manipulación se realiza con equipo propio o tercerizado.</x:v>
      </x:c>
      <x:c r="AA226" s="135" t="str">
        <x:v>https://www.google.com/maps/search/?api=1&amp;query=Zuppa+Hermanos+%E2%80%94+Hernando+Hernando+C%C3%B3rdoba+Argentina</x:v>
      </x:c>
      <x:c r="AB226" s="135" t="str">
        <x:v>Zuppa Hermanos</x:v>
      </x:c>
      <x:c r="AC226" s="135" t="str">
        <x:v>https://www.zuppahermanos.com.ar/mkt/contacto/</x:v>
      </x:c>
      <x:c r="AD226" s="135" t="str">
        <x:v>La empresa publica sucursal en Hernando y comercializa piscinas Moldear dentro de su línea de productos.</x:v>
      </x:c>
      <x:c r="AE226" s="135" t="str">
        <x:v>Media</x:v>
      </x:c>
      <x:c r="AF226" s="135" t="str">
        <x:v>Rastrillaje piletas PRFV 2026-09-07</x:v>
      </x:c>
      <x:c r="AG226" s="135" t="str">
        <x:v>transporte especial de cascos PRFV | hidrogrúa para descarga y posicionamiento | coordinación de entrega con instalador | seguro de carga | trazabilidad GPS</x:v>
      </x:c>
      <x:c r="AH226" s="135" t="str">
        <x:v>piletas/plástico/PRFV</x:v>
      </x:c>
      <x:c r="AI226" s="135" t="str">
        <x:v>Sí</x:v>
      </x:c>
      <x:c r="AJ226" s="135" t="str">
        <x:v>Alta</x:v>
      </x:c>
      <x:c r="AK226" s="135" t="str">
        <x:v>Oportunidad de encaje directo: el casco es voluminoso y liviano; confirmar puntos de izaje, eslingado, radio de giro, obstáculos del lote y recomendaciones del fabricante antes de la maniobra.</x:v>
      </x:c>
      <x:c r="AL226" s="135" t="str">
        <x:v>Rastrillaje PRFV 2026-09-07</x:v>
      </x:c>
      <x:c r="AM226" s="135" t="str">
        <x:v>Alta nueva luego de barrido específico de fabricantes, franquicias y colocadores de piscinas de fibra; cruzada contra la base maestra para evitar duplicados.</x:v>
      </x:c>
    </x:row>
    <x:row r="227">
      <x:c r="A227" s="136" t="str">
        <x:v>HER-004</x:v>
      </x:c>
      <x:c r="B227" s="136" t="str">
        <x:v>Pendiente</x:v>
      </x:c>
      <x:c r="C227" s="136" t="str">
        <x:v>Villa María / RP6</x:v>
      </x:c>
      <x:c r="D227" s="136" t="str">
        <x:v>Hernando / RP6-RP10</x:v>
      </x:c>
      <x:c r="E227" s="136" t="str">
        <x:v>Hernando</x:v>
      </x:c>
      <x:c r="F227" s="136" t="str">
        <x:v>A</x:v>
      </x:c>
      <x:c r="G227" s="136" t="n">
        <x:v>85</x:v>
      </x:c>
      <x:c r="H227" s="136" t="str">
        <x:v>AGD - Acopio Hernando</x:v>
      </x:c>
      <x:c r="I227" s="136" t="str">
        <x:v>Acopio de granos</x:v>
      </x:c>
      <x:c r="J227" s="136" t="str">
        <x:v>Agro, acopio y cooperativas</x:v>
      </x:c>
      <x:c r="K227" s="136" t="str">
        <x:v>0353 4960609</x:v>
      </x:c>
      <x:c r="L227" s="136" t="str">
        <x:v>OK</x:v>
      </x:c>
      <x:c r="M227" s="136" t="str">
        <x:v>responsable de acopio / mantenimiento</x:v>
      </x:c>
      <x:c r="N227" s="136" t="str">
        <x:v>Traslado de equipos de planta, silos, repuestos pesados, balanzas, implementos y cargas especiales.</x:v>
      </x:c>
      <x:c r="O227" s="136" t="str">
        <x:v>Movimiento de equipos de planta, silos, balanzas, repuestos e implementos con plataforma e hidrogrúa según necesidad.</x:v>
      </x:c>
      <x:c r="P227" s="136" t="str">
        <x:v>Planta de acopio en Hernando; potencial movimiento de equipos, repuestos, silos y cargas especiales.</x:v>
      </x:c>
      <x:c r="Q227" s="136" t="str">
        <x:v>Llamada prioritaria; pedir próximo traslado concreto y, si hay encaje, coordinar visita.</x:v>
      </x:c>
      <x:c r="R227" s="136"/>
      <x:c r="S227" s="158" t="str">
        <x:f>IFERROR(T(INDEX('Prospectos Resumen'!$K$9:$K$295,MATCH(A227,'Prospectos Resumen'!$A$9:$A$295,0))),"")</x:f>
      </x:c>
      <x:c r="T227" s="136"/>
      <x:c r="U227" s="136"/>
      <x:c r="V227" s="136"/>
      <x:c r="W227" s="136"/>
      <x:c r="X227" s="136" t="str">
        <x:v>tel:+543534960609</x:v>
      </x:c>
      <x:c r="Y227" s="136" t="str">
        <x:v>tel:+543534960609</x:v>
      </x:c>
      <x:c r="Z227" s="136" t="str">
        <x:v>Confirmar decisor, frecuencia de movimientos y vigencia del contacto antes de cotizar.</x:v>
      </x:c>
      <x:c r="AA227" s="136" t="str">
        <x:v>https://www.google.com/maps/search/?api=1&amp;query=AGD+-+Acopio+Hernando+Hernando+C%C3%B3rdoba+Argentina</x:v>
      </x:c>
      <x:c r="AB227" s="136" t="str">
        <x:v>Google Maps / ficha pública</x:v>
      </x:c>
      <x:c r="AC227" s="136" t="str">
        <x:v>https://www.google.com/maps/search/?api=1&amp;query=AGD+Acopio+Hernando+Hernando+C%C3%B3rdoba+Argentina</x:v>
      </x:c>
      <x:c r="AD227" s="136" t="str">
        <x:v>Planta de acopio en Hernando; potencial movimiento de equipos, repuestos, silos y cargas especiales.</x:v>
      </x:c>
      <x:c r="AE227" s="136" t="str">
        <x:v>Alta</x:v>
      </x:c>
      <x:c r="AF227" s="136" t="str">
        <x:v>Enriquecimiento web 2026-09-07</x:v>
      </x:c>
      <x:c r="AG227" s="136" t="str">
        <x:v>plataforma 20 tn para maquinaria/piezas | hidrogrúa para maniobras | percha para pallets | percha para pallets de insumos | hidrogrúa para equipos/mantenimiento | barquilla para trabajos en altura</x:v>
      </x:c>
      <x:c r="AH227" s="136" t="str">
        <x:v>cooperativa/acopio</x:v>
      </x:c>
      <x:c r="AI227" s="136" t="str">
        <x:v>Sí</x:v>
      </x:c>
      <x:c r="AJ227" s="136" t="str">
        <x:v>Muy alta</x:v>
      </x:c>
      <x:c r="AK227" s="136" t="str">
        <x:v>Barquilla: validar seguridad, seguro, permiso de trabajo y alcance de maniobra antes de cotizar.</x:v>
      </x:c>
      <x:c r="AL227" s="136" t="str">
        <x:v>GPT adjunto</x:v>
      </x:c>
      <x:c r="AM227" s="136"/>
    </x:row>
    <x:row r="228">
      <x:c r="A228" s="135" t="str">
        <x:v>HER-005</x:v>
      </x:c>
      <x:c r="B228" s="135" t="str">
        <x:v>Pendiente</x:v>
      </x:c>
      <x:c r="C228" s="135" t="str">
        <x:v>Villa María / RP6</x:v>
      </x:c>
      <x:c r="D228" s="135" t="str">
        <x:v>Hernando / RP6-RP10</x:v>
      </x:c>
      <x:c r="E228" s="135" t="str">
        <x:v>Hernando</x:v>
      </x:c>
      <x:c r="F228" s="135" t="str">
        <x:v>A</x:v>
      </x:c>
      <x:c r="G228" s="135" t="n">
        <x:v>85</x:v>
      </x:c>
      <x:c r="H228" s="135" t="str">
        <x:v>AGRO ARG S.R.L. Planta de Maní</x:v>
      </x:c>
      <x:c r="I228" s="135" t="str">
        <x:v>Planta procesadora de maní</x:v>
      </x:c>
      <x:c r="J228" s="135" t="str">
        <x:v>Agroindustria y alimentos</x:v>
      </x:c>
      <x:c r="K228" s="135" t="str">
        <x:v>+54 9 353 6575171</x:v>
      </x:c>
      <x:c r="L228" s="135" t="str">
        <x:v>OK</x:v>
      </x:c>
      <x:c r="M228" s="135" t="str">
        <x:v>responsable de acopio / mantenimiento</x:v>
      </x:c>
      <x:c r="N228" s="135" t="str">
        <x:v>Traslado de equipos de planta, silos, repuestos pesados, balanzas, implementos y cargas especiales.</x:v>
      </x:c>
      <x:c r="O228" s="135" t="str">
        <x:v>Movimiento de equipos de planta, silos, balanzas, repuestos e implementos con plataforma e hidrogrúa según necesidad.</x:v>
      </x:c>
      <x:c r="P228" s="135" t="str">
        <x:v>Planta industrial de maní en Hernando con contacto público.</x:v>
      </x:c>
      <x:c r="Q228" s="135" t="str">
        <x:v>Llamada prioritaria; pedir próximo traslado concreto y, si hay encaje, coordinar visita.</x:v>
      </x:c>
      <x:c r="R228" s="135"/>
      <x:c r="S228" s="158" t="str">
        <x:f>IFERROR(T(INDEX('Prospectos Resumen'!$K$9:$K$295,MATCH(A228,'Prospectos Resumen'!$A$9:$A$295,0))),"")</x:f>
      </x:c>
      <x:c r="T228" s="135"/>
      <x:c r="U228" s="135"/>
      <x:c r="V228" s="135"/>
      <x:c r="W228" s="135"/>
      <x:c r="X228" s="135" t="str">
        <x:v>tel:+5493536575171</x:v>
      </x:c>
      <x:c r="Y228" s="135" t="str">
        <x:v>tel:+5493536575171</x:v>
      </x:c>
      <x:c r="Z228" s="135" t="str">
        <x:v>Confirmar decisor, frecuencia de movimientos y vigencia del contacto antes de cotizar.</x:v>
      </x:c>
      <x:c r="AA228" s="135" t="str">
        <x:v>https://www.google.com/maps/search/?api=1&amp;query=AGRO+ARG+S.R.L.+Planta+de+Man%C3%AD+Hernando+C%C3%B3rdoba+Argentina</x:v>
      </x:c>
      <x:c r="AB228" s="135" t="str">
        <x:v>Google Maps / ficha pública</x:v>
      </x:c>
      <x:c r="AC228" s="135" t="str">
        <x:v>https://www.google.com/maps/search/?api=1&amp;query=AGRO+ARG+SRL+Planta+de+Mani+Hernando+C%C3%B3rdoba+Argentina</x:v>
      </x:c>
      <x:c r="AD228" s="135" t="str">
        <x:v>Planta industrial de maní en Hernando con contacto público.</x:v>
      </x:c>
      <x:c r="AE228" s="135" t="str">
        <x:v>Alta</x:v>
      </x:c>
      <x:c r="AF228" s="135" t="str">
        <x:v>Enriquecimiento web 2026-09-07</x:v>
      </x:c>
      <x:c r="AG228" s="135" t="str">
        <x:v>plataforma 20 tn para maquinaria/piezas | hidrogrúa para maniobras | percha para pallets</x:v>
      </x:c>
      <x:c r="AH228" s="135" t="str">
        <x:v>cooperativa/acopio</x:v>
      </x:c>
      <x:c r="AI228" s="135" t="str">
        <x:v>Sí</x:v>
      </x:c>
      <x:c r="AJ228" s="135" t="str">
        <x:v>Muy alta</x:v>
      </x:c>
      <x:c r="AK228" s="135" t="str">
        <x:v>Barquilla: validar seguridad, seguro, permiso de trabajo y alcance de maniobra antes de cotizar.</x:v>
      </x:c>
      <x:c r="AL228" s="135" t="str">
        <x:v>GPT adjunto</x:v>
      </x:c>
      <x:c r="AM228" s="135"/>
    </x:row>
    <x:row r="229">
      <x:c r="A229" s="136" t="str">
        <x:v>HER-006</x:v>
      </x:c>
      <x:c r="B229" s="136" t="str">
        <x:v>Pendiente</x:v>
      </x:c>
      <x:c r="C229" s="136" t="str">
        <x:v>Villa María / RP6</x:v>
      </x:c>
      <x:c r="D229" s="136" t="str">
        <x:v>Hernando / RP6-RP10</x:v>
      </x:c>
      <x:c r="E229" s="136" t="str">
        <x:v>Hernando</x:v>
      </x:c>
      <x:c r="F229" s="136" t="str">
        <x:v>A</x:v>
      </x:c>
      <x:c r="G229" s="136" t="n">
        <x:v>85</x:v>
      </x:c>
      <x:c r="H229" s="136" t="str">
        <x:v>MULTITRAC S.A.S Agromaquinarias</x:v>
      </x:c>
      <x:c r="I229" s="136" t="str">
        <x:v>Concesionario de tractores / maquinaria agrícola</x:v>
      </x:c>
      <x:c r="J229" s="136" t="str">
        <x:v>Maquinaria agrícola</x:v>
      </x:c>
      <x:c r="K229" s="136" t="str">
        <x:v>0353 4125716</x:v>
      </x:c>
      <x:c r="L229" s="136" t="str">
        <x:v>OK</x:v>
      </x:c>
      <x:c r="M229" s="136" t="str">
        <x:v>logística / entregas / postventa</x:v>
      </x:c>
      <x:c r="N229" s="136" t="str">
        <x:v>Traslado de maquinaria agrícola o vial entre sucursal, cliente, taller, campo y eventos.</x:v>
      </x:c>
      <x:c r="O229" s="136" t="str">
        <x:v>Traslado de maquinaria en plataforma 20 tn, coordinación de retiro/entrega y apoyo de hidrogrúa si corresponde.</x:v>
      </x:c>
      <x:c r="P229" s="136" t="str">
        <x:v>Concesionario de tractores y maquinaria; potencial traslado a clientes, talleres y eventos.</x:v>
      </x:c>
      <x:c r="Q229" s="136" t="str">
        <x:v>Llamada prioritaria; pedir próximo traslado concreto y, si hay encaje, coordinar visita.</x:v>
      </x:c>
      <x:c r="R229" s="136"/>
      <x:c r="S229" s="158" t="str">
        <x:f>IFERROR(T(INDEX('Prospectos Resumen'!$K$9:$K$295,MATCH(A229,'Prospectos Resumen'!$A$9:$A$295,0))),"")</x:f>
      </x:c>
      <x:c r="T229" s="136"/>
      <x:c r="U229" s="136"/>
      <x:c r="V229" s="136"/>
      <x:c r="W229" s="136"/>
      <x:c r="X229" s="136" t="str">
        <x:v>tel:+543534125716</x:v>
      </x:c>
      <x:c r="Y229" s="136" t="str">
        <x:v>tel:+543534125716</x:v>
      </x:c>
      <x:c r="Z229" s="136" t="str">
        <x:v>Confirmar decisor, frecuencia de movimientos y vigencia del contacto antes de cotizar.</x:v>
      </x:c>
      <x:c r="AA229" s="136" t="str">
        <x:v>https://www.google.com/maps/search/?api=1&amp;query=MULTITRAC+S.A.S+Agromaquinarias+Hernando+C%C3%B3rdoba+Argentina</x:v>
      </x:c>
      <x:c r="AB229" s="136" t="str">
        <x:v>Google Maps / ficha pública</x:v>
      </x:c>
      <x:c r="AC229" s="136" t="str">
        <x:v>https://www.google.com/maps/search/?api=1&amp;query=MULTITRAC+SAS+agromaquinarias+Hernando+C%C3%B3rdoba+Argentina</x:v>
      </x:c>
      <x:c r="AD229" s="136" t="str">
        <x:v>Concesionario de tractores y maquinaria; potencial traslado a clientes, talleres y eventos.</x:v>
      </x:c>
      <x:c r="AE229" s="136" t="str">
        <x:v>Alta</x:v>
      </x:c>
      <x:c r="AF229" s="136" t="str">
        <x:v>Enriquecimiento web 2026-09-07</x:v>
      </x:c>
      <x:c r="AG229" s="136" t="str">
        <x:v>plataforma 20 tn para maquinaria/piezas | hidrogrúa para maniobras | percha para pallets</x:v>
      </x:c>
      <x:c r="AH229" s="136" t="str">
        <x:v>fabricante/servicio maquinaria agrícola</x:v>
      </x:c>
      <x:c r="AI229" s="136" t="str">
        <x:v>Sí</x:v>
      </x:c>
      <x:c r="AJ229" s="136" t="str">
        <x:v>Muy alta</x:v>
      </x:c>
      <x:c r="AK229" s="136"/>
      <x:c r="AL229" s="136" t="str">
        <x:v>GPT adjunto</x:v>
      </x:c>
      <x:c r="AM229" s="136"/>
    </x:row>
    <x:row r="230">
      <x:c r="A230" s="135" t="str">
        <x:v>HER-007</x:v>
      </x:c>
      <x:c r="B230" s="135" t="str">
        <x:v>Pendiente</x:v>
      </x:c>
      <x:c r="C230" s="135" t="str">
        <x:v>Villa María / RP6</x:v>
      </x:c>
      <x:c r="D230" s="135" t="str">
        <x:v>Hernando / RP6-RP10</x:v>
      </x:c>
      <x:c r="E230" s="135" t="str">
        <x:v>Hernando</x:v>
      </x:c>
      <x:c r="F230" s="135" t="str">
        <x:v>A</x:v>
      </x:c>
      <x:c r="G230" s="135" t="n">
        <x:v>85</x:v>
      </x:c>
      <x:c r="H230" s="135" t="str">
        <x:v>Servagrop - Especialistas en Maní</x:v>
      </x:c>
      <x:c r="I230" s="135" t="str">
        <x:v>Agroindustria / maní / servicios agrícolas</x:v>
      </x:c>
      <x:c r="J230" s="135" t="str">
        <x:v>Agroindustria y alimentos</x:v>
      </x:c>
      <x:c r="K230" s="135" t="str">
        <x:v>0353 4960348</x:v>
      </x:c>
      <x:c r="L230" s="135" t="str">
        <x:v>OK</x:v>
      </x:c>
      <x:c r="M230" s="135" t="str">
        <x:v>responsable de acopio / mantenimiento</x:v>
      </x:c>
      <x:c r="N230" s="135" t="str">
        <x:v>Traslado de equipos de planta, silos, repuestos pesados, balanzas, implementos y cargas especiales.</x:v>
      </x:c>
      <x:c r="O230" s="135" t="str">
        <x:v>Movimiento de equipos de planta, silos, balanzas, repuestos e implementos con plataforma e hidrogrúa según necesidad.</x:v>
      </x:c>
      <x:c r="P230" s="135" t="str">
        <x:v>Operador agroindustrial de alta actividad en RP10; volumen y maquinaria asociados al negocio del maní.</x:v>
      </x:c>
      <x:c r="Q230" s="135" t="str">
        <x:v>Llamada prioritaria; pedir próximo traslado concreto y, si hay encaje, coordinar visita.</x:v>
      </x:c>
      <x:c r="R230" s="135"/>
      <x:c r="S230" s="158" t="str">
        <x:f>IFERROR(T(INDEX('Prospectos Resumen'!$K$9:$K$295,MATCH(A230,'Prospectos Resumen'!$A$9:$A$295,0))),"")</x:f>
      </x:c>
      <x:c r="T230" s="135"/>
      <x:c r="U230" s="135"/>
      <x:c r="V230" s="135"/>
      <x:c r="W230" s="135"/>
      <x:c r="X230" s="135" t="str">
        <x:v>tel:+543534960348</x:v>
      </x:c>
      <x:c r="Y230" s="135" t="str">
        <x:v>tel:+543534960348</x:v>
      </x:c>
      <x:c r="Z230" s="135" t="str">
        <x:v>Confirmar decisor, frecuencia de movimientos y vigencia del contacto antes de cotizar.</x:v>
      </x:c>
      <x:c r="AA230" s="135" t="str">
        <x:v>https://www.google.com/maps/search/?api=1&amp;query=Servagrop+-+Especialistas+en+Man%C3%AD+Hernando+C%C3%B3rdoba+Argentina</x:v>
      </x:c>
      <x:c r="AB230" s="135" t="str">
        <x:v>Google Maps / ficha pública</x:v>
      </x:c>
      <x:c r="AC230" s="135" t="str">
        <x:v>https://www.google.com/maps/search/?api=1&amp;query=Servagrop+Especialistas+en+Mani+Hernando+C%C3%B3rdoba+Argentina</x:v>
      </x:c>
      <x:c r="AD230" s="135" t="str">
        <x:v>Operador agroindustrial de alta actividad en RP10; volumen y maquinaria asociados al negocio del maní.</x:v>
      </x:c>
      <x:c r="AE230" s="135" t="str">
        <x:v>Alta</x:v>
      </x:c>
      <x:c r="AF230" s="135" t="str">
        <x:v>Enriquecimiento web 2026-09-07</x:v>
      </x:c>
      <x:c r="AG230" s="135" t="str">
        <x:v>plataforma 20 tn para maquinaria/piezas | hidrogrúa para maniobras | percha para pallets</x:v>
      </x:c>
      <x:c r="AH230" s="135" t="str">
        <x:v>cooperativa/acopio</x:v>
      </x:c>
      <x:c r="AI230" s="135" t="str">
        <x:v>Sí</x:v>
      </x:c>
      <x:c r="AJ230" s="135" t="str">
        <x:v>Muy alta</x:v>
      </x:c>
      <x:c r="AK230" s="135" t="str">
        <x:v>Percha pallets: útil para insumos, bolsones, repuestos y materiales palletizados.</x:v>
      </x:c>
      <x:c r="AL230" s="135" t="str">
        <x:v>GPT adjunto</x:v>
      </x:c>
      <x:c r="AM230" s="135"/>
    </x:row>
    <x:row r="231">
      <x:c r="A231" s="136" t="str">
        <x:v>HER-008</x:v>
      </x:c>
      <x:c r="B231" s="136" t="str">
        <x:v>Pendiente</x:v>
      </x:c>
      <x:c r="C231" s="136" t="str">
        <x:v>Villa María / RP6</x:v>
      </x:c>
      <x:c r="D231" s="136" t="str">
        <x:v>Hernando / RP6-RP10</x:v>
      </x:c>
      <x:c r="E231" s="136" t="str">
        <x:v>Hernando</x:v>
      </x:c>
      <x:c r="F231" s="136" t="str">
        <x:v>B</x:v>
      </x:c>
      <x:c r="G231" s="136" t="n">
        <x:v>81</x:v>
      </x:c>
      <x:c r="H231" s="136" t="str">
        <x:v>Plegados Hernando S.A.</x:v>
      </x:c>
      <x:c r="I231" s="136" t="str">
        <x:v>Plegado y trabajos metalúrgicos</x:v>
      </x:c>
      <x:c r="J231" s="136" t="str">
        <x:v>Metalúrgica y fabricación</x:v>
      </x:c>
      <x:c r="K231" s="136" t="str">
        <x:v>0353 4962200 / +54 353 4962200</x:v>
      </x:c>
      <x:c r="L231" s="136" t="str">
        <x:v>OK</x:v>
      </x:c>
      <x:c r="M231" s="136" t="str">
        <x:v>despacho / producción</x:v>
      </x:c>
      <x:c r="N231" s="136" t="str">
        <x:v>Despacho de estructuras, piezas, equipos y conjuntos metalmecánicos de gran porte hacia obras o clientes.</x:v>
      </x:c>
      <x:c r="O231" s="136" t="str">
        <x:v>Plataforma 20 tn para piezas/estructuras + seguro de carga + trazabilidad GPS + apoyo de hidrogrúa según maniobra.</x:v>
      </x:c>
      <x:c r="P231" s="136" t="str">
        <x:v>Taller metalúrgico local con teléfono público.</x:v>
      </x:c>
      <x:c r="Q231" s="136" t="str">
        <x:v>Llamar para validar necesidad y frecuencia; visitar si confirma movimientos de equipos/cargas.</x:v>
      </x:c>
      <x:c r="R231" s="136"/>
      <x:c r="S231" s="158" t="str">
        <x:f>IFERROR(T(INDEX('Prospectos Resumen'!$K$9:$K$295,MATCH(A231,'Prospectos Resumen'!$A$9:$A$295,0))),"")</x:f>
      </x:c>
      <x:c r="T231" s="136"/>
      <x:c r="U231" s="136"/>
      <x:c r="V231" s="136"/>
      <x:c r="W231" s="136"/>
      <x:c r="X231" s="136" t="str">
        <x:v>tel:+543534962200</x:v>
      </x:c>
      <x:c r="Y231" s="136" t="str">
        <x:v>tel:+543534962200</x:v>
      </x:c>
      <x:c r="Z231" s="136" t="str">
        <x:v>Confirmar decisor, frecuencia de movimientos y vigencia del contacto antes de cotizar.</x:v>
      </x:c>
      <x:c r="AA231" s="136" t="str">
        <x:v>https://www.google.com/maps/search/?api=1&amp;query=Plegados+Hernando+S.A.+Hernando+C%C3%B3rdoba+Argentina</x:v>
      </x:c>
      <x:c r="AB231" s="136" t="str">
        <x:v>Google Maps / ficha pública | Metalmecánica.com</x:v>
      </x:c>
      <x:c r="AC231" s="136" t="str">
        <x:v>https://www.google.com/maps/search/?api=1&amp;query=Plegados+Hernando+SA+Hernando+C%C3%B3rdoba+Argentina | https://www.metalmecanica.com/argentina/hernando/fabricantes/plegados-hernando-s-a</x:v>
      </x:c>
      <x:c r="AD231" s="136" t="str">
        <x:v>Taller metalúrgico local con teléfono público. | Ficha pública: Blvd. Moreno 823, Hernando; tel +54353496-2200; cortes, plegados, rolados y piezas para agro/industria.</x:v>
      </x:c>
      <x:c r="AE231" s="136" t="str">
        <x:v>Alta</x:v>
      </x:c>
      <x:c r="AF231" s="136" t="str">
        <x:v>Enriquecimiento web 2026-09-07</x:v>
      </x:c>
      <x:c r="AG231" s="136" t="str">
        <x:v>transporte de áridos/materiales | hidrogrúa para carga/descarga | percha para pallets/bolsones | plataforma 20 tn para maquinaria/piezas | hidrogrúa para maniobras | percha para pallets</x:v>
      </x:c>
      <x:c r="AH231" s="136" t="str">
        <x:v>otro rubro factible</x:v>
      </x:c>
      <x:c r="AI231" s="136" t="str">
        <x:v>Sí</x:v>
      </x:c>
      <x:c r="AJ231" s="136" t="str">
        <x:v>Alta</x:v>
      </x:c>
      <x:c r="AK231" s="136" t="str">
        <x:v>Percha para pallets: útil para insumos, bolsones, repuestos y materiales palletizados.</x:v>
      </x:c>
      <x:c r="AL231" s="136" t="str">
        <x:v>GPT adjunto + Hermes</x:v>
      </x:c>
      <x:c r="AM231" s="136" t="str">
        <x:v>Fusionado con base Hermes para completar teléfonos/fuentes/servicios. | ID fuente: HER-012</x:v>
      </x:c>
    </x:row>
    <x:row r="232">
      <x:c r="A232" s="135" t="str">
        <x:v>HER-009</x:v>
      </x:c>
      <x:c r="B232" s="135" t="str">
        <x:v>Pendiente</x:v>
      </x:c>
      <x:c r="C232" s="135" t="str">
        <x:v>Villa María / RP6</x:v>
      </x:c>
      <x:c r="D232" s="135" t="str">
        <x:v>Hernando</x:v>
      </x:c>
      <x:c r="E232" s="135" t="str">
        <x:v>Hernando</x:v>
      </x:c>
      <x:c r="F232" s="135" t="str">
        <x:v>B</x:v>
      </x:c>
      <x:c r="G232" s="135" t="n">
        <x:v>75</x:v>
      </x:c>
      <x:c r="H232" s="135" t="str">
        <x:v>Agrohernando</x:v>
      </x:c>
      <x:c r="I232" s="135" t="str">
        <x:v>Acopio / granos / insumos</x:v>
      </x:c>
      <x:c r="J232" s="135" t="str">
        <x:v>Agro, acopio y cooperativas</x:v>
      </x:c>
      <x:c r="K232" s="135" t="str">
        <x:v>0353 4960418</x:v>
      </x:c>
      <x:c r="L232" s="135" t="str">
        <x:v>OK</x:v>
      </x:c>
      <x:c r="M232" s="135" t="str">
        <x:v>responsable de acopio / mantenimiento</x:v>
      </x:c>
      <x:c r="N232" s="135" t="str">
        <x:v>Traslado de equipos de planta, silos, repuestos pesados, balanzas, implementos y cargas especiales.</x:v>
      </x:c>
      <x:c r="O232" s="135" t="str">
        <x:v>Movimiento de equipos de planta, silos, balanzas, repuestos y cargas especiales para acopios/agroindustria.</x:v>
      </x:c>
      <x:c r="P232" s="135" t="str">
        <x:v>Empresa familiar 20 años; pedir responsable de operaciones.</x:v>
      </x:c>
      <x:c r="Q232" s="135" t="str">
        <x:v>Visita o llamada de validación; pedir próximo traslado concreto.</x:v>
      </x:c>
      <x:c r="R232" s="135"/>
      <x:c r="S232" s="158" t="str">
        <x:f>IFERROR(T(INDEX('Prospectos Resumen'!$K$9:$K$295,MATCH(A232,'Prospectos Resumen'!$A$9:$A$295,0))),"")</x:f>
      </x:c>
      <x:c r="T232" s="135"/>
      <x:c r="U232" s="135"/>
      <x:c r="V232" s="135"/>
      <x:c r="W232" s="135"/>
      <x:c r="X232" s="135" t="str">
        <x:v>tel:+543534960418</x:v>
      </x:c>
      <x:c r="Y232" s="135" t="str">
        <x:v>tel:+543534960418</x:v>
      </x:c>
      <x:c r="Z232" s="135" t="str">
        <x:v>Validar contacto decisor y necesidad inmediata.</x:v>
      </x:c>
      <x:c r="AA232" s="135" t="str">
        <x:v>https://www.google.com/maps/search/?api=1&amp;query=-32.428000,-63.730000</x:v>
      </x:c>
      <x:c r="AB232" s="135" t="str">
        <x:v>agrohernando.com.ar | Web propia Agrohernando</x:v>
      </x:c>
      <x:c r="AC232" s="135" t="str">
        <x:v>https://www.agrohernando.com.ar</x:v>
      </x:c>
      <x:c r="AD232" s="135" t="str">
        <x:v>Registro curado en documento de dirección PRESOL 2026-09. | Sitio propio: Bv. Moreno 935, Hernando; acopio 16.000 tn, depósito de agroquímicos, transporte y capacidad de recepción/entrega de fertilizantes.</x:v>
      </x:c>
      <x:c r="AE232" s="135" t="str">
        <x:v>Alta</x:v>
      </x:c>
      <x:c r="AF232" s="135" t="str">
        <x:v>Base curada PDF dirección</x:v>
      </x:c>
      <x:c r="AG232" s="135" t="str">
        <x:v>plataforma 20 tn para maquinaria/piezas | hidrogrúa para maniobras | percha para pallets | percha para pallets de insumos | hidrogrúa para equipos/mantenimiento | barquilla para trabajos en altura</x:v>
      </x:c>
      <x:c r="AH232" s="135" t="str">
        <x:v>cooperativa/acopio</x:v>
      </x:c>
      <x:c r="AI232" s="135" t="str">
        <x:v>Sí</x:v>
      </x:c>
      <x:c r="AJ232" s="135" t="str">
        <x:v>Alta</x:v>
      </x:c>
      <x:c r="AK232" s="135" t="str">
        <x:v>Barquilla: validar seguridad, seguro, permiso de trabajo y alcance de maniobra antes de cotizar. Percha pallets: útil para insumos, bolsones, repuestos y materiales palletizados.</x:v>
      </x:c>
      <x:c r="AL232" s="135" t="str">
        <x:v>GPT adjunto + Hermes</x:v>
      </x:c>
      <x:c r="AM232" s="135" t="str">
        <x:v>Fusionado con base Hermes para completar teléfonos/fuentes/servicios.</x:v>
      </x:c>
    </x:row>
    <x:row r="233">
      <x:c r="A233" s="136" t="str">
        <x:v>HER-010</x:v>
      </x:c>
      <x:c r="B233" s="136" t="str">
        <x:v>Pendiente</x:v>
      </x:c>
      <x:c r="C233" s="136" t="str">
        <x:v>Villa María / RP6</x:v>
      </x:c>
      <x:c r="D233" s="136" t="str">
        <x:v>Hernando / RP6-RP10</x:v>
      </x:c>
      <x:c r="E233" s="136" t="str">
        <x:v>Hernando</x:v>
      </x:c>
      <x:c r="F233" s="136" t="str">
        <x:v>B</x:v>
      </x:c>
      <x:c r="G233" s="136" t="n">
        <x:v>75</x:v>
      </x:c>
      <x:c r="H233" s="136" t="str">
        <x:v>Agrícola José Verra S.A.</x:v>
      </x:c>
      <x:c r="I233" s="136" t="str">
        <x:v>Servicio y maquinaria agrícola</x:v>
      </x:c>
      <x:c r="J233" s="136" t="str">
        <x:v>Maquinaria agrícola</x:v>
      </x:c>
      <x:c r="K233" s="136" t="str">
        <x:v>03532 415543</x:v>
      </x:c>
      <x:c r="L233" s="136" t="str">
        <x:v>Verificar</x:v>
      </x:c>
      <x:c r="M233" s="136" t="str">
        <x:v>logística / entregas / postventa</x:v>
      </x:c>
      <x:c r="N233" s="136" t="str">
        <x:v>Traslado de maquinaria agrícola o vial entre sucursal, cliente, taller, campo y eventos.</x:v>
      </x:c>
      <x:c r="O233" s="136" t="str">
        <x:v>Traslado de maquinaria en plataforma 20 tn, coordinación de retiro/entrega y apoyo de hidrogrúa si corresponde.</x:v>
      </x:c>
      <x:c r="P233" s="136" t="str">
        <x:v>Operador agrícola sobre RP10; figura en red de servicios del sector y en ficha pública local.</x:v>
      </x:c>
      <x:c r="Q233" s="136" t="str">
        <x:v>Llamar para validar necesidad y frecuencia; visitar si confirma movimientos de equipos/cargas.</x:v>
      </x:c>
      <x:c r="R233" s="136"/>
      <x:c r="S233" s="158" t="str">
        <x:f>IFERROR(T(INDEX('Prospectos Resumen'!$K$9:$K$295,MATCH(A233,'Prospectos Resumen'!$A$9:$A$295,0))),"")</x:f>
      </x:c>
      <x:c r="T233" s="136"/>
      <x:c r="U233" s="136"/>
      <x:c r="V233" s="136"/>
      <x:c r="W233" s="136"/>
      <x:c r="X233" s="136" t="str">
        <x:v>tel:+543532415543</x:v>
      </x:c>
      <x:c r="Y233" s="136" t="str">
        <x:v>tel:+543532415543</x:v>
      </x:c>
      <x:c r="Z233" s="136" t="str">
        <x:v>Confirmar decisor, frecuencia de movimientos y vigencia del contacto antes de cotizar.</x:v>
      </x:c>
      <x:c r="AA233" s="136" t="str">
        <x:v>https://www.google.com/maps/search/?api=1&amp;query=Agr%C3%ADcola+Jos%C3%A9+Verra+S.A.+Hernando+C%C3%B3rdoba+Argentina</x:v>
      </x:c>
      <x:c r="AB233" s="136" t="str">
        <x:v>Google Maps / red Piersanti</x:v>
      </x:c>
      <x:c r="AC233" s="136" t="str">
        <x:v>https://www.google.com/maps/search/?api=1&amp;query=Agricola+Jose+Verra+SA+Hernando+C%C3%B3rdoba+Argentina</x:v>
      </x:c>
      <x:c r="AD233" s="136" t="str">
        <x:v>Operador agrícola sobre RP10; figura en red de servicios del sector y en ficha pública local.</x:v>
      </x:c>
      <x:c r="AE233" s="136" t="str">
        <x:v>Media</x:v>
      </x:c>
      <x:c r="AF233" s="136" t="str">
        <x:v>Enriquecimiento web 2026-09-07</x:v>
      </x:c>
      <x:c r="AG233" s="136" t="str">
        <x:v>plataforma 20 tn para maquinaria/piezas | hidrogrúa para maniobras | percha para pallets</x:v>
      </x:c>
      <x:c r="AH233" s="136" t="str">
        <x:v>fabricante/servicio maquinaria agrícola</x:v>
      </x:c>
      <x:c r="AI233" s="136" t="str">
        <x:v>Sí</x:v>
      </x:c>
      <x:c r="AJ233" s="136" t="str">
        <x:v>Alta</x:v>
      </x:c>
      <x:c r="AK233" s="136"/>
      <x:c r="AL233" s="136" t="str">
        <x:v>GPT adjunto</x:v>
      </x:c>
      <x:c r="AM233" s="136" t="str">
        <x:v>ID fuente: HER-008</x:v>
      </x:c>
    </x:row>
    <x:row r="234">
      <x:c r="A234" s="135" t="str">
        <x:v>HER-020</x:v>
      </x:c>
      <x:c r="B234" s="135" t="str">
        <x:v>Pendiente</x:v>
      </x:c>
      <x:c r="C234" s="135" t="str">
        <x:v>Villa María / RP6</x:v>
      </x:c>
      <x:c r="D234" s="135" t="str">
        <x:v>Hernando / RP6-RP10</x:v>
      </x:c>
      <x:c r="E234" s="135" t="str">
        <x:v>Hernando</x:v>
      </x:c>
      <x:c r="F234" s="135" t="str">
        <x:v>B</x:v>
      </x:c>
      <x:c r="G234" s="135" t="n">
        <x:v>75</x:v>
      </x:c>
      <x:c r="H234" s="135" t="str">
        <x:v>Boero Maquinarias</x:v>
      </x:c>
      <x:c r="I234" s="135" t="str">
        <x:v>Venta de maquinaria agrícola e implementos</x:v>
      </x:c>
      <x:c r="J234" s="135" t="str">
        <x:v>Maquinaria agrícola</x:v>
      </x:c>
      <x:c r="K234" s="135" t="str">
        <x:v>0353 4960847 / +54 353 4187486</x:v>
      </x:c>
      <x:c r="L234" s="135" t="str">
        <x:v>Verificar</x:v>
      </x:c>
      <x:c r="M234" s="135" t="str">
        <x:v>logística / ventas / postventa</x:v>
      </x:c>
      <x:c r="N234" s="135" t="str">
        <x:v>Entrega y retiro de tractores, cosechadoras, pulverizadoras, sembradoras e implementos; movimientos por venta, service, canje, demostraciones o ferias.</x:v>
      </x:c>
      <x:c r="O234" s="135" t="str">
        <x:v>Plataforma 20 tn para maquinaria agrícola + malacate/hidrogrúa según maniobra + seguro de carga + trazabilidad GPS.</x:v>
      </x:c>
      <x:c r="P234" s="135" t="str">
        <x:v>Ofrecer transporte tercerizado para entregas a clientes y retiros de usados/service, especialmente en picos de campaña y operaciones fuera de zona.</x:v>
      </x:c>
      <x:c r="Q234" s="135" t="str">
        <x:v>Validar contacto y volumen de movimientos; si hay encaje, pedir un traslado concreto para cotizar.</x:v>
      </x:c>
      <x:c r="R234" s="135"/>
      <x:c r="S234" s="158" t="str">
        <x:f>IFERROR(T(INDEX('Prospectos Resumen'!$K$9:$K$295,MATCH(A234,'Prospectos Resumen'!$A$9:$A$295,0))),"")</x:f>
      </x:c>
      <x:c r="T234" s="135"/>
      <x:c r="U234" s="135"/>
      <x:c r="V234" s="135"/>
      <x:c r="W234" s="135"/>
      <x:c r="X234" s="135" t="str">
        <x:v>tel:+543534960847</x:v>
      </x:c>
      <x:c r="Y234" s="135" t="str">
        <x:v>tel:+543534960847</x:v>
      </x:c>
      <x:c r="Z234" s="135" t="str">
        <x:v>Confirmar teléfono, decisor y vigencia del punto de venta.</x:v>
      </x:c>
      <x:c r="AA234" s="135" t="str">
        <x:v>https://www.google.com/maps/search/?api=1&amp;query=Boero+Maquinarias+Hernando+C%C3%B3rdoba+Argentina</x:v>
      </x:c>
      <x:c r="AB234" s="135" t="str">
        <x:v>Red de concesionarios / ficha local</x:v>
      </x:c>
      <x:c r="AC234" s="135" t="str">
        <x:v>https://www.google.com/maps/search/?api=1&amp;query=Boero+Maquinarias+Hernando+C%C3%B3rdoba+Argentina</x:v>
      </x:c>
      <x:c r="AD234" s="135" t="str">
        <x:v>Empresa de maquinaria agrícola en Hernando; teléfonos de distintas fuentes requieren validación.</x:v>
      </x:c>
      <x:c r="AE234" s="135" t="str">
        <x:v>Media</x:v>
      </x:c>
      <x:c r="AF234" s="135" t="str">
        <x:v>Rastrillaje agro-maquinaria web 2026-09-07</x:v>
      </x:c>
      <x:c r="AG234" s="135" t="str">
        <x:v>plataforma 20 tn para maquinaria/implementos | hidrogrúa para maniobras | malacate | seguro de carga | trazabilidad GPS</x:v>
      </x:c>
      <x:c r="AH234" s="135" t="str">
        <x:v>fabricante/concesionario/servicio maquinaria agrícola</x:v>
      </x:c>
      <x:c r="AI234" s="135" t="str">
        <x:v>Sí</x:v>
      </x:c>
      <x:c r="AJ234" s="135" t="str">
        <x:v>Media</x:v>
      </x:c>
      <x:c r="AK234" s="135" t="str">
        <x:v>Perfil específico maquinaria agrícola: validar pesos/dimensiones, tipo de carga y disponibilidad de medios de izaje antes de cotizar.</x:v>
      </x:c>
      <x:c r="AL234" s="135" t="str">
        <x:v>Rastrillaje agro-maquinaria 2026-09-07</x:v>
      </x:c>
      <x:c r="AM234" s="135" t="str">
        <x:v>Alta nueva luego de barrido específico de fabricantes, implementos, tractores, concesionarios y agropartes; cruzada contra la base maestra para evitar duplicados.</x:v>
      </x:c>
    </x:row>
    <x:row r="235">
      <x:c r="A235" s="136" t="str">
        <x:v>HER-011</x:v>
      </x:c>
      <x:c r="B235" s="136" t="str">
        <x:v>Pendiente</x:v>
      </x:c>
      <x:c r="C235" s="136" t="str">
        <x:v>Villa María / RP6</x:v>
      </x:c>
      <x:c r="D235" s="136" t="str">
        <x:v>Hernando / RP6-RP10</x:v>
      </x:c>
      <x:c r="E235" s="136" t="str">
        <x:v>Hernando</x:v>
      </x:c>
      <x:c r="F235" s="136" t="str">
        <x:v>B</x:v>
      </x:c>
      <x:c r="G235" s="136" t="n">
        <x:v>75</x:v>
      </x:c>
      <x:c r="H235" s="136" t="str">
        <x:v>Cismondi Construcciones</x:v>
      </x:c>
      <x:c r="I235" s="136" t="str">
        <x:v>Construcción</x:v>
      </x:c>
      <x:c r="J235" s="136" t="str">
        <x:v>Construcción y obra vial</x:v>
      </x:c>
      <x:c r="K235" s="136" t="str">
        <x:v>03536 579486</x:v>
      </x:c>
      <x:c r="L235" s="136" t="str">
        <x:v>OK</x:v>
      </x:c>
      <x:c r="M235" s="136" t="str">
        <x:v>jefe de obra / operaciones</x:v>
      </x:c>
      <x:c r="N235" s="136" t="str">
        <x:v>Traslado de maquinaria, módulos de obrador, estructuras y equipos entre depósitos y frentes de obra.</x:v>
      </x:c>
      <x:c r="O235" s="136" t="str">
        <x:v>Transporte especial de equipos/obrador + plataforma 20 tn + apoyo de hidrogrúa según maniobra + seguro/GPS.</x:v>
      </x:c>
      <x:c r="P235" s="136" t="str">
        <x:v>Constructora local con teléfono público; validar obras activas y movimientos entre frentes.</x:v>
      </x:c>
      <x:c r="Q235" s="136" t="str">
        <x:v>Llamar para validar necesidad y frecuencia; visitar si confirma movimientos de equipos/cargas.</x:v>
      </x:c>
      <x:c r="R235" s="136"/>
      <x:c r="S235" s="158" t="str">
        <x:f>IFERROR(T(INDEX('Prospectos Resumen'!$K$9:$K$295,MATCH(A235,'Prospectos Resumen'!$A$9:$A$295,0))),"")</x:f>
      </x:c>
      <x:c r="T235" s="136"/>
      <x:c r="U235" s="136"/>
      <x:c r="V235" s="136"/>
      <x:c r="W235" s="136"/>
      <x:c r="X235" s="136" t="str">
        <x:v>tel:+543536579486</x:v>
      </x:c>
      <x:c r="Y235" s="136" t="str">
        <x:v>tel:+543536579486</x:v>
      </x:c>
      <x:c r="Z235" s="136" t="str">
        <x:v>Confirmar decisor, frecuencia de movimientos y vigencia del contacto antes de cotizar.</x:v>
      </x:c>
      <x:c r="AA235" s="136" t="str">
        <x:v>https://www.google.com/maps/search/?api=1&amp;query=Cismondi+Construcciones+Hernando+C%C3%B3rdoba+Argentina</x:v>
      </x:c>
      <x:c r="AB235" s="136" t="str">
        <x:v>Google Maps / ficha pública</x:v>
      </x:c>
      <x:c r="AC235" s="136" t="str">
        <x:v>https://www.google.com/maps/search/?api=1&amp;query=Cismondi+Construcciones+Hernando+C%C3%B3rdoba+Argentina</x:v>
      </x:c>
      <x:c r="AD235" s="136" t="str">
        <x:v>Constructora local con teléfono público; validar obras activas y movimientos entre frentes.</x:v>
      </x:c>
      <x:c r="AE235" s="136" t="str">
        <x:v>Alta</x:v>
      </x:c>
      <x:c r="AF235" s="136" t="str">
        <x:v>Enriquecimiento web 2026-09-07</x:v>
      </x:c>
      <x:c r="AG235" s="136" t="str">
        <x:v>transporte de áridos/materiales | hidrogrúa para carga/descarga | percha para pallets/bolsones</x:v>
      </x:c>
      <x:c r="AH235" s="136" t="str">
        <x:v>áridos/construcción/premoldeados</x:v>
      </x:c>
      <x:c r="AI235" s="136" t="str">
        <x:v>Sí</x:v>
      </x:c>
      <x:c r="AJ235" s="136" t="str">
        <x:v>Alta</x:v>
      </x:c>
      <x:c r="AK235" s="136"/>
      <x:c r="AL235" s="136" t="str">
        <x:v>GPT adjunto</x:v>
      </x:c>
      <x:c r="AM235" s="136" t="str">
        <x:v>ID fuente: HER-010</x:v>
      </x:c>
    </x:row>
    <x:row r="236">
      <x:c r="A236" s="135" t="str">
        <x:v>HER-012</x:v>
      </x:c>
      <x:c r="B236" s="135" t="str">
        <x:v>Pendiente</x:v>
      </x:c>
      <x:c r="C236" s="135" t="str">
        <x:v>Villa María / RP6</x:v>
      </x:c>
      <x:c r="D236" s="135" t="str">
        <x:v>Hernando</x:v>
      </x:c>
      <x:c r="E236" s="135" t="str">
        <x:v>Hernando</x:v>
      </x:c>
      <x:c r="F236" s="135" t="str">
        <x:v>B</x:v>
      </x:c>
      <x:c r="G236" s="135" t="n">
        <x:v>75</x:v>
      </x:c>
      <x:c r="H236" s="135" t="str">
        <x:v>Industria Metal-Her</x:v>
      </x:c>
      <x:c r="I236" s="135" t="str">
        <x:v>Implementos agrícolas / tolvas</x:v>
      </x:c>
      <x:c r="J236" s="135" t="str">
        <x:v>Maquinaria agrícola</x:v>
      </x:c>
      <x:c r="K236" s="135" t="str">
        <x:v>0353 156568385 / 0353 4846509</x:v>
      </x:c>
      <x:c r="L236" s="135" t="str">
        <x:v>OK</x:v>
      </x:c>
      <x:c r="M236" s="135" t="str">
        <x:v>responsable de acopio / mantenimiento</x:v>
      </x:c>
      <x:c r="N236" s="135" t="str">
        <x:v>Movimientos especiales de mantenimiento, repuestos pesados y mudanzas internas de equipos.</x:v>
      </x:c>
      <x:c r="O236" s="135" t="str">
        <x:v>Movimiento de equipos de planta, silos, balanzas, repuestos y cargas especiales para acopios/agroindustria.</x:v>
      </x:c>
      <x:c r="P236" s="135" t="str">
        <x:v>Muy buen encaje para entregas a clientes y ferias.</x:v>
      </x:c>
      <x:c r="Q236" s="135" t="str">
        <x:v>Visita o llamada de validación; pedir próximo traslado concreto.</x:v>
      </x:c>
      <x:c r="R236" s="135"/>
      <x:c r="S236" s="158" t="str">
        <x:f>IFERROR(T(INDEX('Prospectos Resumen'!$K$9:$K$295,MATCH(A236,'Prospectos Resumen'!$A$9:$A$295,0))),"")</x:f>
      </x:c>
      <x:c r="T236" s="135"/>
      <x:c r="U236" s="135"/>
      <x:c r="V236" s="135"/>
      <x:c r="W236" s="135"/>
      <x:c r="X236" s="135" t="str">
        <x:v>tel:+5493536568385</x:v>
      </x:c>
      <x:c r="Y236" s="135" t="str">
        <x:v>tel:+5493536568385 | tel:+543534846509</x:v>
      </x:c>
      <x:c r="Z236" s="135" t="str">
        <x:v>Validar contacto decisor y necesidad inmediata.</x:v>
      </x:c>
      <x:c r="AA236" s="135" t="str">
        <x:v>https://www.google.com/maps/search/?api=1&amp;query=-32.424000,-63.737000</x:v>
      </x:c>
      <x:c r="AB236" s="135" t="str">
        <x:v>Facebook Industria Metal-Her</x:v>
      </x:c>
      <x:c r="AC236" s="135"/>
      <x:c r="AD236" s="135" t="str">
        <x:v>Registro curado en documento de dirección PRESOL 2026-09.</x:v>
      </x:c>
      <x:c r="AE236" s="135" t="str">
        <x:v>Alta</x:v>
      </x:c>
      <x:c r="AF236" s="135" t="str">
        <x:v>Base curada PDF dirección</x:v>
      </x:c>
      <x:c r="AG236" s="135" t="str">
        <x:v>plataforma 20 tn para maquinaria/piezas | hidrogrúa para maniobras | percha para pallets | percha para pallets de insumos | hidrogrúa para equipos/mantenimiento | barquilla para trabajos en altura</x:v>
      </x:c>
      <x:c r="AH236" s="135" t="str">
        <x:v>fabricante/servicio maquinaria agrícola</x:v>
      </x:c>
      <x:c r="AI236" s="135" t="str">
        <x:v>Sí</x:v>
      </x:c>
      <x:c r="AJ236" s="135" t="str">
        <x:v>Alta</x:v>
      </x:c>
      <x:c r="AK236" s="135"/>
      <x:c r="AL236" s="135" t="str">
        <x:v>GPT adjunto + Hermes</x:v>
      </x:c>
      <x:c r="AM236" s="135" t="str">
        <x:v>Fusionado con base Hermes para completar teléfonos/fuentes/servicios. | ID fuente: HER-011</x:v>
      </x:c>
    </x:row>
    <x:row r="237">
      <x:c r="A237" s="136" t="str">
        <x:v>HER-014</x:v>
      </x:c>
      <x:c r="B237" s="136" t="str">
        <x:v>Pendiente</x:v>
      </x:c>
      <x:c r="C237" s="136" t="str">
        <x:v>Villa María / RP6</x:v>
      </x:c>
      <x:c r="D237" s="136" t="str">
        <x:v>Hernando / RP6-RP10</x:v>
      </x:c>
      <x:c r="E237" s="136" t="str">
        <x:v>Hernando</x:v>
      </x:c>
      <x:c r="F237" s="136" t="str">
        <x:v>B</x:v>
      </x:c>
      <x:c r="G237" s="136" t="n">
        <x:v>75</x:v>
      </x:c>
      <x:c r="H237" s="136" t="str">
        <x:v>Tornería y Soldadura Carlos Gastaldi</x:v>
      </x:c>
      <x:c r="I237" s="136" t="str">
        <x:v>Estructuras metálicas / tornería y soldadura</x:v>
      </x:c>
      <x:c r="J237" s="136" t="str">
        <x:v>Metalúrgica y fabricación</x:v>
      </x:c>
      <x:c r="K237" s="136" t="str">
        <x:v>0353 4298156</x:v>
      </x:c>
      <x:c r="L237" s="136" t="str">
        <x:v>OK</x:v>
      </x:c>
      <x:c r="M237" s="136" t="str">
        <x:v>despacho / producción</x:v>
      </x:c>
      <x:c r="N237" s="136" t="str">
        <x:v>Despacho de estructuras, piezas, equipos y conjuntos metalmecánicos de gran porte hacia obras o clientes.</x:v>
      </x:c>
      <x:c r="O237" s="136" t="str">
        <x:v>Plataforma 20 tn para piezas/estructuras + seguro de carga + trazabilidad GPS + apoyo de hidrogrúa según maniobra.</x:v>
      </x:c>
      <x:c r="P237" s="136" t="str">
        <x:v>Fabricante local de estructuras metálicas; potencial despacho de piezas y trabajos de obra.</x:v>
      </x:c>
      <x:c r="Q237" s="136" t="str">
        <x:v>Llamar para validar necesidad y frecuencia; visitar si confirma movimientos de equipos/cargas.</x:v>
      </x:c>
      <x:c r="R237" s="136"/>
      <x:c r="S237" s="158" t="str">
        <x:f>IFERROR(T(INDEX('Prospectos Resumen'!$K$9:$K$295,MATCH(A237,'Prospectos Resumen'!$A$9:$A$295,0))),"")</x:f>
      </x:c>
      <x:c r="T237" s="136"/>
      <x:c r="U237" s="136"/>
      <x:c r="V237" s="136"/>
      <x:c r="W237" s="136"/>
      <x:c r="X237" s="136" t="str">
        <x:v>tel:+543534298156</x:v>
      </x:c>
      <x:c r="Y237" s="136" t="str">
        <x:v>tel:+543534298156</x:v>
      </x:c>
      <x:c r="Z237" s="136" t="str">
        <x:v>Confirmar decisor, frecuencia de movimientos y vigencia del contacto antes de cotizar.</x:v>
      </x:c>
      <x:c r="AA237" s="136" t="str">
        <x:v>https://www.google.com/maps/search/?api=1&amp;query=Torner%C3%ADa+y+Soldadura+Carlos+Gastaldi+Hernando+C%C3%B3rdoba+Argentina</x:v>
      </x:c>
      <x:c r="AB237" s="136" t="str">
        <x:v>Google Maps / ficha pública</x:v>
      </x:c>
      <x:c r="AC237" s="136" t="str">
        <x:v>https://www.google.com/maps/search/?api=1&amp;query=Torneria+y+Soldadura+Carlos+Gastaldi+Hernando+C%C3%B3rdoba+Argentina</x:v>
      </x:c>
      <x:c r="AD237" s="136" t="str">
        <x:v>Fabricante local de estructuras metálicas; potencial despacho de piezas y trabajos de obra.</x:v>
      </x:c>
      <x:c r="AE237" s="136" t="str">
        <x:v>Alta</x:v>
      </x:c>
      <x:c r="AF237" s="136" t="str">
        <x:v>Enriquecimiento web 2026-09-07</x:v>
      </x:c>
      <x:c r="AG237" s="136" t="str">
        <x:v>transporte de áridos/materiales | hidrogrúa para carga/descarga | percha para pallets/bolsones | plataforma 20 tn para maquinaria/piezas | hidrogrúa para maniobras | percha para pallets</x:v>
      </x:c>
      <x:c r="AH237" s="136" t="str">
        <x:v>otro rubro factible</x:v>
      </x:c>
      <x:c r="AI237" s="136" t="str">
        <x:v>Sí</x:v>
      </x:c>
      <x:c r="AJ237" s="136" t="str">
        <x:v>Alta</x:v>
      </x:c>
      <x:c r="AK237" s="136"/>
      <x:c r="AL237" s="136" t="str">
        <x:v>GPT adjunto</x:v>
      </x:c>
      <x:c r="AM237" s="136" t="str">
        <x:v>ID fuente: HER-013</x:v>
      </x:c>
    </x:row>
    <x:row r="238">
      <x:c r="A238" s="135" t="str">
        <x:v>HER-013</x:v>
      </x:c>
      <x:c r="B238" s="135" t="str">
        <x:v>Pendiente</x:v>
      </x:c>
      <x:c r="C238" s="135" t="str">
        <x:v>Villa María / RP6</x:v>
      </x:c>
      <x:c r="D238" s="135" t="str">
        <x:v>Hernando / RP6-RP10</x:v>
      </x:c>
      <x:c r="E238" s="135" t="str">
        <x:v>Hernando</x:v>
      </x:c>
      <x:c r="F238" s="135" t="str">
        <x:v>B</x:v>
      </x:c>
      <x:c r="G238" s="135" t="n">
        <x:v>75</x:v>
      </x:c>
      <x:c r="H238" s="135" t="str">
        <x:v>TOTI CONTI - Máquinas Agrícolas</x:v>
      </x:c>
      <x:c r="I238" s="135" t="str">
        <x:v>Maquinaria agrícola</x:v>
      </x:c>
      <x:c r="J238" s="135" t="str">
        <x:v>Maquinaria agrícola</x:v>
      </x:c>
      <x:c r="K238" s="135" t="str">
        <x:v>0353 4846557</x:v>
      </x:c>
      <x:c r="L238" s="135" t="str">
        <x:v>OK</x:v>
      </x:c>
      <x:c r="M238" s="135" t="str">
        <x:v>logística / entregas / postventa</x:v>
      </x:c>
      <x:c r="N238" s="135" t="str">
        <x:v>Traslado de maquinaria agrícola o vial entre sucursal, cliente, taller, campo y eventos.</x:v>
      </x:c>
      <x:c r="O238" s="135" t="str">
        <x:v>Traslado de maquinaria en plataforma 20 tn, coordinación de retiro/entrega y apoyo de hidrogrúa si corresponde.</x:v>
      </x:c>
      <x:c r="P238" s="135" t="str">
        <x:v>Proveedor de equipos agrícolas en Hernando con teléfono público.</x:v>
      </x:c>
      <x:c r="Q238" s="135" t="str">
        <x:v>Llamar para validar necesidad y frecuencia; visitar si confirma movimientos de equipos/cargas.</x:v>
      </x:c>
      <x:c r="R238" s="135"/>
      <x:c r="S238" s="158" t="str">
        <x:f>IFERROR(T(INDEX('Prospectos Resumen'!$K$9:$K$295,MATCH(A238,'Prospectos Resumen'!$A$9:$A$295,0))),"")</x:f>
      </x:c>
      <x:c r="T238" s="135"/>
      <x:c r="U238" s="135"/>
      <x:c r="V238" s="135"/>
      <x:c r="W238" s="135"/>
      <x:c r="X238" s="135" t="str">
        <x:v>tel:+543534846557</x:v>
      </x:c>
      <x:c r="Y238" s="135" t="str">
        <x:v>tel:+543534846557</x:v>
      </x:c>
      <x:c r="Z238" s="135" t="str">
        <x:v>Confirmar decisor, frecuencia de movimientos y vigencia del contacto antes de cotizar.</x:v>
      </x:c>
      <x:c r="AA238" s="135" t="str">
        <x:v>https://www.google.com/maps/search/?api=1&amp;query=TOTI+CONTI+-+M%C3%A1quinas+Agr%C3%ADcolas+Hernando+C%C3%B3rdoba+Argentina</x:v>
      </x:c>
      <x:c r="AB238" s="135" t="str">
        <x:v>Google Maps / ficha pública</x:v>
      </x:c>
      <x:c r="AC238" s="135" t="str">
        <x:v>https://www.google.com/maps/search/?api=1&amp;query=TOTI+CONTI+Maquinas+Agricolas+Hernando+C%C3%B3rdoba+Argentina</x:v>
      </x:c>
      <x:c r="AD238" s="135" t="str">
        <x:v>Proveedor de equipos agrícolas en Hernando con teléfono público.</x:v>
      </x:c>
      <x:c r="AE238" s="135" t="str">
        <x:v>Alta</x:v>
      </x:c>
      <x:c r="AF238" s="135" t="str">
        <x:v>Enriquecimiento web 2026-09-07</x:v>
      </x:c>
      <x:c r="AG238" s="135" t="str">
        <x:v>plataforma 20 tn para maquinaria/piezas | hidrogrúa para maniobras | percha para pallets</x:v>
      </x:c>
      <x:c r="AH238" s="135" t="str">
        <x:v>fabricante/servicio maquinaria agrícola</x:v>
      </x:c>
      <x:c r="AI238" s="135" t="str">
        <x:v>Sí</x:v>
      </x:c>
      <x:c r="AJ238" s="135" t="str">
        <x:v>Alta</x:v>
      </x:c>
      <x:c r="AK238" s="135"/>
      <x:c r="AL238" s="135" t="str">
        <x:v>GPT adjunto</x:v>
      </x:c>
      <x:c r="AM238" s="135" t="str">
        <x:v>ID fuente: HER-014</x:v>
      </x:c>
    </x:row>
    <x:row r="239">
      <x:c r="A239" s="136" t="str">
        <x:v>HER-015</x:v>
      </x:c>
      <x:c r="B239" s="136" t="str">
        <x:v>Pendiente</x:v>
      </x:c>
      <x:c r="C239" s="136" t="str">
        <x:v>Villa María / RP6</x:v>
      </x:c>
      <x:c r="D239" s="136" t="str">
        <x:v>Hernando</x:v>
      </x:c>
      <x:c r="E239" s="136" t="str">
        <x:v>Hernando</x:v>
      </x:c>
      <x:c r="F239" s="136" t="str">
        <x:v>C</x:v>
      </x:c>
      <x:c r="G239" s="136" t="n">
        <x:v>40</x:v>
      </x:c>
      <x:c r="H239" s="136" t="str">
        <x:v>Her.Agro Maquinarias</x:v>
      </x:c>
      <x:c r="I239" s="136" t="str">
        <x:v>Maquinaria agrícola nueva/usada</x:v>
      </x:c>
      <x:c r="J239" s="136" t="str">
        <x:v>Maquinaria agrícola</x:v>
      </x:c>
      <x:c r="K239" s="136" t="str">
        <x:v>3535 690587 (a confirmar)</x:v>
      </x:c>
      <x:c r="L239" s="136" t="str">
        <x:v>Verificar</x:v>
      </x:c>
      <x:c r="M239" s="136" t="str">
        <x:v>responsable de acopio / mantenimiento</x:v>
      </x:c>
      <x:c r="N239" s="136" t="str">
        <x:v>Movimientos especiales de mantenimiento, repuestos pesados y mudanzas internas de equipos.</x:v>
      </x:c>
      <x:c r="O239" s="136" t="str">
        <x:v>Movimiento de equipos de planta, silos, balanzas, repuestos y cargas especiales para acopios/agroindustria.</x:v>
      </x:c>
      <x:c r="P239" s="136" t="str">
        <x:v>Entrar con cotización para próximos movimientos.</x:v>
      </x:c>
      <x:c r="Q239" s="136" t="str">
        <x:v>Visita o llamada de validación; pedir próximo traslado concreto.</x:v>
      </x:c>
      <x:c r="R239" s="136"/>
      <x:c r="S239" s="158" t="str">
        <x:f>IFERROR(T(INDEX('Prospectos Resumen'!$K$9:$K$295,MATCH(A239,'Prospectos Resumen'!$A$9:$A$295,0))),"")</x:f>
      </x:c>
      <x:c r="T239" s="136"/>
      <x:c r="U239" s="136"/>
      <x:c r="V239" s="136"/>
      <x:c r="W239" s="136"/>
      <x:c r="X239" s="136" t="str">
        <x:v>tel:+543535690587</x:v>
      </x:c>
      <x:c r="Y239" s="136" t="str">
        <x:v>tel:+543535690587</x:v>
      </x:c>
      <x:c r="Z239" s="136" t="str">
        <x:v>Validar contacto decisor y necesidad inmediata.</x:v>
      </x:c>
      <x:c r="AA239" s="136" t="str">
        <x:v>https://www.google.com/maps/search/?api=1&amp;query=-32.422000,-63.731000</x:v>
      </x:c>
      <x:c r="AB239" s="136" t="str">
        <x:v>Facebook Her.Agro</x:v>
      </x:c>
      <x:c r="AC239" s="136"/>
      <x:c r="AD239" s="136" t="str">
        <x:v>Registro curado en documento de dirección PRESOL 2026-09.</x:v>
      </x:c>
      <x:c r="AE239" s="136" t="str">
        <x:v>Media</x:v>
      </x:c>
      <x:c r="AF239" s="136" t="str">
        <x:v>Base curada PDF dirección</x:v>
      </x:c>
      <x:c r="AG239" s="136" t="str">
        <x:v>plataforma 20 tn para maquinaria/piezas | hidrogrúa para maniobras | percha para pallets | percha para pallets de insumos | hidrogrúa para equipos/mantenimiento | barquilla para trabajos en altura</x:v>
      </x:c>
      <x:c r="AH239" s="136" t="str">
        <x:v>fabricante/servicio maquinaria agrícola</x:v>
      </x:c>
      <x:c r="AI239" s="136" t="str">
        <x:v>Sí</x:v>
      </x:c>
      <x:c r="AJ239" s="136" t="str">
        <x:v>Baja / visitar solo por cercanía</x:v>
      </x:c>
      <x:c r="AK239" s="136"/>
      <x:c r="AL239" s="136" t="str">
        <x:v>GPT adjunto + Hermes</x:v>
      </x:c>
      <x:c r="AM239" s="136" t="str">
        <x:v>Fusionado con base Hermes para completar teléfonos/fuentes/servicios.</x:v>
      </x:c>
    </x:row>
    <x:row r="240">
      <x:c r="A240" s="135" t="str">
        <x:v>HER-016</x:v>
      </x:c>
      <x:c r="B240" s="135" t="str">
        <x:v>Pendiente</x:v>
      </x:c>
      <x:c r="C240" s="135" t="str">
        <x:v>Villa María / RP6</x:v>
      </x:c>
      <x:c r="D240" s="135" t="str">
        <x:v>Hernando</x:v>
      </x:c>
      <x:c r="E240" s="135" t="str">
        <x:v>Hernando</x:v>
      </x:c>
      <x:c r="F240" s="135" t="str">
        <x:v>C</x:v>
      </x:c>
      <x:c r="G240" s="135" t="n">
        <x:v>30</x:v>
      </x:c>
      <x:c r="H240" s="135" t="str">
        <x:v>AgroServ S.R.L.</x:v>
      </x:c>
      <x:c r="I240" s="135" t="str">
        <x:v>Concesionario maquinaria agrícola</x:v>
      </x:c>
      <x:c r="J240" s="135" t="str">
        <x:v>Maquinaria agrícola</x:v>
      </x:c>
      <x:c r="K240" s="135" t="str">
        <x:v>A relevar</x:v>
      </x:c>
      <x:c r="L240" s="135" t="str">
        <x:v>A relevar</x:v>
      </x:c>
      <x:c r="M240" s="135" t="str">
        <x:v>responsable de acopio / mantenimiento</x:v>
      </x:c>
      <x:c r="N240" s="135" t="str">
        <x:v>Movimientos especiales de mantenimiento, repuestos pesados y mudanzas internas de equipos.</x:v>
      </x:c>
      <x:c r="O240" s="135" t="str">
        <x:v>Movimiento de equipos de planta, silos, balanzas, repuestos y cargas especiales para acopios/agroindustria.</x:v>
      </x:c>
      <x:c r="P240" s="135" t="str">
        <x:v>Concesionario Super Walter; relevar contacto directo.</x:v>
      </x:c>
      <x:c r="Q240" s="135" t="str">
        <x:v>Visita o llamada de validación; pedir próximo traslado concreto.</x:v>
      </x:c>
      <x:c r="R240" s="135"/>
      <x:c r="S240" s="158" t="str">
        <x:f>IFERROR(T(INDEX('Prospectos Resumen'!$K$9:$K$295,MATCH(A240,'Prospectos Resumen'!$A$9:$A$295,0))),"")</x:f>
      </x:c>
      <x:c r="T240" s="135"/>
      <x:c r="U240" s="135"/>
      <x:c r="V240" s="135"/>
      <x:c r="W240" s="135"/>
      <x:c r="X240" s="135"/>
      <x:c r="Y240" s="135"/>
      <x:c r="Z240" s="135" t="str">
        <x:v>Validar contacto decisor y necesidad inmediata.</x:v>
      </x:c>
      <x:c r="AA240" s="135" t="str">
        <x:v>https://www.google.com/maps/search/?api=1&amp;query=-32.429500,-63.734500</x:v>
      </x:c>
      <x:c r="AB240" s="135" t="str">
        <x:v>Instagram AgroServ</x:v>
      </x:c>
      <x:c r="AC240" s="135"/>
      <x:c r="AD240" s="135" t="str">
        <x:v>Registro curado en documento de dirección PRESOL 2026-09.</x:v>
      </x:c>
      <x:c r="AE240" s="135" t="str">
        <x:v>Media</x:v>
      </x:c>
      <x:c r="AF240" s="135" t="str">
        <x:v>Base curada PDF dirección</x:v>
      </x:c>
      <x:c r="AG240" s="135" t="str">
        <x:v>plataforma 20 tn para maquinaria/piezas | hidrogrúa para maniobras | percha para pallets | percha para pallets de insumos | hidrogrúa para equipos/mantenimiento | barquilla para trabajos en altura</x:v>
      </x:c>
      <x:c r="AH240" s="135" t="str">
        <x:v>fabricante/servicio maquinaria agrícola</x:v>
      </x:c>
      <x:c r="AI240" s="135" t="str">
        <x:v>Sí</x:v>
      </x:c>
      <x:c r="AJ240" s="135" t="str">
        <x:v>Baja / visitar solo por cercanía</x:v>
      </x:c>
      <x:c r="AK240" s="135"/>
      <x:c r="AL240" s="135" t="str">
        <x:v>GPT adjunto + Hermes</x:v>
      </x:c>
      <x:c r="AM240" s="135" t="str">
        <x:v>Fusionado con base Hermes para completar teléfonos/fuentes/servicios.</x:v>
      </x:c>
    </x:row>
    <x:row r="241">
      <x:c r="A241" s="7" t="str">
        <x:v>TP-001</x:v>
      </x:c>
      <x:c r="B241" s="7" t="str">
        <x:v>Pendiente</x:v>
      </x:c>
      <x:c r="C241" s="7" t="str">
        <x:v>Villa María / RP6</x:v>
      </x:c>
      <x:c r="D241" s="7" t="str">
        <x:v>Tío Pujio</x:v>
      </x:c>
      <x:c r="E241" s="7" t="str">
        <x:v>Tío Pujio</x:v>
      </x:c>
      <x:c r="F241" s="7" t="str">
        <x:v>A</x:v>
      </x:c>
      <x:c r="G241" s="7" t="n">
        <x:v>100</x:v>
      </x:c>
      <x:c r="H241" s="7" t="str">
        <x:v>ACA — Centro de Desarrollo Comercial Tío Pujio</x:v>
      </x:c>
      <x:c r="I241" s="7" t="str">
        <x:v>Acopio gigante / agro</x:v>
      </x:c>
      <x:c r="J241" s="7" t="str">
        <x:v>Agro, acopio y cooperativas</x:v>
      </x:c>
      <x:c r="K241" s="7" t="str">
        <x:v>353 5622710 / 0353 4860518 / 0353 4860519</x:v>
      </x:c>
      <x:c r="L241" s="7" t="str">
        <x:v>OK</x:v>
      </x:c>
      <x:c r="M241" s="7" t="str">
        <x:v>responsable de acopio / mantenimiento</x:v>
      </x:c>
      <x:c r="N241" s="7" t="str">
        <x:v>Traslado de equipos de planta, silos, repuestos pesados, balanzas, implementos y cargas especiales.</x:v>
      </x:c>
      <x:c r="O241" s="7" t="str">
        <x:v>Movimiento de equipos de planta, silos, balanzas, repuestos y cargas especiales para acopios/agroindustria.</x:v>
      </x:c>
      <x:c r="P241" s="7" t="str">
        <x:v>Pedir Mario Peppino / responsable logística; no ir sin ficha.</x:v>
      </x:c>
      <x:c r="Q241" s="7" t="str">
        <x:v>Visita o llamada de validación; pedir próximo traslado concreto.</x:v>
      </x:c>
      <x:c r="R241" s="7"/>
      <x:c r="S241" s="160" t="str">
        <x:f>IFERROR(T(INDEX('Prospectos Resumen'!$K$9:$K$295,MATCH(A241,'Prospectos Resumen'!$A$9:$A$295,0))),"")</x:f>
      </x:c>
      <x:c r="T241" s="7"/>
      <x:c r="U241" s="7"/>
      <x:c r="V241" s="7"/>
      <x:c r="W241" s="7"/>
      <x:c r="X241" s="7" t="str">
        <x:v>tel:+543535622710</x:v>
      </x:c>
      <x:c r="Y241" s="7" t="str">
        <x:v>tel:+543535622710 | tel:+543534860518 | tel:+543534860519</x:v>
      </x:c>
      <x:c r="Z241" s="7" t="str">
        <x:v>Validar contacto decisor y necesidad inmediata.</x:v>
      </x:c>
      <x:c r="AA241" s="7" t="str">
        <x:v>https://www.google.com/maps/search/?api=1&amp;query=-32.288000,-63.356000</x:v>
      </x:c>
      <x:c r="AB241" s="7" t="str">
        <x:v>Instagram CDC / cooptiopujio.com</x:v>
      </x:c>
      <x:c r="AC241" s="7"/>
      <x:c r="AD241" s="7" t="str">
        <x:v>Registro curado en documento de dirección PRESOL 2026-09.</x:v>
      </x:c>
      <x:c r="AE241" s="7" t="str">
        <x:v>Alta</x:v>
      </x:c>
      <x:c r="AF241" s="7" t="str">
        <x:v>Base curada PDF dirección</x:v>
      </x:c>
      <x:c r="AG241" s="7" t="str">
        <x:v>plataforma 20 tn para maquinaria/piezas | hidrogrúa para maniobras | percha para pallets | percha para pallets de insumos | hidrogrúa para equipos/mantenimiento | barquilla para trabajos en altura</x:v>
      </x:c>
      <x:c r="AH241" s="7" t="str">
        <x:v>cooperativa/acopio</x:v>
      </x:c>
      <x:c r="AI241" s="7"/>
      <x:c r="AJ241" s="7" t="str">
        <x:v>Muy alta</x:v>
      </x:c>
      <x:c r="AK241" s="7" t="str">
        <x:v>Barquilla: validar seguridad, seguro, permiso de trabajo y alcance de maniobra antes de cotizar. Percha pallets: útil para insumos, bolsones, repuestos y materiales palletizados.</x:v>
      </x:c>
      <x:c r="AL241" s="7" t="str">
        <x:v>GPT adjunto + Hermes</x:v>
      </x:c>
      <x:c r="AM241" s="7" t="str">
        <x:v>Fusionado con base Hermes para completar teléfonos/fuentes/servicios.</x:v>
      </x:c>
    </x:row>
    <x:row r="242">
      <x:c r="A242" s="136" t="str">
        <x:v>TP-002</x:v>
      </x:c>
      <x:c r="B242" s="136" t="str">
        <x:v>Pendiente</x:v>
      </x:c>
      <x:c r="C242" s="136" t="str">
        <x:v>Villa María / RP6</x:v>
      </x:c>
      <x:c r="D242" s="136" t="str">
        <x:v>Tío Pujio</x:v>
      </x:c>
      <x:c r="E242" s="136" t="str">
        <x:v>Tío Pujio</x:v>
      </x:c>
      <x:c r="F242" s="136" t="str">
        <x:v>B</x:v>
      </x:c>
      <x:c r="G242" s="136" t="n">
        <x:v>75</x:v>
      </x:c>
      <x:c r="H242" s="136" t="str">
        <x:v>Metalúrgica Jor-Ba / Grupo Tío Pujio</x:v>
      </x:c>
      <x:c r="I242" s="136" t="str">
        <x:v>Metalúrgica / extrusado soja</x:v>
      </x:c>
      <x:c r="J242" s="136" t="str">
        <x:v>Metalúrgica y fabricación</x:v>
      </x:c>
      <x:c r="K242" s="136" t="str">
        <x:v>03573 402941</x:v>
      </x:c>
      <x:c r="L242" s="136" t="str">
        <x:v>OK</x:v>
      </x:c>
      <x:c r="M242" s="136" t="str">
        <x:v>responsable de acopio / mantenimiento</x:v>
      </x:c>
      <x:c r="N242" s="136" t="str">
        <x:v>Despacho seguro de estructuras, carrozados, tanques, piezas industriales y equipos sobre plataforma.</x:v>
      </x:c>
      <x:c r="O242" s="136" t="str">
        <x:v>Movimiento de equipos de planta, silos, balanzas, repuestos y cargas especiales para acopios/agroindustria.</x:v>
      </x:c>
      <x:c r="P242" s="136" t="str">
        <x:v>Validar si operación está en Tío Pujio o Villa del Rosario.</x:v>
      </x:c>
      <x:c r="Q242" s="136" t="str">
        <x:v>Visita o llamada de validación; pedir próximo traslado concreto.</x:v>
      </x:c>
      <x:c r="R242" s="136"/>
      <x:c r="S242" s="158" t="str">
        <x:f>IFERROR(T(INDEX('Prospectos Resumen'!$K$9:$K$295,MATCH(A242,'Prospectos Resumen'!$A$9:$A$295,0))),"")</x:f>
      </x:c>
      <x:c r="T242" s="136"/>
      <x:c r="U242" s="136"/>
      <x:c r="V242" s="136"/>
      <x:c r="W242" s="136"/>
      <x:c r="X242" s="136" t="str">
        <x:v>tel:+543573402941</x:v>
      </x:c>
      <x:c r="Y242" s="136" t="str">
        <x:v>tel:+543573402941</x:v>
      </x:c>
      <x:c r="Z242" s="136" t="str">
        <x:v>Validar contacto decisor y necesidad inmediata.</x:v>
      </x:c>
      <x:c r="AA242" s="136" t="str">
        <x:v>https://www.google.com/maps/search/?api=1&amp;query=-32.290000,-63.352000</x:v>
      </x:c>
      <x:c r="AB242" s="136" t="str">
        <x:v>Facebook Metalúrgica Jor-Ba</x:v>
      </x:c>
      <x:c r="AC242" s="136"/>
      <x:c r="AD242" s="136" t="str">
        <x:v>Registro curado en documento de dirección PRESOL 2026-09.</x:v>
      </x:c>
      <x:c r="AE242" s="136" t="str">
        <x:v>Alta</x:v>
      </x:c>
      <x:c r="AF242" s="136" t="str">
        <x:v>Base curada PDF dirección</x:v>
      </x:c>
      <x:c r="AG242" s="136" t="str">
        <x:v>plataforma 20 tn para maquinaria/piezas | hidrogrúa para maniobras | percha para pallets | percha para pallets de insumos | hidrogrúa para equipos/mantenimiento | barquilla para trabajos en altura</x:v>
      </x:c>
      <x:c r="AH242" s="136" t="str">
        <x:v>otro rubro factible</x:v>
      </x:c>
      <x:c r="AI242" s="136"/>
      <x:c r="AJ242" s="136" t="str">
        <x:v>Alta</x:v>
      </x:c>
      <x:c r="AK242" s="136"/>
      <x:c r="AL242" s="136" t="str">
        <x:v>GPT adjunto + Hermes</x:v>
      </x:c>
      <x:c r="AM242" s="136" t="str">
        <x:v>Fusionado con base Hermes para completar teléfonos/fuentes/servicios.</x:v>
      </x:c>
    </x:row>
    <x:row r="243">
      <x:c r="A243" s="136" t="str">
        <x:v>VM-044</x:v>
      </x:c>
      <x:c r="B243" s="136" t="str">
        <x:v>Pendiente</x:v>
      </x:c>
      <x:c r="C243" s="136" t="str">
        <x:v>Villa María / RP6</x:v>
      </x:c>
      <x:c r="D243" s="136" t="str">
        <x:v>Villa María / corredor agro</x:v>
      </x:c>
      <x:c r="E243" s="136" t="str">
        <x:v>Villa María</x:v>
      </x:c>
      <x:c r="F243" s="136" t="str">
        <x:v>A</x:v>
      </x:c>
      <x:c r="G243" s="136" t="n">
        <x:v>100</x:v>
      </x:c>
      <x:c r="H243" s="136" t="str">
        <x:v>Comercializadora Pauny — Villa María</x:v>
      </x:c>
      <x:c r="I243" s="136" t="str">
        <x:v>Concesionario Pauny / tractores / implementos / maquinaria agrícola</x:v>
      </x:c>
      <x:c r="J243" s="136" t="str">
        <x:v>Maquinaria agrícola</x:v>
      </x:c>
      <x:c r="K243" s="136" t="str">
        <x:v>0353 5002145</x:v>
      </x:c>
      <x:c r="L243" s="136" t="str">
        <x:v>OK</x:v>
      </x:c>
      <x:c r="M243" s="136" t="str">
        <x:v>logística / entregas / usados / postventa / gerente comercial</x:v>
      </x:c>
      <x:c r="N243" s="136" t="str">
        <x:v>Entrega y retiro de tractores, cosechadoras, pulverizadoras, sembradoras e implementos; movimientos por ventas, canjes, usados, service, demostraciones y ferias.</x:v>
      </x:c>
      <x:c r="O243" s="136" t="str">
        <x:v>Plataforma 20 tn para equipos e implementos + malacate/hidrogrúa según maniobra + seguro de carga + trazabilidad GPS + coordinación de entrega.</x:v>
      </x:c>
      <x:c r="P243" s="136" t="str">
        <x:v>Tercerizar entregas y retiros para no inmovilizar flota propia; absorber picos de campaña, ventas, canjes y service fuera de zona con un proveedor regional.</x:v>
      </x:c>
      <x:c r="Q243" s="136" t="str">
        <x:v>Llamada prioritaria; pedir por logística/ventas/postventa y consultar cómo resuelven hoy el próximo equipo a entregar o retirar.</x:v>
      </x:c>
      <x:c r="R243" s="136"/>
      <x:c r="S243" s="158" t="str">
        <x:f>IFERROR(T(INDEX('Prospectos Resumen'!$K$9:$K$295,MATCH(A243,'Prospectos Resumen'!$A$9:$A$295,0))),"")</x:f>
      </x:c>
      <x:c r="T243" s="136"/>
      <x:c r="U243" s="136"/>
      <x:c r="V243" s="136"/>
      <x:c r="W243" s="136"/>
      <x:c r="X243" s="136" t="str">
        <x:v>tel:+543535002145</x:v>
      </x:c>
      <x:c r="Y243" s="136" t="str">
        <x:v>tel:+543535002145</x:v>
      </x:c>
      <x:c r="Z243" s="136" t="str">
        <x:v>Confirmar decisor de logística/entregas y frecuencia mensual de movimientos de equipos.</x:v>
      </x:c>
      <x:c r="AA243" s="136" t="str">
        <x:v>https://www.google.com/maps/search/?api=1&amp;query=Comercializadora+Pauny+%E2%80%94+Villa+Mar%C3%ADa+Villa+Mar%C3%ADa+C%C3%B3rdoba+Argentina</x:v>
      </x:c>
      <x:c r="AB243" s="136" t="str">
        <x:v>Red comercial Tanzi / Pauny</x:v>
      </x:c>
      <x:c r="AC243" s="136" t="str">
        <x:v>https://www.tanzi.com.ar/concesionarios.php</x:v>
      </x:c>
      <x:c r="AD243" s="136" t="str">
        <x:v>Punto comercial en Colectora Sur de Autopista Córdoba-Rosario, Villa María; comercializa tractores y maquinaria.</x:v>
      </x:c>
      <x:c r="AE243" s="136" t="str">
        <x:v>Alta</x:v>
      </x:c>
      <x:c r="AF243" s="136" t="str">
        <x:v>Rastrillaje concesionarios agro 2026-09-07</x:v>
      </x:c>
      <x:c r="AG243" s="136" t="str">
        <x:v>plataforma 20 tn para maquinaria agrícola | hidrogrúa para maniobras | malacate | seguro de carga | trazabilidad GPS | coordinación de entregas</x:v>
      </x:c>
      <x:c r="AH243" s="136" t="str">
        <x:v>concesionario agro / maquinaria agrícola</x:v>
      </x:c>
      <x:c r="AI243" s="136" t="str">
        <x:v>Sí</x:v>
      </x:c>
      <x:c r="AJ243" s="136" t="str">
        <x:v>Muy alta</x:v>
      </x:c>
      <x:c r="AK243" s="136" t="str">
        <x:v>Concesionario: preguntar específicamente cómo resuelven entregas, retiros de usados, canjes, service fuera de zona y traslados a exposiciones.</x:v>
      </x:c>
      <x:c r="AL243" s="136" t="str">
        <x:v>Rastrillaje concesionarios agro 2026-09-07</x:v>
      </x:c>
      <x:c r="AM243" s="136" t="str">
        <x:v>Alta nueva del barrido específico de concesionarios, sucursales y multimarca agro; cruzada contra la base maestra para evitar duplicados.</x:v>
      </x:c>
    </x:row>
    <x:row r="244">
      <x:c r="A244" s="136" t="str">
        <x:v>VM-021</x:v>
      </x:c>
      <x:c r="B244" s="136" t="str">
        <x:v>Pendiente</x:v>
      </x:c>
      <x:c r="C244" s="136" t="str">
        <x:v>Villa María / RP6</x:v>
      </x:c>
      <x:c r="D244" s="136" t="str">
        <x:v>Villa María</x:v>
      </x:c>
      <x:c r="E244" s="136" t="str">
        <x:v>Villa María</x:v>
      </x:c>
      <x:c r="F244" s="136" t="str">
        <x:v>A</x:v>
      </x:c>
      <x:c r="G244" s="136" t="n">
        <x:v>100</x:v>
      </x:c>
      <x:c r="H244" s="136" t="str">
        <x:v>Grupo Caon — Villa María</x:v>
      </x:c>
      <x:c r="I244" s="136" t="str">
        <x:v>Concesionario Case IH / maquinaria agrícola / postventa</x:v>
      </x:c>
      <x:c r="J244" s="136" t="str">
        <x:v>Maquinaria agrícola</x:v>
      </x:c>
      <x:c r="K244" s="136" t="str">
        <x:v>A relevar</x:v>
      </x:c>
      <x:c r="L244" s="136" t="str">
        <x:v>A relevar</x:v>
      </x:c>
      <x:c r="M244" s="136" t="str">
        <x:v>logística / ventas / postventa</x:v>
      </x:c>
      <x:c r="N244" s="136" t="str">
        <x:v>Entrega y retiro de tractores, cosechadoras, pulverizadoras, sembradoras e implementos; movimientos por venta, service, canje, demostraciones o ferias.</x:v>
      </x:c>
      <x:c r="O244" s="136" t="str">
        <x:v>Plataforma 20 tn para maquinaria agrícola + malacate/hidrogrúa según maniobra + seguro de carga + trazabilidad GPS.</x:v>
      </x:c>
      <x:c r="P244" s="136" t="str">
        <x:v>Ofrecer transporte tercerizado para entregas a clientes y retiros de usados/service, especialmente en picos de campaña y operaciones fuera de zona.</x:v>
      </x:c>
      <x:c r="Q244" s="136" t="str">
        <x:v>Llamada comercial prioritaria; pedir por logística/ventas/postventa y consultar próximo equipo a trasladar.</x:v>
      </x:c>
      <x:c r="R244" s="136"/>
      <x:c r="S244" s="158" t="str">
        <x:f>IFERROR(T(INDEX('Prospectos Resumen'!$K$9:$K$295,MATCH(A244,'Prospectos Resumen'!$A$9:$A$295,0))),"")</x:f>
      </x:c>
      <x:c r="T244" s="136"/>
      <x:c r="U244" s="136"/>
      <x:c r="V244" s="136"/>
      <x:c r="W244" s="136"/>
      <x:c r="X244" s="136"/>
      <x:c r="Y244" s="136"/>
      <x:c r="Z244" s="136" t="str">
        <x:v>Relevar teléfono directo de ventas/logística y validar decisor.</x:v>
      </x:c>
      <x:c r="AA244" s="136" t="str">
        <x:v>https://www.google.com/maps/search/?api=1&amp;query=Grupo+Caon+%E2%80%94+Villa+Mar%C3%ADa+Villa+Mar%C3%ADa+C%C3%B3rdoba+Argentina</x:v>
      </x:c>
      <x:c r="AB244" s="136" t="str">
        <x:v>Grupo Caon / apertura sede Villa María 2026</x:v>
      </x:c>
      <x:c r="AC244" s="136" t="str">
        <x:v>https://www.google.com/maps/search/?api=1&amp;query=Grupo+Caon+Case+IH+Villa+Mar%C3%ADa+C%C3%B3rdoba+Argentina</x:v>
      </x:c>
      <x:c r="AD244" s="136" t="str">
        <x:v>Nueva sede de Grupo Caon en Villa María sobre Autopista Rosario-Córdoba; área comercial, técnica, repuestos y agricultura digital.</x:v>
      </x:c>
      <x:c r="AE244" s="136" t="str">
        <x:v>Alta</x:v>
      </x:c>
      <x:c r="AF244" s="136" t="str">
        <x:v>Rastrillaje agro-maquinaria web 2026-09-07</x:v>
      </x:c>
      <x:c r="AG244" s="136" t="str">
        <x:v>plataforma 20 tn para maquinaria/implementos | hidrogrúa para maniobras | malacate | seguro de carga | trazabilidad GPS</x:v>
      </x:c>
      <x:c r="AH244" s="136" t="str">
        <x:v>fabricante/concesionario/servicio maquinaria agrícola</x:v>
      </x:c>
      <x:c r="AI244" s="136" t="str">
        <x:v>Sí</x:v>
      </x:c>
      <x:c r="AJ244" s="136" t="str">
        <x:v>Muy alta</x:v>
      </x:c>
      <x:c r="AK244" s="136" t="str">
        <x:v>Perfil específico maquinaria agrícola: validar pesos/dimensiones, tipo de carga y disponibilidad de medios de izaje antes de cotizar.</x:v>
      </x:c>
      <x:c r="AL244" s="136" t="str">
        <x:v>Rastrillaje agro-maquinaria 2026-09-07</x:v>
      </x:c>
      <x:c r="AM244" s="136" t="str">
        <x:v>Alta nueva luego de barrido específico de fabricantes, implementos, tractores, concesionarios y agropartes; cruzada contra la base maestra para evitar duplicados.</x:v>
      </x:c>
    </x:row>
    <x:row r="245">
      <x:c r="A245" s="136" t="str">
        <x:v>VM-001</x:v>
      </x:c>
      <x:c r="B245" s="136" t="str">
        <x:v>Pendiente</x:v>
      </x:c>
      <x:c r="C245" s="136" t="str">
        <x:v>Villa María / RP6</x:v>
      </x:c>
      <x:c r="D245" s="136" t="str">
        <x:v>Villa María</x:v>
      </x:c>
      <x:c r="E245" s="136" t="str">
        <x:v>Villa María</x:v>
      </x:c>
      <x:c r="F245" s="136" t="str">
        <x:v>A</x:v>
      </x:c>
      <x:c r="G245" s="136" t="n">
        <x:v>100</x:v>
      </x:c>
      <x:c r="H245" s="136" t="str">
        <x:v>Industrias Cormetal S.A.</x:v>
      </x:c>
      <x:c r="I245" s="136" t="str">
        <x:v>Metalmecánica / estructuras</x:v>
      </x:c>
      <x:c r="J245" s="136" t="str">
        <x:v>Metalúrgica y fabricación</x:v>
      </x:c>
      <x:c r="K245" s="136" t="str">
        <x:v>0353 4610900 / 0353 6567355</x:v>
      </x:c>
      <x:c r="L245" s="136" t="str">
        <x:v>OK</x:v>
      </x:c>
      <x:c r="M245" s="136" t="str">
        <x:v>despacho / producción</x:v>
      </x:c>
      <x:c r="N245" s="136" t="str">
        <x:v>Despacho seguro de estructuras, carrozados, tanques, piezas industriales y equipos sobre plataforma.</x:v>
      </x:c>
      <x:c r="O245" s="136" t="str">
        <x:v>Despacho de estructuras, tanques, transformadores, piezas de ingeniería y equipos sobre plataforma 20 tn.</x:v>
      </x:c>
      <x:c r="P245" s="136" t="str">
        <x:v>Pedir responsable de logística/despachos.</x:v>
      </x:c>
      <x:c r="Q245" s="136" t="str">
        <x:v>Visita o llamada de validación; pedir próximo traslado concreto.</x:v>
      </x:c>
      <x:c r="R245" s="136"/>
      <x:c r="S245" s="158" t="str">
        <x:f>IFERROR(T(INDEX('Prospectos Resumen'!$K$9:$K$295,MATCH(A245,'Prospectos Resumen'!$A$9:$A$295,0))),"")</x:f>
      </x:c>
      <x:c r="T245" s="136"/>
      <x:c r="U245" s="136"/>
      <x:c r="V245" s="136"/>
      <x:c r="W245" s="136"/>
      <x:c r="X245" s="136" t="str">
        <x:v>tel:+543534610900</x:v>
      </x:c>
      <x:c r="Y245" s="136" t="str">
        <x:v>tel:+543534610900 | tel:+543536567355</x:v>
      </x:c>
      <x:c r="Z245" s="136" t="str">
        <x:v>Validar contacto decisor y necesidad inmediata.</x:v>
      </x:c>
      <x:c r="AA245" s="136" t="str">
        <x:v>https://www.google.com/maps/search/?api=1&amp;query=-32.385796,-63.267403</x:v>
      </x:c>
      <x:c r="AB245" s="136" t="str">
        <x:v>guiademantenimiento.com / cormetal.com.ar</x:v>
      </x:c>
      <x:c r="AC245" s="136"/>
      <x:c r="AD245" s="136" t="str">
        <x:v>Registro curado en documento de dirección PRESOL 2026-09.</x:v>
      </x:c>
      <x:c r="AE245" s="136" t="str">
        <x:v>Alta</x:v>
      </x:c>
      <x:c r="AF245" s="136" t="str">
        <x:v>Base curada PDF dirección</x:v>
      </x:c>
      <x:c r="AG245" s="136" t="str">
        <x:v>plataforma 20 tn para maquinaria/piezas | hidrogrúa para maniobras | percha para pallets</x:v>
      </x:c>
      <x:c r="AH245" s="136" t="str">
        <x:v>otro rubro factible</x:v>
      </x:c>
      <x:c r="AI245" s="136"/>
      <x:c r="AJ245" s="136" t="str">
        <x:v>Muy alta</x:v>
      </x:c>
      <x:c r="AK245" s="136"/>
      <x:c r="AL245" s="136" t="str">
        <x:v>GPT adjunto + Hermes</x:v>
      </x:c>
      <x:c r="AM245" s="136" t="str">
        <x:v>Fusionado con base Hermes para completar teléfonos/fuentes/servicios.</x:v>
      </x:c>
    </x:row>
    <x:row r="246">
      <x:c r="A246" s="136" t="str">
        <x:v>VM-002</x:v>
      </x:c>
      <x:c r="B246" s="136" t="str">
        <x:v>Pendiente</x:v>
      </x:c>
      <x:c r="C246" s="136" t="str">
        <x:v>Villa María / RP6</x:v>
      </x:c>
      <x:c r="D246" s="136" t="str">
        <x:v>Villa María</x:v>
      </x:c>
      <x:c r="E246" s="136" t="str">
        <x:v>Villa María</x:v>
      </x:c>
      <x:c r="F246" s="136" t="str">
        <x:v>A</x:v>
      </x:c>
      <x:c r="G246" s="136" t="n">
        <x:v>100</x:v>
      </x:c>
      <x:c r="H246" s="136" t="str">
        <x:v>Mayo Transformadores S.R.L.</x:v>
      </x:c>
      <x:c r="I246" s="136" t="str">
        <x:v>Transformadores / metalmecánica</x:v>
      </x:c>
      <x:c r="J246" s="136" t="str">
        <x:v>Metalúrgica y fabricación</x:v>
      </x:c>
      <x:c r="K246" s="136" t="str">
        <x:v>0353 4647606</x:v>
      </x:c>
      <x:c r="L246" s="136" t="str">
        <x:v>OK</x:v>
      </x:c>
      <x:c r="M246" s="136" t="str">
        <x:v>despacho / producción</x:v>
      </x:c>
      <x:c r="N246" s="136" t="str">
        <x:v>Despacho seguro de estructuras, carrozados, tanques, piezas industriales y equipos sobre plataforma.</x:v>
      </x:c>
      <x:c r="O246" s="136" t="str">
        <x:v>Despacho de estructuras, tanques, transformadores, piezas de ingeniería y equipos sobre plataforma 20 tn.</x:v>
      </x:c>
      <x:c r="P246" s="136" t="str">
        <x:v>Seguro de carga + GPS como argumento fuerte.</x:v>
      </x:c>
      <x:c r="Q246" s="136" t="str">
        <x:v>Visita o llamada de validación; pedir próximo traslado concreto.</x:v>
      </x:c>
      <x:c r="R246" s="136"/>
      <x:c r="S246" s="158" t="str">
        <x:f>IFERROR(T(INDEX('Prospectos Resumen'!$K$9:$K$295,MATCH(A246,'Prospectos Resumen'!$A$9:$A$295,0))),"")</x:f>
      </x:c>
      <x:c r="T246" s="136"/>
      <x:c r="U246" s="136"/>
      <x:c r="V246" s="136"/>
      <x:c r="W246" s="136"/>
      <x:c r="X246" s="136" t="str">
        <x:v>tel:+543534647606</x:v>
      </x:c>
      <x:c r="Y246" s="136" t="str">
        <x:v>tel:+543534647606</x:v>
      </x:c>
      <x:c r="Z246" s="136" t="str">
        <x:v>Validar contacto decisor y necesidad inmediata.</x:v>
      </x:c>
      <x:c r="AA246" s="136" t="str">
        <x:v>https://www.google.com/maps/search/?api=1&amp;query=-32.423000,-63.205000</x:v>
      </x:c>
      <x:c r="AB246" s="136" t="str">
        <x:v>pilt.com.ar</x:v>
      </x:c>
      <x:c r="AC246" s="136"/>
      <x:c r="AD246" s="136" t="str">
        <x:v>Registro curado en documento de dirección PRESOL 2026-09.</x:v>
      </x:c>
      <x:c r="AE246" s="136" t="str">
        <x:v>Alta</x:v>
      </x:c>
      <x:c r="AF246" s="136" t="str">
        <x:v>Base curada PDF dirección</x:v>
      </x:c>
      <x:c r="AG246" s="136" t="str">
        <x:v>plataforma 20 tn para maquinaria/piezas | hidrogrúa para maniobras | percha para pallets</x:v>
      </x:c>
      <x:c r="AH246" s="136" t="str">
        <x:v>otro rubro factible</x:v>
      </x:c>
      <x:c r="AI246" s="136"/>
      <x:c r="AJ246" s="136" t="str">
        <x:v>Muy alta</x:v>
      </x:c>
      <x:c r="AK246" s="136"/>
      <x:c r="AL246" s="136" t="str">
        <x:v>GPT adjunto + Hermes</x:v>
      </x:c>
      <x:c r="AM246" s="136" t="str">
        <x:v>Fusionado con base Hermes para completar teléfonos/fuentes/servicios.</x:v>
      </x:c>
    </x:row>
    <x:row r="247">
      <x:c r="A247" s="136" t="str">
        <x:v>VM-003</x:v>
      </x:c>
      <x:c r="B247" s="136" t="str">
        <x:v>Pendiente</x:v>
      </x:c>
      <x:c r="C247" s="136" t="str">
        <x:v>Villa María / RP6</x:v>
      </x:c>
      <x:c r="D247" s="136" t="str">
        <x:v>PILT Villa María</x:v>
      </x:c>
      <x:c r="E247" s="136" t="str">
        <x:v>Villa María</x:v>
      </x:c>
      <x:c r="F247" s="136" t="str">
        <x:v>A</x:v>
      </x:c>
      <x:c r="G247" s="136" t="n">
        <x:v>100</x:v>
      </x:c>
      <x:c r="H247" s="136" t="str">
        <x:v>Metalúrgica JAP / MJAP</x:v>
      </x:c>
      <x:c r="I247" s="136" t="str">
        <x:v>Carrozados, trailers, estructuras y reparación de camiones</x:v>
      </x:c>
      <x:c r="J247" s="136" t="str">
        <x:v>Metalúrgica y fabricación</x:v>
      </x:c>
      <x:c r="K247" s="136" t="str">
        <x:v>+54 35 3656-3732 / +54 35 3565-7977</x:v>
      </x:c>
      <x:c r="L247" s="136" t="str">
        <x:v>OK</x:v>
      </x:c>
      <x:c r="M247" s="136" t="str">
        <x:v>Juan / Ronald / producción</x:v>
      </x:c>
      <x:c r="N247" s="136" t="str">
        <x:v>Despacho seguro de estructuras, carrozados, tanques, piezas industriales y equipos sobre plataforma.</x:v>
      </x:c>
      <x:c r="O247" s="136" t="str">
        <x:v>Plataforma 20 tn para piezas/estructuras + seguro de carga + trazabilidad GPS.</x:v>
      </x:c>
      <x:c r="P247" s="136" t="str">
        <x:v>Fabrica carrozados, acoplados, estructuras para montacargas y carrocerías volcadoras; encaje directo con PRESOL.</x:v>
      </x:c>
      <x:c r="Q247" s="136" t="str">
        <x:v>Validar teléfono/contacto; si responde, pedir un caso concreto de traslado o próximo movimiento.</x:v>
      </x:c>
      <x:c r="R247" s="136"/>
      <x:c r="S247" s="158" t="str">
        <x:f>IFERROR(T(INDEX('Prospectos Resumen'!$K$9:$K$295,MATCH(A247,'Prospectos Resumen'!$A$9:$A$295,0))),"")</x:f>
      </x:c>
      <x:c r="T247" s="136"/>
      <x:c r="U247" s="136"/>
      <x:c r="V247" s="136"/>
      <x:c r="W247" s="136"/>
      <x:c r="X247" s="136" t="str">
        <x:v>tel:+543536563732</x:v>
      </x:c>
      <x:c r="Y247" s="136" t="str">
        <x:v>tel:+543536563732 | tel:+543535657977</x:v>
      </x:c>
      <x:c r="Z247" s="136" t="str">
        <x:v>Confirmar decisor y vigencia del dato antes de incluir en salida prioritaria.</x:v>
      </x:c>
      <x:c r="AA247" s="136" t="str">
        <x:v>https://www.google.com/maps/search/?api=1&amp;query=Metal%C3%BArgica+JAP+%2F+MJAP+Villa+Mar%C3%ADa+C%C3%B3rdoba+Argentina</x:v>
      </x:c>
      <x:c r="AB247" s="136" t="str">
        <x:v>Web MJAP + PILT</x:v>
      </x:c>
      <x:c r="AC247" s="136" t="str">
        <x:v>https://metalurgicajap.com</x:v>
      </x:c>
      <x:c r="AD247" s="136" t="str">
        <x:v>Web propia informa teléfonos, servicios y dirección; PILT confirma nueva planta y rubro.</x:v>
      </x:c>
      <x:c r="AE247" s="136" t="str">
        <x:v>Alta</x:v>
      </x:c>
      <x:c r="AF247" s="136" t="str">
        <x:v>Nuevo enriquecimiento 2026-09-02</x:v>
      </x:c>
      <x:c r="AG247" s="136" t="str">
        <x:v>plataforma | hidrogrúa | percha para pallets</x:v>
      </x:c>
      <x:c r="AH247" s="136" t="str">
        <x:v>otro rubro factible</x:v>
      </x:c>
      <x:c r="AI247" s="136"/>
      <x:c r="AJ247" s="136" t="str">
        <x:v>Muy alta</x:v>
      </x:c>
      <x:c r="AK247" s="136"/>
      <x:c r="AL247" s="136" t="str">
        <x:v>GPT adjunto + Hermes</x:v>
      </x:c>
      <x:c r="AM247" s="136" t="str">
        <x:v>Fusionado con base Hermes para completar teléfonos/fuentes/servicios.</x:v>
      </x:c>
    </x:row>
    <x:row r="248">
      <x:c r="A248" s="136" t="str">
        <x:v>VM-043</x:v>
      </x:c>
      <x:c r="B248" s="136" t="str">
        <x:v>Pendiente</x:v>
      </x:c>
      <x:c r="C248" s="136" t="str">
        <x:v>Villa María / RP6</x:v>
      </x:c>
      <x:c r="D248" s="136" t="str">
        <x:v>Villa María / corredor agro</x:v>
      </x:c>
      <x:c r="E248" s="136" t="str">
        <x:v>Villa María</x:v>
      </x:c>
      <x:c r="F248" s="136" t="str">
        <x:v>A</x:v>
      </x:c>
      <x:c r="G248" s="136" t="n">
        <x:v>100</x:v>
      </x:c>
      <x:c r="H248" s="136" t="str">
        <x:v>SALA / Agrotecnología Sala — Villa María</x:v>
      </x:c>
      <x:c r="I248" s="136" t="str">
        <x:v>Concesionario John Deere / PLA / maquinaria agrícola / postventa</x:v>
      </x:c>
      <x:c r="J248" s="136" t="str">
        <x:v>Maquinaria agrícola</x:v>
      </x:c>
      <x:c r="K248" s="136" t="str">
        <x:v>A relevar</x:v>
      </x:c>
      <x:c r="L248" s="136" t="str">
        <x:v>A relevar</x:v>
      </x:c>
      <x:c r="M248" s="136" t="str">
        <x:v>logística / entregas / usados / postventa / gerente comercial</x:v>
      </x:c>
      <x:c r="N248" s="136" t="str">
        <x:v>Entrega y retiro de tractores, cosechadoras, pulverizadoras, sembradoras e implementos; movimientos por ventas, canjes, usados, service, demostraciones y ferias.</x:v>
      </x:c>
      <x:c r="O248" s="136" t="str">
        <x:v>Plataforma 20 tn para equipos e implementos + malacate/hidrogrúa según maniobra + seguro de carga + trazabilidad GPS + coordinación de entrega.</x:v>
      </x:c>
      <x:c r="P248" s="136" t="str">
        <x:v>Tercerizar entregas y retiros para no inmovilizar flota propia; absorber picos de campaña, ventas, canjes y service fuera de zona con un proveedor regional.</x:v>
      </x:c>
      <x:c r="Q248" s="136" t="str">
        <x:v>Llamada prioritaria; pedir por logística/ventas/postventa y consultar cómo resuelven hoy el próximo equipo a entregar o retirar.</x:v>
      </x:c>
      <x:c r="R248" s="136"/>
      <x:c r="S248" s="158" t="str">
        <x:f>IFERROR(T(INDEX('Prospectos Resumen'!$K$9:$K$295,MATCH(A248,'Prospectos Resumen'!$A$9:$A$295,0))),"")</x:f>
      </x:c>
      <x:c r="T248" s="136"/>
      <x:c r="U248" s="136"/>
      <x:c r="V248" s="136"/>
      <x:c r="W248" s="136"/>
      <x:c r="X248" s="136"/>
      <x:c r="Y248" s="136"/>
      <x:c r="Z248" s="136" t="str">
        <x:v>Relevar/confirmar teléfono directo de ventas o logística y validar decisor de entregas.</x:v>
      </x:c>
      <x:c r="AA248" s="136" t="str">
        <x:v>https://www.google.com/maps/search/?api=1&amp;query=SALA+%2F+Agrotecnolog%C3%ADa+Sala+%E2%80%94+Villa+Mar%C3%ADa+Villa+Mar%C3%ADa+C%C3%B3rdoba+Argentina</x:v>
      </x:c>
      <x:c r="AB248" s="136" t="str">
        <x:v>Asociación de Concesionarios John Deere</x:v>
      </x:c>
      <x:c r="AC248" s="136" t="str">
        <x:v>https://acjd.com.ar/concesionarios/</x:v>
      </x:c>
      <x:c r="AD248" s="136" t="str">
        <x:v>La red oficial publica a Agrotecnología Sala con sucursal en Villa María.</x:v>
      </x:c>
      <x:c r="AE248" s="136" t="str">
        <x:v>Alta</x:v>
      </x:c>
      <x:c r="AF248" s="136" t="str">
        <x:v>Rastrillaje concesionarios agro 2026-09-07</x:v>
      </x:c>
      <x:c r="AG248" s="136" t="str">
        <x:v>plataforma 20 tn para maquinaria agrícola | hidrogrúa para maniobras | malacate | seguro de carga | trazabilidad GPS | coordinación de entregas</x:v>
      </x:c>
      <x:c r="AH248" s="136" t="str">
        <x:v>concesionario agro / maquinaria agrícola</x:v>
      </x:c>
      <x:c r="AI248" s="136" t="str">
        <x:v>Sí</x:v>
      </x:c>
      <x:c r="AJ248" s="136" t="str">
        <x:v>Muy alta</x:v>
      </x:c>
      <x:c r="AK248" s="136" t="str">
        <x:v>Concesionario: preguntar específicamente cómo resuelven entregas, retiros de usados, canjes, service fuera de zona y traslados a exposiciones.</x:v>
      </x:c>
      <x:c r="AL248" s="136" t="str">
        <x:v>Rastrillaje concesionarios agro 2026-09-07</x:v>
      </x:c>
      <x:c r="AM248" s="136" t="str">
        <x:v>Alta nueva del barrido específico de concesionarios, sucursales y multimarca agro; cruzada contra la base maestra para evitar duplicados.</x:v>
      </x:c>
    </x:row>
    <x:row r="249">
      <x:c r="A249" s="136" t="str">
        <x:v>VM-004</x:v>
      </x:c>
      <x:c r="B249" s="136" t="str">
        <x:v>Pendiente</x:v>
      </x:c>
      <x:c r="C249" s="136" t="str">
        <x:v>Villa María / RP6</x:v>
      </x:c>
      <x:c r="D249" s="136" t="str">
        <x:v>Villa María</x:v>
      </x:c>
      <x:c r="E249" s="136" t="str">
        <x:v>Villa María</x:v>
      </x:c>
      <x:c r="F249" s="136" t="str">
        <x:v>A</x:v>
      </x:c>
      <x:c r="G249" s="136" t="n">
        <x:v>100</x:v>
      </x:c>
      <x:c r="H249" s="136" t="str">
        <x:v>Salsiteco S.A.</x:v>
      </x:c>
      <x:c r="I249" s="136" t="str">
        <x:v>Constructora / movimiento de suelo</x:v>
      </x:c>
      <x:c r="J249" s="136" t="str">
        <x:v>Construcción y obra vial</x:v>
      </x:c>
      <x:c r="K249" s="136" t="str">
        <x:v>0353 4524006 / 0353 5006023</x:v>
      </x:c>
      <x:c r="L249" s="136" t="str">
        <x:v>OK</x:v>
      </x:c>
      <x:c r="M249" s="136" t="str">
        <x:v>jefe de obra / logística</x:v>
      </x:c>
      <x:c r="N249" s="136" t="str">
        <x:v>Traslado de maquinaria, módulos de obrador, estructuras, equipos y cargas pesadas entre frentes.</x:v>
      </x:c>
      <x:c r="O249" s="136" t="str">
        <x:v>Transporte de equipos, módulos de obrador, estructuras y materiales pesados; descarga o posicionamiento cuando aplique.</x:v>
      </x:c>
      <x:c r="P249" s="136" t="str">
        <x:v>Muy buen encaje con obras viales; pedir jefe de obra.</x:v>
      </x:c>
      <x:c r="Q249" s="136" t="str">
        <x:v>Visita o llamada de validación; pedir próximo traslado concreto.</x:v>
      </x:c>
      <x:c r="R249" s="136"/>
      <x:c r="S249" s="158" t="str">
        <x:f>IFERROR(T(INDEX('Prospectos Resumen'!$K$9:$K$295,MATCH(A249,'Prospectos Resumen'!$A$9:$A$295,0))),"")</x:f>
      </x:c>
      <x:c r="T249" s="136"/>
      <x:c r="U249" s="136"/>
      <x:c r="V249" s="136"/>
      <x:c r="W249" s="136"/>
      <x:c r="X249" s="136" t="str">
        <x:v>tel:+543534524006</x:v>
      </x:c>
      <x:c r="Y249" s="136" t="str">
        <x:v>tel:+543534524006 | tel:+543535006023</x:v>
      </x:c>
      <x:c r="Z249" s="136" t="str">
        <x:v>Validar contacto decisor y necesidad inmediata.</x:v>
      </x:c>
      <x:c r="AA249" s="136" t="str">
        <x:v>https://www.google.com/maps/search/?api=1&amp;query=-32.412000,-63.236000</x:v>
      </x:c>
      <x:c r="AB249" s="136" t="str">
        <x:v>salsiteco.com.ar</x:v>
      </x:c>
      <x:c r="AC249" s="136"/>
      <x:c r="AD249" s="136" t="str">
        <x:v>Registro curado en documento de dirección PRESOL 2026-09.</x:v>
      </x:c>
      <x:c r="AE249" s="136" t="str">
        <x:v>Alta</x:v>
      </x:c>
      <x:c r="AF249" s="136" t="str">
        <x:v>Base curada PDF dirección</x:v>
      </x:c>
      <x:c r="AG249" s="136" t="str">
        <x:v>transporte de áridos/materiales | hidrogrúa para carga/descarga | percha para pallets/bolsones</x:v>
      </x:c>
      <x:c r="AH249" s="136" t="str">
        <x:v>otro rubro factible</x:v>
      </x:c>
      <x:c r="AI249" s="136"/>
      <x:c r="AJ249" s="136" t="str">
        <x:v>Muy alta</x:v>
      </x:c>
      <x:c r="AK249" s="136"/>
      <x:c r="AL249" s="136" t="str">
        <x:v>GPT adjunto + Hermes</x:v>
      </x:c>
      <x:c r="AM249" s="136" t="str">
        <x:v>Fusionado con base Hermes para completar teléfonos/fuentes/servicios.</x:v>
      </x:c>
    </x:row>
    <x:row r="250">
      <x:c r="A250" s="136" t="str">
        <x:v>VM-037</x:v>
      </x:c>
      <x:c r="B250" s="136" t="str">
        <x:v>Pendiente</x:v>
      </x:c>
      <x:c r="C250" s="136" t="str">
        <x:v>Villa María / RP6</x:v>
      </x:c>
      <x:c r="D250" s="136" t="str">
        <x:v>Villa María / zona comercial-industrial</x:v>
      </x:c>
      <x:c r="E250" s="136" t="str">
        <x:v>Villa María</x:v>
      </x:c>
      <x:c r="F250" s="136" t="str">
        <x:v>A</x:v>
      </x:c>
      <x:c r="G250" s="136" t="n">
        <x:v>96</x:v>
      </x:c>
      <x:c r="H250" s="136" t="str">
        <x:v>Zuppa Hermanos — Villa María</x:v>
      </x:c>
      <x:c r="I250" s="136" t="str">
        <x:v>Punto de venta Moldear / piscinas de fibra / instalación</x:v>
      </x:c>
      <x:c r="J250" s="136" t="str">
        <x:v>PRFV y plásticos</x:v>
      </x:c>
      <x:c r="K250" s="136" t="str">
        <x:v>+54 9 353 4257089</x:v>
      </x:c>
      <x:c r="L250" s="136" t="str">
        <x:v>OK</x:v>
      </x:c>
      <x:c r="M250" s="136" t="str">
        <x:v>logística / instalaciones / obras / ventas</x:v>
      </x:c>
      <x:c r="N250" s="136" t="str">
        <x:v>Entrega de piscinas de fibra desde depósito/franquicia hasta domicilio y apoyo de grúa cuando el casco debe superar medianeras, techos o accesos angostos.</x:v>
      </x:c>
      <x:c r="O250" s="136" t="str">
        <x:v>Flete de piscina PRFV + hidrogrúa para descarga/posicionamiento + coordinación con excavación e instalador + seguro de carga.</x:v>
      </x:c>
      <x:c r="P250" s="136" t="str">
        <x:v>Resolver la parte más crítica de la instalación —logística y maniobra— sin depender de proveedores distintos para camión y grúa.</x:v>
      </x:c>
      <x:c r="Q250" s="136" t="str">
        <x:v>Llamada prioritaria; pedir por responsable de logística/instalaciones/obras y consultar cómo resuelven hoy el flete y la hidrogrúa de cada casco.</x:v>
      </x:c>
      <x:c r="R250" s="136"/>
      <x:c r="S250" s="158" t="str">
        <x:f>IFERROR(T(INDEX('Prospectos Resumen'!$K$9:$K$295,MATCH(A250,'Prospectos Resumen'!$A$9:$A$295,0))),"")</x:f>
      </x:c>
      <x:c r="T250" s="136"/>
      <x:c r="U250" s="136"/>
      <x:c r="V250" s="136"/>
      <x:c r="W250" s="136"/>
      <x:c r="X250" s="136" t="str">
        <x:v>tel:+5493534257089</x:v>
      </x:c>
      <x:c r="Y250" s="136" t="str">
        <x:v>tel:+5493534257089</x:v>
      </x:c>
      <x:c r="Z250" s="136" t="str">
        <x:v>Confirmar decisor de logística/instalaciones y frecuencia mensual de entregas.</x:v>
      </x:c>
      <x:c r="AA250" s="136" t="str">
        <x:v>https://www.google.com/maps/search/?api=1&amp;query=Zuppa+Hermanos+%E2%80%94+Villa+Mar%C3%ADa+Villa+Mar%C3%ADa+C%C3%B3rdoba+Argentina</x:v>
      </x:c>
      <x:c r="AB250" s="136" t="str">
        <x:v>Moldear / Zuppa Hermanos</x:v>
      </x:c>
      <x:c r="AC250" s="136" t="str">
        <x:v>https://www.moldear.com.ar/cordoba/villa-maria/zuppa-hnos/</x:v>
      </x:c>
      <x:c r="AD250" s="136" t="str">
        <x:v>Punto de venta certificado Moldear en Villa María; comercializa piscinas, losetas y casillas PRFV.</x:v>
      </x:c>
      <x:c r="AE250" s="136" t="str">
        <x:v>Alta</x:v>
      </x:c>
      <x:c r="AF250" s="136" t="str">
        <x:v>Rastrillaje piletas PRFV 2026-09-07</x:v>
      </x:c>
      <x:c r="AG250" s="136" t="str">
        <x:v>transporte especial de cascos PRFV | hidrogrúa para descarga y posicionamiento | coordinación de entrega con instalador | seguro de carga | trazabilidad GPS</x:v>
      </x:c>
      <x:c r="AH250" s="136" t="str">
        <x:v>piletas/plástico/PRFV</x:v>
      </x:c>
      <x:c r="AI250" s="136" t="str">
        <x:v>Sí</x:v>
      </x:c>
      <x:c r="AJ250" s="136" t="str">
        <x:v>Muy alta</x:v>
      </x:c>
      <x:c r="AK250" s="136" t="str">
        <x:v>Oportunidad de encaje directo: el casco es voluminoso y liviano; confirmar puntos de izaje, eslingado, radio de giro, obstáculos del lote y recomendaciones del fabricante antes de la maniobra.</x:v>
      </x:c>
      <x:c r="AL250" s="136" t="str">
        <x:v>Rastrillaje PRFV 2026-09-07</x:v>
      </x:c>
      <x:c r="AM250" s="136" t="str">
        <x:v>Alta nueva luego de barrido específico de fabricantes, franquicias y colocadores de piscinas de fibra; cruzada contra la base maestra para evitar duplicados.</x:v>
      </x:c>
    </x:row>
    <x:row r="251">
      <x:c r="A251" s="136" t="str">
        <x:v>VM-023</x:v>
      </x:c>
      <x:c r="B251" s="136" t="str">
        <x:v>Pendiente</x:v>
      </x:c>
      <x:c r="C251" s="136" t="str">
        <x:v>Villa María / RP6</x:v>
      </x:c>
      <x:c r="D251" s="136" t="str">
        <x:v>Villa María</x:v>
      </x:c>
      <x:c r="E251" s="136" t="str">
        <x:v>Villa María</x:v>
      </x:c>
      <x:c r="F251" s="136" t="str">
        <x:v>A</x:v>
      </x:c>
      <x:c r="G251" s="136" t="n">
        <x:v>95</x:v>
      </x:c>
      <x:c r="H251" s="136" t="str">
        <x:v>Agro GM — Villa María</x:v>
      </x:c>
      <x:c r="I251" s="136" t="str">
        <x:v>Concesionario / maquinaria agrícola y tractores</x:v>
      </x:c>
      <x:c r="J251" s="136" t="str">
        <x:v>Maquinaria agrícola</x:v>
      </x:c>
      <x:c r="K251" s="136" t="str">
        <x:v>0353 6560055</x:v>
      </x:c>
      <x:c r="L251" s="136" t="str">
        <x:v>OK</x:v>
      </x:c>
      <x:c r="M251" s="136" t="str">
        <x:v>logística / ventas / postventa</x:v>
      </x:c>
      <x:c r="N251" s="136" t="str">
        <x:v>Entrega y retiro de tractores, cosechadoras, pulverizadoras, sembradoras e implementos; movimientos por venta, service, canje, demostraciones o ferias.</x:v>
      </x:c>
      <x:c r="O251" s="136" t="str">
        <x:v>Plataforma 20 tn para maquinaria agrícola + malacate/hidrogrúa según maniobra + seguro de carga + trazabilidad GPS.</x:v>
      </x:c>
      <x:c r="P251" s="136" t="str">
        <x:v>Ofrecer transporte tercerizado para entregas a clientes y retiros de usados/service, especialmente en picos de campaña y operaciones fuera de zona.</x:v>
      </x:c>
      <x:c r="Q251" s="136" t="str">
        <x:v>Llamada comercial prioritaria; pedir por logística/ventas/postventa y consultar próximo equipo a trasladar.</x:v>
      </x:c>
      <x:c r="R251" s="136"/>
      <x:c r="S251" s="158" t="str">
        <x:f>IFERROR(T(INDEX('Prospectos Resumen'!$K$9:$K$295,MATCH(A251,'Prospectos Resumen'!$A$9:$A$295,0))),"")</x:f>
      </x:c>
      <x:c r="T251" s="136"/>
      <x:c r="U251" s="136"/>
      <x:c r="V251" s="136"/>
      <x:c r="W251" s="136"/>
      <x:c r="X251" s="136" t="str">
        <x:v>tel:+543536560055</x:v>
      </x:c>
      <x:c r="Y251" s="136" t="str">
        <x:v>tel:+543536560055</x:v>
      </x:c>
      <x:c r="Z251" s="136" t="str">
        <x:v>Confirmar decisor y frecuencia de traslados.</x:v>
      </x:c>
      <x:c r="AA251" s="136" t="str">
        <x:v>https://www.google.com/maps/search/?api=1&amp;query=Agro+GM+%E2%80%94+Villa+Mar%C3%ADa+Villa+Mar%C3%ADa+C%C3%B3rdoba+Argentina</x:v>
      </x:c>
      <x:c r="AB251" s="136" t="str">
        <x:v>Web oficial Agro GM</x:v>
      </x:c>
      <x:c r="AC251" s="136" t="str">
        <x:v>https://www.agrogmsa.com.ar/contacto/</x:v>
      </x:c>
      <x:c r="AD251" s="136" t="str">
        <x:v>Sucursal Villa María en Ruta 158 km 154,5; red de maquinaria agrícola con repuestos y servicio.</x:v>
      </x:c>
      <x:c r="AE251" s="136" t="str">
        <x:v>Alta</x:v>
      </x:c>
      <x:c r="AF251" s="136" t="str">
        <x:v>Rastrillaje agro-maquinaria web 2026-09-07</x:v>
      </x:c>
      <x:c r="AG251" s="136" t="str">
        <x:v>plataforma 20 tn para maquinaria/implementos | hidrogrúa para maniobras | malacate | seguro de carga | trazabilidad GPS</x:v>
      </x:c>
      <x:c r="AH251" s="136" t="str">
        <x:v>fabricante/concesionario/servicio maquinaria agrícola</x:v>
      </x:c>
      <x:c r="AI251" s="136" t="str">
        <x:v>Sí</x:v>
      </x:c>
      <x:c r="AJ251" s="136" t="str">
        <x:v>Muy alta</x:v>
      </x:c>
      <x:c r="AK251" s="136" t="str">
        <x:v>Perfil específico maquinaria agrícola: validar pesos/dimensiones, tipo de carga y disponibilidad de medios de izaje antes de cotizar.</x:v>
      </x:c>
      <x:c r="AL251" s="136" t="str">
        <x:v>Rastrillaje agro-maquinaria 2026-09-07</x:v>
      </x:c>
      <x:c r="AM251" s="136" t="str">
        <x:v>Alta nueva luego de barrido específico de fabricantes, implementos, tractores, concesionarios y agropartes; cruzada contra la base maestra para evitar duplicados.</x:v>
      </x:c>
    </x:row>
    <x:row r="252">
      <x:c r="A252" s="136" t="str">
        <x:v>VM-024</x:v>
      </x:c>
      <x:c r="B252" s="136" t="str">
        <x:v>Pendiente</x:v>
      </x:c>
      <x:c r="C252" s="136" t="str">
        <x:v>Villa María / RP6</x:v>
      </x:c>
      <x:c r="D252" s="136" t="str">
        <x:v>Villa María</x:v>
      </x:c>
      <x:c r="E252" s="136" t="str">
        <x:v>Villa María</x:v>
      </x:c>
      <x:c r="F252" s="136" t="str">
        <x:v>A</x:v>
      </x:c>
      <x:c r="G252" s="136" t="n">
        <x:v>95</x:v>
      </x:c>
      <x:c r="H252" s="136" t="str">
        <x:v>Bartolomé Cerutti SRL — Villa María</x:v>
      </x:c>
      <x:c r="I252" s="136" t="str">
        <x:v>Concesionario New Holland / maquinaria agrícola</x:v>
      </x:c>
      <x:c r="J252" s="136" t="str">
        <x:v>Maquinaria agrícola</x:v>
      </x:c>
      <x:c r="K252" s="136" t="str">
        <x:v>0353 4522560 / +54 9 353 4208761</x:v>
      </x:c>
      <x:c r="L252" s="136" t="str">
        <x:v>OK</x:v>
      </x:c>
      <x:c r="M252" s="136" t="str">
        <x:v>logística / ventas / postventa</x:v>
      </x:c>
      <x:c r="N252" s="136" t="str">
        <x:v>Entrega y retiro de tractores, cosechadoras, pulverizadoras, sembradoras e implementos; movimientos por venta, service, canje, demostraciones o ferias.</x:v>
      </x:c>
      <x:c r="O252" s="136" t="str">
        <x:v>Plataforma 20 tn para maquinaria agrícola + malacate/hidrogrúa según maniobra + seguro de carga + trazabilidad GPS.</x:v>
      </x:c>
      <x:c r="P252" s="136" t="str">
        <x:v>Ofrecer transporte tercerizado para entregas a clientes y retiros de usados/service, especialmente en picos de campaña y operaciones fuera de zona.</x:v>
      </x:c>
      <x:c r="Q252" s="136" t="str">
        <x:v>Llamada comercial prioritaria; pedir por logística/ventas/postventa y consultar próximo equipo a trasladar.</x:v>
      </x:c>
      <x:c r="R252" s="136"/>
      <x:c r="S252" s="158" t="str">
        <x:f>IFERROR(T(INDEX('Prospectos Resumen'!$K$9:$K$295,MATCH(A252,'Prospectos Resumen'!$A$9:$A$295,0))),"")</x:f>
      </x:c>
      <x:c r="T252" s="136"/>
      <x:c r="U252" s="136"/>
      <x:c r="V252" s="136"/>
      <x:c r="W252" s="136"/>
      <x:c r="X252" s="136" t="str">
        <x:v>tel:+543534522560</x:v>
      </x:c>
      <x:c r="Y252" s="136" t="str">
        <x:v>tel:+543534522560</x:v>
      </x:c>
      <x:c r="Z252" s="136" t="str">
        <x:v>Confirmar decisor y frecuencia de traslados.</x:v>
      </x:c>
      <x:c r="AA252" s="136" t="str">
        <x:v>https://www.google.com/maps/search/?api=1&amp;query=Bartolom%C3%A9+Cerutti+SRL+%E2%80%94+Villa+Mar%C3%ADa+Villa+Mar%C3%ADa+C%C3%B3rdoba+Argentina</x:v>
      </x:c>
      <x:c r="AB252" s="136" t="str">
        <x:v>Web oficial Bartolomé Cerutti</x:v>
      </x:c>
      <x:c r="AC252" s="136" t="str">
        <x:v>https://bartolomecerutti.com.ar/empresa/</x:v>
      </x:c>
      <x:c r="AD252" s="136" t="str">
        <x:v>Sucursal Villa María del concesionario New Holland; venta de equipos, repuestos y postventa.</x:v>
      </x:c>
      <x:c r="AE252" s="136" t="str">
        <x:v>Alta</x:v>
      </x:c>
      <x:c r="AF252" s="136" t="str">
        <x:v>Rastrillaje agro-maquinaria web 2026-09-07</x:v>
      </x:c>
      <x:c r="AG252" s="136" t="str">
        <x:v>plataforma 20 tn para maquinaria/implementos | hidrogrúa para maniobras | malacate | seguro de carga | trazabilidad GPS</x:v>
      </x:c>
      <x:c r="AH252" s="136" t="str">
        <x:v>fabricante/concesionario/servicio maquinaria agrícola</x:v>
      </x:c>
      <x:c r="AI252" s="136" t="str">
        <x:v>Sí</x:v>
      </x:c>
      <x:c r="AJ252" s="136" t="str">
        <x:v>Muy alta</x:v>
      </x:c>
      <x:c r="AK252" s="136" t="str">
        <x:v>Perfil específico maquinaria agrícola: validar pesos/dimensiones, tipo de carga y disponibilidad de medios de izaje antes de cotizar.</x:v>
      </x:c>
      <x:c r="AL252" s="136" t="str">
        <x:v>Rastrillaje agro-maquinaria 2026-09-07</x:v>
      </x:c>
      <x:c r="AM252" s="136" t="str">
        <x:v>Alta nueva luego de barrido específico de fabricantes, implementos, tractores, concesionarios y agropartes; cruzada contra la base maestra para evitar duplicados.</x:v>
      </x:c>
    </x:row>
    <x:row r="253">
      <x:c r="A253" s="136" t="str">
        <x:v>VM-045</x:v>
      </x:c>
      <x:c r="B253" s="136" t="str">
        <x:v>Pendiente</x:v>
      </x:c>
      <x:c r="C253" s="136" t="str">
        <x:v>Villa María / RP6</x:v>
      </x:c>
      <x:c r="D253" s="136" t="str">
        <x:v>Villa María / corredor agro</x:v>
      </x:c>
      <x:c r="E253" s="136" t="str">
        <x:v>Villa María</x:v>
      </x:c>
      <x:c r="F253" s="136" t="str">
        <x:v>A</x:v>
      </x:c>
      <x:c r="G253" s="136" t="n">
        <x:v>95</x:v>
      </x:c>
      <x:c r="H253" s="136" t="str">
        <x:v>Baumar S.A.S.</x:v>
      </x:c>
      <x:c r="I253" s="136" t="str">
        <x:v>Venta y alquiler de maquinaria agrícola y vial / LOVOL / XCMG</x:v>
      </x:c>
      <x:c r="J253" s="136" t="str">
        <x:v>Maquinaria agrícola</x:v>
      </x:c>
      <x:c r="K253" s="136" t="str">
        <x:v>+54 9 353 4014200</x:v>
      </x:c>
      <x:c r="L253" s="136" t="str">
        <x:v>OK</x:v>
      </x:c>
      <x:c r="M253" s="136" t="str">
        <x:v>logística / entregas / usados / postventa / gerente comercial</x:v>
      </x:c>
      <x:c r="N253" s="136" t="str">
        <x:v>Entrega y retiro de tractores, cosechadoras, pulverizadoras, sembradoras e implementos; movimientos por ventas, canjes, usados, service, demostraciones y ferias.</x:v>
      </x:c>
      <x:c r="O253" s="136" t="str">
        <x:v>Plataforma 20 tn para equipos e implementos + malacate/hidrogrúa según maniobra + seguro de carga + trazabilidad GPS + coordinación de entrega.</x:v>
      </x:c>
      <x:c r="P253" s="136" t="str">
        <x:v>Tercerizar entregas y retiros para no inmovilizar flota propia; absorber picos de campaña, ventas, canjes y service fuera de zona con un proveedor regional.</x:v>
      </x:c>
      <x:c r="Q253" s="136" t="str">
        <x:v>Llamada prioritaria; pedir por logística/ventas/postventa y consultar cómo resuelven hoy el próximo equipo a entregar o retirar.</x:v>
      </x:c>
      <x:c r="R253" s="136"/>
      <x:c r="S253" s="158" t="str">
        <x:f>IFERROR(T(INDEX('Prospectos Resumen'!$K$9:$K$295,MATCH(A253,'Prospectos Resumen'!$A$9:$A$295,0))),"")</x:f>
      </x:c>
      <x:c r="T253" s="136"/>
      <x:c r="U253" s="136"/>
      <x:c r="V253" s="136"/>
      <x:c r="W253" s="136"/>
      <x:c r="X253" s="136" t="str">
        <x:v>tel:+5493534014200</x:v>
      </x:c>
      <x:c r="Y253" s="136" t="str">
        <x:v>tel:+5493534014200</x:v>
      </x:c>
      <x:c r="Z253" s="136" t="str">
        <x:v>Confirmar decisor de logística/entregas y frecuencia mensual de movimientos de equipos.</x:v>
      </x:c>
      <x:c r="AA253" s="136" t="str">
        <x:v>https://www.google.com/maps/search/?api=1&amp;query=Baumar+S.A.S.+Villa+Mar%C3%ADa+C%C3%B3rdoba+Argentina</x:v>
      </x:c>
      <x:c r="AB253" s="136" t="str">
        <x:v>Web oficial Baumar</x:v>
      </x:c>
      <x:c r="AC253" s="136" t="str">
        <x:v>https://baumar.ar/</x:v>
      </x:c>
      <x:c r="AD253" s="136" t="str">
        <x:v>Villa María, Colectora AU9 km 561; vende maquinaria agrícola/vial y declara que gestiona el despacho y transporte de las unidades.</x:v>
      </x:c>
      <x:c r="AE253" s="136" t="str">
        <x:v>Alta</x:v>
      </x:c>
      <x:c r="AF253" s="136" t="str">
        <x:v>Rastrillaje concesionarios agro 2026-09-07</x:v>
      </x:c>
      <x:c r="AG253" s="136" t="str">
        <x:v>plataforma 20 tn para maquinaria agrícola | hidrogrúa para maniobras | malacate | seguro de carga | trazabilidad GPS | coordinación de entregas</x:v>
      </x:c>
      <x:c r="AH253" s="136" t="str">
        <x:v>concesionario agro / maquinaria agrícola</x:v>
      </x:c>
      <x:c r="AI253" s="136" t="str">
        <x:v>Sí</x:v>
      </x:c>
      <x:c r="AJ253" s="136" t="str">
        <x:v>Muy alta</x:v>
      </x:c>
      <x:c r="AK253" s="136" t="str">
        <x:v>Concesionario: preguntar específicamente cómo resuelven entregas, retiros de usados, canjes, service fuera de zona y traslados a exposiciones.</x:v>
      </x:c>
      <x:c r="AL253" s="136" t="str">
        <x:v>Rastrillaje concesionarios agro 2026-09-07</x:v>
      </x:c>
      <x:c r="AM253" s="136" t="str">
        <x:v>Alta nueva del barrido específico de concesionarios, sucursales y multimarca agro; cruzada contra la base maestra para evitar duplicados.</x:v>
      </x:c>
    </x:row>
    <x:row r="254">
      <x:c r="A254" s="136" t="str">
        <x:v>VM-038</x:v>
      </x:c>
      <x:c r="B254" s="136" t="str">
        <x:v>Pendiente</x:v>
      </x:c>
      <x:c r="C254" s="136" t="str">
        <x:v>Villa María / RP6</x:v>
      </x:c>
      <x:c r="D254" s="136" t="str">
        <x:v>Villa María / zona comercial-industrial</x:v>
      </x:c>
      <x:c r="E254" s="136" t="str">
        <x:v>Villa María</x:v>
      </x:c>
      <x:c r="F254" s="136" t="str">
        <x:v>A</x:v>
      </x:c>
      <x:c r="G254" s="136" t="n">
        <x:v>94</x:v>
      </x:c>
      <x:c r="H254" s="136" t="str">
        <x:v>RC Piscinas y Losetas</x:v>
      </x:c>
      <x:c r="I254" s="136" t="str">
        <x:v>Punto de venta Moldear / piscinas de fibra / losetas</x:v>
      </x:c>
      <x:c r="J254" s="136" t="str">
        <x:v>PRFV y plásticos</x:v>
      </x:c>
      <x:c r="K254" s="136" t="str">
        <x:v>0353 4236038</x:v>
      </x:c>
      <x:c r="L254" s="136" t="str">
        <x:v>OK</x:v>
      </x:c>
      <x:c r="M254" s="136" t="str">
        <x:v>logística / instalaciones / obras / ventas</x:v>
      </x:c>
      <x:c r="N254" s="136" t="str">
        <x:v>Entrega de piscinas de fibra desde depósito/franquicia hasta domicilio y apoyo de grúa cuando el casco debe superar medianeras, techos o accesos angostos.</x:v>
      </x:c>
      <x:c r="O254" s="136" t="str">
        <x:v>Flete de piscina PRFV + hidrogrúa para descarga/posicionamiento + coordinación con excavación e instalador + seguro de carga.</x:v>
      </x:c>
      <x:c r="P254" s="136" t="str">
        <x:v>Resolver la parte más crítica de la instalación —logística y maniobra— sin depender de proveedores distintos para camión y grúa.</x:v>
      </x:c>
      <x:c r="Q254" s="136" t="str">
        <x:v>Llamada prioritaria; pedir por responsable de logística/instalaciones/obras y consultar cómo resuelven hoy el flete y la hidrogrúa de cada casco.</x:v>
      </x:c>
      <x:c r="R254" s="136"/>
      <x:c r="S254" s="158" t="str">
        <x:f>IFERROR(T(INDEX('Prospectos Resumen'!$K$9:$K$295,MATCH(A254,'Prospectos Resumen'!$A$9:$A$295,0))),"")</x:f>
      </x:c>
      <x:c r="T254" s="136"/>
      <x:c r="U254" s="136"/>
      <x:c r="V254" s="136"/>
      <x:c r="W254" s="136"/>
      <x:c r="X254" s="136" t="str">
        <x:v>tel:+543534236038</x:v>
      </x:c>
      <x:c r="Y254" s="136" t="str">
        <x:v>tel:+543534236038</x:v>
      </x:c>
      <x:c r="Z254" s="136" t="str">
        <x:v>Confirmar decisor de logística/instalaciones y frecuencia mensual de entregas.</x:v>
      </x:c>
      <x:c r="AA254" s="136" t="str">
        <x:v>https://www.google.com/maps/search/?api=1&amp;query=RC+Piscinas+y+Losetas+Villa+Mar%C3%ADa+C%C3%B3rdoba+Argentina</x:v>
      </x:c>
      <x:c r="AB254" s="136" t="str">
        <x:v>Moldear</x:v>
      </x:c>
      <x:c r="AC254" s="136" t="str">
        <x:v>https://www.moldear.com.ar/cordoba/villa-maria/cordoba-villa-maria-rc-piscinas/</x:v>
      </x:c>
      <x:c r="AD254" s="136" t="str">
        <x:v>Punto de venta oficial Moldear en Villa María; comercializa piscinas, losetas y casillas de fibra de vidrio.</x:v>
      </x:c>
      <x:c r="AE254" s="136" t="str">
        <x:v>Alta</x:v>
      </x:c>
      <x:c r="AF254" s="136" t="str">
        <x:v>Rastrillaje piletas PRFV 2026-09-07</x:v>
      </x:c>
      <x:c r="AG254" s="136" t="str">
        <x:v>transporte especial de cascos PRFV | hidrogrúa para descarga y posicionamiento | coordinación de entrega con instalador | seguro de carga | trazabilidad GPS</x:v>
      </x:c>
      <x:c r="AH254" s="136" t="str">
        <x:v>piletas/plástico/PRFV</x:v>
      </x:c>
      <x:c r="AI254" s="136" t="str">
        <x:v>Sí</x:v>
      </x:c>
      <x:c r="AJ254" s="136" t="str">
        <x:v>Muy alta</x:v>
      </x:c>
      <x:c r="AK254" s="136" t="str">
        <x:v>Oportunidad de encaje directo: el casco es voluminoso y liviano; confirmar puntos de izaje, eslingado, radio de giro, obstáculos del lote y recomendaciones del fabricante antes de la maniobra.</x:v>
      </x:c>
      <x:c r="AL254" s="136" t="str">
        <x:v>Rastrillaje PRFV 2026-09-07</x:v>
      </x:c>
      <x:c r="AM254" s="136" t="str">
        <x:v>Alta nueva luego de barrido específico de fabricantes, franquicias y colocadores de piscinas de fibra; cruzada contra la base maestra para evitar duplicados.</x:v>
      </x:c>
    </x:row>
    <x:row r="255">
      <x:c r="A255" s="136" t="str">
        <x:v>VM-040</x:v>
      </x:c>
      <x:c r="B255" s="136" t="str">
        <x:v>Pendiente</x:v>
      </x:c>
      <x:c r="C255" s="136" t="str">
        <x:v>Villa María / RP6</x:v>
      </x:c>
      <x:c r="D255" s="136" t="str">
        <x:v>Villa María / zona comercial-industrial</x:v>
      </x:c>
      <x:c r="E255" s="136" t="str">
        <x:v>Villa María</x:v>
      </x:c>
      <x:c r="F255" s="136" t="str">
        <x:v>A</x:v>
      </x:c>
      <x:c r="G255" s="136" t="n">
        <x:v>90</x:v>
      </x:c>
      <x:c r="H255" s="136" t="str">
        <x:v>Indusplast Piscinas — Villa María</x:v>
      </x:c>
      <x:c r="I255" s="136" t="str">
        <x:v>Franquicia / piscinas de fibra de vidrio / instalación</x:v>
      </x:c>
      <x:c r="J255" s="136" t="str">
        <x:v>PRFV y plásticos</x:v>
      </x:c>
      <x:c r="K255" s="136" t="str">
        <x:v>0353 4520828 / +54 9 353 5668994</x:v>
      </x:c>
      <x:c r="L255" s="136" t="str">
        <x:v>Verificar</x:v>
      </x:c>
      <x:c r="M255" s="136" t="str">
        <x:v>logística / instalaciones / obras / ventas</x:v>
      </x:c>
      <x:c r="N255" s="136" t="str">
        <x:v>Entrega de piscinas de fibra desde depósito/franquicia hasta domicilio y apoyo de grúa cuando el casco debe superar medianeras, techos o accesos angostos.</x:v>
      </x:c>
      <x:c r="O255" s="136" t="str">
        <x:v>Flete de piscina PRFV + hidrogrúa para descarga/posicionamiento + coordinación con excavación e instalador + seguro de carga.</x:v>
      </x:c>
      <x:c r="P255" s="136" t="str">
        <x:v>Resolver la parte más crítica de la instalación —logística y maniobra— sin depender de proveedores distintos para camión y grúa.</x:v>
      </x:c>
      <x:c r="Q255" s="136" t="str">
        <x:v>Llamada prioritaria; pedir por responsable de logística/instalaciones/obras y consultar cómo resuelven hoy el flete y la hidrogrúa de cada casco.</x:v>
      </x:c>
      <x:c r="R255" s="136"/>
      <x:c r="S255" s="158" t="str">
        <x:f>IFERROR(T(INDEX('Prospectos Resumen'!$K$9:$K$295,MATCH(A255,'Prospectos Resumen'!$A$9:$A$295,0))),"")</x:f>
      </x:c>
      <x:c r="T255" s="136"/>
      <x:c r="U255" s="136"/>
      <x:c r="V255" s="136"/>
      <x:c r="W255" s="136"/>
      <x:c r="X255" s="136" t="str">
        <x:v>tel:+543534520828</x:v>
      </x:c>
      <x:c r="Y255" s="136" t="str">
        <x:v>tel:+543534520828</x:v>
      </x:c>
      <x:c r="Z255" s="136" t="str">
        <x:v>Validar teléfono directo, decisor y si la instalación/manipulación se realiza con equipo propio o tercerizado.</x:v>
      </x:c>
      <x:c r="AA255" s="136" t="str">
        <x:v>https://www.google.com/maps/search/?api=1&amp;query=Indusplast+Piscinas+%E2%80%94+Villa+Mar%C3%ADa+Villa+Mar%C3%ADa+C%C3%B3rdoba+Argentina</x:v>
      </x:c>
      <x:c r="AB255" s="136" t="str">
        <x:v>Indusplast / directorio comercial</x:v>
      </x:c>
      <x:c r="AC255" s="136" t="str">
        <x:v>https://ar.todosnegocios.com/indusplast-piscinas_9p-0353-452-0828</x:v>
      </x:c>
      <x:c r="AD255" s="136" t="str">
        <x:v>Punto Indusplast en Villa María; la marca fabrica piscinas de fibra de vidrio y opera mediante franquicias.</x:v>
      </x:c>
      <x:c r="AE255" s="136" t="str">
        <x:v>Media</x:v>
      </x:c>
      <x:c r="AF255" s="136" t="str">
        <x:v>Rastrillaje piletas PRFV 2026-09-07</x:v>
      </x:c>
      <x:c r="AG255" s="136" t="str">
        <x:v>transporte especial de cascos PRFV | hidrogrúa para descarga y posicionamiento | coordinación de entrega con instalador | seguro de carga | trazabilidad GPS</x:v>
      </x:c>
      <x:c r="AH255" s="136" t="str">
        <x:v>piletas/plástico/PRFV</x:v>
      </x:c>
      <x:c r="AI255" s="136" t="str">
        <x:v>Sí</x:v>
      </x:c>
      <x:c r="AJ255" s="136" t="str">
        <x:v>Alta</x:v>
      </x:c>
      <x:c r="AK255" s="136" t="str">
        <x:v>Oportunidad de encaje directo: el casco es voluminoso y liviano; confirmar puntos de izaje, eslingado, radio de giro, obstáculos del lote y recomendaciones del fabricante antes de la maniobra.</x:v>
      </x:c>
      <x:c r="AL255" s="136" t="str">
        <x:v>Rastrillaje PRFV 2026-09-07</x:v>
      </x:c>
      <x:c r="AM255" s="136" t="str">
        <x:v>Alta nueva luego de barrido específico de fabricantes, franquicias y colocadores de piscinas de fibra; cruzada contra la base maestra para evitar duplicados.</x:v>
      </x:c>
    </x:row>
    <x:row r="256">
      <x:c r="A256" s="136" t="str">
        <x:v>VM-022</x:v>
      </x:c>
      <x:c r="B256" s="136" t="str">
        <x:v>Pendiente</x:v>
      </x:c>
      <x:c r="C256" s="136" t="str">
        <x:v>Villa María / RP6</x:v>
      </x:c>
      <x:c r="D256" s="136" t="str">
        <x:v>Villa María</x:v>
      </x:c>
      <x:c r="E256" s="136" t="str">
        <x:v>Villa María</x:v>
      </x:c>
      <x:c r="F256" s="136" t="str">
        <x:v>A</x:v>
      </x:c>
      <x:c r="G256" s="136" t="n">
        <x:v>90</x:v>
      </x:c>
      <x:c r="H256" s="136" t="str">
        <x:v>Managro Implementos Agrícolas</x:v>
      </x:c>
      <x:c r="I256" s="136" t="str">
        <x:v>Venta de implementos agrícolas / representante Ascanelli</x:v>
      </x:c>
      <x:c r="J256" s="136" t="str">
        <x:v>Maquinaria agrícola</x:v>
      </x:c>
      <x:c r="K256" s="136" t="str">
        <x:v>A relevar</x:v>
      </x:c>
      <x:c r="L256" s="136" t="str">
        <x:v>A relevar</x:v>
      </x:c>
      <x:c r="M256" s="136" t="str">
        <x:v>logística / ventas / postventa</x:v>
      </x:c>
      <x:c r="N256" s="136" t="str">
        <x:v>Entrega y retiro de tractores, cosechadoras, pulverizadoras, sembradoras e implementos; movimientos por venta, service, canje, demostraciones o ferias.</x:v>
      </x:c>
      <x:c r="O256" s="136" t="str">
        <x:v>Plataforma 20 tn para maquinaria agrícola + malacate/hidrogrúa según maniobra + seguro de carga + trazabilidad GPS.</x:v>
      </x:c>
      <x:c r="P256" s="136" t="str">
        <x:v>Ofrecer transporte tercerizado para entregas a clientes y retiros de usados/service, especialmente en picos de campaña y operaciones fuera de zona.</x:v>
      </x:c>
      <x:c r="Q256" s="136" t="str">
        <x:v>Llamada comercial prioritaria; pedir por logística/ventas/postventa y consultar próximo equipo a trasladar.</x:v>
      </x:c>
      <x:c r="R256" s="136"/>
      <x:c r="S256" s="158" t="str">
        <x:f>IFERROR(T(INDEX('Prospectos Resumen'!$K$9:$K$295,MATCH(A256,'Prospectos Resumen'!$A$9:$A$295,0))),"")</x:f>
      </x:c>
      <x:c r="T256" s="136"/>
      <x:c r="U256" s="136"/>
      <x:c r="V256" s="136"/>
      <x:c r="W256" s="136"/>
      <x:c r="X256" s="136"/>
      <x:c r="Y256" s="136"/>
      <x:c r="Z256" s="136" t="str">
        <x:v>Relevar teléfono directo de ventas/logística y validar decisor.</x:v>
      </x:c>
      <x:c r="AA256" s="136" t="str">
        <x:v>https://www.google.com/maps/search/?api=1&amp;query=Managro+Implementos+Agr%C3%ADcolas+Villa+Mar%C3%ADa+C%C3%B3rdoba+Argentina</x:v>
      </x:c>
      <x:c r="AB256" s="136" t="str">
        <x:v>Prensa local / actividad comercial</x:v>
      </x:c>
      <x:c r="AC256" s="136" t="str">
        <x:v>https://www.google.com/maps/search/?api=1&amp;query=Managro+Implementos+Agr%C3%ADcolas+Villa+Mar%C3%ADa+C%C3%B3rdoba+Argentina</x:v>
      </x:c>
      <x:c r="AD256" s="136" t="str">
        <x:v>Firma local especializada en implementos; vinculada a comercialización de Ascanelli y maquinaria agrícola.</x:v>
      </x:c>
      <x:c r="AE256" s="136" t="str">
        <x:v>Media</x:v>
      </x:c>
      <x:c r="AF256" s="136" t="str">
        <x:v>Rastrillaje agro-maquinaria web 2026-09-07</x:v>
      </x:c>
      <x:c r="AG256" s="136" t="str">
        <x:v>plataforma 20 tn para maquinaria/implementos | hidrogrúa para maniobras | malacate | seguro de carga | trazabilidad GPS</x:v>
      </x:c>
      <x:c r="AH256" s="136" t="str">
        <x:v>fabricante/concesionario/servicio maquinaria agrícola</x:v>
      </x:c>
      <x:c r="AI256" s="136" t="str">
        <x:v>Sí</x:v>
      </x:c>
      <x:c r="AJ256" s="136" t="str">
        <x:v>Muy alta</x:v>
      </x:c>
      <x:c r="AK256" s="136" t="str">
        <x:v>Perfil específico maquinaria agrícola: validar pesos/dimensiones, tipo de carga y disponibilidad de medios de izaje antes de cotizar.</x:v>
      </x:c>
      <x:c r="AL256" s="136" t="str">
        <x:v>Rastrillaje agro-maquinaria 2026-09-07</x:v>
      </x:c>
      <x:c r="AM256" s="136" t="str">
        <x:v>Alta nueva luego de barrido específico de fabricantes, implementos, tractores, concesionarios y agropartes; cruzada contra la base maestra para evitar duplicados.</x:v>
      </x:c>
    </x:row>
    <x:row r="257">
      <x:c r="A257" s="136" t="str">
        <x:v>VM-033</x:v>
      </x:c>
      <x:c r="B257" s="136" t="str">
        <x:v>Pendiente</x:v>
      </x:c>
      <x:c r="C257" s="136" t="str">
        <x:v>Villa María / RP6</x:v>
      </x:c>
      <x:c r="D257" s="136" t="str">
        <x:v>Villa María</x:v>
      </x:c>
      <x:c r="E257" s="136" t="str">
        <x:v>Villa María</x:v>
      </x:c>
      <x:c r="F257" s="136" t="str">
        <x:v>A</x:v>
      </x:c>
      <x:c r="G257" s="136" t="n">
        <x:v>90</x:v>
      </x:c>
      <x:c r="H257" s="136" t="str">
        <x:v>Metalfor — Villa María</x:v>
      </x:c>
      <x:c r="I257" s="136" t="str">
        <x:v>Fabricante/comercializador de maquinaria agrícola y pulverización</x:v>
      </x:c>
      <x:c r="J257" s="136" t="str">
        <x:v>Maquinaria agrícola</x:v>
      </x:c>
      <x:c r="K257" s="136" t="str">
        <x:v>0353 4614731</x:v>
      </x:c>
      <x:c r="L257" s="136" t="str">
        <x:v>Verificar</x:v>
      </x:c>
      <x:c r="M257" s="136" t="str">
        <x:v>logística / ventas / postventa</x:v>
      </x:c>
      <x:c r="N257" s="136" t="str">
        <x:v>Entrega y retiro de tractores, cosechadoras, pulverizadoras, sembradoras e implementos; movimientos por venta, service, canje, demostraciones o ferias.</x:v>
      </x:c>
      <x:c r="O257" s="136" t="str">
        <x:v>Plataforma 20 tn para maquinaria agrícola + malacate/hidrogrúa según maniobra + seguro de carga + trazabilidad GPS.</x:v>
      </x:c>
      <x:c r="P257" s="136" t="str">
        <x:v>Ofrecer transporte tercerizado para entregas a clientes y retiros de usados/service, especialmente en picos de campaña y operaciones fuera de zona.</x:v>
      </x:c>
      <x:c r="Q257" s="136" t="str">
        <x:v>Llamada comercial prioritaria; pedir por logística/ventas/postventa y consultar próximo equipo a trasladar.</x:v>
      </x:c>
      <x:c r="R257" s="136"/>
      <x:c r="S257" s="158" t="str">
        <x:f>IFERROR(T(INDEX('Prospectos Resumen'!$K$9:$K$295,MATCH(A257,'Prospectos Resumen'!$A$9:$A$295,0))),"")</x:f>
      </x:c>
      <x:c r="T257" s="136"/>
      <x:c r="U257" s="136"/>
      <x:c r="V257" s="136"/>
      <x:c r="W257" s="136"/>
      <x:c r="X257" s="136" t="str">
        <x:v>tel:+543534614731</x:v>
      </x:c>
      <x:c r="Y257" s="136" t="str">
        <x:v>tel:+543534614731</x:v>
      </x:c>
      <x:c r="Z257" s="136" t="str">
        <x:v>Confirmar teléfono, decisor y vigencia del punto de venta.</x:v>
      </x:c>
      <x:c r="AA257" s="136" t="str">
        <x:v>https://www.google.com/maps/search/?api=1&amp;query=Metalfor+%E2%80%94+Villa+Mar%C3%ADa+Villa+Mar%C3%ADa+C%C3%B3rdoba+Argentina</x:v>
      </x:c>
      <x:c r="AB257" s="136" t="str">
        <x:v>Directorio comercial Villa María / marca Metalfor</x:v>
      </x:c>
      <x:c r="AC257" s="136" t="str">
        <x:v>https://buscador5900.com.ar/agro/equipamiento/maquinaria-agricola-y-repuestos</x:v>
      </x:c>
      <x:c r="AD257" s="136" t="str">
        <x:v>Punto comercial Metalfor en Villa María; perfil directo de maquinaria agrícola de gran porte.</x:v>
      </x:c>
      <x:c r="AE257" s="136" t="str">
        <x:v>Media</x:v>
      </x:c>
      <x:c r="AF257" s="136" t="str">
        <x:v>Rastrillaje agro-maquinaria web 2026-09-07</x:v>
      </x:c>
      <x:c r="AG257" s="136" t="str">
        <x:v>plataforma 20 tn para maquinaria/implementos | hidrogrúa para maniobras | malacate | seguro de carga | trazabilidad GPS</x:v>
      </x:c>
      <x:c r="AH257" s="136" t="str">
        <x:v>fabricante/concesionario/servicio maquinaria agrícola</x:v>
      </x:c>
      <x:c r="AI257" s="136" t="str">
        <x:v>Sí</x:v>
      </x:c>
      <x:c r="AJ257" s="136" t="str">
        <x:v>Muy alta</x:v>
      </x:c>
      <x:c r="AK257" s="136" t="str">
        <x:v>Perfil específico maquinaria agrícola: validar pesos/dimensiones, tipo de carga y disponibilidad de medios de izaje antes de cotizar.</x:v>
      </x:c>
      <x:c r="AL257" s="136" t="str">
        <x:v>Rastrillaje agro-maquinaria 2026-09-07</x:v>
      </x:c>
      <x:c r="AM257" s="136" t="str">
        <x:v>Alta nueva luego de barrido específico de fabricantes, implementos, tractores, concesionarios y agropartes; cruzada contra la base maestra para evitar duplicados.</x:v>
      </x:c>
    </x:row>
    <x:row r="258">
      <x:c r="A258" s="136" t="str">
        <x:v>VM-042</x:v>
      </x:c>
      <x:c r="B258" s="136" t="str">
        <x:v>Pendiente</x:v>
      </x:c>
      <x:c r="C258" s="136" t="str">
        <x:v>Villa María / RP6</x:v>
      </x:c>
      <x:c r="D258" s="136" t="str">
        <x:v>Villa María / corredor agro</x:v>
      </x:c>
      <x:c r="E258" s="136" t="str">
        <x:v>Villa María</x:v>
      </x:c>
      <x:c r="F258" s="136" t="str">
        <x:v>A</x:v>
      </x:c>
      <x:c r="G258" s="136" t="n">
        <x:v>90</x:v>
      </x:c>
      <x:c r="H258" s="136" t="str">
        <x:v>VM Agrícola</x:v>
      </x:c>
      <x:c r="I258" s="136" t="str">
        <x:v>Concesionaria de maquinaria agrícola nueva/usada / tractores y cosechadoras</x:v>
      </x:c>
      <x:c r="J258" s="136" t="str">
        <x:v>Maquinaria agrícola</x:v>
      </x:c>
      <x:c r="K258" s="136" t="str">
        <x:v>0353 5695760</x:v>
      </x:c>
      <x:c r="L258" s="136" t="str">
        <x:v>OK</x:v>
      </x:c>
      <x:c r="M258" s="136" t="str">
        <x:v>logística / entregas / usados / ventas</x:v>
      </x:c>
      <x:c r="N258" s="136" t="str">
        <x:v>Entrega y retiro de tractores, cosechadoras, sembradoras e implementos nuevos/usados; movimientos por ventas y canjes.</x:v>
      </x:c>
      <x:c r="O258" s="136" t="str">
        <x:v>Plataforma 20 tn para maquinaria + malacate/hidrogrúa según maniobra + seguro/GPS + coordinación de entrega.</x:v>
      </x:c>
      <x:c r="P258" s="136" t="str">
        <x:v>Tercerizar entregas y retiros de usados para ampliar radio comercial sin inmovilizar flota propia.</x:v>
      </x:c>
      <x:c r="Q258" s="136" t="str">
        <x:v>Llamar a ventas/logística y pedir el próximo equipo vendido o usado a retirar para cotizar.</x:v>
      </x:c>
      <x:c r="R258" s="136"/>
      <x:c r="S258" s="158" t="str">
        <x:f>IFERROR(T(INDEX('Prospectos Resumen'!$K$9:$K$295,MATCH(A258,'Prospectos Resumen'!$A$9:$A$295,0))),"")</x:f>
      </x:c>
      <x:c r="T258" s="136"/>
      <x:c r="U258" s="136"/>
      <x:c r="V258" s="136"/>
      <x:c r="W258" s="136"/>
      <x:c r="X258" s="136"/>
      <x:c r="Y258" s="136"/>
      <x:c r="Z258" s="136" t="str">
        <x:v>Confirmar decisor y frecuencia de entregas/retiros.</x:v>
      </x:c>
      <x:c r="AA258" s="136" t="str">
        <x:v>https://www.google.com/maps/search/?api=1&amp;query=VM+Agr%C3%ADcola+Villa+Mar%C3%ADa+C%C3%B3rdoba+Argentina</x:v>
      </x:c>
      <x:c r="AB258" s="136" t="str">
        <x:v>Agroads / ficha comercial Villa María</x:v>
      </x:c>
      <x:c r="AC258" s="136" t="str">
        <x:v>https://www.agroads.com.ar/e/vm-agricola/</x:v>
      </x:c>
      <x:c r="AD258" s="136" t="str">
        <x:v>Concesionaria de Villa María con oferta de tractores, cosechadoras, sembradoras y maquinaria usada.</x:v>
      </x:c>
      <x:c r="AE258" s="136" t="str">
        <x:v>Alta</x:v>
      </x:c>
      <x:c r="AF258" s="136" t="str">
        <x:v>Rastrillaje agro-maquinaria web 2026-09-07</x:v>
      </x:c>
      <x:c r="AG258" s="136" t="str">
        <x:v>plataforma 20 tn para maquinaria/implementos | hidrogrúa para maniobras | malacate | seguro de carga | trazabilidad GPS</x:v>
      </x:c>
      <x:c r="AH258" s="136" t="str">
        <x:v>concesionario agro / maquinaria agrícola</x:v>
      </x:c>
      <x:c r="AI258" s="136" t="str">
        <x:v>Sí</x:v>
      </x:c>
      <x:c r="AJ258" s="136" t="str">
        <x:v>Muy alta</x:v>
      </x:c>
      <x:c r="AK258" s="136" t="str">
        <x:v>Perfil específico maquinaria agrícola: validar pesos/dimensiones, tipo de carga y disponibilidad de medios de izaje antes de cotizar.</x:v>
      </x:c>
      <x:c r="AL258" s="136" t="str">
        <x:v>Corrección rastrillaje concesionarios agro 2026-09-07</x:v>
      </x:c>
      <x:c r="AM258" s="136" t="str">
        <x:v>Se corrige ciudad: el registro previo figuraba en Berrotarán; la evidencia comercial ubica a VM Agrícola en Villa María.</x:v>
      </x:c>
    </x:row>
    <x:row r="259">
      <x:c r="A259" s="136" t="str">
        <x:v>VM-041</x:v>
      </x:c>
      <x:c r="B259" s="136" t="str">
        <x:v>Pendiente</x:v>
      </x:c>
      <x:c r="C259" s="136" t="str">
        <x:v>Villa María / RP6</x:v>
      </x:c>
      <x:c r="D259" s="136" t="str">
        <x:v>Villa María / zona comercial-industrial</x:v>
      </x:c>
      <x:c r="E259" s="136" t="str">
        <x:v>Villa María</x:v>
      </x:c>
      <x:c r="F259" s="136" t="str">
        <x:v>A</x:v>
      </x:c>
      <x:c r="G259" s="136" t="n">
        <x:v>88</x:v>
      </x:c>
      <x:c r="H259" s="136" t="str">
        <x:v>IPC Pools — Villa María</x:v>
      </x:c>
      <x:c r="I259" s="136" t="str">
        <x:v>Contratista / piscinas PRFV / instalación</x:v>
      </x:c>
      <x:c r="J259" s="136" t="str">
        <x:v>PRFV y plásticos</x:v>
      </x:c>
      <x:c r="K259" s="136" t="str">
        <x:v>0353 5637879 / 0353 4913814</x:v>
      </x:c>
      <x:c r="L259" s="136" t="str">
        <x:v>Verificar</x:v>
      </x:c>
      <x:c r="M259" s="136" t="str">
        <x:v>logística / instalaciones / obras / ventas</x:v>
      </x:c>
      <x:c r="N259" s="136" t="str">
        <x:v>Traslado del casco PRFV hasta la obra y maniobra de descarga/posicionamiento dentro del lote, muchas veces sobre medianeras o con acceso limitado.</x:v>
      </x:c>
      <x:c r="O259" s="136" t="str">
        <x:v>Transporte del casco PRFV + hidrogrúa para colocación precisa en patio/excavación + coordinación horaria con equipo de instalación + seguro/GPS.</x:v>
      </x:c>
      <x:c r="P259" s="136" t="str">
        <x:v>Ofrecer un servicio llave en mano de logística para que el instalador pueda concentrarse en excavación, nivelación y conexiones, dejando transporte y grúa en manos de PRESOL.</x:v>
      </x:c>
      <x:c r="Q259" s="136" t="str">
        <x:v>Llamada prioritaria; pedir por responsable de logística/instalaciones/obras y consultar cómo resuelven hoy el flete y la hidrogrúa de cada casco.</x:v>
      </x:c>
      <x:c r="R259" s="136"/>
      <x:c r="S259" s="158" t="str">
        <x:f>IFERROR(T(INDEX('Prospectos Resumen'!$K$9:$K$295,MATCH(A259,'Prospectos Resumen'!$A$9:$A$295,0))),"")</x:f>
      </x:c>
      <x:c r="T259" s="136"/>
      <x:c r="U259" s="136"/>
      <x:c r="V259" s="136"/>
      <x:c r="W259" s="136"/>
      <x:c r="X259" s="136" t="str">
        <x:v>tel:+543535637879</x:v>
      </x:c>
      <x:c r="Y259" s="136" t="str">
        <x:v>tel:+543535637879</x:v>
      </x:c>
      <x:c r="Z259" s="136" t="str">
        <x:v>Validar teléfono directo, decisor y si la instalación/manipulación se realiza con equipo propio o tercerizado.</x:v>
      </x:c>
      <x:c r="AA259" s="136" t="str">
        <x:v>https://www.google.com/maps/search/?api=1&amp;query=IPC+Pools+%E2%80%94+Villa+Mar%C3%ADa+Villa+Mar%C3%ADa+C%C3%B3rdoba+Argentina</x:v>
      </x:c>
      <x:c r="AB259" s="136" t="str">
        <x:v>Directorio comercial / IPC Pools</x:v>
      </x:c>
      <x:c r="AC259" s="136" t="str">
        <x:v>https://ar.todosnegocios.com/ipc-pools-villa-mar%C3%ADa-0353-563-7879</x:v>
      </x:c>
      <x:c r="AD259" s="136" t="str">
        <x:v>Sucursal IPC Pools en Villa María; figura como contratista de piscinas y cuenta con canales comerciales propios.</x:v>
      </x:c>
      <x:c r="AE259" s="136" t="str">
        <x:v>Media</x:v>
      </x:c>
      <x:c r="AF259" s="136" t="str">
        <x:v>Rastrillaje piletas PRFV 2026-09-07</x:v>
      </x:c>
      <x:c r="AG259" s="136" t="str">
        <x:v>transporte especial de cascos PRFV | hidrogrúa para descarga y posicionamiento | coordinación de entrega con instalador | seguro de carga | trazabilidad GPS</x:v>
      </x:c>
      <x:c r="AH259" s="136" t="str">
        <x:v>piletas/plástico/PRFV</x:v>
      </x:c>
      <x:c r="AI259" s="136" t="str">
        <x:v>Sí</x:v>
      </x:c>
      <x:c r="AJ259" s="136" t="str">
        <x:v>Alta</x:v>
      </x:c>
      <x:c r="AK259" s="136" t="str">
        <x:v>Oportunidad de encaje directo: el casco es voluminoso y liviano; confirmar puntos de izaje, eslingado, radio de giro, obstáculos del lote y recomendaciones del fabricante antes de la maniobra.</x:v>
      </x:c>
      <x:c r="AL259" s="136" t="str">
        <x:v>Rastrillaje PRFV 2026-09-07</x:v>
      </x:c>
      <x:c r="AM259" s="136" t="str">
        <x:v>Alta nueva luego de barrido específico de fabricantes, franquicias y colocadores de piscinas de fibra; cruzada contra la base maestra para evitar duplicados.</x:v>
      </x:c>
    </x:row>
    <x:row r="260">
      <x:c r="A260" s="136" t="str">
        <x:v>VM-030</x:v>
      </x:c>
      <x:c r="B260" s="136" t="str">
        <x:v>Pendiente</x:v>
      </x:c>
      <x:c r="C260" s="136" t="str">
        <x:v>Villa María / RP6</x:v>
      </x:c>
      <x:c r="D260" s="136" t="str">
        <x:v>Villa María</x:v>
      </x:c>
      <x:c r="E260" s="136" t="str">
        <x:v>Villa María</x:v>
      </x:c>
      <x:c r="F260" s="136" t="str">
        <x:v>A</x:v>
      </x:c>
      <x:c r="G260" s="136" t="n">
        <x:v>88</x:v>
      </x:c>
      <x:c r="H260" s="136" t="str">
        <x:v>MW Agropartes</x:v>
      </x:c>
      <x:c r="I260" s="136" t="str">
        <x:v>Fabricante de agropartes e implementos para siembra/fertilización</x:v>
      </x:c>
      <x:c r="J260" s="136" t="str">
        <x:v>Maquinaria agrícola</x:v>
      </x:c>
      <x:c r="K260" s="136" t="str">
        <x:v>+54 9 353 4232403</x:v>
      </x:c>
      <x:c r="L260" s="136" t="str">
        <x:v>OK</x:v>
      </x:c>
      <x:c r="M260" s="136" t="str">
        <x:v>logística / ventas / postventa</x:v>
      </x:c>
      <x:c r="N260" s="136" t="str">
        <x:v>Despacho de implementos, tolvas, sembradoras, estructuras, equipos terminados y componentes de gran porte hacia concesionarios, clientes, ferias o campo.</x:v>
      </x:c>
      <x:c r="O260" s="136" t="str">
        <x:v>Plataforma 20 tn para maquinaria/implementos + malacate e hidrogrúa según maniobra + seguro de carga + trazabilidad GPS.</x:v>
      </x:c>
      <x:c r="P260" s="136" t="str">
        <x:v>Proponer a PRESOL como transporte tercerizado para entregas, picos de producción, ferias y movimientos especiales sin inmovilizar flota propia.</x:v>
      </x:c>
      <x:c r="Q260" s="136" t="str">
        <x:v>Llamada comercial prioritaria; pedir por logística/ventas/postventa y consultar próximo equipo a trasladar.</x:v>
      </x:c>
      <x:c r="R260" s="136"/>
      <x:c r="S260" s="158" t="str">
        <x:f>IFERROR(T(INDEX('Prospectos Resumen'!$K$9:$K$295,MATCH(A260,'Prospectos Resumen'!$A$9:$A$295,0))),"")</x:f>
      </x:c>
      <x:c r="T260" s="136"/>
      <x:c r="U260" s="136"/>
      <x:c r="V260" s="136"/>
      <x:c r="W260" s="136"/>
      <x:c r="X260" s="136" t="str">
        <x:v>tel:+5493534232403</x:v>
      </x:c>
      <x:c r="Y260" s="136" t="str">
        <x:v>tel:+5493534232403</x:v>
      </x:c>
      <x:c r="Z260" s="136" t="str">
        <x:v>Confirmar decisor y frecuencia de traslados.</x:v>
      </x:c>
      <x:c r="AA260" s="136" t="str">
        <x:v>https://www.google.com/maps/search/?api=1&amp;query=MW+Agropartes+Villa+Mar%C3%ADa+C%C3%B3rdoba+Argentina</x:v>
      </x:c>
      <x:c r="AB260" s="136" t="str">
        <x:v>Web oficial MW Agropartes</x:v>
      </x:c>
      <x:c r="AC260" s="136" t="str">
        <x:v>https://mwagropartes.com.ar/</x:v>
      </x:c>
      <x:c r="AD260" s="136" t="str">
        <x:v>Fabricante local de agropartes para sembradoras y desarrollos propios de implementos; despachos a todo el país.</x:v>
      </x:c>
      <x:c r="AE260" s="136" t="str">
        <x:v>Alta</x:v>
      </x:c>
      <x:c r="AF260" s="136" t="str">
        <x:v>Rastrillaje agro-maquinaria web 2026-09-07</x:v>
      </x:c>
      <x:c r="AG260" s="136" t="str">
        <x:v>plataforma 20 tn para maquinaria/implementos | hidrogrúa para maniobras | malacate | seguro de carga | trazabilidad GPS</x:v>
      </x:c>
      <x:c r="AH260" s="136" t="str">
        <x:v>fabricante/concesionario/servicio maquinaria agrícola</x:v>
      </x:c>
      <x:c r="AI260" s="136" t="str">
        <x:v>Sí</x:v>
      </x:c>
      <x:c r="AJ260" s="136" t="str">
        <x:v>Alta</x:v>
      </x:c>
      <x:c r="AK260" s="136" t="str">
        <x:v>Perfil específico maquinaria agrícola: validar pesos/dimensiones, tipo de carga y disponibilidad de medios de izaje antes de cotizar.</x:v>
      </x:c>
      <x:c r="AL260" s="136" t="str">
        <x:v>Rastrillaje agro-maquinaria 2026-09-07</x:v>
      </x:c>
      <x:c r="AM260" s="136" t="str">
        <x:v>Alta nueva luego de barrido específico de fabricantes, implementos, tractores, concesionarios y agropartes; cruzada contra la base maestra para evitar duplicados.</x:v>
      </x:c>
    </x:row>
    <x:row r="261">
      <x:c r="A261" s="136" t="str">
        <x:v>VM-035</x:v>
      </x:c>
      <x:c r="B261" s="136" t="str">
        <x:v>Pendiente</x:v>
      </x:c>
      <x:c r="C261" s="136" t="str">
        <x:v>Villa María / RP6</x:v>
      </x:c>
      <x:c r="D261" s="136" t="str">
        <x:v>Villa María</x:v>
      </x:c>
      <x:c r="E261" s="136" t="str">
        <x:v>Villa María</x:v>
      </x:c>
      <x:c r="F261" s="136" t="str">
        <x:v>A</x:v>
      </x:c>
      <x:c r="G261" s="136" t="n">
        <x:v>85</x:v>
      </x:c>
      <x:c r="H261" s="136" t="str">
        <x:v>PLA Centro de Distribuciones — Villa María</x:v>
      </x:c>
      <x:c r="I261" s="136" t="str">
        <x:v>Pulverizadoras / maquinaria agrícola / distribución</x:v>
      </x:c>
      <x:c r="J261" s="136" t="str">
        <x:v>Maquinaria agrícola</x:v>
      </x:c>
      <x:c r="K261" s="136" t="str">
        <x:v>0353 4614161</x:v>
      </x:c>
      <x:c r="L261" s="136" t="str">
        <x:v>Verificar</x:v>
      </x:c>
      <x:c r="M261" s="136" t="str">
        <x:v>logística / ventas / postventa</x:v>
      </x:c>
      <x:c r="N261" s="136" t="str">
        <x:v>Entrega y retiro de tractores, cosechadoras, pulverizadoras, sembradoras e implementos; movimientos por venta, service, canje, demostraciones o ferias.</x:v>
      </x:c>
      <x:c r="O261" s="136" t="str">
        <x:v>Plataforma 20 tn para maquinaria agrícola + malacate/hidrogrúa según maniobra + seguro de carga + trazabilidad GPS.</x:v>
      </x:c>
      <x:c r="P261" s="136" t="str">
        <x:v>Ofrecer transporte tercerizado para entregas a clientes y retiros de usados/service, especialmente en picos de campaña y operaciones fuera de zona.</x:v>
      </x:c>
      <x:c r="Q261" s="136" t="str">
        <x:v>Llamada comercial prioritaria; pedir por logística/ventas/postventa y consultar próximo equipo a trasladar.</x:v>
      </x:c>
      <x:c r="R261" s="136"/>
      <x:c r="S261" s="158" t="str">
        <x:f>IFERROR(T(INDEX('Prospectos Resumen'!$K$9:$K$295,MATCH(A261,'Prospectos Resumen'!$A$9:$A$295,0))),"")</x:f>
      </x:c>
      <x:c r="T261" s="136"/>
      <x:c r="U261" s="136"/>
      <x:c r="V261" s="136"/>
      <x:c r="W261" s="136"/>
      <x:c r="X261" s="136" t="str">
        <x:v>tel:+543534614161</x:v>
      </x:c>
      <x:c r="Y261" s="136" t="str">
        <x:v>tel:+543534614161</x:v>
      </x:c>
      <x:c r="Z261" s="136" t="str">
        <x:v>Confirmar teléfono, decisor y vigencia del punto de venta.</x:v>
      </x:c>
      <x:c r="AA261" s="136" t="str">
        <x:v>https://www.google.com/maps/search/?api=1&amp;query=PLA+Centro+de+Distribuciones+%E2%80%94+Villa+Mar%C3%ADa+Villa+Mar%C3%ADa+C%C3%B3rdoba+Argentina</x:v>
      </x:c>
      <x:c r="AB261" s="136" t="str">
        <x:v>Directorio comercial Villa María</x:v>
      </x:c>
      <x:c r="AC261" s="136" t="str">
        <x:v>https://buscador5900.com.ar/agro/equipamiento/maquinaria-agricola-y-repuestos</x:v>
      </x:c>
      <x:c r="AD261" s="136" t="str">
        <x:v>Centro de distribución PLA en Villa María; potencial de movimientos de pulverizadoras/equipos.</x:v>
      </x:c>
      <x:c r="AE261" s="136" t="str">
        <x:v>Media</x:v>
      </x:c>
      <x:c r="AF261" s="136" t="str">
        <x:v>Rastrillaje agro-maquinaria web 2026-09-07</x:v>
      </x:c>
      <x:c r="AG261" s="136" t="str">
        <x:v>plataforma 20 tn para maquinaria/implementos | hidrogrúa para maniobras | malacate | seguro de carga | trazabilidad GPS</x:v>
      </x:c>
      <x:c r="AH261" s="136" t="str">
        <x:v>fabricante/concesionario/servicio maquinaria agrícola</x:v>
      </x:c>
      <x:c r="AI261" s="136" t="str">
        <x:v>Sí</x:v>
      </x:c>
      <x:c r="AJ261" s="136" t="str">
        <x:v>Alta</x:v>
      </x:c>
      <x:c r="AK261" s="136" t="str">
        <x:v>Perfil específico maquinaria agrícola: validar pesos/dimensiones, tipo de carga y disponibilidad de medios de izaje antes de cotizar.</x:v>
      </x:c>
      <x:c r="AL261" s="136" t="str">
        <x:v>Rastrillaje agro-maquinaria 2026-09-07</x:v>
      </x:c>
      <x:c r="AM261" s="136" t="str">
        <x:v>Alta nueva luego de barrido específico de fabricantes, implementos, tractores, concesionarios y agropartes; cruzada contra la base maestra para evitar duplicados.</x:v>
      </x:c>
    </x:row>
    <x:row r="262">
      <x:c r="A262" s="136" t="str">
        <x:v>VM-005</x:v>
      </x:c>
      <x:c r="B262" s="136" t="str">
        <x:v>Pendiente</x:v>
      </x:c>
      <x:c r="C262" s="136" t="str">
        <x:v>Villa María / RP6</x:v>
      </x:c>
      <x:c r="D262" s="136" t="str">
        <x:v>PILT Villa María</x:v>
      </x:c>
      <x:c r="E262" s="136" t="str">
        <x:v>Villa María</x:v>
      </x:c>
      <x:c r="F262" s="136" t="str">
        <x:v>A</x:v>
      </x:c>
      <x:c r="G262" s="136" t="n">
        <x:v>85</x:v>
      </x:c>
      <x:c r="H262" s="136" t="str">
        <x:v>Terramar Logística SRL / Terminal Villa María</x:v>
      </x:c>
      <x:c r="I262" s="136" t="str">
        <x:v>Terminal de contenedores / logística</x:v>
      </x:c>
      <x:c r="J262" s="136" t="str">
        <x:v>Módulos y contenedores</x:v>
      </x:c>
      <x:c r="K262" s="136" t="str">
        <x:v>0353 4533821</x:v>
      </x:c>
      <x:c r="L262" s="136" t="str">
        <x:v>Verificar</x:v>
      </x:c>
      <x:c r="M262" s="136" t="str">
        <x:v>operaciones terminal / logística</x:v>
      </x:c>
      <x:c r="N262" s="136" t="str">
        <x:v>Entrega, descarga y posicionamiento de módulos/containers en obra o cliente final.</x:v>
      </x:c>
      <x:c r="O262" s="136" t="str">
        <x:v>Plataforma + malacate + hidrogrúa para retiro, traslado, descarga y posicionamiento.</x:v>
      </x:c>
      <x:c r="P262" s="136" t="str">
        <x:v>Terminal interior de contenedores: oportunidad para traslados, entrega, retiro y apoyo de maniobras.</x:v>
      </x:c>
      <x:c r="Q262" s="136" t="str">
        <x:v>Validar teléfono/contacto; si responde, pedir un caso concreto de traslado o próximo movimiento.</x:v>
      </x:c>
      <x:c r="R262" s="136"/>
      <x:c r="S262" s="158" t="str">
        <x:f>IFERROR(T(INDEX('Prospectos Resumen'!$K$9:$K$295,MATCH(A262,'Prospectos Resumen'!$A$9:$A$295,0))),"")</x:f>
      </x:c>
      <x:c r="T262" s="136"/>
      <x:c r="U262" s="136"/>
      <x:c r="V262" s="136"/>
      <x:c r="W262" s="136"/>
      <x:c r="X262" s="136" t="str">
        <x:v>tel:+543534533821</x:v>
      </x:c>
      <x:c r="Y262" s="136" t="str">
        <x:v>tel:+543534533821</x:v>
      </x:c>
      <x:c r="Z262" s="136" t="str">
        <x:v>Confirmar decisor y vigencia del dato antes de incluir en salida prioritaria.</x:v>
      </x:c>
      <x:c r="AA262" s="136" t="str">
        <x:v>https://www.google.com/maps/search/?api=1&amp;query=Terramar+Log%C3%ADstica+SRL+%2F+Terminal+Villa+Mar%C3%ADa+Villa+Mar%C3%ADa+C%C3%B3rdoba+Argentina</x:v>
      </x:c>
      <x:c r="AB262" s="136" t="str">
        <x:v>Web Terramar / resultado de búsqueda</x:v>
      </x:c>
      <x:c r="AC262" s="136" t="str">
        <x:v>https://www.terramarlogistica.com.ar/contenedoresvillamaria</x:v>
      </x:c>
      <x:c r="AD262" s="136" t="str">
        <x:v>Sitio informa recepción, administración, reparación y entrega de contenedores en PILT; teléfono aparece en resultado público.</x:v>
      </x:c>
      <x:c r="AE262" s="136" t="str">
        <x:v>Media</x:v>
      </x:c>
      <x:c r="AF262" s="136" t="str">
        <x:v>Nuevo enriquecimiento 2026-09-02</x:v>
      </x:c>
      <x:c r="AG262" s="136" t="str">
        <x:v>transporte de áridos/materiales | hidrogrúa para carga/descarga | percha para pallets/bolsones</x:v>
      </x:c>
      <x:c r="AH262" s="136" t="str">
        <x:v>otro rubro factible</x:v>
      </x:c>
      <x:c r="AI262" s="136"/>
      <x:c r="AJ262" s="136" t="str">
        <x:v>Muy alta</x:v>
      </x:c>
      <x:c r="AK262" s="136"/>
      <x:c r="AL262" s="136" t="str">
        <x:v>GPT adjunto + Hermes</x:v>
      </x:c>
      <x:c r="AM262" s="136" t="str">
        <x:v>Fusionado con base Hermes para completar teléfonos/fuentes/servicios.</x:v>
      </x:c>
    </x:row>
    <x:row r="263">
      <x:c r="A263" s="136" t="str">
        <x:v>VM-034</x:v>
      </x:c>
      <x:c r="B263" s="136" t="str">
        <x:v>Pendiente</x:v>
      </x:c>
      <x:c r="C263" s="136" t="str">
        <x:v>Villa María / RP6</x:v>
      </x:c>
      <x:c r="D263" s="136" t="str">
        <x:v>Villa María</x:v>
      </x:c>
      <x:c r="E263" s="136" t="str">
        <x:v>Villa María</x:v>
      </x:c>
      <x:c r="F263" s="136" t="str">
        <x:v>A</x:v>
      </x:c>
      <x:c r="G263" s="136" t="n">
        <x:v>82</x:v>
      </x:c>
      <x:c r="H263" s="136" t="str">
        <x:v>Ombú Máquinas Agrícolas — Villa María</x:v>
      </x:c>
      <x:c r="I263" s="136" t="str">
        <x:v>Maquinaria e implementos agrícolas</x:v>
      </x:c>
      <x:c r="J263" s="136" t="str">
        <x:v>Maquinaria agrícola</x:v>
      </x:c>
      <x:c r="K263" s="136" t="str">
        <x:v>A relevar</x:v>
      </x:c>
      <x:c r="L263" s="136" t="str">
        <x:v>A relevar</x:v>
      </x:c>
      <x:c r="M263" s="136" t="str">
        <x:v>logística / ventas / postventa</x:v>
      </x:c>
      <x:c r="N263" s="136" t="str">
        <x:v>Entrega y retiro de tractores, cosechadoras, pulverizadoras, sembradoras e implementos; movimientos por venta, service, canje, demostraciones o ferias.</x:v>
      </x:c>
      <x:c r="O263" s="136" t="str">
        <x:v>Plataforma 20 tn para maquinaria agrícola + malacate/hidrogrúa según maniobra + seguro de carga + trazabilidad GPS.</x:v>
      </x:c>
      <x:c r="P263" s="136" t="str">
        <x:v>Ofrecer transporte tercerizado para entregas a clientes y retiros de usados/service, especialmente en picos de campaña y operaciones fuera de zona.</x:v>
      </x:c>
      <x:c r="Q263" s="136" t="str">
        <x:v>Llamada comercial prioritaria; pedir por logística/ventas/postventa y consultar próximo equipo a trasladar.</x:v>
      </x:c>
      <x:c r="R263" s="136"/>
      <x:c r="S263" s="158" t="str">
        <x:f>IFERROR(T(INDEX('Prospectos Resumen'!$K$9:$K$295,MATCH(A263,'Prospectos Resumen'!$A$9:$A$295,0))),"")</x:f>
      </x:c>
      <x:c r="T263" s="136"/>
      <x:c r="U263" s="136"/>
      <x:c r="V263" s="136"/>
      <x:c r="W263" s="136"/>
      <x:c r="X263" s="136"/>
      <x:c r="Y263" s="136"/>
      <x:c r="Z263" s="136" t="str">
        <x:v>Relevar teléfono directo de ventas/logística y validar decisor.</x:v>
      </x:c>
      <x:c r="AA263" s="136" t="str">
        <x:v>https://www.google.com/maps/search/?api=1&amp;query=Omb%C3%BA+M%C3%A1quinas+Agr%C3%ADcolas+%E2%80%94+Villa+Mar%C3%ADa+Villa+Mar%C3%ADa+C%C3%B3rdoba+Argentina</x:v>
      </x:c>
      <x:c r="AB263" s="136" t="str">
        <x:v>Directorio comercial Villa María</x:v>
      </x:c>
      <x:c r="AC263" s="136" t="str">
        <x:v>https://buscador5900.com.ar/agro/equipamiento/maquinaria-agricola-y-repuestos</x:v>
      </x:c>
      <x:c r="AD263" s="136" t="str">
        <x:v>Punto local listado para Ombú Máquinas Agrícolas en Villa María; relevar contacto directo.</x:v>
      </x:c>
      <x:c r="AE263" s="136" t="str">
        <x:v>Media</x:v>
      </x:c>
      <x:c r="AF263" s="136" t="str">
        <x:v>Rastrillaje agro-maquinaria web 2026-09-07</x:v>
      </x:c>
      <x:c r="AG263" s="136" t="str">
        <x:v>plataforma 20 tn para maquinaria/implementos | hidrogrúa para maniobras | malacate | seguro de carga | trazabilidad GPS</x:v>
      </x:c>
      <x:c r="AH263" s="136" t="str">
        <x:v>fabricante/concesionario/servicio maquinaria agrícola</x:v>
      </x:c>
      <x:c r="AI263" s="136" t="str">
        <x:v>Sí</x:v>
      </x:c>
      <x:c r="AJ263" s="136" t="str">
        <x:v>Alta</x:v>
      </x:c>
      <x:c r="AK263" s="136" t="str">
        <x:v>Perfil específico maquinaria agrícola: validar pesos/dimensiones, tipo de carga y disponibilidad de medios de izaje antes de cotizar.</x:v>
      </x:c>
      <x:c r="AL263" s="136" t="str">
        <x:v>Rastrillaje agro-maquinaria 2026-09-07</x:v>
      </x:c>
      <x:c r="AM263" s="136" t="str">
        <x:v>Alta nueva luego de barrido específico de fabricantes, implementos, tractores, concesionarios y agropartes; cruzada contra la base maestra para evitar duplicados.</x:v>
      </x:c>
    </x:row>
    <x:row r="264">
      <x:c r="A264" s="136" t="str">
        <x:v>VM-006</x:v>
      </x:c>
      <x:c r="B264" s="136" t="str">
        <x:v>Pendiente</x:v>
      </x:c>
      <x:c r="C264" s="136" t="str">
        <x:v>Villa María / RP6</x:v>
      </x:c>
      <x:c r="D264" s="136" t="str">
        <x:v>Villa María</x:v>
      </x:c>
      <x:c r="E264" s="136" t="str">
        <x:v>Villa María</x:v>
      </x:c>
      <x:c r="F264" s="136" t="str">
        <x:v>A</x:v>
      </x:c>
      <x:c r="G264" s="136" t="n">
        <x:v>75</x:v>
      </x:c>
      <x:c r="H264" s="136" t="str">
        <x:v>Héctor A. Bertone S.A.</x:v>
      </x:c>
      <x:c r="I264" s="136" t="str">
        <x:v>Acopio / logística granaria</x:v>
      </x:c>
      <x:c r="J264" s="136" t="str">
        <x:v>Agro, acopio y cooperativas</x:v>
      </x:c>
      <x:c r="K264" s="136" t="str">
        <x:v>A relevar</x:v>
      </x:c>
      <x:c r="L264" s="136" t="str">
        <x:v>A relevar</x:v>
      </x:c>
      <x:c r="M264" s="136" t="str">
        <x:v>responsable de acopio / mantenimiento</x:v>
      </x:c>
      <x:c r="N264" s="136" t="str">
        <x:v>Traslado de equipos de planta, silos, repuestos pesados, balanzas, implementos y cargas especiales.</x:v>
      </x:c>
      <x:c r="O264" s="136" t="str">
        <x:v>Movimiento de equipos de planta, silos, balanzas, repuestos y cargas especiales para acopios/agroindustria.</x:v>
      </x:c>
      <x:c r="P264" s="136" t="str">
        <x:v>Pedir responsable de logística/acopio; teléfono a relevar.</x:v>
      </x:c>
      <x:c r="Q264" s="136" t="str">
        <x:v>Visita o llamada de validación; pedir próximo traslado concreto.</x:v>
      </x:c>
      <x:c r="R264" s="136"/>
      <x:c r="S264" s="158" t="str">
        <x:f>IFERROR(T(INDEX('Prospectos Resumen'!$K$9:$K$295,MATCH(A264,'Prospectos Resumen'!$A$9:$A$295,0))),"")</x:f>
      </x:c>
      <x:c r="T264" s="136"/>
      <x:c r="U264" s="136"/>
      <x:c r="V264" s="136"/>
      <x:c r="W264" s="136"/>
      <x:c r="X264" s="136"/>
      <x:c r="Y264" s="136"/>
      <x:c r="Z264" s="136" t="str">
        <x:v>Validar contacto decisor y necesidad inmediata.</x:v>
      </x:c>
      <x:c r="AA264" s="136" t="str">
        <x:v>https://www.google.com/maps/search/?api=1&amp;query=-32.389000,-63.251000</x:v>
      </x:c>
      <x:c r="AB264" s="136" t="str">
        <x:v>HAB / LinkedIn logística</x:v>
      </x:c>
      <x:c r="AC264" s="136"/>
      <x:c r="AD264" s="136" t="str">
        <x:v>Registro curado en documento de dirección PRESOL 2026-09.</x:v>
      </x:c>
      <x:c r="AE264" s="136" t="str">
        <x:v>Media</x:v>
      </x:c>
      <x:c r="AF264" s="136" t="str">
        <x:v>Base curada PDF dirección</x:v>
      </x:c>
      <x:c r="AG264" s="136" t="str">
        <x:v>plataforma 20 tn para maquinaria/piezas | hidrogrúa para maniobras | percha para pallets | percha para pallets de insumos | hidrogrúa para equipos/mantenimiento | barquilla para trabajos en altura</x:v>
      </x:c>
      <x:c r="AH264" s="136" t="str">
        <x:v>cooperativa/acopio</x:v>
      </x:c>
      <x:c r="AI264" s="136"/>
      <x:c r="AJ264" s="136" t="str">
        <x:v>Alta</x:v>
      </x:c>
      <x:c r="AK264" s="136" t="str">
        <x:v>Barquilla: validar seguridad, seguro, permiso de trabajo y alcance de maniobra antes de cotizar.</x:v>
      </x:c>
      <x:c r="AL264" s="136" t="str">
        <x:v>GPT adjunto + Hermes</x:v>
      </x:c>
      <x:c r="AM264" s="136" t="str">
        <x:v>Fusionado con base Hermes para completar teléfonos/fuentes/servicios.</x:v>
      </x:c>
    </x:row>
    <x:row r="265">
      <x:c r="A265" s="136" t="str">
        <x:v>VM-039</x:v>
      </x:c>
      <x:c r="B265" s="136" t="str">
        <x:v>Pendiente</x:v>
      </x:c>
      <x:c r="C265" s="136" t="str">
        <x:v>Villa María / RP6</x:v>
      </x:c>
      <x:c r="D265" s="136" t="str">
        <x:v>Villa María / zona comercial-industrial</x:v>
      </x:c>
      <x:c r="E265" s="136" t="str">
        <x:v>Villa María</x:v>
      </x:c>
      <x:c r="F265" s="136" t="str">
        <x:v>B</x:v>
      </x:c>
      <x:c r="G265" s="136" t="n">
        <x:v>84</x:v>
      </x:c>
      <x:c r="H265" s="136" t="str">
        <x:v>GYC Piletas Villa María</x:v>
      </x:c>
      <x:c r="I265" s="136" t="str">
        <x:v>Fabricación/contratista de piscinas</x:v>
      </x:c>
      <x:c r="J265" s="136" t="str">
        <x:v>PRFV y plásticos</x:v>
      </x:c>
      <x:c r="K265" s="136" t="str">
        <x:v>0353 5107887</x:v>
      </x:c>
      <x:c r="L265" s="136" t="str">
        <x:v>OK</x:v>
      </x:c>
      <x:c r="M265" s="136" t="str">
        <x:v>logística / instalaciones / obras / ventas</x:v>
      </x:c>
      <x:c r="N265" s="136" t="str">
        <x:v>Traslado del casco PRFV hasta la obra y maniobra de descarga/posicionamiento dentro del lote, muchas veces sobre medianeras o con acceso limitado.</x:v>
      </x:c>
      <x:c r="O265" s="136" t="str">
        <x:v>Transporte del casco PRFV + hidrogrúa para colocación precisa en patio/excavación + coordinación horaria con equipo de instalación + seguro/GPS.</x:v>
      </x:c>
      <x:c r="P265" s="136" t="str">
        <x:v>Ofrecer un servicio llave en mano de logística para que el instalador pueda concentrarse en excavación, nivelación y conexiones, dejando transporte y grúa en manos de PRESOL.</x:v>
      </x:c>
      <x:c r="Q265" s="136" t="str">
        <x:v>Validar volumen mensual de instalaciones y si tercerizan flete/grúa; pedir un caso reciente o próximo para cotizar.</x:v>
      </x:c>
      <x:c r="R265" s="136"/>
      <x:c r="S265" s="158" t="str">
        <x:f>IFERROR(T(INDEX('Prospectos Resumen'!$K$9:$K$295,MATCH(A265,'Prospectos Resumen'!$A$9:$A$295,0))),"")</x:f>
      </x:c>
      <x:c r="T265" s="136"/>
      <x:c r="U265" s="136"/>
      <x:c r="V265" s="136"/>
      <x:c r="W265" s="136"/>
      <x:c r="X265" s="136" t="str">
        <x:v>tel:+543535107887</x:v>
      </x:c>
      <x:c r="Y265" s="136" t="str">
        <x:v>tel:+543535107887</x:v>
      </x:c>
      <x:c r="Z265" s="136" t="str">
        <x:v>Confirmar decisor de logística/instalaciones y frecuencia mensual de entregas.</x:v>
      </x:c>
      <x:c r="AA265" s="136" t="str">
        <x:v>https://www.google.com/maps/search/?api=1&amp;query=GYC+Piletas+Villa+Mar%C3%ADa+Villa+Mar%C3%ADa+C%C3%B3rdoba+Argentina</x:v>
      </x:c>
      <x:c r="AB265" s="136" t="str">
        <x:v>Google Business</x:v>
      </x:c>
      <x:c r="AC265" s="136" t="str">
        <x:v>https://www.google.com/maps/search/?api=1&amp;query=GYC+Piletas+Villa+Maria+Córdoba</x:v>
      </x:c>
      <x:c r="AD265" s="136" t="str">
        <x:v>Negocio local categorizado como contratista/fábrica de piletas; confirmar material PRFV y modalidad de instalación.</x:v>
      </x:c>
      <x:c r="AE265" s="136" t="str">
        <x:v>Media</x:v>
      </x:c>
      <x:c r="AF265" s="136" t="str">
        <x:v>Rastrillaje piletas PRFV 2026-09-07</x:v>
      </x:c>
      <x:c r="AG265" s="136" t="str">
        <x:v>transporte especial de cascos PRFV | hidrogrúa para descarga y posicionamiento | coordinación de entrega con instalador | seguro de carga | trazabilidad GPS</x:v>
      </x:c>
      <x:c r="AH265" s="136" t="str">
        <x:v>piletas/plástico/PRFV</x:v>
      </x:c>
      <x:c r="AI265" s="136" t="str">
        <x:v>Sí</x:v>
      </x:c>
      <x:c r="AJ265" s="136" t="str">
        <x:v>Alta</x:v>
      </x:c>
      <x:c r="AK265" s="136" t="str">
        <x:v>Oportunidad de encaje directo: el casco es voluminoso y liviano; confirmar puntos de izaje, eslingado, radio de giro, obstáculos del lote y recomendaciones del fabricante antes de la maniobra.</x:v>
      </x:c>
      <x:c r="AL265" s="136" t="str">
        <x:v>Rastrillaje PRFV 2026-09-07</x:v>
      </x:c>
      <x:c r="AM265" s="136" t="str">
        <x:v>Alta nueva luego de barrido específico de fabricantes, franquicias y colocadores de piscinas de fibra; cruzada contra la base maestra para evitar duplicados.</x:v>
      </x:c>
    </x:row>
    <x:row r="266">
      <x:c r="A266" s="136" t="str">
        <x:v>VM-026</x:v>
      </x:c>
      <x:c r="B266" s="136" t="str">
        <x:v>Pendiente</x:v>
      </x:c>
      <x:c r="C266" s="136" t="str">
        <x:v>Villa María / RP6</x:v>
      </x:c>
      <x:c r="D266" s="136" t="str">
        <x:v>Villa María</x:v>
      </x:c>
      <x:c r="E266" s="136" t="str">
        <x:v>Villa María</x:v>
      </x:c>
      <x:c r="F266" s="136" t="str">
        <x:v>B</x:v>
      </x:c>
      <x:c r="G266" s="136" t="n">
        <x:v>80</x:v>
      </x:c>
      <x:c r="H266" s="136" t="str">
        <x:v>Surcar S.R.L.</x:v>
      </x:c>
      <x:c r="I266" s="136" t="str">
        <x:v>Agropartes, repuestos y maquinaria agroindustrial</x:v>
      </x:c>
      <x:c r="J266" s="136" t="str">
        <x:v>Maquinaria agrícola</x:v>
      </x:c>
      <x:c r="K266" s="136" t="str">
        <x:v>+54 9 351 7002987 / 0800 220 0230</x:v>
      </x:c>
      <x:c r="L266" s="136" t="str">
        <x:v>OK</x:v>
      </x:c>
      <x:c r="M266" s="136" t="str">
        <x:v>logística / ventas / postventa</x:v>
      </x:c>
      <x:c r="N266" s="136" t="str">
        <x:v>Movimiento de agropartes, repuestos pesados, conjuntos y eventualmente implementos/equipos entre planta, concesionarios y clientes.</x:v>
      </x:c>
      <x:c r="O266" s="136" t="str">
        <x:v>Plataforma e hidrogrúa para conjuntos pesados + percha/pallets para repuestos + seguro y trazabilidad.</x:v>
      </x:c>
      <x:c r="P266" s="136" t="str">
        <x:v>Ofrecer respaldo flexible para despachos voluminosos y cargas que exceden el transporte convencional de repuestos.</x:v>
      </x:c>
      <x:c r="Q266" s="136" t="str">
        <x:v>Validar contacto y volumen de movimientos; si hay encaje, pedir un traslado concreto para cotizar.</x:v>
      </x:c>
      <x:c r="R266" s="136"/>
      <x:c r="S266" s="158" t="str">
        <x:f>IFERROR(T(INDEX('Prospectos Resumen'!$K$9:$K$295,MATCH(A266,'Prospectos Resumen'!$A$9:$A$295,0))),"")</x:f>
      </x:c>
      <x:c r="T266" s="136"/>
      <x:c r="U266" s="136"/>
      <x:c r="V266" s="136"/>
      <x:c r="W266" s="136"/>
      <x:c r="X266" s="136" t="str">
        <x:v>tel:+5493517002987</x:v>
      </x:c>
      <x:c r="Y266" s="136" t="str">
        <x:v>tel:+5493517002987</x:v>
      </x:c>
      <x:c r="Z266" s="136" t="str">
        <x:v>Confirmar decisor y frecuencia de traslados.</x:v>
      </x:c>
      <x:c r="AA266" s="136" t="str">
        <x:v>https://www.google.com/maps/search/?api=1&amp;query=Surcar+S.R.L.+Villa+Mar%C3%ADa+C%C3%B3rdoba+Argentina</x:v>
      </x:c>
      <x:c r="AB266" s="136" t="str">
        <x:v>Web oficial Surcar</x:v>
      </x:c>
      <x:c r="AC266" s="136" t="str">
        <x:v>https://surcarsrl.com.ar/empresa.php</x:v>
      </x:c>
      <x:c r="AD266" s="136" t="str">
        <x:v>Comercializa/fabrica soluciones y piezas para agro e industria; potencial de despachos de componentes.</x:v>
      </x:c>
      <x:c r="AE266" s="136" t="str">
        <x:v>Alta</x:v>
      </x:c>
      <x:c r="AF266" s="136" t="str">
        <x:v>Rastrillaje agro-maquinaria web 2026-09-07</x:v>
      </x:c>
      <x:c r="AG266" s="136" t="str">
        <x:v>plataforma 20 tn para maquinaria/implementos | hidrogrúa para maniobras | malacate | seguro de carga | trazabilidad GPS</x:v>
      </x:c>
      <x:c r="AH266" s="136" t="str">
        <x:v>fabricante/concesionario/servicio maquinaria agrícola</x:v>
      </x:c>
      <x:c r="AI266" s="136" t="str">
        <x:v>Sí</x:v>
      </x:c>
      <x:c r="AJ266" s="136" t="str">
        <x:v>Alta</x:v>
      </x:c>
      <x:c r="AK266" s="136" t="str">
        <x:v>Perfil específico maquinaria agrícola: validar pesos/dimensiones, tipo de carga y disponibilidad de medios de izaje antes de cotizar.</x:v>
      </x:c>
      <x:c r="AL266" s="136" t="str">
        <x:v>Rastrillaje agro-maquinaria 2026-09-07</x:v>
      </x:c>
      <x:c r="AM266" s="136" t="str">
        <x:v>Alta nueva luego de barrido específico de fabricantes, implementos, tractores, concesionarios y agropartes; cruzada contra la base maestra para evitar duplicados.</x:v>
      </x:c>
    </x:row>
    <x:row r="267">
      <x:c r="A267" s="3" t="str">
        <x:v>VM-032</x:v>
      </x:c>
      <x:c r="B267" s="3" t="str">
        <x:v>Pendiente</x:v>
      </x:c>
      <x:c r="C267" s="3" t="str">
        <x:v>Villa María / RP6</x:v>
      </x:c>
      <x:c r="D267" s="3" t="str">
        <x:v>Villa María</x:v>
      </x:c>
      <x:c r="E267" s="3" t="str">
        <x:v>Villa María</x:v>
      </x:c>
      <x:c r="F267" s="3" t="str">
        <x:v>B</x:v>
      </x:c>
      <x:c r="G267" s="3" t="n">
        <x:v>76</x:v>
      </x:c>
      <x:c r="H267" s="3" t="str">
        <x:v>Impagro Implementos Agrícolas</x:v>
      </x:c>
      <x:c r="I267" s="3" t="str">
        <x:v>Implementos agrícolas y repuestos</x:v>
      </x:c>
      <x:c r="J267" s="3" t="str">
        <x:v>Maquinaria agrícola</x:v>
      </x:c>
      <x:c r="K267" s="3" t="str">
        <x:v>0353 154011306</x:v>
      </x:c>
      <x:c r="L267" s="3" t="str">
        <x:v>Verificar</x:v>
      </x:c>
      <x:c r="M267" s="3" t="str">
        <x:v>logística / ventas / postventa</x:v>
      </x:c>
      <x:c r="N267" s="3" t="str">
        <x:v>Despacho de implementos, tolvas, sembradoras, estructuras, equipos terminados y componentes de gran porte hacia concesionarios, clientes, ferias o campo.</x:v>
      </x:c>
      <x:c r="O267" s="3" t="str">
        <x:v>Plataforma 20 tn para maquinaria/implementos + malacate e hidrogrúa según maniobra + seguro de carga + trazabilidad GPS.</x:v>
      </x:c>
      <x:c r="P267" s="3" t="str">
        <x:v>Proponer a PRESOL como transporte tercerizado para entregas, picos de producción, ferias y movimientos especiales sin inmovilizar flota propia.</x:v>
      </x:c>
      <x:c r="Q267" s="3" t="str">
        <x:v>Validar contacto y volumen de movimientos; si hay encaje, pedir un traslado concreto para cotizar.</x:v>
      </x:c>
      <x:c r="R267" s="3"/>
      <x:c r="S267" s="161" t="str">
        <x:f>IFERROR(T(INDEX('Prospectos Resumen'!$K$9:$K$295,MATCH(A267,'Prospectos Resumen'!$A$9:$A$295,0))),"")</x:f>
      </x:c>
      <x:c r="T267" s="3"/>
      <x:c r="U267" s="3"/>
      <x:c r="V267" s="3"/>
      <x:c r="W267" s="3"/>
      <x:c r="X267" s="3" t="str">
        <x:v>tel:+54353154011306</x:v>
      </x:c>
      <x:c r="Y267" s="3" t="str">
        <x:v>tel:+54353154011306</x:v>
      </x:c>
      <x:c r="Z267" s="3" t="str">
        <x:v>Confirmar teléfono, decisor y vigencia del punto de venta.</x:v>
      </x:c>
      <x:c r="AA267" s="3" t="str">
        <x:v>https://www.google.com/maps/search/?api=1&amp;query=Impagro+Implementos+Agr%C3%ADcolas+Villa+Mar%C3%ADa+C%C3%B3rdoba+Argentina</x:v>
      </x:c>
      <x:c r="AB267" s="3" t="str">
        <x:v>Directorio comercial Villa María</x:v>
      </x:c>
      <x:c r="AC267" s="3" t="str">
        <x:v>https://buscador5900.com.ar/agro/equipamiento/maquinaria-agricola-y-repuestos</x:v>
      </x:c>
      <x:c r="AD267" s="3" t="str">
        <x:v>Empresa local listada específicamente como implementos agrícolas; validar contacto comercial.</x:v>
      </x:c>
      <x:c r="AE267" s="3" t="str">
        <x:v>Media</x:v>
      </x:c>
      <x:c r="AF267" s="3" t="str">
        <x:v>Rastrillaje agro-maquinaria web 2026-09-07</x:v>
      </x:c>
      <x:c r="AG267" s="3" t="str">
        <x:v>plataforma 20 tn para maquinaria/implementos | hidrogrúa para maniobras | malacate | seguro de carga | trazabilidad GPS</x:v>
      </x:c>
      <x:c r="AH267" s="3" t="str">
        <x:v>fabricante/concesionario/servicio maquinaria agrícola</x:v>
      </x:c>
      <x:c r="AI267" s="3" t="str">
        <x:v>Sí</x:v>
      </x:c>
      <x:c r="AJ267" s="3" t="str">
        <x:v>Alta</x:v>
      </x:c>
      <x:c r="AK267" s="3" t="str">
        <x:v>Perfil específico maquinaria agrícola: validar pesos/dimensiones, tipo de carga y disponibilidad de medios de izaje antes de cotizar.</x:v>
      </x:c>
      <x:c r="AL267" s="3" t="str">
        <x:v>Rastrillaje agro-maquinaria 2026-09-07</x:v>
      </x:c>
      <x:c r="AM267" s="3" t="str">
        <x:v>Alta nueva luego de barrido específico de fabricantes, implementos, tractores, concesionarios y agropartes; cruzada contra la base maestra para evitar duplicados.</x:v>
      </x:c>
    </x:row>
    <x:row r="268">
      <x:c r="A268" s="136" t="str">
        <x:v>VM-007</x:v>
      </x:c>
      <x:c r="B268" s="136" t="str">
        <x:v>Pendiente</x:v>
      </x:c>
      <x:c r="C268" s="136" t="str">
        <x:v>Villa María / RP6</x:v>
      </x:c>
      <x:c r="D268" s="136" t="str">
        <x:v>Villa María</x:v>
      </x:c>
      <x:c r="E268" s="136" t="str">
        <x:v>Villa María</x:v>
      </x:c>
      <x:c r="F268" s="136" t="str">
        <x:v>B</x:v>
      </x:c>
      <x:c r="G268" s="136" t="n">
        <x:v>75</x:v>
      </x:c>
      <x:c r="H268" s="136" t="str">
        <x:v>Carra Sanitarios</x:v>
      </x:c>
      <x:c r="I268" s="136" t="str">
        <x:v>Materiales / sanitario / obra</x:v>
      </x:c>
      <x:c r="J268" s="136" t="str">
        <x:v>Industria y mantenimiento</x:v>
      </x:c>
      <x:c r="K268" s="136" t="str">
        <x:v>0353 4125456</x:v>
      </x:c>
      <x:c r="L268" s="136" t="str">
        <x:v>OK</x:v>
      </x:c>
      <x:c r="M268" s="136" t="str">
        <x:v>responsable de logística/compras</x:v>
      </x:c>
      <x:c r="N268" s="136" t="str">
        <x:v>Movimientos especiales de mantenimiento, repuestos pesados y mudanzas internas de equipos.</x:v>
      </x:c>
      <x:c r="O268" s="136" t="str">
        <x:v>Detectar el próximo movimiento pesado y convertirlo en cotización concreta.</x:v>
      </x:c>
      <x:c r="P268" s="136" t="str">
        <x:v>Ubicado sobre corredor; preguntar fletes a clientes/obras.</x:v>
      </x:c>
      <x:c r="Q268" s="136" t="str">
        <x:v>Visita o llamada de validación; pedir próximo traslado concreto.</x:v>
      </x:c>
      <x:c r="R268" s="136"/>
      <x:c r="S268" s="158" t="str">
        <x:f>IFERROR(T(INDEX('Prospectos Resumen'!$K$9:$K$295,MATCH(A268,'Prospectos Resumen'!$A$9:$A$295,0))),"")</x:f>
      </x:c>
      <x:c r="T268" s="136"/>
      <x:c r="U268" s="136"/>
      <x:c r="V268" s="136"/>
      <x:c r="W268" s="136"/>
      <x:c r="X268" s="136" t="str">
        <x:v>tel:+543534125456</x:v>
      </x:c>
      <x:c r="Y268" s="136" t="str">
        <x:v>tel:+543534125456</x:v>
      </x:c>
      <x:c r="Z268" s="136" t="str">
        <x:v>Validar contacto decisor y necesidad inmediata.</x:v>
      </x:c>
      <x:c r="AA268" s="136" t="str">
        <x:v>https://www.google.com/maps/search/?api=1&amp;query=-32.421000,-63.232000</x:v>
      </x:c>
      <x:c r="AB268" s="136" t="str">
        <x:v>carrasanitarios.com.ar</x:v>
      </x:c>
      <x:c r="AC268" s="136"/>
      <x:c r="AD268" s="136" t="str">
        <x:v>Registro curado en documento de dirección PRESOL 2026-09.</x:v>
      </x:c>
      <x:c r="AE268" s="136" t="str">
        <x:v>Alta</x:v>
      </x:c>
      <x:c r="AF268" s="136" t="str">
        <x:v>Base curada PDF dirección</x:v>
      </x:c>
      <x:c r="AG268" s="136" t="str">
        <x:v>transporte de áridos/materiales | hidrogrúa para carga/descarga | percha para pallets/bolsones | plataforma 20 tn para maquinaria/piezas | hidrogrúa para maniobras | percha para pallets</x:v>
      </x:c>
      <x:c r="AH268" s="136" t="str">
        <x:v>áridos/construcción/premoldeados</x:v>
      </x:c>
      <x:c r="AI268" s="136"/>
      <x:c r="AJ268" s="136" t="str">
        <x:v>Alta</x:v>
      </x:c>
      <x:c r="AK268" s="136" t="str">
        <x:v>Áridos/materiales: confirmar modalidad de carga/descarga y tipo de unidad requerida antes de cotizar.</x:v>
      </x:c>
      <x:c r="AL268" s="136" t="str">
        <x:v>GPT adjunto + Hermes</x:v>
      </x:c>
      <x:c r="AM268" s="136" t="str">
        <x:v>Fusionado con base Hermes para completar teléfonos/fuentes/servicios.</x:v>
      </x:c>
    </x:row>
    <x:row r="269">
      <x:c r="A269" s="136" t="str">
        <x:v>VM-009</x:v>
      </x:c>
      <x:c r="B269" s="136" t="str">
        <x:v>Pendiente</x:v>
      </x:c>
      <x:c r="C269" s="136" t="str">
        <x:v>Villa María / RP6</x:v>
      </x:c>
      <x:c r="D269" s="136" t="str">
        <x:v>Villa María</x:v>
      </x:c>
      <x:c r="E269" s="136" t="str">
        <x:v>Villa María</x:v>
      </x:c>
      <x:c r="F269" s="136" t="str">
        <x:v>B</x:v>
      </x:c>
      <x:c r="G269" s="136" t="n">
        <x:v>75</x:v>
      </x:c>
      <x:c r="H269" s="136" t="str">
        <x:v>Dipromas S.R.L.</x:v>
      </x:c>
      <x:c r="I269" s="136" t="str">
        <x:v>Metalmecánica / PILT</x:v>
      </x:c>
      <x:c r="J269" s="136" t="str">
        <x:v>Metalúrgica y fabricación</x:v>
      </x:c>
      <x:c r="K269" s="136" t="str">
        <x:v>0353 4296608</x:v>
      </x:c>
      <x:c r="L269" s="136" t="str">
        <x:v>OK</x:v>
      </x:c>
      <x:c r="M269" s="136" t="str">
        <x:v>despacho / producción</x:v>
      </x:c>
      <x:c r="N269" s="136" t="str">
        <x:v>Despacho seguro de estructuras, carrozados, tanques, piezas industriales y equipos sobre plataforma.</x:v>
      </x:c>
      <x:c r="O269" s="136" t="str">
        <x:v>Despacho de estructuras, tanques, transformadores, piezas de ingeniería y equipos sobre plataforma 20 tn.</x:v>
      </x:c>
      <x:c r="P269" s="136" t="str">
        <x:v>Visita dentro del PILT; pedir compras/logística.</x:v>
      </x:c>
      <x:c r="Q269" s="136" t="str">
        <x:v>Visita o llamada de validación; pedir próximo traslado concreto.</x:v>
      </x:c>
      <x:c r="R269" s="136"/>
      <x:c r="S269" s="158" t="str">
        <x:f>IFERROR(T(INDEX('Prospectos Resumen'!$K$9:$K$295,MATCH(A269,'Prospectos Resumen'!$A$9:$A$295,0))),"")</x:f>
      </x:c>
      <x:c r="T269" s="136"/>
      <x:c r="U269" s="136"/>
      <x:c r="V269" s="136"/>
      <x:c r="W269" s="136"/>
      <x:c r="X269" s="136" t="str">
        <x:v>tel:+543534296608</x:v>
      </x:c>
      <x:c r="Y269" s="136" t="str">
        <x:v>tel:+543534296608</x:v>
      </x:c>
      <x:c r="Z269" s="136" t="str">
        <x:v>Validar contacto decisor y necesidad inmediata.</x:v>
      </x:c>
      <x:c r="AA269" s="136" t="str">
        <x:v>https://www.google.com/maps/search/?api=1&amp;query=-32.421000,-63.203000</x:v>
      </x:c>
      <x:c r="AB269" s="136" t="str">
        <x:v>pilt.com.ar</x:v>
      </x:c>
      <x:c r="AC269" s="136"/>
      <x:c r="AD269" s="136" t="str">
        <x:v>Registro curado en documento de dirección PRESOL 2026-09.</x:v>
      </x:c>
      <x:c r="AE269" s="136" t="str">
        <x:v>Alta</x:v>
      </x:c>
      <x:c r="AF269" s="136" t="str">
        <x:v>Base curada PDF dirección</x:v>
      </x:c>
      <x:c r="AG269" s="136" t="str">
        <x:v>plataforma 20 tn para maquinaria/piezas | hidrogrúa para maniobras | percha para pallets</x:v>
      </x:c>
      <x:c r="AH269" s="136" t="str">
        <x:v>otro rubro factible</x:v>
      </x:c>
      <x:c r="AI269" s="136"/>
      <x:c r="AJ269" s="136" t="str">
        <x:v>Alta</x:v>
      </x:c>
      <x:c r="AK269" s="136"/>
      <x:c r="AL269" s="136" t="str">
        <x:v>GPT adjunto + Hermes</x:v>
      </x:c>
      <x:c r="AM269" s="136" t="str">
        <x:v>Fusionado con base Hermes para completar teléfonos/fuentes/servicios. | ID fuente: VM-008</x:v>
      </x:c>
    </x:row>
    <x:row r="270">
      <x:c r="A270" s="136" t="str">
        <x:v>VM-008</x:v>
      </x:c>
      <x:c r="B270" s="136" t="str">
        <x:v>Pendiente</x:v>
      </x:c>
      <x:c r="C270" s="136" t="str">
        <x:v>Villa María / RP6</x:v>
      </x:c>
      <x:c r="D270" s="136" t="str">
        <x:v>Villa María</x:v>
      </x:c>
      <x:c r="E270" s="136" t="str">
        <x:v>Villa María</x:v>
      </x:c>
      <x:c r="F270" s="136" t="str">
        <x:v>B</x:v>
      </x:c>
      <x:c r="G270" s="136" t="n">
        <x:v>75</x:v>
      </x:c>
      <x:c r="H270" s="136" t="str">
        <x:v>DM Constructora</x:v>
      </x:c>
      <x:c r="I270" s="136" t="str">
        <x:v>Constructora</x:v>
      </x:c>
      <x:c r="J270" s="136" t="str">
        <x:v>Construcción y obra vial</x:v>
      </x:c>
      <x:c r="K270" s="136" t="str">
        <x:v>0353 4260498</x:v>
      </x:c>
      <x:c r="L270" s="136" t="str">
        <x:v>OK</x:v>
      </x:c>
      <x:c r="M270" s="136" t="str">
        <x:v>jefe de obra / logística</x:v>
      </x:c>
      <x:c r="N270" s="136" t="str">
        <x:v>Traslado de maquinaria, módulos de obrador, estructuras, equipos y cargas pesadas entre frentes.</x:v>
      </x:c>
      <x:c r="O270" s="136" t="str">
        <x:v>Transporte de equipos, módulos de obrador, estructuras y materiales pesados; descarga o posicionamiento cuando aplique.</x:v>
      </x:c>
      <x:c r="P270" s="136" t="str">
        <x:v>Pedir responsable de compras/obra.</x:v>
      </x:c>
      <x:c r="Q270" s="136" t="str">
        <x:v>Visita o llamada de validación; pedir próximo traslado concreto.</x:v>
      </x:c>
      <x:c r="R270" s="136"/>
      <x:c r="S270" s="158" t="str">
        <x:f>IFERROR(T(INDEX('Prospectos Resumen'!$K$9:$K$295,MATCH(A270,'Prospectos Resumen'!$A$9:$A$295,0))),"")</x:f>
      </x:c>
      <x:c r="T270" s="136"/>
      <x:c r="U270" s="136"/>
      <x:c r="V270" s="136"/>
      <x:c r="W270" s="136"/>
      <x:c r="X270" s="136" t="str">
        <x:v>tel:+543534260498</x:v>
      </x:c>
      <x:c r="Y270" s="136" t="str">
        <x:v>tel:+543534260498</x:v>
      </x:c>
      <x:c r="Z270" s="136" t="str">
        <x:v>Validar contacto decisor y necesidad inmediata.</x:v>
      </x:c>
      <x:c r="AA270" s="136" t="str">
        <x:v>https://www.google.com/maps/search/?api=1&amp;query=-32.408066,-63.245873</x:v>
      </x:c>
      <x:c r="AB270" s="136" t="str">
        <x:v>dmconstructora.com.ar</x:v>
      </x:c>
      <x:c r="AC270" s="136"/>
      <x:c r="AD270" s="136" t="str">
        <x:v>Registro curado en documento de dirección PRESOL 2026-09.</x:v>
      </x:c>
      <x:c r="AE270" s="136" t="str">
        <x:v>Alta</x:v>
      </x:c>
      <x:c r="AF270" s="136" t="str">
        <x:v>Base curada PDF dirección</x:v>
      </x:c>
      <x:c r="AG270" s="136" t="str">
        <x:v>transporte de áridos/materiales | hidrogrúa para carga/descarga | percha para pallets/bolsones</x:v>
      </x:c>
      <x:c r="AH270" s="136" t="str">
        <x:v>otro rubro factible</x:v>
      </x:c>
      <x:c r="AI270" s="136"/>
      <x:c r="AJ270" s="136" t="str">
        <x:v>Alta</x:v>
      </x:c>
      <x:c r="AK270" s="136"/>
      <x:c r="AL270" s="136" t="str">
        <x:v>GPT adjunto + Hermes</x:v>
      </x:c>
      <x:c r="AM270" s="136" t="str">
        <x:v>Fusionado con base Hermes para completar teléfonos/fuentes/servicios. | ID fuente: VM-009</x:v>
      </x:c>
    </x:row>
    <x:row r="271">
      <x:c r="A271" s="136" t="str">
        <x:v>VM-010</x:v>
      </x:c>
      <x:c r="B271" s="136" t="str">
        <x:v>Pendiente</x:v>
      </x:c>
      <x:c r="C271" s="136" t="str">
        <x:v>Villa María / RP6</x:v>
      </x:c>
      <x:c r="D271" s="136" t="str">
        <x:v>Villa María</x:v>
      </x:c>
      <x:c r="E271" s="136" t="str">
        <x:v>Villa María</x:v>
      </x:c>
      <x:c r="F271" s="136" t="str">
        <x:v>B</x:v>
      </x:c>
      <x:c r="G271" s="136" t="n">
        <x:v>75</x:v>
      </x:c>
      <x:c r="H271" s="136" t="str">
        <x:v>Frigorífico La Pequeña S.R.L.</x:v>
      </x:c>
      <x:c r="I271" s="136" t="str">
        <x:v>Alimenticia / frigorífico</x:v>
      </x:c>
      <x:c r="J271" s="136" t="str">
        <x:v>Industria y mantenimiento</x:v>
      </x:c>
      <x:c r="K271" s="136" t="str">
        <x:v>0353 154197312</x:v>
      </x:c>
      <x:c r="L271" s="136" t="str">
        <x:v>OK</x:v>
      </x:c>
      <x:c r="M271" s="136" t="str">
        <x:v>despacho / producción</x:v>
      </x:c>
      <x:c r="N271" s="136" t="str">
        <x:v>Movimientos especiales de mantenimiento, repuestos pesados y mudanzas internas de equipos.</x:v>
      </x:c>
      <x:c r="O271" s="136" t="str">
        <x:v>Despacho de estructuras, tanques, transformadores, piezas de ingeniería y equipos sobre plataforma 20 tn.</x:v>
      </x:c>
      <x:c r="P271" s="136" t="str">
        <x:v>No vender frío común; vender movimientos especiales.</x:v>
      </x:c>
      <x:c r="Q271" s="136" t="str">
        <x:v>Visita o llamada de validación; pedir próximo traslado concreto.</x:v>
      </x:c>
      <x:c r="R271" s="136"/>
      <x:c r="S271" s="158" t="str">
        <x:f>IFERROR(T(INDEX('Prospectos Resumen'!$K$9:$K$295,MATCH(A271,'Prospectos Resumen'!$A$9:$A$295,0))),"")</x:f>
      </x:c>
      <x:c r="T271" s="136"/>
      <x:c r="U271" s="136"/>
      <x:c r="V271" s="136"/>
      <x:c r="W271" s="136"/>
      <x:c r="X271" s="136" t="str">
        <x:v>tel:+5493534197312</x:v>
      </x:c>
      <x:c r="Y271" s="136" t="str">
        <x:v>tel:+5493534197312</x:v>
      </x:c>
      <x:c r="Z271" s="136" t="str">
        <x:v>Validar contacto decisor y necesidad inmediata.</x:v>
      </x:c>
      <x:c r="AA271" s="136" t="str">
        <x:v>https://www.google.com/maps/search/?api=1&amp;query=-32.420000,-63.209000</x:v>
      </x:c>
      <x:c r="AB271" s="136" t="str">
        <x:v>pilt.com.ar</x:v>
      </x:c>
      <x:c r="AC271" s="136"/>
      <x:c r="AD271" s="136" t="str">
        <x:v>Registro curado en documento de dirección PRESOL 2026-09.</x:v>
      </x:c>
      <x:c r="AE271" s="136" t="str">
        <x:v>Alta</x:v>
      </x:c>
      <x:c r="AF271" s="136" t="str">
        <x:v>Base curada PDF dirección</x:v>
      </x:c>
      <x:c r="AG271" s="136" t="str">
        <x:v>plataforma 20 tn para maquinaria/piezas | hidrogrúa para maniobras | percha para pallets</x:v>
      </x:c>
      <x:c r="AH271" s="136" t="str">
        <x:v>otro rubro factible</x:v>
      </x:c>
      <x:c r="AI271" s="136"/>
      <x:c r="AJ271" s="136" t="str">
        <x:v>Alta</x:v>
      </x:c>
      <x:c r="AK271" s="136"/>
      <x:c r="AL271" s="136" t="str">
        <x:v>GPT adjunto + Hermes</x:v>
      </x:c>
      <x:c r="AM271" s="136" t="str">
        <x:v>Fusionado con base Hermes para completar teléfonos/fuentes/servicios.</x:v>
      </x:c>
    </x:row>
    <x:row r="272">
      <x:c r="A272" s="136" t="str">
        <x:v>VM-011</x:v>
      </x:c>
      <x:c r="B272" s="136" t="str">
        <x:v>Pendiente</x:v>
      </x:c>
      <x:c r="C272" s="136" t="str">
        <x:v>Villa María / RP6</x:v>
      </x:c>
      <x:c r="D272" s="136" t="str">
        <x:v>Villa María</x:v>
      </x:c>
      <x:c r="E272" s="136" t="str">
        <x:v>Villa María</x:v>
      </x:c>
      <x:c r="F272" s="136" t="str">
        <x:v>B</x:v>
      </x:c>
      <x:c r="G272" s="136" t="n">
        <x:v>75</x:v>
      </x:c>
      <x:c r="H272" s="136" t="str">
        <x:v>Ghio Construcciones</x:v>
      </x:c>
      <x:c r="I272" s="136" t="str">
        <x:v>Constructora / desarrollos</x:v>
      </x:c>
      <x:c r="J272" s="136" t="str">
        <x:v>Construcción y obra vial</x:v>
      </x:c>
      <x:c r="K272" s="136" t="str">
        <x:v>0353 4016390</x:v>
      </x:c>
      <x:c r="L272" s="136" t="str">
        <x:v>OK</x:v>
      </x:c>
      <x:c r="M272" s="136" t="str">
        <x:v>jefe de obra / logística</x:v>
      </x:c>
      <x:c r="N272" s="136" t="str">
        <x:v>Traslado de maquinaria, módulos de obrador, estructuras, equipos y cargas pesadas entre frentes.</x:v>
      </x:c>
      <x:c r="O272" s="136" t="str">
        <x:v>Transporte de equipos, módulos de obrador, estructuras y materiales pesados; descarga o posicionamiento cuando aplique.</x:v>
      </x:c>
      <x:c r="P272" s="136" t="str">
        <x:v>Solicitar próximo traslado de obra.</x:v>
      </x:c>
      <x:c r="Q272" s="136" t="str">
        <x:v>Visita o llamada de validación; pedir próximo traslado concreto.</x:v>
      </x:c>
      <x:c r="R272" s="136"/>
      <x:c r="S272" s="158" t="str">
        <x:f>IFERROR(T(INDEX('Prospectos Resumen'!$K$9:$K$295,MATCH(A272,'Prospectos Resumen'!$A$9:$A$295,0))),"")</x:f>
      </x:c>
      <x:c r="T272" s="136"/>
      <x:c r="U272" s="136"/>
      <x:c r="V272" s="136"/>
      <x:c r="W272" s="136"/>
      <x:c r="X272" s="136" t="str">
        <x:v>tel:+543534016390</x:v>
      </x:c>
      <x:c r="Y272" s="136" t="str">
        <x:v>tel:+543534016390</x:v>
      </x:c>
      <x:c r="Z272" s="136" t="str">
        <x:v>Validar contacto decisor y necesidad inmediata.</x:v>
      </x:c>
      <x:c r="AA272" s="136" t="str">
        <x:v>https://www.google.com/maps/search/?api=1&amp;query=-32.415019,-63.237719</x:v>
      </x:c>
      <x:c r="AB272" s="136" t="str">
        <x:v>Instagram Ghio Construcciones</x:v>
      </x:c>
      <x:c r="AC272" s="136"/>
      <x:c r="AD272" s="136" t="str">
        <x:v>Registro curado en documento de dirección PRESOL 2026-09.</x:v>
      </x:c>
      <x:c r="AE272" s="136" t="str">
        <x:v>Alta</x:v>
      </x:c>
      <x:c r="AF272" s="136" t="str">
        <x:v>Base curada PDF dirección</x:v>
      </x:c>
      <x:c r="AG272" s="136" t="str">
        <x:v>transporte de áridos/materiales | hidrogrúa para carga/descarga | percha para pallets/bolsones</x:v>
      </x:c>
      <x:c r="AH272" s="136" t="str">
        <x:v>otro rubro factible</x:v>
      </x:c>
      <x:c r="AI272" s="136"/>
      <x:c r="AJ272" s="136" t="str">
        <x:v>Alta</x:v>
      </x:c>
      <x:c r="AK272" s="136"/>
      <x:c r="AL272" s="136" t="str">
        <x:v>GPT adjunto + Hermes</x:v>
      </x:c>
      <x:c r="AM272" s="136" t="str">
        <x:v>Fusionado con base Hermes para completar teléfonos/fuentes/servicios.</x:v>
      </x:c>
    </x:row>
    <x:row r="273">
      <x:c r="A273" s="136" t="str">
        <x:v>VM-012</x:v>
      </x:c>
      <x:c r="B273" s="136" t="str">
        <x:v>Pendiente</x:v>
      </x:c>
      <x:c r="C273" s="136" t="str">
        <x:v>Villa María / RP6</x:v>
      </x:c>
      <x:c r="D273" s="136" t="str">
        <x:v>Villa María</x:v>
      </x:c>
      <x:c r="E273" s="136" t="str">
        <x:v>Villa María</x:v>
      </x:c>
      <x:c r="F273" s="136" t="str">
        <x:v>B</x:v>
      </x:c>
      <x:c r="G273" s="136" t="n">
        <x:v>75</x:v>
      </x:c>
      <x:c r="H273" s="136" t="str">
        <x:v>S.A. Molinos Fénix</x:v>
      </x:c>
      <x:c r="I273" s="136" t="str">
        <x:v>Molino / alimentos</x:v>
      </x:c>
      <x:c r="J273" s="136" t="str">
        <x:v>Agroindustria y alimentos</x:v>
      </x:c>
      <x:c r="K273" s="136" t="str">
        <x:v>0353 4533573</x:v>
      </x:c>
      <x:c r="L273" s="136" t="str">
        <x:v>OK</x:v>
      </x:c>
      <x:c r="M273" s="136" t="str">
        <x:v>mantenimiento / compras</x:v>
      </x:c>
      <x:c r="N273" s="136" t="str">
        <x:v>Movimientos especiales de mantenimiento, repuestos pesados y mudanzas internas de equipos.</x:v>
      </x:c>
      <x:c r="O273" s="136" t="str">
        <x:v>Traslados especiales de mantenimiento, repuestos pesados, mudanzas internas y cargas con seguro/GPS.</x:v>
      </x:c>
      <x:c r="P273" s="136" t="str">
        <x:v>Preguntar por movimientos de maquinaria/planta.</x:v>
      </x:c>
      <x:c r="Q273" s="136" t="str">
        <x:v>Visita o llamada de validación; pedir próximo traslado concreto.</x:v>
      </x:c>
      <x:c r="R273" s="136"/>
      <x:c r="S273" s="158" t="str">
        <x:f>IFERROR(T(INDEX('Prospectos Resumen'!$K$9:$K$295,MATCH(A273,'Prospectos Resumen'!$A$9:$A$295,0))),"")</x:f>
      </x:c>
      <x:c r="T273" s="136"/>
      <x:c r="U273" s="136"/>
      <x:c r="V273" s="136"/>
      <x:c r="W273" s="136"/>
      <x:c r="X273" s="136" t="str">
        <x:v>tel:+543534533573</x:v>
      </x:c>
      <x:c r="Y273" s="136" t="str">
        <x:v>tel:+543534533573</x:v>
      </x:c>
      <x:c r="Z273" s="136" t="str">
        <x:v>Validar contacto decisor y necesidad inmediata.</x:v>
      </x:c>
      <x:c r="AA273" s="136" t="str">
        <x:v>https://www.google.com/maps/search/?api=1&amp;query=-32.410000,-63.246000</x:v>
      </x:c>
      <x:c r="AB273" s="136" t="str">
        <x:v>molinosfenix.com.ar</x:v>
      </x:c>
      <x:c r="AC273" s="136"/>
      <x:c r="AD273" s="136" t="str">
        <x:v>Registro curado en documento de dirección PRESOL 2026-09.</x:v>
      </x:c>
      <x:c r="AE273" s="136" t="str">
        <x:v>Alta</x:v>
      </x:c>
      <x:c r="AF273" s="136" t="str">
        <x:v>Base curada PDF dirección</x:v>
      </x:c>
      <x:c r="AG273" s="136" t="str">
        <x:v>plataforma 20 tn para maquinaria/piezas | hidrogrúa para maniobras | percha para pallets</x:v>
      </x:c>
      <x:c r="AH273" s="136" t="str">
        <x:v>planta agroindustrial</x:v>
      </x:c>
      <x:c r="AI273" s="136"/>
      <x:c r="AJ273" s="136" t="str">
        <x:v>Alta</x:v>
      </x:c>
      <x:c r="AK273" s="136" t="str">
        <x:v>Percha pallets: útil para insumos, bolsones, repuestos y materiales palletizados.</x:v>
      </x:c>
      <x:c r="AL273" s="136" t="str">
        <x:v>GPT adjunto + Hermes</x:v>
      </x:c>
      <x:c r="AM273" s="136" t="str">
        <x:v>Fusionado con base Hermes para completar teléfonos/fuentes/servicios.</x:v>
      </x:c>
    </x:row>
    <x:row r="274">
      <x:c r="A274" s="136" t="str">
        <x:v>VM-013</x:v>
      </x:c>
      <x:c r="B274" s="136" t="str">
        <x:v>Pendiente</x:v>
      </x:c>
      <x:c r="C274" s="136" t="str">
        <x:v>Villa María / RP6</x:v>
      </x:c>
      <x:c r="D274" s="136" t="str">
        <x:v>Villa María</x:v>
      </x:c>
      <x:c r="E274" s="136" t="str">
        <x:v>Villa María</x:v>
      </x:c>
      <x:c r="F274" s="136" t="str">
        <x:v>B</x:v>
      </x:c>
      <x:c r="G274" s="136" t="n">
        <x:v>75</x:v>
      </x:c>
      <x:c r="H274" s="136" t="str">
        <x:v>Sarmiento Materiales</x:v>
      </x:c>
      <x:c r="I274" s="136" t="str">
        <x:v>Corralón / materiales</x:v>
      </x:c>
      <x:c r="J274" s="136" t="str">
        <x:v>Hormigón, áridos y materiales</x:v>
      </x:c>
      <x:c r="K274" s="136" t="str">
        <x:v>0353 4610259 / 0353 4112139</x:v>
      </x:c>
      <x:c r="L274" s="136" t="str">
        <x:v>OK</x:v>
      </x:c>
      <x:c r="M274" s="136" t="str">
        <x:v>despacho / producción</x:v>
      </x:c>
      <x:c r="N274" s="136" t="str">
        <x:v>Movimiento de premoldeados, equipos de planta/cantera, bombas, moldes y cargas pesadas.</x:v>
      </x:c>
      <x:c r="O274" s="136" t="str">
        <x:v>Despacho de estructuras, tanques, transformadores, piezas de ingeniería y equipos sobre plataforma 20 tn.</x:v>
      </x:c>
      <x:c r="P274" s="136" t="str">
        <x:v>Cotizar reparto pesado fuera de zona o picos.</x:v>
      </x:c>
      <x:c r="Q274" s="136" t="str">
        <x:v>Visita o llamada de validación; pedir próximo traslado concreto.</x:v>
      </x:c>
      <x:c r="R274" s="136"/>
      <x:c r="S274" s="158" t="str">
        <x:f>IFERROR(T(INDEX('Prospectos Resumen'!$K$9:$K$295,MATCH(A274,'Prospectos Resumen'!$A$9:$A$295,0))),"")</x:f>
      </x:c>
      <x:c r="T274" s="136"/>
      <x:c r="U274" s="136"/>
      <x:c r="V274" s="136"/>
      <x:c r="W274" s="136"/>
      <x:c r="X274" s="136" t="str">
        <x:v>tel:+543534610259</x:v>
      </x:c>
      <x:c r="Y274" s="136" t="str">
        <x:v>tel:+543534610259 | tel:+543534112139</x:v>
      </x:c>
      <x:c r="Z274" s="136" t="str">
        <x:v>Validar contacto decisor y necesidad inmediata.</x:v>
      </x:c>
      <x:c r="AA274" s="136" t="str">
        <x:v>https://www.google.com/maps/search/?api=1&amp;query=-32.411372,-63.226831</x:v>
      </x:c>
      <x:c r="AB274" s="136" t="str">
        <x:v>sarmientomateriales / directorio</x:v>
      </x:c>
      <x:c r="AC274" s="136"/>
      <x:c r="AD274" s="136" t="str">
        <x:v>Registro curado en documento de dirección PRESOL 2026-09.</x:v>
      </x:c>
      <x:c r="AE274" s="136" t="str">
        <x:v>Alta</x:v>
      </x:c>
      <x:c r="AF274" s="136" t="str">
        <x:v>Base curada PDF dirección</x:v>
      </x:c>
      <x:c r="AG274" s="136" t="str">
        <x:v>transporte de áridos/materiales | hidrogrúa para carga/descarga | percha para pallets/bolsones</x:v>
      </x:c>
      <x:c r="AH274" s="136" t="str">
        <x:v>áridos/construcción/premoldeados</x:v>
      </x:c>
      <x:c r="AI274" s="136"/>
      <x:c r="AJ274" s="136" t="str">
        <x:v>Alta</x:v>
      </x:c>
      <x:c r="AK274" s="136" t="str">
        <x:v>Áridos/materiales: confirmar modalidad de carga/descarga y tipo de unidad requerida antes de cotizar.</x:v>
      </x:c>
      <x:c r="AL274" s="136" t="str">
        <x:v>GPT adjunto + Hermes</x:v>
      </x:c>
      <x:c r="AM274" s="136" t="str">
        <x:v>Fusionado con base Hermes para completar teléfonos/fuentes/servicios.</x:v>
      </x:c>
    </x:row>
    <x:row r="275">
      <x:c r="A275" s="136" t="str">
        <x:v>VM-014</x:v>
      </x:c>
      <x:c r="B275" s="136" t="str">
        <x:v>Pendiente</x:v>
      </x:c>
      <x:c r="C275" s="136" t="str">
        <x:v>Villa María / RP6</x:v>
      </x:c>
      <x:c r="D275" s="136" t="str">
        <x:v>Villa María</x:v>
      </x:c>
      <x:c r="E275" s="136" t="str">
        <x:v>Villa María</x:v>
      </x:c>
      <x:c r="F275" s="136" t="str">
        <x:v>B</x:v>
      </x:c>
      <x:c r="G275" s="136" t="n">
        <x:v>75</x:v>
      </x:c>
      <x:c r="H275" s="136" t="str">
        <x:v>Stainless Steel Manufacturers S.R.L.</x:v>
      </x:c>
      <x:c r="I275" s="136" t="str">
        <x:v>Acero inoxidable / fabricación</x:v>
      </x:c>
      <x:c r="J275" s="136" t="str">
        <x:v>Industria y mantenimiento</x:v>
      </x:c>
      <x:c r="K275" s="136" t="str">
        <x:v>0353 4792885</x:v>
      </x:c>
      <x:c r="L275" s="136" t="str">
        <x:v>OK</x:v>
      </x:c>
      <x:c r="M275" s="136" t="str">
        <x:v>despacho / producción</x:v>
      </x:c>
      <x:c r="N275" s="136" t="str">
        <x:v>Movimientos especiales de mantenimiento, repuestos pesados y mudanzas internas de equipos.</x:v>
      </x:c>
      <x:c r="O275" s="136" t="str">
        <x:v>Despacho de estructuras, tanques, transformadores, piezas de ingeniería y equipos sobre plataforma 20 tn.</x:v>
      </x:c>
      <x:c r="P275" s="136" t="str">
        <x:v>Posicionar transporte seguro para piezas terminadas.</x:v>
      </x:c>
      <x:c r="Q275" s="136" t="str">
        <x:v>Visita o llamada de validación; pedir próximo traslado concreto.</x:v>
      </x:c>
      <x:c r="R275" s="136"/>
      <x:c r="S275" s="158" t="str">
        <x:f>IFERROR(T(INDEX('Prospectos Resumen'!$K$9:$K$295,MATCH(A275,'Prospectos Resumen'!$A$9:$A$295,0))),"")</x:f>
      </x:c>
      <x:c r="T275" s="136"/>
      <x:c r="U275" s="136"/>
      <x:c r="V275" s="136"/>
      <x:c r="W275" s="136"/>
      <x:c r="X275" s="136" t="str">
        <x:v>tel:+543534792885</x:v>
      </x:c>
      <x:c r="Y275" s="136" t="str">
        <x:v>tel:+543534792885</x:v>
      </x:c>
      <x:c r="Z275" s="136" t="str">
        <x:v>Validar contacto decisor y necesidad inmediata.</x:v>
      </x:c>
      <x:c r="AA275" s="136" t="str">
        <x:v>https://www.google.com/maps/search/?api=1&amp;query=-32.425000,-63.207000</x:v>
      </x:c>
      <x:c r="AB275" s="136" t="str">
        <x:v>pilt.com.ar</x:v>
      </x:c>
      <x:c r="AC275" s="136"/>
      <x:c r="AD275" s="136" t="str">
        <x:v>Registro curado en documento de dirección PRESOL 2026-09.</x:v>
      </x:c>
      <x:c r="AE275" s="136" t="str">
        <x:v>Alta</x:v>
      </x:c>
      <x:c r="AF275" s="136" t="str">
        <x:v>Base curada PDF dirección</x:v>
      </x:c>
      <x:c r="AG275" s="136" t="str">
        <x:v>plataforma 20 tn para maquinaria/piezas | hidrogrúa para maniobras | percha para pallets</x:v>
      </x:c>
      <x:c r="AH275" s="136" t="str">
        <x:v>otro rubro factible</x:v>
      </x:c>
      <x:c r="AI275" s="136"/>
      <x:c r="AJ275" s="136" t="str">
        <x:v>Alta</x:v>
      </x:c>
      <x:c r="AK275" s="136"/>
      <x:c r="AL275" s="136" t="str">
        <x:v>GPT adjunto + Hermes</x:v>
      </x:c>
      <x:c r="AM275" s="136" t="str">
        <x:v>Fusionado con base Hermes para completar teléfonos/fuentes/servicios.</x:v>
      </x:c>
    </x:row>
    <x:row r="276">
      <x:c r="A276" s="136" t="str">
        <x:v>VM-015</x:v>
      </x:c>
      <x:c r="B276" s="136" t="str">
        <x:v>Pendiente</x:v>
      </x:c>
      <x:c r="C276" s="136" t="str">
        <x:v>Villa María / RP6</x:v>
      </x:c>
      <x:c r="D276" s="136" t="str">
        <x:v>Villa María</x:v>
      </x:c>
      <x:c r="E276" s="136" t="str">
        <x:v>Villa María</x:v>
      </x:c>
      <x:c r="F276" s="136" t="str">
        <x:v>B</x:v>
      </x:c>
      <x:c r="G276" s="136" t="n">
        <x:v>75</x:v>
      </x:c>
      <x:c r="H276" s="136" t="str">
        <x:v>Villa María Cereales</x:v>
      </x:c>
      <x:c r="I276" s="136" t="str">
        <x:v>Acopio / agroinsumos</x:v>
      </x:c>
      <x:c r="J276" s="136" t="str">
        <x:v>Agro, acopio y cooperativas</x:v>
      </x:c>
      <x:c r="K276" s="136" t="str">
        <x:v>03535 656802</x:v>
      </x:c>
      <x:c r="L276" s="136" t="str">
        <x:v>OK</x:v>
      </x:c>
      <x:c r="M276" s="136" t="str">
        <x:v>responsable de acopio / mantenimiento</x:v>
      </x:c>
      <x:c r="N276" s="136" t="str">
        <x:v>Traslado de equipos de planta, silos, repuestos pesados, balanzas, implementos y cargas especiales.</x:v>
      </x:c>
      <x:c r="O276" s="136" t="str">
        <x:v>Movimiento de equipos de planta, silos, balanzas, repuestos y cargas especiales para acopios/agroindustria.</x:v>
      </x:c>
      <x:c r="P276" s="136" t="str">
        <x:v>RN 9 km 553; consultar próximos movimientos.</x:v>
      </x:c>
      <x:c r="Q276" s="136" t="str">
        <x:v>Visita o llamada de validación; pedir próximo traslado concreto.</x:v>
      </x:c>
      <x:c r="R276" s="136"/>
      <x:c r="S276" s="158" t="str">
        <x:f>IFERROR(T(INDEX('Prospectos Resumen'!$K$9:$K$295,MATCH(A276,'Prospectos Resumen'!$A$9:$A$295,0))),"")</x:f>
      </x:c>
      <x:c r="T276" s="136"/>
      <x:c r="U276" s="136"/>
      <x:c r="V276" s="136"/>
      <x:c r="W276" s="136"/>
      <x:c r="X276" s="136" t="str">
        <x:v>tel:+543535656802</x:v>
      </x:c>
      <x:c r="Y276" s="136" t="str">
        <x:v>tel:+543535656802</x:v>
      </x:c>
      <x:c r="Z276" s="136" t="str">
        <x:v>Validar contacto decisor y necesidad inmediata.</x:v>
      </x:c>
      <x:c r="AA276" s="136" t="str">
        <x:v>https://www.google.com/maps/search/?api=1&amp;query=-32.386500,-63.260000</x:v>
      </x:c>
      <x:c r="AB276" s="136" t="str">
        <x:v>Facebook Villa María Cereales</x:v>
      </x:c>
      <x:c r="AC276" s="136"/>
      <x:c r="AD276" s="136" t="str">
        <x:v>Registro curado en documento de dirección PRESOL 2026-09.</x:v>
      </x:c>
      <x:c r="AE276" s="136" t="str">
        <x:v>Alta</x:v>
      </x:c>
      <x:c r="AF276" s="136" t="str">
        <x:v>Base curada PDF dirección</x:v>
      </x:c>
      <x:c r="AG276" s="136" t="str">
        <x:v>plataforma 20 tn para maquinaria/piezas | hidrogrúa para maniobras | percha para pallets | percha para pallets de insumos | hidrogrúa para equipos/mantenimiento | barquilla para trabajos en altura</x:v>
      </x:c>
      <x:c r="AH276" s="136" t="str">
        <x:v>cooperativa/acopio | planta agroindustrial</x:v>
      </x:c>
      <x:c r="AI276" s="136"/>
      <x:c r="AJ276" s="136" t="str">
        <x:v>Alta</x:v>
      </x:c>
      <x:c r="AK276" s="136" t="str">
        <x:v>Barquilla: validar seguridad, seguro, permiso de trabajo y alcance de maniobra antes de cotizar. Percha pallets: útil para insumos, bolsones, repuestos y materiales palletizados.</x:v>
      </x:c>
      <x:c r="AL276" s="136" t="str">
        <x:v>GPT adjunto + Hermes</x:v>
      </x:c>
      <x:c r="AM276" s="136" t="str">
        <x:v>Fusionado con base Hermes para completar teléfonos/fuentes/servicios.</x:v>
      </x:c>
    </x:row>
    <x:row r="277">
      <x:c r="A277" s="136" t="str">
        <x:v>VM-031</x:v>
      </x:c>
      <x:c r="B277" s="136" t="str">
        <x:v>Pendiente</x:v>
      </x:c>
      <x:c r="C277" s="136" t="str">
        <x:v>Villa María / RP6</x:v>
      </x:c>
      <x:c r="D277" s="136" t="str">
        <x:v>Villa María</x:v>
      </x:c>
      <x:c r="E277" s="136" t="str">
        <x:v>Villa María</x:v>
      </x:c>
      <x:c r="F277" s="136" t="str">
        <x:v>B</x:v>
      </x:c>
      <x:c r="G277" s="136" t="n">
        <x:v>74</x:v>
      </x:c>
      <x:c r="H277" s="136" t="str">
        <x:v>Grandes Cosechadoras S.R.L.</x:v>
      </x:c>
      <x:c r="I277" s="136" t="str">
        <x:v>Maquinaria agrícola / cosechadoras y repuestos</x:v>
      </x:c>
      <x:c r="J277" s="136" t="str">
        <x:v>Maquinaria agrícola</x:v>
      </x:c>
      <x:c r="K277" s="136" t="str">
        <x:v>0353 4530785</x:v>
      </x:c>
      <x:c r="L277" s="136" t="str">
        <x:v>Verificar</x:v>
      </x:c>
      <x:c r="M277" s="136" t="str">
        <x:v>logística / ventas / postventa</x:v>
      </x:c>
      <x:c r="N277" s="136" t="str">
        <x:v>Entrega y retiro de tractores, cosechadoras, pulverizadoras, sembradoras e implementos; movimientos por venta, service, canje, demostraciones o ferias.</x:v>
      </x:c>
      <x:c r="O277" s="136" t="str">
        <x:v>Plataforma 20 tn para maquinaria agrícola + malacate/hidrogrúa según maniobra + seguro de carga + trazabilidad GPS.</x:v>
      </x:c>
      <x:c r="P277" s="136" t="str">
        <x:v>Ofrecer transporte tercerizado para entregas a clientes y retiros de usados/service, especialmente en picos de campaña y operaciones fuera de zona.</x:v>
      </x:c>
      <x:c r="Q277" s="136" t="str">
        <x:v>Validar contacto y volumen de movimientos; si hay encaje, pedir un traslado concreto para cotizar.</x:v>
      </x:c>
      <x:c r="R277" s="136"/>
      <x:c r="S277" s="158" t="str">
        <x:f>IFERROR(T(INDEX('Prospectos Resumen'!$K$9:$K$295,MATCH(A277,'Prospectos Resumen'!$A$9:$A$295,0))),"")</x:f>
      </x:c>
      <x:c r="T277" s="136"/>
      <x:c r="U277" s="136"/>
      <x:c r="V277" s="136"/>
      <x:c r="W277" s="136"/>
      <x:c r="X277" s="136" t="str">
        <x:v>tel:+543534530785</x:v>
      </x:c>
      <x:c r="Y277" s="136" t="str">
        <x:v>tel:+543534530785</x:v>
      </x:c>
      <x:c r="Z277" s="136" t="str">
        <x:v>Confirmar teléfono, decisor y vigencia del punto de venta.</x:v>
      </x:c>
      <x:c r="AA277" s="136" t="str">
        <x:v>https://www.google.com/maps/search/?api=1&amp;query=Grandes+Cosechadoras+S.R.L.+Villa+Mar%C3%ADa+C%C3%B3rdoba+Argentina</x:v>
      </x:c>
      <x:c r="AB277" s="136" t="str">
        <x:v>Directorio comercial Villa María</x:v>
      </x:c>
      <x:c r="AC277" s="136" t="str">
        <x:v>https://buscador5900.com.ar/agro/equipamiento/maquinaria-agricola-y-repuestos</x:v>
      </x:c>
      <x:c r="AD277" s="136" t="str">
        <x:v>Firma local incluida en rubro maquinaria agrícola y repuestos; validar operación actual.</x:v>
      </x:c>
      <x:c r="AE277" s="136" t="str">
        <x:v>Media</x:v>
      </x:c>
      <x:c r="AF277" s="136" t="str">
        <x:v>Rastrillaje agro-maquinaria web 2026-09-07</x:v>
      </x:c>
      <x:c r="AG277" s="136" t="str">
        <x:v>plataforma 20 tn para maquinaria/implementos | hidrogrúa para maniobras | malacate | seguro de carga | trazabilidad GPS</x:v>
      </x:c>
      <x:c r="AH277" s="136" t="str">
        <x:v>fabricante/concesionario/servicio maquinaria agrícola</x:v>
      </x:c>
      <x:c r="AI277" s="136" t="str">
        <x:v>Sí</x:v>
      </x:c>
      <x:c r="AJ277" s="136" t="str">
        <x:v>Media</x:v>
      </x:c>
      <x:c r="AK277" s="136" t="str">
        <x:v>Perfil específico maquinaria agrícola: validar pesos/dimensiones, tipo de carga y disponibilidad de medios de izaje antes de cotizar.</x:v>
      </x:c>
      <x:c r="AL277" s="136" t="str">
        <x:v>Rastrillaje agro-maquinaria 2026-09-07</x:v>
      </x:c>
      <x:c r="AM277" s="136" t="str">
        <x:v>Alta nueva luego de barrido específico de fabricantes, implementos, tractores, concesionarios y agropartes; cruzada contra la base maestra para evitar duplicados.</x:v>
      </x:c>
    </x:row>
    <x:row r="278">
      <x:c r="A278" s="136" t="str">
        <x:v>VM-025</x:v>
      </x:c>
      <x:c r="B278" s="136" t="str">
        <x:v>Pendiente</x:v>
      </x:c>
      <x:c r="C278" s="136" t="str">
        <x:v>Villa María / RP6</x:v>
      </x:c>
      <x:c r="D278" s="136" t="str">
        <x:v>Villa María</x:v>
      </x:c>
      <x:c r="E278" s="136" t="str">
        <x:v>Villa María</x:v>
      </x:c>
      <x:c r="F278" s="136" t="str">
        <x:v>B</x:v>
      </x:c>
      <x:c r="G278" s="136" t="n">
        <x:v>74</x:v>
      </x:c>
      <x:c r="H278" s="136" t="str">
        <x:v>Roberto Mosoni — Venta de Tractores</x:v>
      </x:c>
      <x:c r="I278" s="136" t="str">
        <x:v>Venta de tractores y maquinaria agrícola</x:v>
      </x:c>
      <x:c r="J278" s="136" t="str">
        <x:v>Maquinaria agrícola</x:v>
      </x:c>
      <x:c r="K278" s="136" t="str">
        <x:v>0353 156566469</x:v>
      </x:c>
      <x:c r="L278" s="136" t="str">
        <x:v>Verificar</x:v>
      </x:c>
      <x:c r="M278" s="136" t="str">
        <x:v>logística / ventas / postventa</x:v>
      </x:c>
      <x:c r="N278" s="136" t="str">
        <x:v>Entrega y retiro de tractores, cosechadoras, pulverizadoras, sembradoras e implementos; movimientos por venta, service, canje, demostraciones o ferias.</x:v>
      </x:c>
      <x:c r="O278" s="136" t="str">
        <x:v>Plataforma 20 tn para maquinaria agrícola + malacate/hidrogrúa según maniobra + seguro de carga + trazabilidad GPS.</x:v>
      </x:c>
      <x:c r="P278" s="136" t="str">
        <x:v>Ofrecer transporte tercerizado para entregas a clientes y retiros de usados/service, especialmente en picos de campaña y operaciones fuera de zona.</x:v>
      </x:c>
      <x:c r="Q278" s="136" t="str">
        <x:v>Validar contacto y volumen de movimientos; si hay encaje, pedir un traslado concreto para cotizar.</x:v>
      </x:c>
      <x:c r="R278" s="136"/>
      <x:c r="S278" s="158" t="str">
        <x:f>IFERROR(T(INDEX('Prospectos Resumen'!$K$9:$K$295,MATCH(A278,'Prospectos Resumen'!$A$9:$A$295,0))),"")</x:f>
      </x:c>
      <x:c r="T278" s="136"/>
      <x:c r="U278" s="136"/>
      <x:c r="V278" s="136"/>
      <x:c r="W278" s="136"/>
      <x:c r="X278" s="136" t="str">
        <x:v>tel:+54353156566469</x:v>
      </x:c>
      <x:c r="Y278" s="136" t="str">
        <x:v>tel:+54353156566469</x:v>
      </x:c>
      <x:c r="Z278" s="136" t="str">
        <x:v>Confirmar teléfono, decisor y vigencia del punto de venta.</x:v>
      </x:c>
      <x:c r="AA278" s="136" t="str">
        <x:v>https://www.google.com/maps/search/?api=1&amp;query=Roberto+Mosoni+%E2%80%94+Venta+de+Tractores+Villa+Mar%C3%ADa+C%C3%B3rdoba+Argentina</x:v>
      </x:c>
      <x:c r="AB278" s="136" t="str">
        <x:v>Directorio comercial Villa María</x:v>
      </x:c>
      <x:c r="AC278" s="136" t="str">
        <x:v>https://buscador5900.com.ar/agro/equipamiento/maquinaria-agricola-y-repuestos</x:v>
      </x:c>
      <x:c r="AD278" s="136" t="str">
        <x:v>Comercio de tractores/maquinaria en Villa María; validar vigencia del teléfono y decisor.</x:v>
      </x:c>
      <x:c r="AE278" s="136" t="str">
        <x:v>Media</x:v>
      </x:c>
      <x:c r="AF278" s="136" t="str">
        <x:v>Rastrillaje agro-maquinaria web 2026-09-07</x:v>
      </x:c>
      <x:c r="AG278" s="136" t="str">
        <x:v>plataforma 20 tn para maquinaria/implementos | hidrogrúa para maniobras | malacate | seguro de carga | trazabilidad GPS</x:v>
      </x:c>
      <x:c r="AH278" s="136" t="str">
        <x:v>fabricante/concesionario/servicio maquinaria agrícola</x:v>
      </x:c>
      <x:c r="AI278" s="136" t="str">
        <x:v>Sí</x:v>
      </x:c>
      <x:c r="AJ278" s="136" t="str">
        <x:v>Media</x:v>
      </x:c>
      <x:c r="AK278" s="136" t="str">
        <x:v>Perfil específico maquinaria agrícola: validar pesos/dimensiones, tipo de carga y disponibilidad de medios de izaje antes de cotizar.</x:v>
      </x:c>
      <x:c r="AL278" s="136" t="str">
        <x:v>Rastrillaje agro-maquinaria 2026-09-07</x:v>
      </x:c>
      <x:c r="AM278" s="136" t="str">
        <x:v>Alta nueva luego de barrido específico de fabricantes, implementos, tractores, concesionarios y agropartes; cruzada contra la base maestra para evitar duplicados.</x:v>
      </x:c>
    </x:row>
    <x:row r="279">
      <x:c r="A279" s="136" t="str">
        <x:v>VM-036</x:v>
      </x:c>
      <x:c r="B279" s="136" t="str">
        <x:v>Pendiente</x:v>
      </x:c>
      <x:c r="C279" s="136" t="str">
        <x:v>Villa María / RP6</x:v>
      </x:c>
      <x:c r="D279" s="136" t="str">
        <x:v>Villa María</x:v>
      </x:c>
      <x:c r="E279" s="136" t="str">
        <x:v>Villa María</x:v>
      </x:c>
      <x:c r="F279" s="136" t="str">
        <x:v>B</x:v>
      </x:c>
      <x:c r="G279" s="136" t="n">
        <x:v>74</x:v>
      </x:c>
      <x:c r="H279" s="136" t="str">
        <x:v>RR Agrícola Maquinarias</x:v>
      </x:c>
      <x:c r="I279" s="136" t="str">
        <x:v>Venta de maquinaria agrícola</x:v>
      </x:c>
      <x:c r="J279" s="136" t="str">
        <x:v>Maquinaria agrícola</x:v>
      </x:c>
      <x:c r="K279" s="136" t="str">
        <x:v>0353 4538056</x:v>
      </x:c>
      <x:c r="L279" s="136" t="str">
        <x:v>Verificar</x:v>
      </x:c>
      <x:c r="M279" s="136" t="str">
        <x:v>logística / ventas / postventa</x:v>
      </x:c>
      <x:c r="N279" s="136" t="str">
        <x:v>Entrega y retiro de tractores, cosechadoras, pulverizadoras, sembradoras e implementos; movimientos por venta, service, canje, demostraciones o ferias.</x:v>
      </x:c>
      <x:c r="O279" s="136" t="str">
        <x:v>Plataforma 20 tn para maquinaria agrícola + malacate/hidrogrúa según maniobra + seguro de carga + trazabilidad GPS.</x:v>
      </x:c>
      <x:c r="P279" s="136" t="str">
        <x:v>Ofrecer transporte tercerizado para entregas a clientes y retiros de usados/service, especialmente en picos de campaña y operaciones fuera de zona.</x:v>
      </x:c>
      <x:c r="Q279" s="136" t="str">
        <x:v>Validar contacto y volumen de movimientos; si hay encaje, pedir un traslado concreto para cotizar.</x:v>
      </x:c>
      <x:c r="R279" s="136"/>
      <x:c r="S279" s="158" t="str">
        <x:f>IFERROR(T(INDEX('Prospectos Resumen'!$K$9:$K$295,MATCH(A279,'Prospectos Resumen'!$A$9:$A$295,0))),"")</x:f>
      </x:c>
      <x:c r="T279" s="136"/>
      <x:c r="U279" s="136"/>
      <x:c r="V279" s="136"/>
      <x:c r="W279" s="136"/>
      <x:c r="X279" s="136" t="str">
        <x:v>tel:+543534538056</x:v>
      </x:c>
      <x:c r="Y279" s="136" t="str">
        <x:v>tel:+543534538056</x:v>
      </x:c>
      <x:c r="Z279" s="136" t="str">
        <x:v>Confirmar teléfono, decisor y vigencia del punto de venta.</x:v>
      </x:c>
      <x:c r="AA279" s="136" t="str">
        <x:v>https://www.google.com/maps/search/?api=1&amp;query=RR+Agr%C3%ADcola+Maquinarias+Villa+Mar%C3%ADa+C%C3%B3rdoba+Argentina</x:v>
      </x:c>
      <x:c r="AB279" s="136" t="str">
        <x:v>Directorio comercial Villa María</x:v>
      </x:c>
      <x:c r="AC279" s="136" t="str">
        <x:v>https://buscador5900.com.ar/agro/equipamiento/maquinaria-agricola-y-repuestos</x:v>
      </x:c>
      <x:c r="AD279" s="136" t="str">
        <x:v>Comercio de maquinaria agrícola en RN9, Villa María; validar vigencia del dato.</x:v>
      </x:c>
      <x:c r="AE279" s="136" t="str">
        <x:v>Media</x:v>
      </x:c>
      <x:c r="AF279" s="136" t="str">
        <x:v>Rastrillaje agro-maquinaria web 2026-09-07</x:v>
      </x:c>
      <x:c r="AG279" s="136" t="str">
        <x:v>plataforma 20 tn para maquinaria/implementos | hidrogrúa para maniobras | malacate | seguro de carga | trazabilidad GPS</x:v>
      </x:c>
      <x:c r="AH279" s="136" t="str">
        <x:v>fabricante/concesionario/servicio maquinaria agrícola</x:v>
      </x:c>
      <x:c r="AI279" s="136" t="str">
        <x:v>Sí</x:v>
      </x:c>
      <x:c r="AJ279" s="136" t="str">
        <x:v>Media</x:v>
      </x:c>
      <x:c r="AK279" s="136" t="str">
        <x:v>Perfil específico maquinaria agrícola: validar pesos/dimensiones, tipo de carga y disponibilidad de medios de izaje antes de cotizar.</x:v>
      </x:c>
      <x:c r="AL279" s="136" t="str">
        <x:v>Rastrillaje agro-maquinaria 2026-09-07</x:v>
      </x:c>
      <x:c r="AM279" s="136" t="str">
        <x:v>Alta nueva luego de barrido específico de fabricantes, implementos, tractores, concesionarios y agropartes; cruzada contra la base maestra para evitar duplicados.</x:v>
      </x:c>
    </x:row>
    <x:row r="280">
      <x:c r="A280" s="136" t="str">
        <x:v>VM-027</x:v>
      </x:c>
      <x:c r="B280" s="136" t="str">
        <x:v>Pendiente</x:v>
      </x:c>
      <x:c r="C280" s="136" t="str">
        <x:v>Villa María / RP6</x:v>
      </x:c>
      <x:c r="D280" s="136" t="str">
        <x:v>Villa María</x:v>
      </x:c>
      <x:c r="E280" s="136" t="str">
        <x:v>Villa María</x:v>
      </x:c>
      <x:c r="F280" s="136" t="str">
        <x:v>B</x:v>
      </x:c>
      <x:c r="G280" s="136" t="n">
        <x:v>74</x:v>
      </x:c>
      <x:c r="H280" s="136" t="str">
        <x:v>Tractocam S.R.L.</x:v>
      </x:c>
      <x:c r="I280" s="136" t="str">
        <x:v>Maquinaria agrícola nueva/usada / tractores</x:v>
      </x:c>
      <x:c r="J280" s="136" t="str">
        <x:v>Maquinaria agrícola</x:v>
      </x:c>
      <x:c r="K280" s="136" t="str">
        <x:v>0353 4613192 / 0353 4549261</x:v>
      </x:c>
      <x:c r="L280" s="136" t="str">
        <x:v>Verificar</x:v>
      </x:c>
      <x:c r="M280" s="136" t="str">
        <x:v>logística / ventas / postventa</x:v>
      </x:c>
      <x:c r="N280" s="136" t="str">
        <x:v>Entrega y retiro de tractores, cosechadoras, pulverizadoras, sembradoras e implementos; movimientos por venta, service, canje, demostraciones o ferias.</x:v>
      </x:c>
      <x:c r="O280" s="136" t="str">
        <x:v>Plataforma 20 tn para maquinaria agrícola + malacate/hidrogrúa según maniobra + seguro de carga + trazabilidad GPS.</x:v>
      </x:c>
      <x:c r="P280" s="136" t="str">
        <x:v>Ofrecer transporte tercerizado para entregas a clientes y retiros de usados/service, especialmente en picos de campaña y operaciones fuera de zona.</x:v>
      </x:c>
      <x:c r="Q280" s="136" t="str">
        <x:v>Validar contacto y volumen de movimientos; si hay encaje, pedir un traslado concreto para cotizar.</x:v>
      </x:c>
      <x:c r="R280" s="136"/>
      <x:c r="S280" s="158" t="str">
        <x:f>IFERROR(T(INDEX('Prospectos Resumen'!$K$9:$K$295,MATCH(A280,'Prospectos Resumen'!$A$9:$A$295,0))),"")</x:f>
      </x:c>
      <x:c r="T280" s="136"/>
      <x:c r="U280" s="136"/>
      <x:c r="V280" s="136"/>
      <x:c r="W280" s="136"/>
      <x:c r="X280" s="136" t="str">
        <x:v>tel:+543534613192</x:v>
      </x:c>
      <x:c r="Y280" s="136" t="str">
        <x:v>tel:+543534613192</x:v>
      </x:c>
      <x:c r="Z280" s="136" t="str">
        <x:v>Confirmar teléfono, decisor y vigencia del punto de venta.</x:v>
      </x:c>
      <x:c r="AA280" s="136" t="str">
        <x:v>https://www.google.com/maps/search/?api=1&amp;query=Tractocam+S.R.L.+Villa+Mar%C3%ADa+C%C3%B3rdoba+Argentina</x:v>
      </x:c>
      <x:c r="AB280" s="136" t="str">
        <x:v>Directorio comercial Villa María</x:v>
      </x:c>
      <x:c r="AC280" s="136" t="str">
        <x:v>https://buscador5900.com.ar/agro/equipamiento/maquinaria-agricola-y-repuestos</x:v>
      </x:c>
      <x:c r="AD280" s="136" t="str">
        <x:v>Comercio vinculado a maquinaria agrícola y tractores; teléfonos de fuentes históricas a confirmar.</x:v>
      </x:c>
      <x:c r="AE280" s="136" t="str">
        <x:v>Media</x:v>
      </x:c>
      <x:c r="AF280" s="136" t="str">
        <x:v>Rastrillaje agro-maquinaria web 2026-09-07</x:v>
      </x:c>
      <x:c r="AG280" s="136" t="str">
        <x:v>plataforma 20 tn para maquinaria/implementos | hidrogrúa para maniobras | malacate | seguro de carga | trazabilidad GPS</x:v>
      </x:c>
      <x:c r="AH280" s="136" t="str">
        <x:v>fabricante/concesionario/servicio maquinaria agrícola</x:v>
      </x:c>
      <x:c r="AI280" s="136" t="str">
        <x:v>Sí</x:v>
      </x:c>
      <x:c r="AJ280" s="136" t="str">
        <x:v>Media</x:v>
      </x:c>
      <x:c r="AK280" s="136" t="str">
        <x:v>Perfil específico maquinaria agrícola: validar pesos/dimensiones, tipo de carga y disponibilidad de medios de izaje antes de cotizar.</x:v>
      </x:c>
      <x:c r="AL280" s="136" t="str">
        <x:v>Rastrillaje agro-maquinaria 2026-09-07</x:v>
      </x:c>
      <x:c r="AM280" s="136" t="str">
        <x:v>Alta nueva luego de barrido específico de fabricantes, implementos, tractores, concesionarios y agropartes; cruzada contra la base maestra para evitar duplicados.</x:v>
      </x:c>
    </x:row>
    <x:row r="281">
      <x:c r="A281" s="136" t="str">
        <x:v>VM-028</x:v>
      </x:c>
      <x:c r="B281" s="136" t="str">
        <x:v>Pendiente</x:v>
      </x:c>
      <x:c r="C281" s="136" t="str">
        <x:v>Villa María / RP6</x:v>
      </x:c>
      <x:c r="D281" s="136" t="str">
        <x:v>Villa María</x:v>
      </x:c>
      <x:c r="E281" s="136" t="str">
        <x:v>Villa María</x:v>
      </x:c>
      <x:c r="F281" s="136" t="str">
        <x:v>B</x:v>
      </x:c>
      <x:c r="G281" s="136" t="n">
        <x:v>72</x:v>
      </x:c>
      <x:c r="H281" s="136" t="str">
        <x:v>Ulla Maquinarias — Villa María</x:v>
      </x:c>
      <x:c r="I281" s="136" t="str">
        <x:v>Venta de maquinaria agrícola</x:v>
      </x:c>
      <x:c r="J281" s="136" t="str">
        <x:v>Maquinaria agrícola</x:v>
      </x:c>
      <x:c r="K281" s="136" t="str">
        <x:v>0353 4507350</x:v>
      </x:c>
      <x:c r="L281" s="136" t="str">
        <x:v>Verificar</x:v>
      </x:c>
      <x:c r="M281" s="136" t="str">
        <x:v>logística / ventas / postventa</x:v>
      </x:c>
      <x:c r="N281" s="136" t="str">
        <x:v>Entrega y retiro de tractores, cosechadoras, pulverizadoras, sembradoras e implementos; movimientos por venta, service, canje, demostraciones o ferias.</x:v>
      </x:c>
      <x:c r="O281" s="136" t="str">
        <x:v>Plataforma 20 tn para maquinaria agrícola + malacate/hidrogrúa según maniobra + seguro de carga + trazabilidad GPS.</x:v>
      </x:c>
      <x:c r="P281" s="136" t="str">
        <x:v>Ofrecer transporte tercerizado para entregas a clientes y retiros de usados/service, especialmente en picos de campaña y operaciones fuera de zona.</x:v>
      </x:c>
      <x:c r="Q281" s="136" t="str">
        <x:v>Validar contacto y volumen de movimientos; si hay encaje, pedir un traslado concreto para cotizar.</x:v>
      </x:c>
      <x:c r="R281" s="136"/>
      <x:c r="S281" s="158" t="str">
        <x:f>IFERROR(T(INDEX('Prospectos Resumen'!$K$9:$K$295,MATCH(A281,'Prospectos Resumen'!$A$9:$A$295,0))),"")</x:f>
      </x:c>
      <x:c r="T281" s="136"/>
      <x:c r="U281" s="136"/>
      <x:c r="V281" s="136"/>
      <x:c r="W281" s="136"/>
      <x:c r="X281" s="136" t="str">
        <x:v>tel:+543534507350</x:v>
      </x:c>
      <x:c r="Y281" s="136" t="str">
        <x:v>tel:+543534507350</x:v>
      </x:c>
      <x:c r="Z281" s="136" t="str">
        <x:v>Confirmar teléfono, decisor y vigencia del punto de venta.</x:v>
      </x:c>
      <x:c r="AA281" s="136" t="str">
        <x:v>https://www.google.com/maps/search/?api=1&amp;query=Ulla+Maquinarias+%E2%80%94+Villa+Mar%C3%ADa+Villa+Mar%C3%ADa+C%C3%B3rdoba+Argentina</x:v>
      </x:c>
      <x:c r="AB281" s="136" t="str">
        <x:v>Directorio comercial Villa María</x:v>
      </x:c>
      <x:c r="AC281" s="136" t="str">
        <x:v>https://buscador5900.com.ar/agro/equipamiento/maquinaria-agricola-y-repuestos</x:v>
      </x:c>
      <x:c r="AD281" s="136" t="str">
        <x:v>Punto comercial de maquinaria agrícola en Villa María; validar vigencia y contacto.</x:v>
      </x:c>
      <x:c r="AE281" s="136" t="str">
        <x:v>Media</x:v>
      </x:c>
      <x:c r="AF281" s="136" t="str">
        <x:v>Rastrillaje agro-maquinaria web 2026-09-07</x:v>
      </x:c>
      <x:c r="AG281" s="136" t="str">
        <x:v>plataforma 20 tn para maquinaria/implementos | hidrogrúa para maniobras | malacate | seguro de carga | trazabilidad GPS</x:v>
      </x:c>
      <x:c r="AH281" s="136" t="str">
        <x:v>fabricante/concesionario/servicio maquinaria agrícola</x:v>
      </x:c>
      <x:c r="AI281" s="136" t="str">
        <x:v>Sí</x:v>
      </x:c>
      <x:c r="AJ281" s="136" t="str">
        <x:v>Media</x:v>
      </x:c>
      <x:c r="AK281" s="136" t="str">
        <x:v>Perfil específico maquinaria agrícola: validar pesos/dimensiones, tipo de carga y disponibilidad de medios de izaje antes de cotizar.</x:v>
      </x:c>
      <x:c r="AL281" s="136" t="str">
        <x:v>Rastrillaje agro-maquinaria 2026-09-07</x:v>
      </x:c>
      <x:c r="AM281" s="136" t="str">
        <x:v>Alta nueva luego de barrido específico de fabricantes, implementos, tractores, concesionarios y agropartes; cruzada contra la base maestra para evitar duplicados.</x:v>
      </x:c>
    </x:row>
    <x:row r="282">
      <x:c r="A282" s="136" t="str">
        <x:v>VM-029</x:v>
      </x:c>
      <x:c r="B282" s="136" t="str">
        <x:v>Pendiente</x:v>
      </x:c>
      <x:c r="C282" s="136" t="str">
        <x:v>Villa María / RP6</x:v>
      </x:c>
      <x:c r="D282" s="136" t="str">
        <x:v>Villa María</x:v>
      </x:c>
      <x:c r="E282" s="136" t="str">
        <x:v>Villa María</x:v>
      </x:c>
      <x:c r="F282" s="136" t="str">
        <x:v>B</x:v>
      </x:c>
      <x:c r="G282" s="136" t="n">
        <x:v>70</x:v>
      </x:c>
      <x:c r="H282" s="136" t="str">
        <x:v>Tracto Par</x:v>
      </x:c>
      <x:c r="I282" s="136" t="str">
        <x:v>Maquinaria agrícola / repuestos</x:v>
      </x:c>
      <x:c r="J282" s="136" t="str">
        <x:v>Maquinaria agrícola</x:v>
      </x:c>
      <x:c r="K282" s="136" t="str">
        <x:v>0353 4528278</x:v>
      </x:c>
      <x:c r="L282" s="136" t="str">
        <x:v>Verificar</x:v>
      </x:c>
      <x:c r="M282" s="136" t="str">
        <x:v>logística / ventas / postventa</x:v>
      </x:c>
      <x:c r="N282" s="136" t="str">
        <x:v>Movimiento de agropartes, repuestos pesados, conjuntos y eventualmente implementos/equipos entre planta, concesionarios y clientes.</x:v>
      </x:c>
      <x:c r="O282" s="136" t="str">
        <x:v>Plataforma e hidrogrúa para conjuntos pesados + percha/pallets para repuestos + seguro y trazabilidad.</x:v>
      </x:c>
      <x:c r="P282" s="136" t="str">
        <x:v>Ofrecer respaldo flexible para despachos voluminosos y cargas que exceden el transporte convencional de repuestos.</x:v>
      </x:c>
      <x:c r="Q282" s="136" t="str">
        <x:v>Validar contacto y volumen de movimientos; si hay encaje, pedir un traslado concreto para cotizar.</x:v>
      </x:c>
      <x:c r="R282" s="136"/>
      <x:c r="S282" s="158" t="str">
        <x:f>IFERROR(T(INDEX('Prospectos Resumen'!$K$9:$K$295,MATCH(A282,'Prospectos Resumen'!$A$9:$A$295,0))),"")</x:f>
      </x:c>
      <x:c r="T282" s="136"/>
      <x:c r="U282" s="136"/>
      <x:c r="V282" s="136"/>
      <x:c r="W282" s="136"/>
      <x:c r="X282" s="136" t="str">
        <x:v>tel:+543534528278</x:v>
      </x:c>
      <x:c r="Y282" s="136" t="str">
        <x:v>tel:+543534528278</x:v>
      </x:c>
      <x:c r="Z282" s="136" t="str">
        <x:v>Confirmar teléfono, decisor y vigencia del punto de venta.</x:v>
      </x:c>
      <x:c r="AA282" s="136" t="str">
        <x:v>https://www.google.com/maps/search/?api=1&amp;query=Tracto+Par+Villa+Mar%C3%ADa+C%C3%B3rdoba+Argentina</x:v>
      </x:c>
      <x:c r="AB282" s="136" t="str">
        <x:v>Directorio comercial Villa María</x:v>
      </x:c>
      <x:c r="AC282" s="136" t="str">
        <x:v>https://buscador5900.com.ar/agro/equipamiento/maquinaria-agricola-y-repuestos</x:v>
      </x:c>
      <x:c r="AD282" s="136" t="str">
        <x:v>Empresa de maquinaria/repuestos en Villa María; validar actividad y decisor actual.</x:v>
      </x:c>
      <x:c r="AE282" s="136" t="str">
        <x:v>Media</x:v>
      </x:c>
      <x:c r="AF282" s="136" t="str">
        <x:v>Rastrillaje agro-maquinaria web 2026-09-07</x:v>
      </x:c>
      <x:c r="AG282" s="136" t="str">
        <x:v>plataforma 20 tn para maquinaria/implementos | hidrogrúa para maniobras | malacate | seguro de carga | trazabilidad GPS</x:v>
      </x:c>
      <x:c r="AH282" s="136" t="str">
        <x:v>fabricante/concesionario/servicio maquinaria agrícola</x:v>
      </x:c>
      <x:c r="AI282" s="136" t="str">
        <x:v>Sí</x:v>
      </x:c>
      <x:c r="AJ282" s="136" t="str">
        <x:v>Media</x:v>
      </x:c>
      <x:c r="AK282" s="136" t="str">
        <x:v>Perfil específico maquinaria agrícola: validar pesos/dimensiones, tipo de carga y disponibilidad de medios de izaje antes de cotizar.</x:v>
      </x:c>
      <x:c r="AL282" s="136" t="str">
        <x:v>Rastrillaje agro-maquinaria 2026-09-07</x:v>
      </x:c>
      <x:c r="AM282" s="136" t="str">
        <x:v>Alta nueva luego de barrido específico de fabricantes, implementos, tractores, concesionarios y agropartes; cruzada contra la base maestra para evitar duplicados.</x:v>
      </x:c>
    </x:row>
    <x:row r="283">
      <x:c r="A283" s="136" t="str">
        <x:v>VM-016</x:v>
      </x:c>
      <x:c r="B283" s="136" t="str">
        <x:v>Pendiente</x:v>
      </x:c>
      <x:c r="C283" s="136" t="str">
        <x:v>Villa María / RP6</x:v>
      </x:c>
      <x:c r="D283" s="136" t="str">
        <x:v>Villa María</x:v>
      </x:c>
      <x:c r="E283" s="136" t="str">
        <x:v>Villa María</x:v>
      </x:c>
      <x:c r="F283" s="136" t="str">
        <x:v>B</x:v>
      </x:c>
      <x:c r="G283" s="136" t="n">
        <x:v>60</x:v>
      </x:c>
      <x:c r="H283" s="136" t="str">
        <x:v>Ceuta Contenedores</x:v>
      </x:c>
      <x:c r="I283" s="136" t="str">
        <x:v>Contenedores y obradores</x:v>
      </x:c>
      <x:c r="J283" s="136" t="str">
        <x:v>Módulos y contenedores</x:v>
      </x:c>
      <x:c r="K283" s="136" t="str">
        <x:v>0353 154139159</x:v>
      </x:c>
      <x:c r="L283" s="136" t="str">
        <x:v>Verificar</x:v>
      </x:c>
      <x:c r="M283" s="136" t="str">
        <x:v>operaciones / entregas</x:v>
      </x:c>
      <x:c r="N283" s="136" t="str">
        <x:v>Entrega, descarga y posicionamiento de módulos/containers en obra o cliente final.</x:v>
      </x:c>
      <x:c r="O283" s="136" t="str">
        <x:v>Plataforma + malacate + hidrogrúa para retiro, traslado, descarga y posicionamiento.</x:v>
      </x:c>
      <x:c r="P283" s="136" t="str">
        <x:v>Proveedor de contenedores/obradores: posible necesidad de transporte y posicionamiento.</x:v>
      </x:c>
      <x:c r="Q283" s="136" t="str">
        <x:v>Validar teléfono/contacto; si responde, pedir un caso concreto de traslado o próximo movimiento.</x:v>
      </x:c>
      <x:c r="R283" s="136"/>
      <x:c r="S283" s="158" t="str">
        <x:f>IFERROR(T(INDEX('Prospectos Resumen'!$K$9:$K$295,MATCH(A283,'Prospectos Resumen'!$A$9:$A$295,0))),"")</x:f>
      </x:c>
      <x:c r="T283" s="136"/>
      <x:c r="U283" s="136"/>
      <x:c r="V283" s="136"/>
      <x:c r="W283" s="136"/>
      <x:c r="X283" s="136" t="str">
        <x:v>tel:+5493534139159</x:v>
      </x:c>
      <x:c r="Y283" s="136" t="str">
        <x:v>tel:+5493534139159</x:v>
      </x:c>
      <x:c r="Z283" s="136" t="str">
        <x:v>Confirmar decisor y vigencia del dato antes de incluir en salida prioritaria.</x:v>
      </x:c>
      <x:c r="AA283" s="136" t="str">
        <x:v>https://www.google.com/maps/search/?api=1&amp;query=Ceuta+Contenedores+Villa+Mar%C3%ADa+C%C3%B3rdoba+Argentina</x:v>
      </x:c>
      <x:c r="AB283" s="136" t="str">
        <x:v>Buscador5900 / resultado de búsqueda</x:v>
      </x:c>
      <x:c r="AC283" s="136" t="str">
        <x:v>https://www.buscador5900.com.ar/construccion/contenedores-y-obradores</x:v>
      </x:c>
      <x:c r="AD283" s="136" t="str">
        <x:v>Directorio local informa rubro contenedores/obradores y teléfono; verificar antes de visita.</x:v>
      </x:c>
      <x:c r="AE283" s="136" t="str">
        <x:v>Media</x:v>
      </x:c>
      <x:c r="AF283" s="136" t="str">
        <x:v>Nuevo enriquecimiento 2026-09-02</x:v>
      </x:c>
      <x:c r="AG283" s="136" t="str">
        <x:v>transporte de áridos/materiales | hidrogrúa para carga/descarga | percha para pallets/bolsones</x:v>
      </x:c>
      <x:c r="AH283" s="136" t="str">
        <x:v>otro rubro factible</x:v>
      </x:c>
      <x:c r="AI283" s="136"/>
      <x:c r="AJ283" s="136" t="str">
        <x:v>Media</x:v>
      </x:c>
      <x:c r="AK283" s="136"/>
      <x:c r="AL283" s="136" t="str">
        <x:v>GPT adjunto + Hermes</x:v>
      </x:c>
      <x:c r="AM283" s="136" t="str">
        <x:v>Fusionado con base Hermes para completar teléfonos/fuentes/servicios.</x:v>
      </x:c>
    </x:row>
    <x:row r="284">
      <x:c r="A284" s="136" t="str">
        <x:v>VM-017</x:v>
      </x:c>
      <x:c r="B284" s="136" t="str">
        <x:v>Pendiente</x:v>
      </x:c>
      <x:c r="C284" s="136" t="str">
        <x:v>Villa María / RP6</x:v>
      </x:c>
      <x:c r="D284" s="136" t="str">
        <x:v>PILT / administración parque</x:v>
      </x:c>
      <x:c r="E284" s="136" t="str">
        <x:v>Villa María</x:v>
      </x:c>
      <x:c r="F284" s="136" t="str">
        <x:v>B</x:v>
      </x:c>
      <x:c r="G284" s="136" t="n">
        <x:v>60</x:v>
      </x:c>
      <x:c r="H284" s="136" t="str">
        <x:v>PILT Villa María — Administración</x:v>
      </x:c>
      <x:c r="I284" s="136" t="str">
        <x:v>Puerta institucional / parque industrial</x:v>
      </x:c>
      <x:c r="J284" s="136" t="str">
        <x:v>Institucional y parques</x:v>
      </x:c>
      <x:c r="K284" s="136" t="str">
        <x:v>0353 4618698 / 0353 4608191</x:v>
      </x:c>
      <x:c r="L284" s="136" t="str">
        <x:v>Verificar</x:v>
      </x:c>
      <x:c r="M284" s="136" t="str">
        <x:v>administración / listado empresas</x:v>
      </x:c>
      <x:c r="N284" s="136" t="str">
        <x:v>Acceso a padrón de empresas radicadas, obras de infraestructura y derivaciones a responsables.</x:v>
      </x:c>
      <x:c r="O284" s="136" t="str">
        <x:v>Pedir listado de empresas/obras y ofrecer PRESOL como proveedor logístico regional.</x:v>
      </x:c>
      <x:c r="P284" s="136" t="str">
        <x:v>Puerta para pedir padrón actualizado de empresas y obras de infraestructura dentro del parque.</x:v>
      </x:c>
      <x:c r="Q284" s="136" t="str">
        <x:v>Validar teléfono/contacto; si responde, pedir un caso concreto de traslado o próximo movimiento.</x:v>
      </x:c>
      <x:c r="R284" s="136"/>
      <x:c r="S284" s="158" t="str">
        <x:f>IFERROR(T(INDEX('Prospectos Resumen'!$K$9:$K$295,MATCH(A284,'Prospectos Resumen'!$A$9:$A$295,0))),"")</x:f>
      </x:c>
      <x:c r="T284" s="136"/>
      <x:c r="U284" s="136"/>
      <x:c r="V284" s="136"/>
      <x:c r="W284" s="136"/>
      <x:c r="X284" s="136" t="str">
        <x:v>tel:+543534618698</x:v>
      </x:c>
      <x:c r="Y284" s="136" t="str">
        <x:v>tel:+543534618698 | tel:+543534608191</x:v>
      </x:c>
      <x:c r="Z284" s="136" t="str">
        <x:v>Confirmar decisor y vigencia del dato antes de incluir en salida prioritaria.</x:v>
      </x:c>
      <x:c r="AA284" s="136" t="str">
        <x:v>https://www.google.com/maps/search/?api=1&amp;query=PILT+Villa+Mar%C3%ADa+%E2%80%94+Administraci%C3%B3n+Villa+Mar%C3%ADa+C%C3%B3rdoba+Argentina</x:v>
      </x:c>
      <x:c r="AB284" s="136" t="str">
        <x:v>PILT / X público / web PILT</x:v>
      </x:c>
      <x:c r="AC284" s="136" t="str">
        <x:v>https://pilt.com.ar</x:v>
      </x:c>
      <x:c r="AD284" s="136" t="str">
        <x:v>PILT publica datos de contacto en búsquedas y concentra 224 lotes; sirve como puerta institucional.</x:v>
      </x:c>
      <x:c r="AE284" s="136" t="str">
        <x:v>Media</x:v>
      </x:c>
      <x:c r="AF284" s="136" t="str">
        <x:v>Nuevo enriquecimiento 2026-09-02</x:v>
      </x:c>
      <x:c r="AG284" s="136" t="str">
        <x:v>transporte de áridos/materiales | hidrogrúa para carga/descarga | percha para pallets/bolsones</x:v>
      </x:c>
      <x:c r="AH284" s="136" t="str">
        <x:v>otro rubro factible</x:v>
      </x:c>
      <x:c r="AI284" s="136"/>
      <x:c r="AJ284" s="136" t="str">
        <x:v>Media</x:v>
      </x:c>
      <x:c r="AK284" s="136"/>
      <x:c r="AL284" s="136" t="str">
        <x:v>GPT adjunto + Hermes</x:v>
      </x:c>
      <x:c r="AM284" s="136" t="str">
        <x:v>Fusionado con base Hermes para completar teléfonos/fuentes/servicios.</x:v>
      </x:c>
    </x:row>
    <x:row r="285">
      <x:c r="A285" s="136" t="str">
        <x:v>VM-018</x:v>
      </x:c>
      <x:c r="B285" s="136" t="str">
        <x:v>Pendiente</x:v>
      </x:c>
      <x:c r="C285" s="136" t="str">
        <x:v>Villa María / RP6</x:v>
      </x:c>
      <x:c r="D285" s="136" t="str">
        <x:v>Villa María</x:v>
      </x:c>
      <x:c r="E285" s="136" t="str">
        <x:v>Villa María</x:v>
      </x:c>
      <x:c r="F285" s="136" t="str">
        <x:v>C</x:v>
      </x:c>
      <x:c r="G285" s="136" t="n">
        <x:v>55</x:v>
      </x:c>
      <x:c r="H285" s="136" t="str">
        <x:v>San Borg Internacional / Laboratorios Weende</x:v>
      </x:c>
      <x:c r="I285" s="136" t="str">
        <x:v>Laboratorio alimentos/agro</x:v>
      </x:c>
      <x:c r="J285" s="136" t="str">
        <x:v>Agroindustria y alimentos</x:v>
      </x:c>
      <x:c r="K285" s="136" t="str">
        <x:v>0353 4531453</x:v>
      </x:c>
      <x:c r="L285" s="136" t="str">
        <x:v>OK</x:v>
      </x:c>
      <x:c r="M285" s="136" t="str">
        <x:v>responsable de acopio / mantenimiento</x:v>
      </x:c>
      <x:c r="N285" s="136" t="str">
        <x:v>Traslado de equipos de planta, silos, repuestos pesados, balanzas, implementos y cargas especiales.</x:v>
      </x:c>
      <x:c r="O285" s="136" t="str">
        <x:v>Movimiento de equipos de planta, silos, balanzas, repuestos y cargas especiales para acopios/agroindustria.</x:v>
      </x:c>
      <x:c r="P285" s="136" t="str">
        <x:v>Visita solo si queda en ruta PILT.</x:v>
      </x:c>
      <x:c r="Q285" s="136" t="str">
        <x:v>Visita o llamada de validación; pedir próximo traslado concreto.</x:v>
      </x:c>
      <x:c r="R285" s="136"/>
      <x:c r="S285" s="158" t="str">
        <x:f>IFERROR(T(INDEX('Prospectos Resumen'!$K$9:$K$295,MATCH(A285,'Prospectos Resumen'!$A$9:$A$295,0))),"")</x:f>
      </x:c>
      <x:c r="T285" s="136"/>
      <x:c r="U285" s="136"/>
      <x:c r="V285" s="136"/>
      <x:c r="W285" s="136"/>
      <x:c r="X285" s="136" t="str">
        <x:v>tel:+543534531453</x:v>
      </x:c>
      <x:c r="Y285" s="136" t="str">
        <x:v>tel:+543534531453</x:v>
      </x:c>
      <x:c r="Z285" s="136" t="str">
        <x:v>Validar contacto decisor y necesidad inmediata.</x:v>
      </x:c>
      <x:c r="AA285" s="136" t="str">
        <x:v>https://www.google.com/maps/search/?api=1&amp;query=-32.412500,-63.247000</x:v>
      </x:c>
      <x:c r="AB285" s="136" t="str">
        <x:v>sanborginternacional.com.ar</x:v>
      </x:c>
      <x:c r="AC285" s="136"/>
      <x:c r="AD285" s="136" t="str">
        <x:v>Registro curado en documento de dirección PRESOL 2026-09.</x:v>
      </x:c>
      <x:c r="AE285" s="136" t="str">
        <x:v>Alta</x:v>
      </x:c>
      <x:c r="AF285" s="136" t="str">
        <x:v>Base curada PDF dirección</x:v>
      </x:c>
      <x:c r="AG285" s="136" t="str">
        <x:v>plataforma 20 tn para maquinaria/piezas | hidrogrúa para maniobras | percha para pallets | percha para pallets de insumos | hidrogrúa para equipos/mantenimiento | barquilla para trabajos en altura</x:v>
      </x:c>
      <x:c r="AH285" s="136" t="str">
        <x:v>planta agroindustrial</x:v>
      </x:c>
      <x:c r="AI285" s="136"/>
      <x:c r="AJ285" s="136" t="str">
        <x:v>Baja / visitar solo por cercanía</x:v>
      </x:c>
      <x:c r="AK285" s="136" t="str">
        <x:v>Percha pallets: útil para insumos, bolsones, repuestos y materiales palletizados.</x:v>
      </x:c>
      <x:c r="AL285" s="136" t="str">
        <x:v>GPT adjunto + Hermes</x:v>
      </x:c>
      <x:c r="AM285" s="136" t="str">
        <x:v>Fusionado con base Hermes para completar teléfonos/fuentes/servicios.</x:v>
      </x:c>
    </x:row>
    <x:row r="286">
      <x:c r="A286" s="136" t="str">
        <x:v>VM-019</x:v>
      </x:c>
      <x:c r="B286" s="136" t="str">
        <x:v>Pendiente</x:v>
      </x:c>
      <x:c r="C286" s="136" t="str">
        <x:v>Villa María / RP6</x:v>
      </x:c>
      <x:c r="D286" s="136" t="str">
        <x:v>Villa María</x:v>
      </x:c>
      <x:c r="E286" s="136" t="str">
        <x:v>Villa María</x:v>
      </x:c>
      <x:c r="F286" s="136" t="str">
        <x:v>C</x:v>
      </x:c>
      <x:c r="G286" s="136" t="n">
        <x:v>40</x:v>
      </x:c>
      <x:c r="H286" s="136" t="str">
        <x:v>Hans Aberturas SRL</x:v>
      </x:c>
      <x:c r="I286" s="136" t="str">
        <x:v>Metalmecánica / aberturas</x:v>
      </x:c>
      <x:c r="J286" s="136" t="str">
        <x:v>Metalúrgica y fabricación</x:v>
      </x:c>
      <x:c r="K286" s="136" t="str">
        <x:v>+54 353 4446515</x:v>
      </x:c>
      <x:c r="L286" s="136" t="str">
        <x:v>Verificar</x:v>
      </x:c>
      <x:c r="M286" s="136" t="str">
        <x:v>producción / despacho</x:v>
      </x:c>
      <x:c r="N286" s="136" t="str">
        <x:v>Despacho seguro de estructuras, carrozados, tanques, piezas industriales y equipos sobre plataforma.</x:v>
      </x:c>
      <x:c r="O286" s="136" t="str">
        <x:v>Plataforma 20 tn para piezas/estructuras + seguro de carga + trazabilidad GPS.</x:v>
      </x:c>
      <x:c r="P286" s="136" t="str">
        <x:v>Taller metalúrgico local; visitar solo si queda dentro de recorrido PILT/Villa María.</x:v>
      </x:c>
      <x:c r="Q286" s="136" t="str">
        <x:v>Validar teléfono/contacto; si responde, pedir un caso concreto de traslado o próximo movimiento.</x:v>
      </x:c>
      <x:c r="R286" s="136"/>
      <x:c r="S286" s="158" t="str">
        <x:f>IFERROR(T(INDEX('Prospectos Resumen'!$K$9:$K$295,MATCH(A286,'Prospectos Resumen'!$A$9:$A$295,0))),"")</x:f>
      </x:c>
      <x:c r="T286" s="136"/>
      <x:c r="U286" s="136"/>
      <x:c r="V286" s="136"/>
      <x:c r="W286" s="136"/>
      <x:c r="X286" s="136" t="str">
        <x:v>tel:+543534446515</x:v>
      </x:c>
      <x:c r="Y286" s="136" t="str">
        <x:v>tel:+543534446515</x:v>
      </x:c>
      <x:c r="Z286" s="136" t="str">
        <x:v>Confirmar decisor y vigencia del dato antes de incluir en salida prioritaria.</x:v>
      </x:c>
      <x:c r="AA286" s="136" t="str">
        <x:v>https://www.google.com/maps/search/?api=1&amp;query=Hans+Aberturas+SRL+Villa+Mar%C3%ADa+C%C3%B3rdoba+Argentina</x:v>
      </x:c>
      <x:c r="AB286" s="136" t="str">
        <x:v>Metalmecánica.com / resultado de búsqueda</x:v>
      </x:c>
      <x:c r="AC286" s="136" t="str">
        <x:v>https://www.metalmecanica.com/villa-mar%C3%ADa/fabricantes</x:v>
      </x:c>
      <x:c r="AD286" s="136" t="str">
        <x:v>Resultado público lo lista como taller metalúrgico en Villa María con teléfono.</x:v>
      </x:c>
      <x:c r="AE286" s="136" t="str">
        <x:v>Media</x:v>
      </x:c>
      <x:c r="AF286" s="136" t="str">
        <x:v>Nuevo enriquecimiento 2026-09-02</x:v>
      </x:c>
      <x:c r="AG286" s="136" t="str">
        <x:v>plataforma 20 tn para maquinaria/piezas | hidrogrúa para maniobras | percha para pallets</x:v>
      </x:c>
      <x:c r="AH286" s="136" t="str">
        <x:v>otro rubro factible</x:v>
      </x:c>
      <x:c r="AI286" s="136"/>
      <x:c r="AJ286" s="136" t="str">
        <x:v>Baja / visitar solo por cercanía</x:v>
      </x:c>
      <x:c r="AK286" s="136"/>
      <x:c r="AL286" s="136" t="str">
        <x:v>GPT adjunto + Hermes</x:v>
      </x:c>
      <x:c r="AM286" s="136" t="str">
        <x:v>Fusionado con base Hermes para completar teléfonos/fuentes/servicios.</x:v>
      </x:c>
    </x:row>
    <x:row r="287">
      <x:c r="A287" s="136" t="str">
        <x:v>VM-020</x:v>
      </x:c>
      <x:c r="B287" s="136" t="str">
        <x:v>Pendiente</x:v>
      </x:c>
      <x:c r="C287" s="136" t="str">
        <x:v>Villa María / RP6</x:v>
      </x:c>
      <x:c r="D287" s="136" t="str">
        <x:v>Villa María</x:v>
      </x:c>
      <x:c r="E287" s="136" t="str">
        <x:v>Villa María</x:v>
      </x:c>
      <x:c r="F287" s="136" t="str">
        <x:v>C</x:v>
      </x:c>
      <x:c r="G287" s="136" t="n">
        <x:v>30</x:v>
      </x:c>
      <x:c r="H287" s="136" t="str">
        <x:v>Contemar</x:v>
      </x:c>
      <x:c r="I287" s="136" t="str">
        <x:v>Contenedores y obradores</x:v>
      </x:c>
      <x:c r="J287" s="136" t="str">
        <x:v>Módulos y contenedores</x:v>
      </x:c>
      <x:c r="K287" s="136" t="str">
        <x:v>A relevar</x:v>
      </x:c>
      <x:c r="L287" s="136" t="str">
        <x:v>A relevar</x:v>
      </x:c>
      <x:c r="M287" s="136" t="str">
        <x:v>operaciones / entregas</x:v>
      </x:c>
      <x:c r="N287" s="136" t="str">
        <x:v>Entrega, descarga y posicionamiento de módulos/containers en obra o cliente final.</x:v>
      </x:c>
      <x:c r="O287" s="136" t="str">
        <x:v>Plataforma + malacate + hidrogrúa para retiro, traslado, descarga y posicionamiento.</x:v>
      </x:c>
      <x:c r="P287" s="136" t="str">
        <x:v>Validar si opera contenedores/obradores y si terceriza logística.</x:v>
      </x:c>
      <x:c r="Q287" s="136" t="str">
        <x:v>Validar teléfono/contacto; si responde, pedir un caso concreto de traslado o próximo movimiento.</x:v>
      </x:c>
      <x:c r="R287" s="136"/>
      <x:c r="S287" s="158" t="str">
        <x:f>IFERROR(T(INDEX('Prospectos Resumen'!$K$9:$K$295,MATCH(A287,'Prospectos Resumen'!$A$9:$A$295,0))),"")</x:f>
      </x:c>
      <x:c r="T287" s="136"/>
      <x:c r="U287" s="136"/>
      <x:c r="V287" s="136"/>
      <x:c r="W287" s="136"/>
      <x:c r="X287" s="136"/>
      <x:c r="Y287" s="136"/>
      <x:c r="Z287" s="136" t="str">
        <x:v>Confirmar decisor y vigencia del dato antes de incluir en salida prioritaria.</x:v>
      </x:c>
      <x:c r="AA287" s="136" t="str">
        <x:v>https://www.google.com/maps/search/?api=1&amp;query=Contemar+Villa+Mar%C3%ADa+C%C3%B3rdoba+Argentina</x:v>
      </x:c>
      <x:c r="AB287" s="136" t="str">
        <x:v>Buscador5900 / resultado de búsqueda</x:v>
      </x:c>
      <x:c r="AC287" s="136" t="str">
        <x:v>https://www.buscador5900.com.ar/construccion/contenedores-y-obradores</x:v>
      </x:c>
      <x:c r="AD287" s="136" t="str">
        <x:v>Directorio local menciona Contemar en construcción/contenedores; datos incompletos.</x:v>
      </x:c>
      <x:c r="AE287" s="136" t="str">
        <x:v>Media</x:v>
      </x:c>
      <x:c r="AF287" s="136" t="str">
        <x:v>Nuevo enriquecimiento 2026-09-02</x:v>
      </x:c>
      <x:c r="AG287" s="136" t="str">
        <x:v>transporte de áridos/materiales | hidrogrúa para carga/descarga | percha para pallets/bolsones</x:v>
      </x:c>
      <x:c r="AH287" s="136" t="str">
        <x:v>otro rubro factible</x:v>
      </x:c>
      <x:c r="AI287" s="136"/>
      <x:c r="AJ287" s="136" t="str">
        <x:v>Baja / visitar solo por cercanía</x:v>
      </x:c>
      <x:c r="AK287" s="136"/>
      <x:c r="AL287" s="136" t="str">
        <x:v>GPT adjunto + Hermes</x:v>
      </x:c>
      <x:c r="AM287" s="136" t="str">
        <x:v>Fusionado con base Hermes para completar teléfonos/fuentes/servicios.</x:v>
      </x:c>
    </x:row>
    <x:row r="288">
      <x:c r="A288" s="3" t="str">
        <x:v>VN-001</x:v>
      </x:c>
      <x:c r="B288" s="3" t="str">
        <x:v>Pendiente</x:v>
      </x:c>
      <x:c r="C288" s="3" t="str">
        <x:v>Villa María / RP6</x:v>
      </x:c>
      <x:c r="D288" s="3" t="str">
        <x:v>Villa Nueva / acceso Villa María</x:v>
      </x:c>
      <x:c r="E288" s="3" t="str">
        <x:v>Villa Nueva</x:v>
      </x:c>
      <x:c r="F288" s="3" t="str">
        <x:v>A</x:v>
      </x:c>
      <x:c r="G288" s="3" t="n">
        <x:v>85</x:v>
      </x:c>
      <x:c r="H288" s="3" t="str">
        <x:v>Raúl Antonio Re e Hijos S.R.L.</x:v>
      </x:c>
      <x:c r="I288" s="3" t="str">
        <x:v>Maquinaria vial/agro / concesionario LiuGong</x:v>
      </x:c>
      <x:c r="J288" s="3" t="str">
        <x:v>Maquinaria agrícola</x:v>
      </x:c>
      <x:c r="K288" s="3" t="str">
        <x:v>0353 4912074</x:v>
      </x:c>
      <x:c r="L288" s="3" t="str">
        <x:v>OK</x:v>
      </x:c>
      <x:c r="M288" s="3" t="str">
        <x:v>logística / ventas / postventa</x:v>
      </x:c>
      <x:c r="N288" s="3" t="str">
        <x:v>Entrega y retiro de tractores, cosechadoras, pulverizadoras, sembradoras e implementos; movimientos por venta, service, canje, demostraciones o ferias.</x:v>
      </x:c>
      <x:c r="O288" s="3" t="str">
        <x:v>Plataforma 20 tn para maquinaria agrícola + malacate/hidrogrúa según maniobra + seguro de carga + trazabilidad GPS.</x:v>
      </x:c>
      <x:c r="P288" s="3" t="str">
        <x:v>Ofrecer transporte tercerizado para entregas a clientes y retiros de usados/service, especialmente en picos de campaña y operaciones fuera de zona.</x:v>
      </x:c>
      <x:c r="Q288" s="3" t="str">
        <x:v>Llamada comercial prioritaria; pedir por logística/ventas/postventa y consultar próximo equipo a trasladar.</x:v>
      </x:c>
      <x:c r="R288" s="3"/>
      <x:c r="S288" s="161" t="str">
        <x:f>IFERROR(T(INDEX('Prospectos Resumen'!$K$9:$K$295,MATCH(A288,'Prospectos Resumen'!$A$9:$A$295,0))),"")</x:f>
      </x:c>
      <x:c r="T288" s="3"/>
      <x:c r="U288" s="3"/>
      <x:c r="V288" s="3"/>
      <x:c r="W288" s="3"/>
      <x:c r="X288" s="3" t="str">
        <x:v>tel:+543534912074</x:v>
      </x:c>
      <x:c r="Y288" s="3" t="str">
        <x:v>tel:+543534912074</x:v>
      </x:c>
      <x:c r="Z288" s="3" t="str">
        <x:v>Confirmar decisor y frecuencia de traslados.</x:v>
      </x:c>
      <x:c r="AA288" s="3" t="str">
        <x:v>https://www.google.com/maps/search/?api=1&amp;query=Ra%C3%BAl+Antonio+Re+e+Hijos+S.R.L.+Villa+Nueva+C%C3%B3rdoba+Argentina</x:v>
      </x:c>
      <x:c r="AB288" s="3" t="str">
        <x:v>Red oficial LiuGong Córdoba</x:v>
      </x:c>
      <x:c r="AC288" s="3" t="str">
        <x:v>https://liugongcordoba.com.ar/</x:v>
      </x:c>
      <x:c r="AD288" s="3" t="str">
        <x:v>Punto de venta en Villa Nueva, Ruta 4 km 1,4; comercializa maquinaria y equipos.</x:v>
      </x:c>
      <x:c r="AE288" s="3" t="str">
        <x:v>Alta</x:v>
      </x:c>
      <x:c r="AF288" s="3" t="str">
        <x:v>Rastrillaje agro-maquinaria web 2026-09-07</x:v>
      </x:c>
      <x:c r="AG288" s="3" t="str">
        <x:v>plataforma 20 tn para maquinaria/implementos | hidrogrúa para maniobras | malacate | seguro de carga | trazabilidad GPS</x:v>
      </x:c>
      <x:c r="AH288" s="3" t="str">
        <x:v>fabricante/concesionario/servicio maquinaria agrícola</x:v>
      </x:c>
      <x:c r="AI288" s="3" t="str">
        <x:v>Sí</x:v>
      </x:c>
      <x:c r="AJ288" s="3" t="str">
        <x:v>Alta</x:v>
      </x:c>
      <x:c r="AK288" s="3" t="str">
        <x:v>Perfil específico maquinaria agrícola: validar pesos/dimensiones, tipo de carga y disponibilidad de medios de izaje antes de cotizar.</x:v>
      </x:c>
      <x:c r="AL288" s="3" t="str">
        <x:v>Rastrillaje agro-maquinaria 2026-09-07</x:v>
      </x:c>
      <x:c r="AM288" s="3" t="str">
        <x:v>Alta nueva luego de barrido específico de fabricantes, implementos, tractores, concesionarios y agropartes; cruzada contra la base maestra para evitar duplicados.</x:v>
      </x:c>
    </x:row>
  </x:sheetData>
  <x:conditionalFormatting sqref="F2:F241">
    <x:cfRule type="cellIs" dxfId="0" priority="1">
      <x:formula>"A"</x:formula>
    </x:cfRule>
    <x:cfRule type="cellIs" dxfId="1" priority="2">
      <x:formula>"B"</x:formula>
    </x:cfRule>
    <x:cfRule type="cellIs" dxfId="2" priority="3">
      <x:formula>"C"</x:formula>
    </x:cfRule>
  </x:conditionalFormatting>
  <x:conditionalFormatting sqref="L2:L241">
    <x:cfRule type="cellIs" dxfId="3" priority="4">
      <x:formula>"OK"</x:formula>
    </x:cfRule>
    <x:cfRule type="cellIs" dxfId="4" priority="5">
      <x:formula>"Verificar"</x:formula>
    </x:cfRule>
    <x:cfRule type="cellIs" dxfId="5" priority="6">
      <x:formula>"A relevar"</x:formula>
    </x:cfRule>
  </x:conditionalFormatting>
  <x:conditionalFormatting sqref="F2:F267">
    <x:cfRule type="cellIs" dxfId="14" priority="7">
      <x:formula>"A"</x:formula>
    </x:cfRule>
    <x:cfRule type="cellIs" dxfId="15" priority="8">
      <x:formula>"B"</x:formula>
    </x:cfRule>
    <x:cfRule type="cellIs" dxfId="16" priority="9">
      <x:formula>"C"</x:formula>
    </x:cfRule>
  </x:conditionalFormatting>
  <x:conditionalFormatting sqref="L2:L267">
    <x:cfRule type="cellIs" dxfId="17" priority="10">
      <x:formula>"OK"</x:formula>
    </x:cfRule>
    <x:cfRule type="cellIs" dxfId="18" priority="11">
      <x:formula>"Verificar"</x:formula>
    </x:cfRule>
    <x:cfRule type="cellIs" dxfId="19" priority="12">
      <x:formula>"A relevar"</x:formula>
    </x:cfRule>
  </x:conditionalFormatting>
  <x:conditionalFormatting sqref="F2:F288">
    <x:cfRule type="cellIs" dxfId="20" priority="13">
      <x:formula>"A"</x:formula>
    </x:cfRule>
    <x:cfRule type="cellIs" dxfId="21" priority="14">
      <x:formula>"B"</x:formula>
    </x:cfRule>
    <x:cfRule type="cellIs" dxfId="22" priority="15">
      <x:formula>"C"</x:formula>
    </x:cfRule>
  </x:conditionalFormatting>
  <x:conditionalFormatting sqref="L2:L288">
    <x:cfRule type="cellIs" dxfId="23" priority="16">
      <x:formula>"OK"</x:formula>
    </x:cfRule>
    <x:cfRule type="cellIs" dxfId="24" priority="17">
      <x:formula>"Verificar"</x:formula>
    </x:cfRule>
    <x:cfRule type="cellIs" dxfId="25" priority="18">
      <x:formula>"A relevar"</x:formula>
    </x:cfRule>
  </x:conditionalFormatting>
  <x:dataValidations count="18">
    <x:dataValidation type="list" sqref="B2:B188">
      <x:formula1>"Pendiente,Contactado,Visita programada,Visitado,Cotización,Seguimiento,Cerrado,Descartado"</x:formula1>
    </x:dataValidation>
    <x:dataValidation type="list" sqref="F2:F188">
      <x:formula1>"A,B,C"</x:formula1>
    </x:dataValidation>
    <x:dataValidation type="list" sqref="L2:L188">
      <x:formula1>"OK,Verificar,A relevar"</x:formula1>
    </x:dataValidation>
    <x:dataValidation type="list" sqref="T2:T188">
      <x:formula1>"Interesado,Pedir cotización,Volver a contactar,Sin respuesta,Sin necesidad actual,No aplica"</x:formula1>
    </x:dataValidation>
    <x:dataValidation type="list" sqref="J2:J188">
      <x:formula1>"Maquinaria agrícola,Metalúrgica y fabricación,Construcción y obra vial,Hormigón, áridos y materiales,Agro, acopio y cooperativas,Agroindustria y alimentos,Industria y mantenimiento,Módulos y contenedores,PRFV y plásticos,Institucional y parques"</x:formula1>
    </x:dataValidation>
    <x:dataValidation type="list" sqref="B2:B241">
      <x:formula1>"Pendiente,Contactado,Visita programada,Visitado,Cotización,Seguimiento,Cerrado,Descartado"</x:formula1>
    </x:dataValidation>
    <x:dataValidation type="list" sqref="F2:F241">
      <x:formula1>"A,B,C"</x:formula1>
    </x:dataValidation>
    <x:dataValidation type="list" sqref="J2:J241">
      <x:formula1>"Maquinaria agrícola,Metalúrgica y fabricación,Construcción y obra vial,Hormigón, áridos y materiales,Agro, acopio y cooperativas,Agroindustria y alimentos,Industria y mantenimiento,Módulos y contenedores,PRFV y plásticos,Institucional y parques"</x:formula1>
    </x:dataValidation>
    <x:dataValidation type="list" sqref="L2:L241">
      <x:formula1>"OK,Verificar,A relevar"</x:formula1>
    </x:dataValidation>
    <x:dataValidation type="list" sqref="T2:T241">
      <x:formula1>"Interesado,Pedir cotización,Volver a contactar,Sin respuesta,Sin necesidad actual,No aplica"</x:formula1>
    </x:dataValidation>
    <x:dataValidation type="list" sqref="B2:B267">
      <x:formula1>"Pendiente,Contactado,Visita programada,Visitado,Cotización,Seguimiento,Cerrado,Descartado"</x:formula1>
    </x:dataValidation>
    <x:dataValidation type="list" sqref="F2:F267">
      <x:formula1>"A,B,C"</x:formula1>
    </x:dataValidation>
    <x:dataValidation type="list" sqref="L2:L267">
      <x:formula1>"OK,Verificar,A relevar"</x:formula1>
    </x:dataValidation>
    <x:dataValidation type="list" sqref="T2:T267">
      <x:formula1>"Interesado,Pedir cotización,Volver a contactar,Sin respuesta,Sin necesidad actual,No aplica"</x:formula1>
    </x:dataValidation>
    <x:dataValidation type="list" sqref="B2:B288">
      <x:formula1>"Pendiente,Contactado,Visita programada,Visitado,Cotización,Seguimiento,Cerrado,Descartado"</x:formula1>
    </x:dataValidation>
    <x:dataValidation type="list" sqref="F2:F288">
      <x:formula1>"A,B,C"</x:formula1>
    </x:dataValidation>
    <x:dataValidation type="list" sqref="L2:L288">
      <x:formula1>"OK,Verificar,A relevar"</x:formula1>
    </x:dataValidation>
    <x:dataValidation type="list" sqref="T2:T288">
      <x:formula1>"Interesado,Pedir cotización,Volver a contactar,Sin respuesta,Sin necesidad actual,No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7dac2148b3482f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1" width="24" customWidth="1"/>
    <x:col min="2" max="2" width="20" customWidth="1"/>
    <x:col min="3" max="4" width="12" customWidth="1"/>
    <x:col min="5" max="6" width="14" customWidth="1"/>
    <x:col min="8" max="8" width="32" customWidth="1"/>
    <x:col min="9" max="10" width="13" customWidth="1"/>
  </x:cols>
  <x:sheetData>
    <x:row r="1" ht="20.25">
      <x:c r="A1" s="21" t="s">
        <x:v>0</x:v>
      </x:c>
      <x:c r="B1" s="21"/>
      <x:c r="C1" s="21"/>
      <x:c r="D1" s="21"/>
      <x:c r="E1" s="21"/>
      <x:c r="F1" s="21"/>
      <x:c r="G1" s="21"/>
      <x:c r="H1" s="21"/>
    </x:row>
    <x:row r="2">
      <x:c r="A2" s="22" t="s">
        <x:v>1</x:v>
      </x:c>
      <x:c r="B2" s="22"/>
      <x:c r="C2" s="22"/>
      <x:c r="D2" s="22"/>
      <x:c r="E2" s="22"/>
      <x:c r="F2" s="22"/>
      <x:c r="G2" s="22"/>
      <x:c r="H2" s="22"/>
    </x:row>
    <x:row r="4">
      <x:c r="A4" s="48" t="str">
        <x:v>Clase</x:v>
      </x:c>
      <x:c r="B4" s="48" t="str">
        <x:v>Prospectos</x:v>
      </x:c>
      <x:c r="C4" s="48" t="str">
        <x:v>% de base</x:v>
      </x:c>
      <x:c r="D4" s="48" t="str">
        <x:v>Criterio</x:v>
      </x:c>
      <x:c r="E4"/>
      <x:c r="F4"/>
      <x:c r="G4"/>
      <x:c r="H4" s="48" t="str">
        <x:v>Categoría comercial</x:v>
      </x:c>
      <x:c r="I4" s="48" t="str">
        <x:v>Prospectos</x:v>
      </x:c>
      <x:c r="J4" s="48" t="str">
        <x:v>% de base</x:v>
      </x:c>
    </x:row>
    <x:row r="5">
      <x:c r="A5" s="2" t="str">
        <x:v>A</x:v>
      </x:c>
      <x:c r="B5" s="2" t="n">
        <x:f>COUNTIF(Prospectos!F2:F288,"A")</x:f>
        <x:v>162</x:v>
      </x:c>
      <x:c r="C5" s="107" t="n">
        <x:f>B5/$B$8</x:f>
        <x:v>0.5644599303135889</x:v>
      </x:c>
      <x:c r="D5" s="2" t="str">
        <x:v>Prioridad alta</x:v>
      </x:c>
      <x:c r="E5"/>
      <x:c r="F5"/>
      <x:c r="G5"/>
      <x:c r="H5" s="17" t="str">
        <x:v>Maquinaria agrícola</x:v>
      </x:c>
      <x:c r="I5" s="17" t="n">
        <x:f>COUNTIF(Prospectos!J2:J288,"Maquinaria agrícola")</x:f>
        <x:v>98</x:v>
      </x:c>
      <x:c r="J5" s="111" t="n">
        <x:f t="shared" ref="J5:J14" si="0">I5/$B$8</x:f>
        <x:v>0.34146341463414637</x:v>
      </x:c>
    </x:row>
    <x:row r="6" ht="24">
      <x:c r="A6" s="2" t="str">
        <x:v>B</x:v>
      </x:c>
      <x:c r="B6" s="2" t="n">
        <x:f>COUNTIF(Prospectos!F2:F288,"B")</x:f>
        <x:v>110</x:v>
      </x:c>
      <x:c r="C6" s="107" t="n">
        <x:f>B6/$B$8</x:f>
        <x:v>0.3832752613240418</x:v>
      </x:c>
      <x:c r="D6" s="2" t="str">
        <x:v>Segunda pasada</x:v>
      </x:c>
      <x:c r="E6"/>
      <x:c r="F6"/>
      <x:c r="G6"/>
      <x:c r="H6" s="18" t="str">
        <x:v>Metalúrgica y fabricación</x:v>
      </x:c>
      <x:c r="I6" s="18" t="n">
        <x:f>COUNTIF(Prospectos!J2:J288,"Metalúrgica y fabricación")</x:f>
        <x:v>32</x:v>
      </x:c>
      <x:c r="J6" s="112" t="n">
        <x:f t="shared" si="0">I6/$B$8</x:f>
        <x:v>0.11149825783972125</x:v>
      </x:c>
    </x:row>
    <x:row r="7" ht="36">
      <x:c r="A7" s="2" t="str">
        <x:v>C</x:v>
      </x:c>
      <x:c r="B7" s="2" t="n">
        <x:f>COUNTIF(Prospectos!F2:F288,"C")</x:f>
        <x:v>15</x:v>
      </x:c>
      <x:c r="C7" s="107" t="n">
        <x:f>B7/$B$8</x:f>
        <x:v>0.05226480836236934</x:v>
      </x:c>
      <x:c r="D7" s="2" t="str">
        <x:v>Oportunidad puntual / cercanía</x:v>
      </x:c>
      <x:c r="E7"/>
      <x:c r="F7"/>
      <x:c r="G7"/>
      <x:c r="H7" s="17" t="str">
        <x:v>Construcción y obra vial</x:v>
      </x:c>
      <x:c r="I7" s="17" t="n">
        <x:f>COUNTIF(Prospectos!J2:J288,"Construcción y obra vial")</x:f>
        <x:v>26</x:v>
      </x:c>
      <x:c r="J7" s="111" t="n">
        <x:f t="shared" si="0">I7/$B$8</x:f>
        <x:v>0.09059233449477352</x:v>
      </x:c>
    </x:row>
    <x:row r="8">
      <x:c r="A8" s="3" t="str">
        <x:v>Total</x:v>
      </x:c>
      <x:c r="B8" s="3" t="n">
        <x:f>COUNTA(Prospectos!A2:A288)</x:f>
        <x:v>287</x:v>
      </x:c>
      <x:c r="C8" s="108" t="n">
        <x:f>1</x:f>
        <x:v>1</x:v>
      </x:c>
      <x:c r="D8" s="3" t="str">
        <x:v>Base total</x:v>
      </x:c>
      <x:c r="E8"/>
      <x:c r="F8"/>
      <x:c r="G8"/>
      <x:c r="H8" s="18" t="str">
        <x:v>Hormigón, áridos y materiales</x:v>
      </x:c>
      <x:c r="I8" s="18" t="n">
        <x:f>COUNTIF(Prospectos!J2:J288,"Hormigón, áridos y materiales")</x:f>
        <x:v>27</x:v>
      </x:c>
      <x:c r="J8" s="112" t="n">
        <x:f t="shared" si="0">I8/$B$8</x:f>
        <x:v>0.09407665505226481</x:v>
      </x:c>
    </x:row>
    <x:row r="9">
      <x:c r="A9"/>
      <x:c r="B9"/>
      <x:c r="C9"/>
      <x:c r="D9"/>
      <x:c r="E9"/>
      <x:c r="F9"/>
      <x:c r="G9"/>
      <x:c r="H9" s="17" t="str">
        <x:v>Agro, acopio y cooperativas</x:v>
      </x:c>
      <x:c r="I9" s="17" t="n">
        <x:f>COUNTIF(Prospectos!J2:J288,"Agro, acopio y cooperativas")</x:f>
        <x:v>25</x:v>
      </x:c>
      <x:c r="J9" s="111" t="n">
        <x:f t="shared" si="0">I9/$B$8</x:f>
        <x:v>0.08710801393728224</x:v>
      </x:c>
    </x:row>
    <x:row r="10">
      <x:c r="A10"/>
      <x:c r="B10"/>
      <x:c r="C10"/>
      <x:c r="D10"/>
      <x:c r="E10"/>
      <x:c r="F10"/>
      <x:c r="G10"/>
      <x:c r="H10" s="18" t="str">
        <x:v>Agroindustria y alimentos</x:v>
      </x:c>
      <x:c r="I10" s="18" t="n">
        <x:f>COUNTIF(Prospectos!J2:J288,"Agroindustria y alimentos")</x:f>
        <x:v>16</x:v>
      </x:c>
      <x:c r="J10" s="112" t="n">
        <x:f t="shared" si="0">I10/$B$8</x:f>
        <x:v>0.05574912891986063</x:v>
      </x:c>
    </x:row>
    <x:row r="11">
      <x:c r="A11" s="157" t="str">
        <x:v>Corredor</x:v>
      </x:c>
      <x:c r="B11" s="157" t="str">
        <x:v>Ciudad</x:v>
      </x:c>
      <x:c r="C11" s="157" t="str">
        <x:v>Total</x:v>
      </x:c>
      <x:c r="D11" s="157" t="str">
        <x:v>Clase A</x:v>
      </x:c>
      <x:c r="E11" s="157" t="str">
        <x:v>Teléfonos OK</x:v>
      </x:c>
      <x:c r="F11" s="157" t="str">
        <x:v>A verificar</x:v>
      </x:c>
      <x:c r="G11"/>
      <x:c r="H11" s="17" t="str">
        <x:v>Industria y mantenimiento</x:v>
      </x:c>
      <x:c r="I11" s="17" t="n">
        <x:f>COUNTIF(Prospectos!J2:J288,"Industria y mantenimiento")</x:f>
        <x:v>18</x:v>
      </x:c>
      <x:c r="J11" s="111" t="n">
        <x:f t="shared" si="0">I11/$B$8</x:f>
        <x:v>0.0627177700348432</x:v>
      </x:c>
    </x:row>
    <x:row r="12">
      <x:c r="A12" s="5" t="str">
        <x:v>Base Río Tercero</x:v>
      </x:c>
      <x:c r="B12" s="5" t="str">
        <x:v>Río Tercero</x:v>
      </x:c>
      <x:c r="C12" s="5" t="n">
        <x:f>COUNTIFS(Prospectos!C2:C288,"Base Río Tercero",Prospectos!E2:E288,"Río Tercero")</x:f>
        <x:v>65</x:v>
      </x:c>
      <x:c r="D12" s="5" t="n">
        <x:f>COUNTIFS(Prospectos!C2:C288,"Base Río Tercero",Prospectos!E2:E288,"Río Tercero",Prospectos!F2:F288,"A")</x:f>
        <x:v>31</x:v>
      </x:c>
      <x:c r="E12" s="5" t="n">
        <x:f>COUNTIFS(Prospectos!C2:C288,"Base Río Tercero",Prospectos!E2:E288,"Río Tercero",Prospectos!L2:L288,"OK")</x:f>
        <x:v>40</x:v>
      </x:c>
      <x:c r="F12" s="5" t="n">
        <x:f t="shared" ref="F12:F34" si="1">C12-E12</x:f>
        <x:v>25</x:v>
      </x:c>
      <x:c r="G12"/>
      <x:c r="H12" s="18" t="str">
        <x:v>Módulos y contenedores</x:v>
      </x:c>
      <x:c r="I12" s="18" t="n">
        <x:f>COUNTIF(Prospectos!J2:J288,"Módulos y contenedores")</x:f>
        <x:v>12</x:v>
      </x:c>
      <x:c r="J12" s="112" t="n">
        <x:f t="shared" si="0">I12/$B$8</x:f>
        <x:v>0.041811846689895474</x:v>
      </x:c>
    </x:row>
    <x:row r="13" ht="24">
      <x:c r="A13" s="3" t="str">
        <x:v>Corralito / acceso secundario RN36</x:v>
      </x:c>
      <x:c r="B13" s="3" t="str">
        <x:v>Corralito</x:v>
      </x:c>
      <x:c r="C13" s="3" t="n">
        <x:f>COUNTIFS(Prospectos!C2:C288,"Corralito / acceso secundario RN36",Prospectos!E2:E288,"Corralito")</x:f>
        <x:v>2</x:v>
      </x:c>
      <x:c r="D13" s="3" t="n">
        <x:f>COUNTIFS(Prospectos!C2:C288,"Corralito / acceso secundario RN36",Prospectos!E2:E288,"Corralito",Prospectos!F2:F288,"A")</x:f>
        <x:v>1</x:v>
      </x:c>
      <x:c r="E13" s="3" t="n">
        <x:f>COUNTIFS(Prospectos!C2:C288,"Corralito / acceso secundario RN36",Prospectos!E2:E288,"Corralito",Prospectos!L2:L288,"OK")</x:f>
        <x:v>2</x:v>
      </x:c>
      <x:c r="F13" s="3" t="n">
        <x:f t="shared" si="1">C13-E13</x:f>
        <x:v>0</x:v>
      </x:c>
      <x:c r="G13"/>
      <x:c r="H13" s="17" t="str">
        <x:v>PRFV y plásticos</x:v>
      </x:c>
      <x:c r="I13" s="17" t="n">
        <x:f>COUNTIF(Prospectos!J2:J288,"PRFV y plásticos")</x:f>
        <x:v>30</x:v>
      </x:c>
      <x:c r="J13" s="111" t="n">
        <x:f t="shared" si="0">I13/$B$8</x:f>
        <x:v>0.10452961672473868</x:v>
      </x:c>
    </x:row>
    <x:row r="14" ht="24">
      <x:c r="A14" s="5" t="str">
        <x:v>Corralito / acceso secundario RN36</x:v>
      </x:c>
      <x:c r="B14" s="5" t="str">
        <x:v>Tancacha</x:v>
      </x:c>
      <x:c r="C14" s="5" t="n">
        <x:f>COUNTIFS(Prospectos!C2:C288,"Corralito / acceso secundario RN36",Prospectos!E2:E288,"Tancacha")</x:f>
        <x:v>12</x:v>
      </x:c>
      <x:c r="D14" s="5" t="n">
        <x:f>COUNTIFS(Prospectos!C2:C288,"Corralito / acceso secundario RN36",Prospectos!E2:E288,"Tancacha",Prospectos!F2:F288,"A")</x:f>
        <x:v>4</x:v>
      </x:c>
      <x:c r="E14" s="5" t="n">
        <x:f>COUNTIFS(Prospectos!C2:C288,"Corralito / acceso secundario RN36",Prospectos!E2:E288,"Tancacha",Prospectos!L2:L288,"OK")</x:f>
        <x:v>10</x:v>
      </x:c>
      <x:c r="F14" s="5" t="n">
        <x:f t="shared" si="1">C14-E14</x:f>
        <x:v>2</x:v>
      </x:c>
      <x:c r="G14"/>
      <x:c r="H14" s="18" t="str">
        <x:v>Institucional y parques</x:v>
      </x:c>
      <x:c r="I14" s="18" t="n">
        <x:f>COUNTIF(Prospectos!J2:J288,"Institucional y parques")</x:f>
        <x:v>3</x:v>
      </x:c>
      <x:c r="J14" s="112" t="n">
        <x:f t="shared" si="0">I14/$B$8</x:f>
        <x:v>0.010452961672473868</x:v>
      </x:c>
    </x:row>
    <x:row r="15">
      <x:c r="A15" s="3" t="str">
        <x:v>Córdoba / RN36 norte</x:v>
      </x:c>
      <x:c r="B15" s="3" t="str">
        <x:v>Alta Gracia</x:v>
      </x:c>
      <x:c r="C15" s="3" t="n">
        <x:f>COUNTIFS(Prospectos!C2:C288,"Córdoba / RN36 norte",Prospectos!E2:E288,"Alta Gracia")</x:f>
        <x:v>10</x:v>
      </x:c>
      <x:c r="D15" s="3" t="n">
        <x:f>COUNTIFS(Prospectos!C2:C288,"Córdoba / RN36 norte",Prospectos!E2:E288,"Alta Gracia",Prospectos!F2:F288,"A")</x:f>
        <x:v>6</x:v>
      </x:c>
      <x:c r="E15" s="3" t="n">
        <x:f>COUNTIFS(Prospectos!C2:C288,"Córdoba / RN36 norte",Prospectos!E2:E288,"Alta Gracia",Prospectos!L2:L288,"OK")</x:f>
        <x:v>8</x:v>
      </x:c>
      <x:c r="F15" s="3" t="n">
        <x:f t="shared" si="1">C15-E15</x:f>
        <x:v>2</x:v>
      </x:c>
      <x:c r="G15"/>
      <x:c r="H15"/>
      <x:c r="I15"/>
      <x:c r="J15"/>
    </x:row>
    <x:row r="16">
      <x:c r="A16" s="5" t="str">
        <x:v>Córdoba / RN36 norte</x:v>
      </x:c>
      <x:c r="B16" s="5" t="str">
        <x:v>Anisacate</x:v>
      </x:c>
      <x:c r="C16" s="5" t="n">
        <x:f>COUNTIFS(Prospectos!C2:C288,"Córdoba / RN36 norte",Prospectos!E2:E288,"Anisacate")</x:f>
        <x:v>2</x:v>
      </x:c>
      <x:c r="D16" s="5" t="n">
        <x:f>COUNTIFS(Prospectos!C2:C288,"Córdoba / RN36 norte",Prospectos!E2:E288,"Anisacate",Prospectos!F2:F288,"A")</x:f>
        <x:v>2</x:v>
      </x:c>
      <x:c r="E16" s="5" t="n">
        <x:f>COUNTIFS(Prospectos!C2:C288,"Córdoba / RN36 norte",Prospectos!E2:E288,"Anisacate",Prospectos!L2:L288,"OK")</x:f>
        <x:v>2</x:v>
      </x:c>
      <x:c r="F16" s="5" t="n">
        <x:f t="shared" si="1">C16-E16</x:f>
        <x:v>0</x:v>
      </x:c>
      <x:c r="G16"/>
      <x:c r="H16"/>
      <x:c r="I16"/>
      <x:c r="J16"/>
    </x:row>
    <x:row r="17">
      <x:c r="A17" s="3" t="str">
        <x:v>Córdoba / RN36 norte</x:v>
      </x:c>
      <x:c r="B17" s="3" t="str">
        <x:v>Córdoba / Sierras</x:v>
      </x:c>
      <x:c r="C17" s="3" t="n">
        <x:f>COUNTIFS(Prospectos!C2:C288,"Córdoba / RN36 norte",Prospectos!E2:E288,"Córdoba / Sierras")</x:f>
        <x:v>1</x:v>
      </x:c>
      <x:c r="D17" s="3" t="n">
        <x:f>COUNTIFS(Prospectos!C2:C288,"Córdoba / RN36 norte",Prospectos!E2:E288,"Córdoba / Sierras",Prospectos!F2:F288,"A")</x:f>
        <x:v>0</x:v>
      </x:c>
      <x:c r="E17" s="3" t="n">
        <x:f>COUNTIFS(Prospectos!C2:C288,"Córdoba / RN36 norte",Prospectos!E2:E288,"Córdoba / Sierras",Prospectos!L2:L288,"OK")</x:f>
        <x:v>0</x:v>
      </x:c>
      <x:c r="F17" s="3" t="n">
        <x:f t="shared" si="1">C17-E17</x:f>
        <x:v>1</x:v>
      </x:c>
      <x:c r="G17"/>
      <x:c r="H17"/>
      <x:c r="I17"/>
      <x:c r="J17"/>
    </x:row>
    <x:row r="18">
      <x:c r="A18" s="5" t="str">
        <x:v>Córdoba / RN36 norte</x:v>
      </x:c>
      <x:c r="B18" s="5" t="str">
        <x:v>Córdoba capital</x:v>
      </x:c>
      <x:c r="C18" s="5" t="n">
        <x:f>COUNTIFS(Prospectos!C2:C288,"Córdoba / RN36 norte",Prospectos!E2:E288,"Córdoba capital")</x:f>
        <x:v>16</x:v>
      </x:c>
      <x:c r="D18" s="5" t="n">
        <x:f>COUNTIFS(Prospectos!C2:C288,"Córdoba / RN36 norte",Prospectos!E2:E288,"Córdoba capital",Prospectos!F2:F288,"A")</x:f>
        <x:v>13</x:v>
      </x:c>
      <x:c r="E18" s="5" t="n">
        <x:f>COUNTIFS(Prospectos!C2:C288,"Córdoba / RN36 norte",Prospectos!E2:E288,"Córdoba capital",Prospectos!L2:L288,"OK")</x:f>
        <x:v>14</x:v>
      </x:c>
      <x:c r="F18" s="5" t="n">
        <x:f t="shared" si="1">C18-E18</x:f>
        <x:v>2</x:v>
      </x:c>
      <x:c r="G18"/>
      <x:c r="H18"/>
      <x:c r="I18"/>
      <x:c r="J18"/>
    </x:row>
    <x:row r="19">
      <x:c r="A19" s="3" t="str">
        <x:v>Córdoba / RN36 norte</x:v>
      </x:c>
      <x:c r="B19" s="3" t="str">
        <x:v>Córdoba capital zona sur</x:v>
      </x:c>
      <x:c r="C19" s="3" t="n">
        <x:f>COUNTIFS(Prospectos!C2:C288,"Córdoba / RN36 norte",Prospectos!E2:E288,"Córdoba capital zona sur")</x:f>
        <x:v>9</x:v>
      </x:c>
      <x:c r="D19" s="3" t="n">
        <x:f>COUNTIFS(Prospectos!C2:C288,"Córdoba / RN36 norte",Prospectos!E2:E288,"Córdoba capital zona sur",Prospectos!F2:F288,"A")</x:f>
        <x:v>6</x:v>
      </x:c>
      <x:c r="E19" s="3" t="n">
        <x:f>COUNTIFS(Prospectos!C2:C288,"Córdoba / RN36 norte",Prospectos!E2:E288,"Córdoba capital zona sur",Prospectos!L2:L288,"OK")</x:f>
        <x:v>7</x:v>
      </x:c>
      <x:c r="F19" s="3" t="n">
        <x:f t="shared" si="1">C19-E19</x:f>
        <x:v>2</x:v>
      </x:c>
      <x:c r="G19"/>
      <x:c r="H19"/>
      <x:c r="I19"/>
      <x:c r="J19"/>
    </x:row>
    <x:row r="20">
      <x:c r="A20" s="5" t="str">
        <x:v>Córdoba / RN36 norte</x:v>
      </x:c>
      <x:c r="B20" s="5" t="str">
        <x:v>Despeñaderos</x:v>
      </x:c>
      <x:c r="C20" s="5" t="n">
        <x:f>COUNTIFS(Prospectos!C2:C288,"Córdoba / RN36 norte",Prospectos!E2:E288,"Despeñaderos")</x:f>
        <x:v>4</x:v>
      </x:c>
      <x:c r="D20" s="5" t="n">
        <x:f>COUNTIFS(Prospectos!C2:C288,"Córdoba / RN36 norte",Prospectos!E2:E288,"Despeñaderos",Prospectos!F2:F288,"A")</x:f>
        <x:v>2</x:v>
      </x:c>
      <x:c r="E20" s="5" t="n">
        <x:f>COUNTIFS(Prospectos!C2:C288,"Córdoba / RN36 norte",Prospectos!E2:E288,"Despeñaderos",Prospectos!L2:L288,"OK")</x:f>
        <x:v>2</x:v>
      </x:c>
      <x:c r="F20" s="5" t="n">
        <x:f t="shared" si="1">C20-E20</x:f>
        <x:v>2</x:v>
      </x:c>
      <x:c r="G20"/>
      <x:c r="H20"/>
      <x:c r="I20"/>
      <x:c r="J20"/>
    </x:row>
    <x:row r="21">
      <x:c r="A21" s="3" t="str">
        <x:v>Córdoba / RN36 norte</x:v>
      </x:c>
      <x:c r="B21" s="3" t="str">
        <x:v>Ferreyra / Santa Isabel</x:v>
      </x:c>
      <x:c r="C21" s="3" t="n">
        <x:f>COUNTIFS(Prospectos!C2:C288,"Córdoba / RN36 norte",Prospectos!E2:E288,"Ferreyra / Santa Isabel")</x:f>
        <x:v>2</x:v>
      </x:c>
      <x:c r="D21" s="3" t="n">
        <x:f>COUNTIFS(Prospectos!C2:C288,"Córdoba / RN36 norte",Prospectos!E2:E288,"Ferreyra / Santa Isabel",Prospectos!F2:F288,"A")</x:f>
        <x:v>0</x:v>
      </x:c>
      <x:c r="E21" s="3" t="n">
        <x:f>COUNTIFS(Prospectos!C2:C288,"Córdoba / RN36 norte",Prospectos!E2:E288,"Ferreyra / Santa Isabel",Prospectos!L2:L288,"OK")</x:f>
        <x:v>2</x:v>
      </x:c>
      <x:c r="F21" s="3" t="n">
        <x:f t="shared" si="1">C21-E21</x:f>
        <x:v>0</x:v>
      </x:c>
      <x:c r="G21"/>
      <x:c r="H21"/>
      <x:c r="I21"/>
      <x:c r="J21"/>
    </x:row>
    <x:row r="22">
      <x:c r="A22" s="5" t="str">
        <x:v>Córdoba / RN36 norte</x:v>
      </x:c>
      <x:c r="B22" s="5" t="str">
        <x:v>Malagueño</x:v>
      </x:c>
      <x:c r="C22" s="5" t="n">
        <x:f>COUNTIFS(Prospectos!C2:C288,"Córdoba / RN36 norte",Prospectos!E2:E288,"Malagueño")</x:f>
        <x:v>4</x:v>
      </x:c>
      <x:c r="D22" s="5" t="n">
        <x:f>COUNTIFS(Prospectos!C2:C288,"Córdoba / RN36 norte",Prospectos!E2:E288,"Malagueño",Prospectos!F2:F288,"A")</x:f>
        <x:v>3</x:v>
      </x:c>
      <x:c r="E22" s="5" t="n">
        <x:f>COUNTIFS(Prospectos!C2:C288,"Córdoba / RN36 norte",Prospectos!E2:E288,"Malagueño",Prospectos!L2:L288,"OK")</x:f>
        <x:v>3</x:v>
      </x:c>
      <x:c r="F22" s="5" t="n">
        <x:f t="shared" si="1">C22-E22</x:f>
        <x:v>1</x:v>
      </x:c>
      <x:c r="G22"/>
      <x:c r="H22"/>
      <x:c r="I22"/>
      <x:c r="J22"/>
    </x:row>
    <x:row r="23">
      <x:c r="A23" s="3" t="str">
        <x:v>Oncativo / RN9</x:v>
      </x:c>
      <x:c r="B23" s="3" t="str">
        <x:v>Oncativo</x:v>
      </x:c>
      <x:c r="C23" s="3" t="n">
        <x:f>COUNTIFS(Prospectos!C2:C288,"Oncativo / RN9",Prospectos!E2:E288,"Oncativo")</x:f>
        <x:v>24</x:v>
      </x:c>
      <x:c r="D23" s="3" t="n">
        <x:f>COUNTIFS(Prospectos!C2:C288,"Oncativo / RN9",Prospectos!E2:E288,"Oncativo",Prospectos!F2:F288,"A")</x:f>
        <x:v>17</x:v>
      </x:c>
      <x:c r="E23" s="3" t="n">
        <x:f>COUNTIFS(Prospectos!C2:C288,"Oncativo / RN9",Prospectos!E2:E288,"Oncativo",Prospectos!L2:L288,"OK")</x:f>
        <x:v>18</x:v>
      </x:c>
      <x:c r="F23" s="3" t="n">
        <x:f t="shared" si="1">C23-E23</x:f>
        <x:v>6</x:v>
      </x:c>
      <x:c r="G23"/>
      <x:c r="H23"/>
      <x:c r="I23"/>
      <x:c r="J23"/>
    </x:row>
    <x:row r="24">
      <x:c r="A24" s="5" t="str">
        <x:v>Oncativo / RN9-RP10</x:v>
      </x:c>
      <x:c r="B24" s="5" t="str">
        <x:v>Oncativo</x:v>
      </x:c>
      <x:c r="C24" s="5" t="n">
        <x:f>COUNTIFS(Prospectos!C2:C288,"Oncativo / RN9-RP10",Prospectos!E2:E288,"Oncativo")</x:f>
        <x:v>5</x:v>
      </x:c>
      <x:c r="D24" s="5" t="n">
        <x:f>COUNTIFS(Prospectos!C2:C288,"Oncativo / RN9-RP10",Prospectos!E2:E288,"Oncativo",Prospectos!F2:F288,"A")</x:f>
        <x:v>1</x:v>
      </x:c>
      <x:c r="E24" s="5" t="n">
        <x:f>COUNTIFS(Prospectos!C2:C288,"Oncativo / RN9-RP10",Prospectos!E2:E288,"Oncativo",Prospectos!L2:L288,"OK")</x:f>
        <x:v>3</x:v>
      </x:c>
      <x:c r="F24" s="5" t="n">
        <x:f t="shared" si="1">C24-E24</x:f>
        <x:v>2</x:v>
      </x:c>
      <x:c r="G24"/>
      <x:c r="H24"/>
      <x:c r="I24"/>
      <x:c r="J24"/>
    </x:row>
    <x:row r="25">
      <x:c r="A25" s="3" t="str">
        <x:v>Río Cuarto / RN36 sur</x:v>
      </x:c>
      <x:c r="B25" s="3" t="str">
        <x:v>Alcira Gigena</x:v>
      </x:c>
      <x:c r="C25" s="3" t="n">
        <x:f>COUNTIFS(Prospectos!C2:C288,"Río Cuarto / RN36 sur",Prospectos!E2:E288,"Alcira Gigena")</x:f>
        <x:v>6</x:v>
      </x:c>
      <x:c r="D25" s="3" t="n">
        <x:f>COUNTIFS(Prospectos!C2:C288,"Río Cuarto / RN36 sur",Prospectos!E2:E288,"Alcira Gigena",Prospectos!F2:F288,"A")</x:f>
        <x:v>3</x:v>
      </x:c>
      <x:c r="E25" s="3" t="n">
        <x:f>COUNTIFS(Prospectos!C2:C288,"Río Cuarto / RN36 sur",Prospectos!E2:E288,"Alcira Gigena",Prospectos!L2:L288,"OK")</x:f>
        <x:v>4</x:v>
      </x:c>
      <x:c r="F25" s="3" t="n">
        <x:f t="shared" si="1">C25-E25</x:f>
        <x:v>2</x:v>
      </x:c>
      <x:c r="G25"/>
      <x:c r="H25"/>
      <x:c r="I25"/>
      <x:c r="J25"/>
    </x:row>
    <x:row r="26">
      <x:c r="A26" s="5" t="str">
        <x:v>Río Cuarto / RN36 sur</x:v>
      </x:c>
      <x:c r="B26" s="5" t="str">
        <x:v>Berrotarán</x:v>
      </x:c>
      <x:c r="C26" s="5" t="n">
        <x:f>COUNTIFS(Prospectos!C2:C288,"Río Cuarto / RN36 sur",Prospectos!E2:E288,"Berrotarán")</x:f>
        <x:v>3</x:v>
      </x:c>
      <x:c r="D26" s="5" t="n">
        <x:f>COUNTIFS(Prospectos!C2:C288,"Río Cuarto / RN36 sur",Prospectos!E2:E288,"Berrotarán",Prospectos!F2:F288,"A")</x:f>
        <x:v>1</x:v>
      </x:c>
      <x:c r="E26" s="5" t="n">
        <x:f>COUNTIFS(Prospectos!C2:C288,"Río Cuarto / RN36 sur",Prospectos!E2:E288,"Berrotarán",Prospectos!L2:L288,"OK")</x:f>
        <x:v>2</x:v>
      </x:c>
      <x:c r="F26" s="5" t="n">
        <x:f t="shared" si="1">C26-E26</x:f>
        <x:v>1</x:v>
      </x:c>
      <x:c r="G26"/>
      <x:c r="H26"/>
      <x:c r="I26"/>
      <x:c r="J26"/>
    </x:row>
    <x:row r="27">
      <x:c r="A27" s="3" t="str">
        <x:v>Río Cuarto / RN36 sur</x:v>
      </x:c>
      <x:c r="B27" s="3" t="str">
        <x:v>Chucul</x:v>
      </x:c>
      <x:c r="C27" s="3" t="n">
        <x:f>COUNTIFS(Prospectos!C2:C288,"Río Cuarto / RN36 sur",Prospectos!E2:E288,"Chucul")</x:f>
        <x:v>1</x:v>
      </x:c>
      <x:c r="D27" s="3" t="n">
        <x:f>COUNTIFS(Prospectos!C2:C288,"Río Cuarto / RN36 sur",Prospectos!E2:E288,"Chucul",Prospectos!F2:F288,"A")</x:f>
        <x:v>0</x:v>
      </x:c>
      <x:c r="E27" s="3" t="n">
        <x:f>COUNTIFS(Prospectos!C2:C288,"Río Cuarto / RN36 sur",Prospectos!E2:E288,"Chucul",Prospectos!L2:L288,"OK")</x:f>
        <x:v>1</x:v>
      </x:c>
      <x:c r="F27" s="3" t="n">
        <x:f t="shared" si="1">C27-E27</x:f>
        <x:v>0</x:v>
      </x:c>
      <x:c r="G27"/>
      <x:c r="H27"/>
      <x:c r="I27"/>
      <x:c r="J27"/>
    </x:row>
    <x:row r="28">
      <x:c r="A28" s="5" t="str">
        <x:v>Río Cuarto / RN36 sur</x:v>
      </x:c>
      <x:c r="B28" s="5" t="str">
        <x:v>Elena</x:v>
      </x:c>
      <x:c r="C28" s="5" t="n">
        <x:f>COUNTIFS(Prospectos!C2:C288,"Río Cuarto / RN36 sur",Prospectos!E2:E288,"Elena")</x:f>
        <x:v>4</x:v>
      </x:c>
      <x:c r="D28" s="5" t="n">
        <x:f>COUNTIFS(Prospectos!C2:C288,"Río Cuarto / RN36 sur",Prospectos!E2:E288,"Elena",Prospectos!F2:F288,"A")</x:f>
        <x:v>2</x:v>
      </x:c>
      <x:c r="E28" s="5" t="n">
        <x:f>COUNTIFS(Prospectos!C2:C288,"Río Cuarto / RN36 sur",Prospectos!E2:E288,"Elena",Prospectos!L2:L288,"OK")</x:f>
        <x:v>3</x:v>
      </x:c>
      <x:c r="F28" s="5" t="n">
        <x:f t="shared" si="1">C28-E28</x:f>
        <x:v>1</x:v>
      </x:c>
      <x:c r="G28"/>
      <x:c r="H28"/>
      <x:c r="I28"/>
      <x:c r="J28"/>
    </x:row>
    <x:row r="29">
      <x:c r="A29" s="3" t="str">
        <x:v>Río Cuarto / RN36 sur</x:v>
      </x:c>
      <x:c r="B29" s="3" t="str">
        <x:v>Las Acequias</x:v>
      </x:c>
      <x:c r="C29" s="3" t="n">
        <x:f>COUNTIFS(Prospectos!C2:C288,"Río Cuarto / RN36 sur",Prospectos!E2:E288,"Las Acequias")</x:f>
        <x:v>1</x:v>
      </x:c>
      <x:c r="D29" s="3" t="n">
        <x:f>COUNTIFS(Prospectos!C2:C288,"Río Cuarto / RN36 sur",Prospectos!E2:E288,"Las Acequias",Prospectos!F2:F288,"A")</x:f>
        <x:v>1</x:v>
      </x:c>
      <x:c r="E29" s="3" t="n">
        <x:f>COUNTIFS(Prospectos!C2:C288,"Río Cuarto / RN36 sur",Prospectos!E2:E288,"Las Acequias",Prospectos!L2:L288,"OK")</x:f>
        <x:v>1</x:v>
      </x:c>
      <x:c r="F29" s="3" t="n">
        <x:f t="shared" si="1">C29-E29</x:f>
        <x:v>0</x:v>
      </x:c>
      <x:c r="G29"/>
      <x:c r="H29"/>
      <x:c r="I29"/>
      <x:c r="J29"/>
    </x:row>
    <x:row r="30">
      <x:c r="A30" s="5" t="str">
        <x:v>Río Cuarto / RN36 sur</x:v>
      </x:c>
      <x:c r="B30" s="5" t="str">
        <x:v>Las Higueras</x:v>
      </x:c>
      <x:c r="C30" s="5" t="n">
        <x:f>COUNTIFS(Prospectos!C2:C288,"Río Cuarto / RN36 sur",Prospectos!E2:E288,"Las Higueras")</x:f>
        <x:v>1</x:v>
      </x:c>
      <x:c r="D30" s="5" t="n">
        <x:f>COUNTIFS(Prospectos!C2:C288,"Río Cuarto / RN36 sur",Prospectos!E2:E288,"Las Higueras",Prospectos!F2:F288,"A")</x:f>
        <x:v>0</x:v>
      </x:c>
      <x:c r="E30" s="5" t="n">
        <x:f>COUNTIFS(Prospectos!C2:C288,"Río Cuarto / RN36 sur",Prospectos!E2:E288,"Las Higueras",Prospectos!L2:L288,"OK")</x:f>
        <x:v>0</x:v>
      </x:c>
      <x:c r="F30" s="5" t="n">
        <x:f t="shared" si="1">C30-E30</x:f>
        <x:v>1</x:v>
      </x:c>
      <x:c r="G30"/>
      <x:c r="H30"/>
      <x:c r="I30"/>
      <x:c r="J30"/>
    </x:row>
    <x:row r="31">
      <x:c r="A31" s="3" t="str">
        <x:v>Río Cuarto / RN36 sur</x:v>
      </x:c>
      <x:c r="B31" s="3" t="str">
        <x:v>Río Cuarto</x:v>
      </x:c>
      <x:c r="C31" s="3" t="n">
        <x:f>COUNTIFS(Prospectos!C2:C288,"Río Cuarto / RN36 sur",Prospectos!E2:E288,"Río Cuarto")</x:f>
        <x:v>39</x:v>
      </x:c>
      <x:c r="D31" s="3" t="n">
        <x:f>COUNTIFS(Prospectos!C2:C288,"Río Cuarto / RN36 sur",Prospectos!E2:E288,"Río Cuarto",Prospectos!F2:F288,"A")</x:f>
        <x:v>32</x:v>
      </x:c>
      <x:c r="E31" s="3" t="n">
        <x:f>COUNTIFS(Prospectos!C2:C288,"Río Cuarto / RN36 sur",Prospectos!E2:E288,"Río Cuarto",Prospectos!L2:L288,"OK")</x:f>
        <x:v>29</x:v>
      </x:c>
      <x:c r="F31" s="3" t="n">
        <x:f t="shared" si="1">C31-E31</x:f>
        <x:v>10</x:v>
      </x:c>
      <x:c r="G31"/>
      <x:c r="H31"/>
      <x:c r="I31"/>
      <x:c r="J31"/>
    </x:row>
    <x:row r="32">
      <x:c r="A32" s="5" t="str">
        <x:v>Villa Ascasubi / RP6-E79</x:v>
      </x:c>
      <x:c r="B32" s="5" t="str">
        <x:v>Villa Ascasubi</x:v>
      </x:c>
      <x:c r="C32" s="5" t="n">
        <x:f>COUNTIFS(Prospectos!C2:C288,"Villa Ascasubi / RP6-E79",Prospectos!E2:E288,"Villa Ascasubi")</x:f>
        <x:v>4</x:v>
      </x:c>
      <x:c r="D32" s="5" t="n">
        <x:f>COUNTIFS(Prospectos!C2:C288,"Villa Ascasubi / RP6-E79",Prospectos!E2:E288,"Villa Ascasubi",Prospectos!F2:F288,"A")</x:f>
        <x:v>1</x:v>
      </x:c>
      <x:c r="E32" s="5" t="n">
        <x:f>COUNTIFS(Prospectos!C2:C288,"Villa Ascasubi / RP6-E79",Prospectos!E2:E288,"Villa Ascasubi",Prospectos!L2:L288,"OK")</x:f>
        <x:v>2</x:v>
      </x:c>
      <x:c r="F32" s="5" t="n">
        <x:f t="shared" si="1">C32-E32</x:f>
        <x:v>2</x:v>
      </x:c>
      <x:c r="G32"/>
      <x:c r="H32"/>
      <x:c r="I32"/>
      <x:c r="J32"/>
    </x:row>
    <x:row r="33">
      <x:c r="A33" s="3" t="str">
        <x:v>Villa María / RP6</x:v>
      </x:c>
      <x:c r="B33" s="3" t="str">
        <x:v>Almafuerte</x:v>
      </x:c>
      <x:c r="C33" s="3" t="n">
        <x:f>COUNTIFS(Prospectos!C2:C288,"Villa María / RP6",Prospectos!E2:E288,"Almafuerte")</x:f>
        <x:v>3</x:v>
      </x:c>
      <x:c r="D33" s="3" t="n">
        <x:f>COUNTIFS(Prospectos!C2:C288,"Villa María / RP6",Prospectos!E2:E288,"Almafuerte",Prospectos!F2:F288,"A")</x:f>
        <x:v>1</x:v>
      </x:c>
      <x:c r="E33" s="3" t="n">
        <x:f>COUNTIFS(Prospectos!C2:C288,"Villa María / RP6",Prospectos!E2:E288,"Almafuerte",Prospectos!L2:L288,"OK")</x:f>
        <x:v>2</x:v>
      </x:c>
      <x:c r="F33" s="3" t="n">
        <x:f t="shared" si="1">C33-E33</x:f>
        <x:v>1</x:v>
      </x:c>
      <x:c r="G33"/>
      <x:c r="H33"/>
      <x:c r="I33"/>
      <x:c r="J33"/>
    </x:row>
    <x:row r="34">
      <x:c r="A34" s="5" t="str">
        <x:v>Villa María / RP6</x:v>
      </x:c>
      <x:c r="B34" s="5" t="str">
        <x:v>Hernando</x:v>
      </x:c>
      <x:c r="C34" s="5" t="n">
        <x:f>COUNTIFS(Prospectos!C2:C288,"Villa María / RP6",Prospectos!E2:E288,"Hernando")</x:f>
        <x:v>21</x:v>
      </x:c>
      <x:c r="D34" s="5" t="n">
        <x:f>COUNTIFS(Prospectos!C2:C288,"Villa María / RP6",Prospectos!E2:E288,"Hernando",Prospectos!F2:F288,"A")</x:f>
        <x:v>11</x:v>
      </x:c>
      <x:c r="E34" s="5" t="n">
        <x:f>COUNTIFS(Prospectos!C2:C288,"Villa María / RP6",Prospectos!E2:E288,"Hernando",Prospectos!L2:L288,"OK")</x:f>
        <x:v>16</x:v>
      </x:c>
      <x:c r="F34" s="5" t="n">
        <x:f t="shared" si="1">C34-E34</x:f>
        <x:v>5</x:v>
      </x:c>
      <x:c r="G34"/>
      <x:c r="H34"/>
      <x:c r="I34"/>
      <x:c r="J34"/>
    </x:row>
    <x:row r="35">
      <x:c r="A35" t="str">
        <x:v>Villa María / RP6</x:v>
      </x:c>
      <x:c r="B35" t="str">
        <x:v>Tío Pujio</x:v>
      </x:c>
      <x:c r="C35" t="n">
        <x:f>COUNTIFS(Prospectos!C2:C288,"Villa María / RP6",Prospectos!E2:E288,"Tío Pujio")</x:f>
        <x:v>2</x:v>
      </x:c>
      <x:c r="D35" t="n">
        <x:f>COUNTIFS(Prospectos!C2:C288,"Villa María / RP6",Prospectos!E2:E288,"Tío Pujio",Prospectos!F2:F288,"A")</x:f>
        <x:v>1</x:v>
      </x:c>
      <x:c r="E35" t="n">
        <x:f>COUNTIFS(Prospectos!C2:C288,"Villa María / RP6",Prospectos!E2:E288,"Tío Pujio",Prospectos!L2:L288,"OK")</x:f>
        <x:v>2</x:v>
      </x:c>
      <x:c r="F35" t="n">
        <x:f>C35-E35</x:f>
        <x:v>0</x:v>
      </x:c>
      <x:c r="G35"/>
      <x:c r="H35"/>
      <x:c r="I35"/>
      <x:c r="J35"/>
    </x:row>
    <x:row r="36">
      <x:c r="A36" t="str">
        <x:v>Villa María / RP6</x:v>
      </x:c>
      <x:c r="B36" t="str">
        <x:v>Villa María</x:v>
      </x:c>
      <x:c r="C36" t="n">
        <x:f>COUNTIFS(Prospectos!C2:C288,"Villa María / RP6",Prospectos!E2:E288,"Villa María")</x:f>
        <x:v>45</x:v>
      </x:c>
      <x:c r="D36" t="n">
        <x:f>COUNTIFS(Prospectos!C2:C288,"Villa María / RP6",Prospectos!E2:E288,"Villa María",Prospectos!F2:F288,"A")</x:f>
        <x:v>22</x:v>
      </x:c>
      <x:c r="E36" t="n">
        <x:f>COUNTIFS(Prospectos!C2:C288,"Villa María / RP6",Prospectos!E2:E288,"Villa María",Prospectos!L2:L288,"OK")</x:f>
        <x:v>24</x:v>
      </x:c>
      <x:c r="F36" t="n">
        <x:f>C36-E36</x:f>
        <x:v>21</x:v>
      </x:c>
      <x:c r="G36"/>
      <x:c r="H36"/>
      <x:c r="I36"/>
      <x:c r="J36"/>
    </x:row>
    <x:row r="37">
      <x:c r="A37" t="str">
        <x:v>Villa María / RP6</x:v>
      </x:c>
      <x:c r="B37" t="str">
        <x:v>Villa Nueva</x:v>
      </x:c>
      <x:c r="C37" t="n">
        <x:f>COUNTIFS(Prospectos!C2:C288,"Villa María / RP6",Prospectos!E2:E288,"Villa Nueva")</x:f>
        <x:v>1</x:v>
      </x:c>
      <x:c r="D37" t="n">
        <x:f>COUNTIFS(Prospectos!C2:C288,"Villa María / RP6",Prospectos!E2:E288,"Villa Nueva",Prospectos!F2:F288,"A")</x:f>
        <x:v>1</x:v>
      </x:c>
      <x:c r="E37" t="n">
        <x:f>COUNTIFS(Prospectos!C2:C288,"Villa María / RP6",Prospectos!E2:E288,"Villa Nueva",Prospectos!L2:L288,"OK")</x:f>
        <x:v>1</x:v>
      </x:c>
      <x:c r="F37" t="n">
        <x:f>C37-E37</x:f>
        <x:v>0</x:v>
      </x:c>
      <x:c r="G37"/>
      <x:c r="H37"/>
      <x:c r="I37"/>
      <x:c r="J37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  <x:row r="41">
      <x:c r="A41"/>
      <x:c r="B41"/>
      <x:c r="C41"/>
      <x:c r="D41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/>
      <x:c r="B43"/>
      <x:c r="C43"/>
      <x:c r="D43"/>
      <x:c r="E43"/>
      <x:c r="F43"/>
      <x:c r="G43"/>
      <x:c r="H43"/>
      <x:c r="I43"/>
      <x:c r="J43"/>
    </x:row>
    <x:row r="44">
      <x:c r="A44"/>
      <x:c r="B44"/>
      <x:c r="C44"/>
      <x:c r="D44"/>
      <x:c r="E44"/>
      <x:c r="F44"/>
      <x:c r="G44"/>
      <x:c r="H44"/>
      <x:c r="I44"/>
      <x:c r="J44"/>
    </x:row>
    <x:row r="45">
      <x:c r="A45"/>
      <x:c r="B45"/>
      <x:c r="C45"/>
      <x:c r="D45"/>
      <x:c r="E45"/>
      <x:c r="F45"/>
      <x:c r="G45"/>
      <x:c r="H45"/>
      <x:c r="I45"/>
      <x:c r="J45"/>
    </x:row>
    <x:row r="46">
      <x:c r="A46"/>
      <x:c r="B46"/>
      <x:c r="C46"/>
      <x:c r="D46"/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/>
      <x:c r="B48"/>
      <x:c r="C48"/>
      <x:c r="D48"/>
      <x:c r="E48"/>
      <x:c r="F48"/>
      <x:c r="G48"/>
      <x:c r="H48"/>
      <x:c r="I48"/>
      <x:c r="J48"/>
    </x:row>
    <x:row r="49">
      <x:c r="A49"/>
      <x:c r="B49"/>
      <x:c r="C49"/>
      <x:c r="D49"/>
      <x:c r="E49"/>
      <x:c r="F49"/>
      <x:c r="G49"/>
      <x:c r="H49"/>
      <x:c r="I49"/>
      <x:c r="J49"/>
    </x:row>
    <x:row r="50">
      <x:c r="A50"/>
      <x:c r="B50"/>
      <x:c r="C50"/>
      <x:c r="D50"/>
      <x:c r="E50"/>
      <x:c r="F50"/>
      <x:c r="G50"/>
      <x:c r="H50"/>
      <x:c r="I50"/>
      <x:c r="J50"/>
    </x:row>
    <x:row r="51">
      <x:c r="A51"/>
      <x:c r="B51"/>
      <x:c r="C51"/>
      <x:c r="D51"/>
      <x:c r="E51"/>
      <x:c r="F51"/>
      <x:c r="G51"/>
      <x:c r="H51"/>
      <x:c r="I51"/>
      <x:c r="J51"/>
    </x:row>
    <x:row r="52">
      <x:c r="A52"/>
      <x:c r="B52"/>
      <x:c r="C52"/>
      <x:c r="D52"/>
      <x:c r="E52"/>
      <x:c r="F52"/>
      <x:c r="G52"/>
      <x:c r="H52"/>
      <x:c r="I52"/>
      <x:c r="J52"/>
    </x:row>
    <x:row r="53">
      <x:c r="A53"/>
      <x:c r="B53"/>
      <x:c r="C53"/>
      <x:c r="D53"/>
      <x:c r="E53"/>
      <x:c r="F53"/>
      <x:c r="G53"/>
      <x:c r="H53"/>
      <x:c r="I53"/>
      <x:c r="J53"/>
    </x:row>
    <x:row r="54">
      <x:c r="A54"/>
      <x:c r="B54"/>
      <x:c r="C54"/>
      <x:c r="D54"/>
      <x:c r="E54"/>
      <x:c r="F54"/>
      <x:c r="G54"/>
      <x:c r="H54"/>
      <x:c r="I54"/>
      <x:c r="J54"/>
    </x:row>
    <x:row r="55">
      <x:c r="A55"/>
      <x:c r="B55"/>
      <x:c r="C55"/>
      <x:c r="D55"/>
      <x:c r="E55"/>
      <x:c r="F55"/>
      <x:c r="G55"/>
      <x:c r="H55"/>
      <x:c r="I55"/>
      <x:c r="J55"/>
    </x:row>
    <x:row r="56">
      <x:c r="A56"/>
      <x:c r="B56"/>
      <x:c r="C56"/>
      <x:c r="D56"/>
      <x:c r="E56"/>
      <x:c r="F56"/>
      <x:c r="G56"/>
      <x:c r="H56"/>
      <x:c r="I56"/>
      <x:c r="J56"/>
    </x:row>
    <x:row r="57">
      <x:c r="A57"/>
      <x:c r="B57"/>
      <x:c r="C57"/>
      <x:c r="D57"/>
      <x:c r="E57"/>
      <x:c r="F57"/>
      <x:c r="G57"/>
      <x:c r="H57"/>
      <x:c r="I57"/>
      <x:c r="J57"/>
    </x:row>
    <x:row r="58">
      <x:c r="A58"/>
      <x:c r="B58"/>
      <x:c r="C58"/>
      <x:c r="D58"/>
      <x:c r="E58"/>
      <x:c r="F58"/>
      <x:c r="G58"/>
      <x:c r="H58"/>
      <x:c r="I58"/>
      <x:c r="J58"/>
    </x:row>
    <x:row r="59">
      <x:c r="A59"/>
      <x:c r="B59"/>
      <x:c r="C59"/>
      <x:c r="D59"/>
      <x:c r="E59"/>
      <x:c r="F59"/>
      <x:c r="G59"/>
      <x:c r="H59"/>
      <x:c r="I59"/>
      <x:c r="J59"/>
    </x:row>
    <x:row r="60">
      <x:c r="A60"/>
      <x:c r="B60"/>
      <x:c r="C60"/>
      <x:c r="D60"/>
      <x:c r="E60"/>
      <x:c r="F60"/>
      <x:c r="G60"/>
      <x:c r="H60"/>
      <x:c r="I60"/>
      <x:c r="J60"/>
    </x:row>
    <x:row r="61">
      <x:c r="A61"/>
      <x:c r="B61"/>
      <x:c r="C61"/>
      <x:c r="D61"/>
      <x:c r="E61"/>
      <x:c r="F61"/>
      <x:c r="G61"/>
      <x:c r="H61"/>
      <x:c r="I61"/>
      <x:c r="J61"/>
    </x:row>
    <x:row r="62">
      <x:c r="A62"/>
      <x:c r="B62"/>
      <x:c r="C62"/>
      <x:c r="D62"/>
      <x:c r="E62"/>
      <x:c r="F62"/>
      <x:c r="G62"/>
      <x:c r="H62"/>
      <x:c r="I62"/>
      <x:c r="J62"/>
    </x:row>
    <x:row r="63">
      <x:c r="A63"/>
      <x:c r="B63"/>
      <x:c r="C63"/>
      <x:c r="D63"/>
      <x:c r="E63"/>
      <x:c r="F63"/>
      <x:c r="G63"/>
      <x:c r="H63"/>
      <x:c r="I63"/>
      <x:c r="J63"/>
    </x:row>
    <x:row r="64">
      <x:c r="A64"/>
      <x:c r="B64"/>
      <x:c r="C64"/>
      <x:c r="D64"/>
      <x:c r="E64"/>
      <x:c r="F64"/>
      <x:c r="G64"/>
      <x:c r="H64"/>
      <x:c r="I64"/>
      <x:c r="J64"/>
    </x:row>
    <x:row r="65">
      <x:c r="A65"/>
      <x:c r="B65"/>
      <x:c r="C65"/>
      <x:c r="D65"/>
      <x:c r="E65"/>
      <x:c r="F65"/>
      <x:c r="G65"/>
      <x:c r="H65"/>
      <x:c r="I65"/>
      <x:c r="J65"/>
    </x:row>
    <x:row r="66">
      <x:c r="A66"/>
      <x:c r="B66"/>
      <x:c r="C66"/>
      <x:c r="D66"/>
      <x:c r="E66"/>
      <x:c r="F66"/>
      <x:c r="G66"/>
      <x:c r="H66"/>
      <x:c r="I66"/>
      <x:c r="J66"/>
    </x:row>
    <x:row r="67">
      <x:c r="A67"/>
      <x:c r="B67"/>
      <x:c r="C67"/>
      <x:c r="D67"/>
      <x:c r="E67"/>
      <x:c r="F67"/>
      <x:c r="G67"/>
      <x:c r="H67"/>
      <x:c r="I67"/>
      <x:c r="J67"/>
    </x:row>
    <x:row r="68">
      <x:c r="A68"/>
      <x:c r="B68"/>
      <x:c r="C68"/>
      <x:c r="D68"/>
      <x:c r="E68"/>
      <x:c r="F68"/>
      <x:c r="G68"/>
      <x:c r="H68"/>
      <x:c r="I68"/>
      <x:c r="J68"/>
    </x:row>
    <x:row r="69">
      <x:c r="A69"/>
      <x:c r="B69"/>
      <x:c r="C69"/>
      <x:c r="D69"/>
      <x:c r="E69"/>
      <x:c r="F69"/>
      <x:c r="G69"/>
      <x:c r="H69"/>
      <x:c r="I69"/>
      <x:c r="J69"/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1" customWidth="1"/>
    <x:col min="2" max="2" width="18" customWidth="1"/>
    <x:col min="3" max="3" width="7" customWidth="1"/>
    <x:col min="4" max="4" width="30" customWidth="1"/>
    <x:col min="5" max="5" width="28" customWidth="1"/>
    <x:col min="6" max="6" width="27" customWidth="1"/>
    <x:col min="7" max="7" width="16" customWidth="1"/>
    <x:col min="8" max="8" width="24" customWidth="1"/>
    <x:col min="9" max="9" width="42" customWidth="1"/>
    <x:col min="10" max="10" width="35" customWidth="1"/>
  </x:cols>
  <x:sheetData>
    <x:row r="1" ht="20.25">
      <x:c r="A1" s="21" t="s">
        <x:v>2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>
      <x:c r="A2" s="22" t="s">
        <x:v>3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4" ht="25.5">
      <x:c r="A4" s="157" t="str">
        <x:v>ID</x:v>
      </x:c>
      <x:c r="B4" s="157" t="str">
        <x:v>Ciudad</x:v>
      </x:c>
      <x:c r="C4" s="157" t="str">
        <x:v>Clase</x:v>
      </x:c>
      <x:c r="D4" s="157" t="str">
        <x:v>Empresa</x:v>
      </x:c>
      <x:c r="E4" s="157" t="str">
        <x:v>Sector</x:v>
      </x:c>
      <x:c r="F4" s="157" t="str">
        <x:v>Teléfonos</x:v>
      </x:c>
      <x:c r="G4" s="157" t="str">
        <x:v>Calidad del teléfono</x:v>
      </x:c>
      <x:c r="H4" s="157" t="str">
        <x:v>Preguntar por</x:v>
      </x:c>
      <x:c r="I4" s="157" t="str">
        <x:v>Dato pendiente</x:v>
      </x:c>
      <x:c r="J4" s="157" t="str">
        <x:v>Google Maps</x:v>
      </x:c>
    </x:row>
    <x:row r="5" ht="33.95000076293945" customHeight="1">
      <x:c r="A5" s="135" t="str">
        <x:v>RT-010</x:v>
      </x:c>
      <x:c r="B5" s="135" t="str">
        <x:v>Río Tercero</x:v>
      </x:c>
      <x:c r="C5" s="135" t="str">
        <x:v>A</x:v>
      </x:c>
      <x:c r="D5" s="135" t="str">
        <x:v>HORMIWORK S.A.</x:v>
      </x:c>
      <x:c r="E5" s="135" t="str">
        <x:v>Premoldeados de hormigón pulido</x:v>
      </x:c>
      <x:c r="F5" s="135" t="str">
        <x:v>03571 565662 (portería parque)</x:v>
      </x:c>
      <x:c r="G5" s="135" t="str">
        <x:v>Verificar</x:v>
      </x:c>
      <x:c r="H5" s="135" t="str">
        <x:v>planta / despacho</x:v>
      </x:c>
      <x:c r="I5" s="135" t="str">
        <x:v>Confirmar decisor, frecuencia de movimientos y vigencia del contacto antes de cotizar.</x:v>
      </x:c>
      <x:c r="J5" s="135" t="str">
        <x:v>https://www.google.com/maps/search/?api=1&amp;query=HORMIWORK+S.A.+R%C3%ADo+Tercero+C%C3%B3rdoba+Argentina</x:v>
      </x:c>
    </x:row>
    <x:row r="6" ht="33.95000076293945" customHeight="1">
      <x:c r="A6" s="136" t="str">
        <x:v>RT-011</x:v>
      </x:c>
      <x:c r="B6" s="136" t="str">
        <x:v>Río Tercero</x:v>
      </x:c>
      <x:c r="C6" s="136" t="str">
        <x:v>A</x:v>
      </x:c>
      <x:c r="D6" s="136" t="str">
        <x:v>Alpha Construcciones Industriales S.A.</x:v>
      </x:c>
      <x:c r="E6" s="136" t="str">
        <x:v>Construcción industrial / estructuras</x:v>
      </x:c>
      <x:c r="F6" s="136" t="str">
        <x:v>A relevar</x:v>
      </x:c>
      <x:c r="G6" s="136" t="str">
        <x:v>A relevar</x:v>
      </x:c>
      <x:c r="H6" s="136" t="str">
        <x:v>jefe de obra / operaciones</x:v>
      </x:c>
      <x:c r="I6" s="136" t="str">
        <x:v>Confirmar decisor, frecuencia de movimientos y vigencia del contacto antes de cotizar.</x:v>
      </x:c>
      <x:c r="J6" s="136" t="str">
        <x:v>https://www.google.com/maps/search/?api=1&amp;query=Alpha+Construcciones+Industriales+S.A.+R%C3%ADo+Tercero+C%C3%B3rdoba+Argentina</x:v>
      </x:c>
    </x:row>
    <x:row r="7" ht="33.95000076293945" customHeight="1">
      <x:c r="A7" s="135" t="str">
        <x:v>RT-014</x:v>
      </x:c>
      <x:c r="B7" s="135" t="str">
        <x:v>Río Tercero</x:v>
      </x:c>
      <x:c r="C7" s="135" t="str">
        <x:v>A</x:v>
      </x:c>
      <x:c r="D7" s="135" t="str">
        <x:v>D &amp; M ESTRUCTURAS</x:v>
      </x:c>
      <x:c r="E7" s="135" t="str">
        <x:v>Estructuras metálicas</x:v>
      </x:c>
      <x:c r="F7" s="135" t="str">
        <x:v>A relevar</x:v>
      </x:c>
      <x:c r="G7" s="135" t="str">
        <x:v>A relevar</x:v>
      </x:c>
      <x:c r="H7" s="135" t="str">
        <x:v>despacho / producción</x:v>
      </x:c>
      <x:c r="I7" s="135" t="str">
        <x:v>Confirmar decisor, frecuencia de movimientos y vigencia del contacto antes de cotizar.</x:v>
      </x:c>
      <x:c r="J7" s="135" t="str">
        <x:v>https://www.google.com/maps/search/?api=1&amp;query=D+%26+M+ESTRUCTURAS+R%C3%ADo+Tercero+C%C3%B3rdoba+Argentina</x:v>
      </x:c>
    </x:row>
    <x:row r="8" ht="33.95000076293945" customHeight="1">
      <x:c r="A8" s="136" t="str">
        <x:v>RT-016</x:v>
      </x:c>
      <x:c r="B8" s="136" t="str">
        <x:v>Río Tercero</x:v>
      </x:c>
      <x:c r="C8" s="136" t="str">
        <x:v>A</x:v>
      </x:c>
      <x:c r="D8" s="136" t="str">
        <x:v>ESISA</x:v>
      </x:c>
      <x:c r="E8" s="136" t="str">
        <x:v>Viviendas/módulos industrializados</x:v>
      </x:c>
      <x:c r="F8" s="136" t="str">
        <x:v>Portería parque: 03571 565662; mail esisaservicios@gmail.com</x:v>
      </x:c>
      <x:c r="G8" s="136" t="str">
        <x:v>Verificar</x:v>
      </x:c>
      <x:c r="H8" s="136" t="str">
        <x:v>operaciones / entregas</x:v>
      </x:c>
      <x:c r="I8" s="136" t="str">
        <x:v>Validar contacto decisor y necesidad inmediata.</x:v>
      </x:c>
      <x:c r="J8" s="136" t="str">
        <x:v>https://www.google.com/maps/search/?api=1&amp;query=-32.182000,-64.107000</x:v>
      </x:c>
    </x:row>
    <x:row r="9" ht="33.95000076293945" customHeight="1">
      <x:c r="A9" s="135" t="str">
        <x:v>RT-018</x:v>
      </x:c>
      <x:c r="B9" s="135" t="str">
        <x:v>Río Tercero</x:v>
      </x:c>
      <x:c r="C9" s="135" t="str">
        <x:v>A</x:v>
      </x:c>
      <x:c r="D9" s="135" t="str">
        <x:v>Luzenti Hnos S.A.</x:v>
      </x:c>
      <x:c r="E9" s="135" t="str">
        <x:v>Montaje industrial / construcciones metálicas</x:v>
      </x:c>
      <x:c r="F9" s="135" t="str">
        <x:v>03584 860532</x:v>
      </x:c>
      <x:c r="G9" s="135" t="str">
        <x:v>Verificar</x:v>
      </x:c>
      <x:c r="H9" s="135" t="str">
        <x:v>jefe de obra / operaciones</x:v>
      </x:c>
      <x:c r="I9" s="135" t="str">
        <x:v>Confirmar decisor, frecuencia de movimientos y vigencia del contacto antes de cotizar.</x:v>
      </x:c>
      <x:c r="J9" s="135" t="str">
        <x:v>https://www.google.com/maps/search/?api=1&amp;query=Luzenti+Hnos+S.A.+R%C3%ADo+Tercero+C%C3%B3rdoba+Argentina</x:v>
      </x:c>
    </x:row>
    <x:row r="10" ht="33.95000076293945" customHeight="1">
      <x:c r="A10" s="136" t="str">
        <x:v>RT-059</x:v>
      </x:c>
      <x:c r="B10" s="136" t="str">
        <x:v>Río Tercero</x:v>
      </x:c>
      <x:c r="C10" s="136" t="str">
        <x:v>A</x:v>
      </x:c>
      <x:c r="D10" s="136" t="str">
        <x:v>SAEMMA</x:v>
      </x:c>
      <x:c r="E10" s="136" t="str">
        <x:v>Maquinaria agrícola, construcción y minería / repuestos</x:v>
      </x:c>
      <x:c r="F10" s="136" t="str">
        <x:v>03571 432338</x:v>
      </x:c>
      <x:c r="G10" s="136" t="str">
        <x:v>Verificar</x:v>
      </x:c>
      <x:c r="H10" s="136" t="str">
        <x:v>logística / ventas / postventa</x:v>
      </x:c>
      <x:c r="I10" s="136" t="str">
        <x:v>Confirmar teléfono, decisor y vigencia del punto de venta.</x:v>
      </x:c>
      <x:c r="J10" s="136" t="str">
        <x:v>https://www.google.com/maps/search/?api=1&amp;query=SAEMMA+R%C3%ADo+Tercero+C%C3%B3rdoba+Argentina</x:v>
      </x:c>
    </x:row>
    <x:row r="11" ht="33.95000076293945" customHeight="1">
      <x:c r="A11" s="135" t="str">
        <x:v>RT-021</x:v>
      </x:c>
      <x:c r="B11" s="135" t="str">
        <x:v>Río Tercero</x:v>
      </x:c>
      <x:c r="C11" s="135" t="str">
        <x:v>A</x:v>
      </x:c>
      <x:c r="D11" s="135" t="str">
        <x:v>IMBAL S.A.</x:v>
      </x:c>
      <x:c r="E11" s="135" t="str">
        <x:v>Estructuras metálicas / montaje</x:v>
      </x:c>
      <x:c r="F11" s="135" t="str">
        <x:v>A relevar en terreno</x:v>
      </x:c>
      <x:c r="G11" s="135" t="str">
        <x:v>A relevar</x:v>
      </x:c>
      <x:c r="H11" s="135" t="str">
        <x:v>despacho / producción</x:v>
      </x:c>
      <x:c r="I11" s="135" t="str">
        <x:v>Validar contacto decisor y necesidad inmediata.</x:v>
      </x:c>
      <x:c r="J11" s="135" t="str">
        <x:v>https://www.google.com/maps/search/?api=1&amp;query=-32.180000,-64.106000</x:v>
      </x:c>
    </x:row>
    <x:row r="12" ht="33.95000076293945" customHeight="1">
      <x:c r="A12" s="136" t="str">
        <x:v>RT-024</x:v>
      </x:c>
      <x:c r="B12" s="136" t="str">
        <x:v>Río Tercero</x:v>
      </x:c>
      <x:c r="C12" s="136" t="str">
        <x:v>B</x:v>
      </x:c>
      <x:c r="D12" s="136" t="str">
        <x:v>Indusplast Río Tercero</x:v>
      </x:c>
      <x:c r="E12" s="136" t="str">
        <x:v>Piletas de fibra / plástico reforzado</x:v>
      </x:c>
      <x:c r="F12" s="136" t="str">
        <x:v>+54 3571 57-5556</x:v>
      </x:c>
      <x:c r="G12" s="136" t="str">
        <x:v>Verificar</x:v>
      </x:c>
      <x:c r="H12" s="136" t="str">
        <x:v>ventas / dueño</x:v>
      </x:c>
      <x:c r="I12" s="136" t="str">
        <x:v>Confirmar dirección operativa y si mueve cascos completos.</x:v>
      </x:c>
      <x:c r="J12" s="136" t="str">
        <x:v>https://www.google.com/maps/search/?api=1&amp;query=Indusplast+R%C3%ADo+Tercero+R%C3%ADo+Tercero+C%C3%B3rdoba+Argentina</x:v>
      </x:c>
    </x:row>
    <x:row r="13" ht="33.95000076293945" customHeight="1">
      <x:c r="A13" s="135" t="str">
        <x:v>RT-061</x:v>
      </x:c>
      <x:c r="B13" s="135" t="str">
        <x:v>Río Tercero</x:v>
      </x:c>
      <x:c r="C13" s="135" t="str">
        <x:v>B</x:v>
      </x:c>
      <x:c r="D13" s="135" t="str">
        <x:v>Formia Repuestos</x:v>
      </x:c>
      <x:c r="E13" s="135" t="str">
        <x:v>Repuestos para tractores y maquinaria agrícola</x:v>
      </x:c>
      <x:c r="F13" s="135" t="str">
        <x:v>03571 422102</x:v>
      </x:c>
      <x:c r="G13" s="135" t="str">
        <x:v>Verificar</x:v>
      </x:c>
      <x:c r="H13" s="135" t="str">
        <x:v>logística / ventas / postventa</x:v>
      </x:c>
      <x:c r="I13" s="135" t="str">
        <x:v>Confirmar teléfono, decisor y vigencia del punto de venta.</x:v>
      </x:c>
      <x:c r="J13" s="135" t="str">
        <x:v>https://www.google.com/maps/search/?api=1&amp;query=Formia+Repuestos+R%C3%ADo+Tercero+C%C3%B3rdoba+Argentina</x:v>
      </x:c>
    </x:row>
    <x:row r="14" ht="33.95000076293945" customHeight="1">
      <x:c r="A14" s="136" t="str">
        <x:v>RT-063</x:v>
      </x:c>
      <x:c r="B14" s="136" t="str">
        <x:v>Río Tercero</x:v>
      </x:c>
      <x:c r="C14" s="136" t="str">
        <x:v>B</x:v>
      </x:c>
      <x:c r="D14" s="136" t="str">
        <x:v>Hidráulica Río Tercero</x:v>
      </x:c>
      <x:c r="E14" s="136" t="str">
        <x:v>Hidráulica y repuestos para maquinaria agrícola</x:v>
      </x:c>
      <x:c r="F14" s="136" t="str">
        <x:v>03571 432041</x:v>
      </x:c>
      <x:c r="G14" s="136" t="str">
        <x:v>Verificar</x:v>
      </x:c>
      <x:c r="H14" s="136" t="str">
        <x:v>logística / ventas / postventa</x:v>
      </x:c>
      <x:c r="I14" s="136" t="str">
        <x:v>Confirmar teléfono, decisor y vigencia del punto de venta.</x:v>
      </x:c>
      <x:c r="J14" s="136" t="str">
        <x:v>https://www.google.com/maps/search/?api=1&amp;query=Hidr%C3%A1ulica+R%C3%ADo+Tercero+R%C3%ADo+Tercero+C%C3%B3rdoba+Argentina</x:v>
      </x:c>
    </x:row>
    <x:row r="15" ht="33.95000076293945" customHeight="1">
      <x:c r="A15" s="135" t="str">
        <x:v>RT-036</x:v>
      </x:c>
      <x:c r="B15" s="135" t="str">
        <x:v>Río Tercero</x:v>
      </x:c>
      <x:c r="C15" s="135" t="str">
        <x:v>B</x:v>
      </x:c>
      <x:c r="D15" s="135" t="str">
        <x:v>Baudino Hnos.</x:v>
      </x:c>
      <x:c r="E15" s="135" t="str">
        <x:v>Estructuras metálicas</x:v>
      </x:c>
      <x:c r="F15" s="135" t="str">
        <x:v>03571 15600693 / 3571 457279 / 3571 458732</x:v>
      </x:c>
      <x:c r="G15" s="135" t="str">
        <x:v>Verificar</x:v>
      </x:c>
      <x:c r="H15" s="135" t="str">
        <x:v>despacho / producción</x:v>
      </x:c>
      <x:c r="I15" s="135" t="str">
        <x:v>Confirmar decisor y vigencia del dato antes de incluir en salida prioritaria.</x:v>
      </x:c>
      <x:c r="J15" s="135" t="str">
        <x:v>https://www.google.com/maps/search/?api=1&amp;query=Baudino+Hnos.+R%C3%ADo+Tercero+C%C3%B3rdoba+Argentina</x:v>
      </x:c>
    </x:row>
    <x:row r="16" ht="33.95000076293945" customHeight="1">
      <x:c r="A16" s="136" t="str">
        <x:v>RT-038</x:v>
      </x:c>
      <x:c r="B16" s="136" t="str">
        <x:v>Río Tercero</x:v>
      </x:c>
      <x:c r="C16" s="136" t="str">
        <x:v>B</x:v>
      </x:c>
      <x:c r="D16" s="136" t="str">
        <x:v>HIDROSERVIS</x:v>
      </x:c>
      <x:c r="E16" s="136" t="str">
        <x:v>Cilindros hidráulicos</x:v>
      </x:c>
      <x:c r="F16" s="136" t="str">
        <x:v>Portería parque: 03571 565662</x:v>
      </x:c>
      <x:c r="G16" s="136" t="str">
        <x:v>Verificar</x:v>
      </x:c>
      <x:c r="H16" s="136" t="str">
        <x:v>responsable de logística/compras</x:v>
      </x:c>
      <x:c r="I16" s="136" t="str">
        <x:v>Validar contacto decisor y necesidad inmediata.</x:v>
      </x:c>
      <x:c r="J16" s="136" t="str">
        <x:v>https://www.google.com/maps/search/?api=1&amp;query=-32.181800,-64.104800</x:v>
      </x:c>
    </x:row>
    <x:row r="17" ht="33.95000076293945" customHeight="1">
      <x:c r="A17" s="135" t="str">
        <x:v>RT-039</x:v>
      </x:c>
      <x:c r="B17" s="135" t="str">
        <x:v>Río Tercero</x:v>
      </x:c>
      <x:c r="C17" s="135" t="str">
        <x:v>B</x:v>
      </x:c>
      <x:c r="D17" s="135" t="str">
        <x:v>Hormilas S.A.</x:v>
      </x:c>
      <x:c r="E17" s="135" t="str">
        <x:v>Hormigón elaborado</x:v>
      </x:c>
      <x:c r="F17" s="135" t="str">
        <x:v>03571 573231 (a confirmar)</x:v>
      </x:c>
      <x:c r="G17" s="135" t="str">
        <x:v>Verificar</x:v>
      </x:c>
      <x:c r="H17" s="135" t="str">
        <x:v>operaciones / planta</x:v>
      </x:c>
      <x:c r="I17" s="135" t="str">
        <x:v>Validar contacto decisor y necesidad inmediata.</x:v>
      </x:c>
      <x:c r="J17" s="135" t="str">
        <x:v>https://www.google.com/maps/search/?api=1&amp;query=-32.163876,-64.106999</x:v>
      </x:c>
    </x:row>
    <x:row r="18" ht="33.95000076293945" customHeight="1">
      <x:c r="A18" s="136" t="str">
        <x:v>RT-040</x:v>
      </x:c>
      <x:c r="B18" s="136" t="str">
        <x:v>Río Tercero</x:v>
      </x:c>
      <x:c r="C18" s="136" t="str">
        <x:v>B</x:v>
      </x:c>
      <x:c r="D18" s="136" t="str">
        <x:v>MoliCor</x:v>
      </x:c>
      <x:c r="E18" s="136" t="str">
        <x:v>Accesorios para industrias molineras</x:v>
      </x:c>
      <x:c r="F18" s="136" t="str">
        <x:v>A relevar vía parque</x:v>
      </x:c>
      <x:c r="G18" s="136" t="str">
        <x:v>A relevar</x:v>
      </x:c>
      <x:c r="H18" s="136" t="str">
        <x:v>despacho / producción</x:v>
      </x:c>
      <x:c r="I18" s="136" t="str">
        <x:v>Confirmar decisor, frecuencia de movimientos y vigencia del contacto antes de cotizar.</x:v>
      </x:c>
      <x:c r="J18" s="136" t="str">
        <x:v>https://www.google.com/maps/search/?api=1&amp;query=MoliCor+R%C3%ADo+Tercero+C%C3%B3rdoba+Argentina</x:v>
      </x:c>
    </x:row>
    <x:row r="19" ht="33.95000076293945" customHeight="1">
      <x:c r="A19" s="135" t="str">
        <x:v>RT-042</x:v>
      </x:c>
      <x:c r="B19" s="135" t="str">
        <x:v>Río Tercero</x:v>
      </x:c>
      <x:c r="C19" s="135" t="str">
        <x:v>B</x:v>
      </x:c>
      <x:c r="D19" s="135" t="str">
        <x:v>Atanor / Albaugh</x:v>
      </x:c>
      <x:c r="E19" s="135" t="str">
        <x:v>Química / agroquímicos</x:v>
      </x:c>
      <x:c r="F19" s="135" t="str">
        <x:v>A relevar</x:v>
      </x:c>
      <x:c r="G19" s="135" t="str">
        <x:v>A relevar</x:v>
      </x:c>
      <x:c r="H19" s="135" t="str">
        <x:v>responsable de acopio / mantenimiento</x:v>
      </x:c>
      <x:c r="I19" s="135" t="str">
        <x:v>Validar contacto decisor y necesidad inmediata.</x:v>
      </x:c>
      <x:c r="J19" s="135" t="str">
        <x:v>https://www.google.com/maps/search/?api=1&amp;query=-32.173000,-64.110000</x:v>
      </x:c>
    </x:row>
    <x:row r="20" ht="33.95000076293945" customHeight="1">
      <x:c r="A20" s="136" t="str">
        <x:v>RT-043</x:v>
      </x:c>
      <x:c r="B20" s="136" t="str">
        <x:v>Río Tercero</x:v>
      </x:c>
      <x:c r="C20" s="136" t="str">
        <x:v>B</x:v>
      </x:c>
      <x:c r="D20" s="136" t="str">
        <x:v>Bravo Gustavo y Guillermo</x:v>
      </x:c>
      <x:c r="E20" s="136" t="str">
        <x:v>Premoldeados</x:v>
      </x:c>
      <x:c r="F20" s="136" t="str">
        <x:v>A relevar vía parque</x:v>
      </x:c>
      <x:c r="G20" s="136" t="str">
        <x:v>A relevar</x:v>
      </x:c>
      <x:c r="H20" s="136" t="str">
        <x:v>planta / despacho</x:v>
      </x:c>
      <x:c r="I20" s="136" t="str">
        <x:v>Confirmar decisor y vigencia del dato antes de incluir en salida prioritaria.</x:v>
      </x:c>
      <x:c r="J20" s="136" t="str">
        <x:v>https://www.google.com/maps/search/?api=1&amp;query=Bravo+Gustavo+y+Guillermo+R%C3%ADo+Tercero+C%C3%B3rdoba+Argentina</x:v>
      </x:c>
    </x:row>
    <x:row r="21" ht="33.95000076293945" customHeight="1">
      <x:c r="A21" s="135" t="str">
        <x:v>RT-044</x:v>
      </x:c>
      <x:c r="B21" s="135" t="str">
        <x:v>Río Tercero</x:v>
      </x:c>
      <x:c r="C21" s="135" t="str">
        <x:v>B</x:v>
      </x:c>
      <x:c r="D21" s="135" t="str">
        <x:v>Construcciones Sermanter S.R.L.</x:v>
      </x:c>
      <x:c r="E21" s="135" t="str">
        <x:v>Construcción, montaje y mantenimiento</x:v>
      </x:c>
      <x:c r="F21" s="135" t="str">
        <x:v>A relevar vía parque</x:v>
      </x:c>
      <x:c r="G21" s="135" t="str">
        <x:v>A relevar</x:v>
      </x:c>
      <x:c r="H21" s="135" t="str">
        <x:v>jefe de obra / mantenimiento</x:v>
      </x:c>
      <x:c r="I21" s="135" t="str">
        <x:v>Confirmar decisor y vigencia del dato antes de incluir en salida prioritaria.</x:v>
      </x:c>
      <x:c r="J21" s="135" t="str">
        <x:v>https://www.google.com/maps/search/?api=1&amp;query=Construcciones+Sermanter+S.R.L.+R%C3%ADo+Tercero+C%C3%B3rdoba+Argentina</x:v>
      </x:c>
    </x:row>
    <x:row r="22" ht="33.95000076293945" customHeight="1">
      <x:c r="A22" s="136" t="str">
        <x:v>RT-046</x:v>
      </x:c>
      <x:c r="B22" s="136" t="str">
        <x:v>Río Tercero</x:v>
      </x:c>
      <x:c r="C22" s="136" t="str">
        <x:v>B</x:v>
      </x:c>
      <x:c r="D22" s="136" t="str">
        <x:v>Fábrica Militar Río Tercero</x:v>
      </x:c>
      <x:c r="E22" s="136" t="str">
        <x:v>Industria estatal / metalmecánica pesada</x:v>
      </x:c>
      <x:c r="F22" s="136" t="str">
        <x:v>A relevar</x:v>
      </x:c>
      <x:c r="G22" s="136" t="str">
        <x:v>A relevar</x:v>
      </x:c>
      <x:c r="H22" s="136" t="str">
        <x:v>despacho / producción</x:v>
      </x:c>
      <x:c r="I22" s="136" t="str">
        <x:v>Validar contacto decisor y necesidad inmediata.</x:v>
      </x:c>
      <x:c r="J22" s="136" t="str">
        <x:v>https://www.google.com/maps/search/?api=1&amp;query=-32.181966,-64.113216</x:v>
      </x:c>
    </x:row>
    <x:row r="23" ht="33.95000076293945" customHeight="1">
      <x:c r="A23" s="135" t="str">
        <x:v>RT-047</x:v>
      </x:c>
      <x:c r="B23" s="135" t="str">
        <x:v>Río Tercero</x:v>
      </x:c>
      <x:c r="C23" s="135" t="str">
        <x:v>B</x:v>
      </x:c>
      <x:c r="D23" s="135" t="str">
        <x:v>LiftingMach S.A.</x:v>
      </x:c>
      <x:c r="E23" s="135" t="str">
        <x:v>Autoelevadores / maquinaria industrial</x:v>
      </x:c>
      <x:c r="F23" s="135" t="str">
        <x:v>A relevar vía parque</x:v>
      </x:c>
      <x:c r="G23" s="135" t="str">
        <x:v>A relevar</x:v>
      </x:c>
      <x:c r="H23" s="135" t="str">
        <x:v>despacho / producción</x:v>
      </x:c>
      <x:c r="I23" s="135" t="str">
        <x:v>Confirmar decisor y vigencia del dato antes de incluir en salida prioritaria.</x:v>
      </x:c>
      <x:c r="J23" s="135" t="str">
        <x:v>https://www.google.com/maps/search/?api=1&amp;query=LiftingMach+S.A.+R%C3%ADo+Tercero+C%C3%B3rdoba+Argentina</x:v>
      </x:c>
    </x:row>
    <x:row r="24" ht="33.95000076293945" customHeight="1">
      <x:c r="A24" s="136" t="str">
        <x:v>RT-048</x:v>
      </x:c>
      <x:c r="B24" s="136" t="str">
        <x:v>Río Tercero</x:v>
      </x:c>
      <x:c r="C24" s="136" t="str">
        <x:v>B</x:v>
      </x:c>
      <x:c r="D24" s="136" t="str">
        <x:v>PROMETVA S.R.L.</x:v>
      </x:c>
      <x:c r="E24" s="136" t="str">
        <x:v>Ingeniería / fabricación industrial</x:v>
      </x:c>
      <x:c r="F24" s="136" t="str">
        <x:v>A relevar vía parque</x:v>
      </x:c>
      <x:c r="G24" s="136" t="str">
        <x:v>A relevar</x:v>
      </x:c>
      <x:c r="H24" s="136" t="str">
        <x:v>despacho / producción</x:v>
      </x:c>
      <x:c r="I24" s="136" t="str">
        <x:v>Confirmar decisor y vigencia del dato antes de incluir en salida prioritaria.</x:v>
      </x:c>
      <x:c r="J24" s="136" t="str">
        <x:v>https://www.google.com/maps/search/?api=1&amp;query=PROMETVA+S.R.L.+R%C3%ADo+Tercero+C%C3%B3rdoba+Argentina</x:v>
      </x:c>
    </x:row>
    <x:row r="25" ht="33.95000076293945" customHeight="1">
      <x:c r="A25" s="135" t="str">
        <x:v>RT-049</x:v>
      </x:c>
      <x:c r="B25" s="135" t="str">
        <x:v>Río Tercero</x:v>
      </x:c>
      <x:c r="C25" s="135" t="str">
        <x:v>B</x:v>
      </x:c>
      <x:c r="D25" s="135" t="str">
        <x:v>Taller Sarmiento</x:v>
      </x:c>
      <x:c r="E25" s="135" t="str">
        <x:v>Servicios industriales / mantenimiento</x:v>
      </x:c>
      <x:c r="F25" s="135" t="str">
        <x:v>A relevar vía parque</x:v>
      </x:c>
      <x:c r="G25" s="135" t="str">
        <x:v>A relevar</x:v>
      </x:c>
      <x:c r="H25" s="135" t="str">
        <x:v>mantenimiento / compras</x:v>
      </x:c>
      <x:c r="I25" s="135" t="str">
        <x:v>Confirmar decisor y vigencia del dato antes de incluir en salida prioritaria.</x:v>
      </x:c>
      <x:c r="J25" s="135" t="str">
        <x:v>https://www.google.com/maps/search/?api=1&amp;query=Taller+Sarmiento+R%C3%ADo+Tercero+C%C3%B3rdoba+Argentina</x:v>
      </x:c>
    </x:row>
    <x:row r="26" ht="33.95000076293945" customHeight="1">
      <x:c r="A26" s="136" t="str">
        <x:v>RT-050</x:v>
      </x:c>
      <x:c r="B26" s="136" t="str">
        <x:v>Río Tercero</x:v>
      </x:c>
      <x:c r="C26" s="136" t="str">
        <x:v>C</x:v>
      </x:c>
      <x:c r="D26" s="136" t="str">
        <x:v>Grupo AVO S.A.</x:v>
      </x:c>
      <x:c r="E26" s="136" t="str">
        <x:v>Aceite de soja / balanceados</x:v>
      </x:c>
      <x:c r="F26" s="136" t="str">
        <x:v>Portería parque: 03571 565662</x:v>
      </x:c>
      <x:c r="G26" s="136" t="str">
        <x:v>Verificar</x:v>
      </x:c>
      <x:c r="H26" s="136" t="str">
        <x:v>responsable de acopio / mantenimiento</x:v>
      </x:c>
      <x:c r="I26" s="136" t="str">
        <x:v>Validar contacto decisor y necesidad inmediata.</x:v>
      </x:c>
      <x:c r="J26" s="136" t="str">
        <x:v>https://www.google.com/maps/search/?api=1&amp;query=-32.175431,-64.127787</x:v>
      </x:c>
    </x:row>
    <x:row r="27" ht="33.95000076293945" customHeight="1">
      <x:c r="A27" s="135" t="str">
        <x:v>RT-051</x:v>
      </x:c>
      <x:c r="B27" s="135" t="str">
        <x:v>Río Tercero</x:v>
      </x:c>
      <x:c r="C27" s="135" t="str">
        <x:v>C</x:v>
      </x:c>
      <x:c r="D27" s="135" t="str">
        <x:v>Transporte Sosa</x:v>
      </x:c>
      <x:c r="E27" s="135" t="str">
        <x:v>Fabricación y reparación de cajas volcadoras</x:v>
      </x:c>
      <x:c r="F27" s="135" t="str">
        <x:v>A relevar vía parque</x:v>
      </x:c>
      <x:c r="G27" s="135" t="str">
        <x:v>A relevar</x:v>
      </x:c>
      <x:c r="H27" s="135" t="str">
        <x:v>dueño / taller</x:v>
      </x:c>
      <x:c r="I27" s="135" t="str">
        <x:v>Confirmar decisor y vigencia del dato antes de incluir en salida prioritaria.</x:v>
      </x:c>
      <x:c r="J27" s="135" t="str">
        <x:v>https://www.google.com/maps/search/?api=1&amp;query=Transporte+Sosa+R%C3%ADo+Tercero+C%C3%B3rdoba+Argentina</x:v>
      </x:c>
    </x:row>
    <x:row r="28" ht="33.95000076293945" customHeight="1">
      <x:c r="A28" s="136" t="str">
        <x:v>RT-052</x:v>
      </x:c>
      <x:c r="B28" s="136" t="str">
        <x:v>Río Tercero</x:v>
      </x:c>
      <x:c r="C28" s="136" t="str">
        <x:v>C</x:v>
      </x:c>
      <x:c r="D28" s="136" t="str">
        <x:v>Volonte Marcelo</x:v>
      </x:c>
      <x:c r="E28" s="136" t="str">
        <x:v>Arenado, pintura industrial y servicio de izaje</x:v>
      </x:c>
      <x:c r="F28" s="136" t="str">
        <x:v>A relevar vía parque</x:v>
      </x:c>
      <x:c r="G28" s="136" t="str">
        <x:v>A relevar</x:v>
      </x:c>
      <x:c r="H28" s="136" t="str">
        <x:v>operaciones / taller</x:v>
      </x:c>
      <x:c r="I28" s="136" t="str">
        <x:v>Confirmar decisor y vigencia del dato antes de incluir en salida prioritaria.</x:v>
      </x:c>
      <x:c r="J28" s="136" t="str">
        <x:v>https://www.google.com/maps/search/?api=1&amp;query=Volonte+Marcelo+R%C3%ADo+Tercero+C%C3%B3rdoba+Argentina</x:v>
      </x:c>
    </x:row>
    <x:row r="29" ht="33.95000076293945" customHeight="1">
      <x:c r="A29" s="135" t="str">
        <x:v>RT-053</x:v>
      </x:c>
      <x:c r="B29" s="135" t="str">
        <x:v>Río Tercero</x:v>
      </x:c>
      <x:c r="C29" s="135" t="str">
        <x:v>C</x:v>
      </x:c>
      <x:c r="D29" s="135" t="str">
        <x:v>Áridos S.A.</x:v>
      </x:c>
      <x:c r="E29" s="135" t="str">
        <x:v>Áridos / cantera</x:v>
      </x:c>
      <x:c r="F29" s="135" t="str">
        <x:v>A relevar</x:v>
      </x:c>
      <x:c r="G29" s="135" t="str">
        <x:v>A relevar</x:v>
      </x:c>
      <x:c r="H29" s="135" t="str">
        <x:v>planta / mantenimiento</x:v>
      </x:c>
      <x:c r="I29" s="135" t="str">
        <x:v>Validar contacto decisor y necesidad inmediata.</x:v>
      </x:c>
      <x:c r="J29" s="135" t="str">
        <x:v>https://www.google.com/maps/search/?api=1&amp;query=-32.175149,-64.110626</x:v>
      </x:c>
    </x:row>
    <x:row r="30" ht="33.95000076293945" customHeight="1">
      <x:c r="A30" s="136" t="str">
        <x:v>TAN-008</x:v>
      </x:c>
      <x:c r="B30" s="136" t="str">
        <x:v>Tancacha</x:v>
      </x:c>
      <x:c r="C30" s="136" t="str">
        <x:v>B</x:v>
      </x:c>
      <x:c r="D30" s="136" t="str">
        <x:v>RG Rodolfo Grosso</x:v>
      </x:c>
      <x:c r="E30" s="136" t="str">
        <x:v>Agroindustria / maquinaria o insumos</x:v>
      </x:c>
      <x:c r="F30" s="136" t="str">
        <x:v>3571 521091</x:v>
      </x:c>
      <x:c r="G30" s="136" t="str">
        <x:v>Verificar</x:v>
      </x:c>
      <x:c r="H30" s="136" t="str">
        <x:v>dueño / operaciones</x:v>
      </x:c>
      <x:c r="I30" s="136" t="str">
        <x:v>Confirmar decisor y vigencia del dato antes de incluir en salida prioritaria.</x:v>
      </x:c>
      <x:c r="J30" s="136" t="str">
        <x:v>https://www.google.com/maps/search/?api=1&amp;query=RG+Rodolfo+Grosso+Tancacha+C%C3%B3rdoba+Argentina</x:v>
      </x:c>
    </x:row>
    <x:row r="31" ht="33.95000076293945" customHeight="1">
      <x:c r="A31" s="135" t="str">
        <x:v>TAN-009</x:v>
      </x:c>
      <x:c r="B31" s="135" t="str">
        <x:v>Tancacha</x:v>
      </x:c>
      <x:c r="C31" s="135" t="str">
        <x:v>B</x:v>
      </x:c>
      <x:c r="D31" s="135" t="str">
        <x:v>ACOGRA</x:v>
      </x:c>
      <x:c r="E31" s="135" t="str">
        <x:v>Fertilizantes líquidos / agroindustria</x:v>
      </x:c>
      <x:c r="F31" s="135" t="str">
        <x:v>A relevar</x:v>
      </x:c>
      <x:c r="G31" s="135" t="str">
        <x:v>A relevar</x:v>
      </x:c>
      <x:c r="H31" s="135" t="str">
        <x:v>planta / logística</x:v>
      </x:c>
      <x:c r="I31" s="135" t="str">
        <x:v>Confirmar decisor y vigencia del dato antes de incluir en salida prioritaria.</x:v>
      </x:c>
      <x:c r="J31" s="135" t="str">
        <x:v>https://www.google.com/maps/search/?api=1&amp;query=ACOGRA+Tancacha+C%C3%B3rdoba+Argentina</x:v>
      </x:c>
    </x:row>
    <x:row r="32" ht="33.95000076293945" customHeight="1">
      <x:c r="A32" s="136" t="str">
        <x:v>AG-006</x:v>
      </x:c>
      <x:c r="B32" s="136" t="str">
        <x:v>Alta Gracia</x:v>
      </x:c>
      <x:c r="C32" s="136" t="str">
        <x:v>B</x:v>
      </x:c>
      <x:c r="D32" s="136" t="str">
        <x:v>Habitaciones Calificadas</x:v>
      </x:c>
      <x:c r="E32" s="136" t="str">
        <x:v>Módulos habitacionales</x:v>
      </x:c>
      <x:c r="F32" s="136" t="str">
        <x:v>A relevar</x:v>
      </x:c>
      <x:c r="G32" s="136" t="str">
        <x:v>A relevar</x:v>
      </x:c>
      <x:c r="H32" s="136" t="str">
        <x:v>operaciones / entregas</x:v>
      </x:c>
      <x:c r="I32" s="136" t="str">
        <x:v>Validar contacto decisor y necesidad inmediata.</x:v>
      </x:c>
      <x:c r="J32" s="136" t="str">
        <x:v>https://www.google.com/maps/search/?api=1&amp;query=-31.650000,-64.421000</x:v>
      </x:c>
    </x:row>
    <x:row r="33" ht="33.95000076293945" customHeight="1">
      <x:c r="A33" s="135" t="str">
        <x:v>AG-007</x:v>
      </x:c>
      <x:c r="B33" s="135" t="str">
        <x:v>Alta Gracia</x:v>
      </x:c>
      <x:c r="C33" s="135" t="str">
        <x:v>B</x:v>
      </x:c>
      <x:c r="D33" s="135" t="str">
        <x:v>R5 Premoldeados</x:v>
      </x:c>
      <x:c r="E33" s="135" t="str">
        <x:v>Premoldeados / muros / cerramientos</x:v>
      </x:c>
      <x:c r="F33" s="135" t="str">
        <x:v>A relevar</x:v>
      </x:c>
      <x:c r="G33" s="135" t="str">
        <x:v>A relevar</x:v>
      </x:c>
      <x:c r="H33" s="135" t="str">
        <x:v>despacho / colocación</x:v>
      </x:c>
      <x:c r="I33" s="135" t="str">
        <x:v>Confirmar decisor y vigencia del dato antes de incluir en salida prioritaria.</x:v>
      </x:c>
      <x:c r="J33" s="135" t="str">
        <x:v>https://www.google.com/maps/search/?api=1&amp;query=R5+Premoldeados+Alta+Gracia+C%C3%B3rdoba+Argentina</x:v>
      </x:c>
    </x:row>
    <x:row r="34" ht="33.95000076293945" customHeight="1">
      <x:c r="A34" s="136" t="str">
        <x:v>SIE-001</x:v>
      </x:c>
      <x:c r="B34" s="136" t="str">
        <x:v>Córdoba / Sierras</x:v>
      </x:c>
      <x:c r="C34" s="136" t="str">
        <x:v>B</x:v>
      </x:c>
      <x:c r="D34" s="136" t="str">
        <x:v>El Alto Áridos, Hormigón y Desarrollos</x:v>
      </x:c>
      <x:c r="E34" s="136" t="str">
        <x:v>Áridos / hormigón / desarrollos</x:v>
      </x:c>
      <x:c r="F34" s="136" t="str">
        <x:v>A relevar</x:v>
      </x:c>
      <x:c r="G34" s="136" t="str">
        <x:v>A relevar</x:v>
      </x:c>
      <x:c r="H34" s="136" t="str">
        <x:v>planta / mantenimiento</x:v>
      </x:c>
      <x:c r="I34" s="136" t="str">
        <x:v>Confirmar decisor y vigencia del dato antes de incluir en salida prioritaria.</x:v>
      </x:c>
      <x:c r="J34" s="136" t="str">
        <x:v>https://www.google.com/maps/search/?api=1&amp;query=El+Alto+%C3%81ridos%2C+Hormig%C3%B3n+y+Desarrollos+C%C3%B3rdoba+%2F+Sierras+C%C3%B3rdoba+Argentina</x:v>
      </x:c>
    </x:row>
    <x:row r="35" ht="33.95000076293945" customHeight="1">
      <x:c r="A35" s="135" t="str">
        <x:v>CBA-022</x:v>
      </x:c>
      <x:c r="B35" s="135" t="str">
        <x:v>Córdoba capital</x:v>
      </x:c>
      <x:c r="C35" s="135" t="str">
        <x:v>A</x:v>
      </x:c>
      <x:c r="D35" s="135" t="str">
        <x:v>Vitro Piscinas Córdoba</x:v>
      </x:c>
      <x:c r="E35" s="135" t="str">
        <x:v>Piscinas de fibra / instalación completa</x:v>
      </x:c>
      <x:c r="F35" s="135" t="str">
        <x:v>3541 652624</x:v>
      </x:c>
      <x:c r="G35" s="135" t="str">
        <x:v>Verificar</x:v>
      </x:c>
      <x:c r="H35" s="135" t="str">
        <x:v>logística / instalaciones / obras / ventas</x:v>
      </x:c>
      <x:c r="I35" s="135" t="str">
        <x:v>Validar teléfono directo, decisor y si la instalación/manipulación se realiza con equipo propio o tercerizado.</x:v>
      </x:c>
      <x:c r="J35" s="135" t="str">
        <x:v>https://www.google.com/maps/search/?api=1&amp;query=Vitro+Piscinas+C%C3%B3rdoba+C%C3%B3rdoba+capital+C%C3%B3rdoba+Argentina</x:v>
      </x:c>
    </x:row>
    <x:row r="36" ht="33.95000076293945" customHeight="1">
      <x:c r="A36" s="136" t="str">
        <x:v>CBA-004</x:v>
      </x:c>
      <x:c r="B36" s="136" t="str">
        <x:v>Córdoba capital</x:v>
      </x:c>
      <x:c r="C36" s="136" t="str">
        <x:v>B</x:v>
      </x:c>
      <x:c r="D36" s="136" t="str">
        <x:v>IngaV Constructora</x:v>
      </x:c>
      <x:c r="E36" s="136" t="str">
        <x:v>Constructora</x:v>
      </x:c>
      <x:c r="F36" s="136" t="str">
        <x:v>0351 5890684 / 0351 5579222 (verificar)</x:v>
      </x:c>
      <x:c r="G36" s="136" t="str">
        <x:v>Verificar</x:v>
      </x:c>
      <x:c r="H36" s="136" t="str">
        <x:v>jefe de obra / logística</x:v>
      </x:c>
      <x:c r="I36" s="136" t="str">
        <x:v>Validar contacto decisor y necesidad inmediata.</x:v>
      </x:c>
      <x:c r="J36" s="136" t="str">
        <x:v>https://www.google.com/maps/search/?api=1&amp;query=-31.413163,-64.170080</x:v>
      </x:c>
    </x:row>
    <x:row r="37" ht="33.95000076293945" customHeight="1">
      <x:c r="A37" s="135" t="str">
        <x:v>CBA-012</x:v>
      </x:c>
      <x:c r="B37" s="135" t="str">
        <x:v>Córdoba capital zona sur</x:v>
      </x:c>
      <x:c r="C37" s="135" t="str">
        <x:v>B</x:v>
      </x:c>
      <x:c r="D37" s="135" t="str">
        <x:v>Bendito Corralón Mayorista</x:v>
      </x:c>
      <x:c r="E37" s="135" t="str">
        <x:v>Corralón mayorista</x:v>
      </x:c>
      <x:c r="F37" s="135" t="str">
        <x:v>0351 8741592 (a confirmar)</x:v>
      </x:c>
      <x:c r="G37" s="135" t="str">
        <x:v>Verificar</x:v>
      </x:c>
      <x:c r="H37" s="135" t="str">
        <x:v>responsable de logística/compras</x:v>
      </x:c>
      <x:c r="I37" s="135" t="str">
        <x:v>Validar contacto decisor y necesidad inmediata.</x:v>
      </x:c>
      <x:c r="J37" s="135" t="str">
        <x:v>https://www.google.com/maps/search/?api=1&amp;query=-31.463000,-64.202000</x:v>
      </x:c>
    </x:row>
    <x:row r="38" ht="33.95000076293945" customHeight="1">
      <x:c r="A38" s="136" t="str">
        <x:v>CBA-013</x:v>
      </x:c>
      <x:c r="B38" s="136" t="str">
        <x:v>Córdoba capital zona sur</x:v>
      </x:c>
      <x:c r="C38" s="136" t="str">
        <x:v>B</x:v>
      </x:c>
      <x:c r="D38" s="136" t="str">
        <x:v>Canteras Terra</x:v>
      </x:c>
      <x:c r="E38" s="136" t="str">
        <x:v>Áridos / cantera</x:v>
      </x:c>
      <x:c r="F38" s="136" t="str">
        <x:v>A relevar</x:v>
      </x:c>
      <x:c r="G38" s="136" t="str">
        <x:v>A relevar</x:v>
      </x:c>
      <x:c r="H38" s="136" t="str">
        <x:v>planta / mantenimiento</x:v>
      </x:c>
      <x:c r="I38" s="136" t="str">
        <x:v>Validar contacto decisor y necesidad inmediata.</x:v>
      </x:c>
      <x:c r="J38" s="136" t="str">
        <x:v>https://www.google.com/maps/search/?api=1&amp;query=-31.462000,-64.360000</x:v>
      </x:c>
    </x:row>
    <x:row r="39" ht="33.95000076293945" customHeight="1">
      <x:c r="A39" s="135" t="str">
        <x:v>DES-001</x:v>
      </x:c>
      <x:c r="B39" s="135" t="str">
        <x:v>Despeñaderos</x:v>
      </x:c>
      <x:c r="C39" s="135" t="str">
        <x:v>A</x:v>
      </x:c>
      <x:c r="D39" s="135" t="str">
        <x:v>AS Premoldeados</x:v>
      </x:c>
      <x:c r="E39" s="135" t="str">
        <x:v>Premoldeados de hormigón / galpones / techos</x:v>
      </x:c>
      <x:c r="F39" s="135" t="str">
        <x:v>3547 675513</x:v>
      </x:c>
      <x:c r="G39" s="135" t="str">
        <x:v>Verificar</x:v>
      </x:c>
      <x:c r="H39" s="135" t="str">
        <x:v>despacho / colocación</x:v>
      </x:c>
      <x:c r="I39" s="135" t="str">
        <x:v>Confirmar decisor y vigencia del dato antes de incluir en salida prioritaria.</x:v>
      </x:c>
      <x:c r="J39" s="135" t="str">
        <x:v>https://www.google.com/maps/search/?api=1&amp;query=AS+Premoldeados+Despe%C3%B1aderos+C%C3%B3rdoba+Argentina</x:v>
      </x:c>
    </x:row>
    <x:row r="40" ht="33.95000076293945" customHeight="1">
      <x:c r="A40" s="136" t="str">
        <x:v>DES-003</x:v>
      </x:c>
      <x:c r="B40" s="136" t="str">
        <x:v>Despeñaderos</x:v>
      </x:c>
      <x:c r="C40" s="136" t="str">
        <x:v>B</x:v>
      </x:c>
      <x:c r="D40" s="136" t="str">
        <x:v>Parque Industrial Despeñaderos N°64</x:v>
      </x:c>
      <x:c r="E40" s="136" t="str">
        <x:v>Radicaciones industriales</x:v>
      </x:c>
      <x:c r="F40" s="136" t="str">
        <x:v>A relevar vía municipio</x:v>
      </x:c>
      <x:c r="G40" s="136" t="str">
        <x:v>A relevar</x:v>
      </x:c>
      <x:c r="H40" s="136" t="str">
        <x:v>despacho / producción</x:v>
      </x:c>
      <x:c r="I40" s="136" t="str">
        <x:v>Validar contacto decisor y necesidad inmediata.</x:v>
      </x:c>
      <x:c r="J40" s="136" t="str">
        <x:v>https://www.google.com/maps/search/?api=1&amp;query=-31.812000,-64.289000</x:v>
      </x:c>
    </x:row>
    <x:row r="41" ht="33.95000076293945" customHeight="1">
      <x:c r="A41" s="135" t="str">
        <x:v>MAL-002</x:v>
      </x:c>
      <x:c r="B41" s="135" t="str">
        <x:v>Malagueño</x:v>
      </x:c>
      <x:c r="C41" s="135" t="str">
        <x:v>A</x:v>
      </x:c>
      <x:c r="D41" s="135" t="str">
        <x:v>Grupo Calidra / Cal Malagueño</x:v>
      </x:c>
      <x:c r="E41" s="135" t="str">
        <x:v>Cal / minería / áridos</x:v>
      </x:c>
      <x:c r="F41" s="135" t="str">
        <x:v>A relevar</x:v>
      </x:c>
      <x:c r="G41" s="135" t="str">
        <x:v>A relevar</x:v>
      </x:c>
      <x:c r="H41" s="135" t="str">
        <x:v>planta / mantenimiento</x:v>
      </x:c>
      <x:c r="I41" s="135" t="str">
        <x:v>Validar contacto decisor y necesidad inmediata.</x:v>
      </x:c>
      <x:c r="J41" s="135" t="str">
        <x:v>https://www.google.com/maps/search/?api=1&amp;query=-31.467000,-64.358000</x:v>
      </x:c>
    </x:row>
    <x:row r="42" ht="33.95000076293945" customHeight="1">
      <x:c r="A42" s="136" t="str">
        <x:v>ONC-002</x:v>
      </x:c>
      <x:c r="B42" s="136" t="str">
        <x:v>Oncativo</x:v>
      </x:c>
      <x:c r="C42" s="136" t="str">
        <x:v>A</x:v>
      </x:c>
      <x:c r="D42" s="136" t="str">
        <x:v>Dynamis S.R.L.</x:v>
      </x:c>
      <x:c r="E42" s="136" t="str">
        <x:v>Ingeniería, maquinaria agrícola e higiene urbana</x:v>
      </x:c>
      <x:c r="F42" s="136" t="str">
        <x:v>A relevar</x:v>
      </x:c>
      <x:c r="G42" s="136" t="str">
        <x:v>A relevar</x:v>
      </x:c>
      <x:c r="H42" s="136" t="str">
        <x:v>logística / despacho / postventa</x:v>
      </x:c>
      <x:c r="I42" s="136" t="str">
        <x:v>Confirmar decisor, frecuencia de movimientos y vigencia del contacto antes de cotizar.</x:v>
      </x:c>
      <x:c r="J42" s="136" t="str">
        <x:v>https://www.google.com/maps/search/?api=1&amp;query=Dynamis+S.R.L.+Oncativo+C%C3%B3rdoba+Argentina</x:v>
      </x:c>
    </x:row>
    <x:row r="43" ht="33.95000076293945" customHeight="1">
      <x:c r="A43" s="135" t="str">
        <x:v>ONC-006</x:v>
      </x:c>
      <x:c r="B43" s="135" t="str">
        <x:v>Oncativo</x:v>
      </x:c>
      <x:c r="C43" s="135" t="str">
        <x:v>A</x:v>
      </x:c>
      <x:c r="D43" s="135" t="str">
        <x:v>Agropartes S.A.</x:v>
      </x:c>
      <x:c r="E43" s="135" t="str">
        <x:v>Repuestos y agropartes para maquinaria agrícola</x:v>
      </x:c>
      <x:c r="F43" s="135" t="str">
        <x:v>03572 456204 / 03572 466314</x:v>
      </x:c>
      <x:c r="G43" s="135" t="str">
        <x:v>Verificar</x:v>
      </x:c>
      <x:c r="H43" s="135" t="str">
        <x:v>logística / despacho / postventa</x:v>
      </x:c>
      <x:c r="I43" s="135" t="str">
        <x:v>Confirmar decisor, frecuencia de movimientos y vigencia del contacto antes de cotizar.</x:v>
      </x:c>
      <x:c r="J43" s="135" t="str">
        <x:v>https://www.google.com/maps/search/?api=1&amp;query=Agropartes+S.A.+Oncativo+C%C3%B3rdoba+Argentina</x:v>
      </x:c>
    </x:row>
    <x:row r="44" ht="33.95000076293945" customHeight="1">
      <x:c r="A44" s="136" t="str">
        <x:v>ONC-012</x:v>
      </x:c>
      <x:c r="B44" s="136" t="str">
        <x:v>Oncativo</x:v>
      </x:c>
      <x:c r="C44" s="136" t="str">
        <x:v>B</x:v>
      </x:c>
      <x:c r="D44" s="136" t="str">
        <x:v>Bartolomé Cerutti SRL</x:v>
      </x:c>
      <x:c r="E44" s="136" t="str">
        <x:v>Maquinaria agrícola</x:v>
      </x:c>
      <x:c r="F44" s="136" t="str">
        <x:v>03572 460754</x:v>
      </x:c>
      <x:c r="G44" s="136" t="str">
        <x:v>Verificar</x:v>
      </x:c>
      <x:c r="H44" s="136" t="str">
        <x:v>logística / entregas / postventa</x:v>
      </x:c>
      <x:c r="I44" s="136" t="str">
        <x:v>Confirmar decisor, frecuencia de movimientos y vigencia del contacto antes de cotizar.</x:v>
      </x:c>
      <x:c r="J44" s="136" t="str">
        <x:v>https://www.google.com/maps/search/?api=1&amp;query=Bartolom%C3%A9+Cerutti+SRL+Oncativo+C%C3%B3rdoba+Argentina</x:v>
      </x:c>
    </x:row>
    <x:row r="45" ht="33.95000076293945" customHeight="1">
      <x:c r="A45" s="135" t="str">
        <x:v>ONC-013</x:v>
      </x:c>
      <x:c r="B45" s="135" t="str">
        <x:v>Oncativo</x:v>
      </x:c>
      <x:c r="C45" s="135" t="str">
        <x:v>B</x:v>
      </x:c>
      <x:c r="D45" s="135" t="str">
        <x:v>E Postacchini S.A.S.</x:v>
      </x:c>
      <x:c r="E45" s="135" t="str">
        <x:v>Servicio / maquinaria agrícola</x:v>
      </x:c>
      <x:c r="F45" s="135" t="str">
        <x:v>A relevar</x:v>
      </x:c>
      <x:c r="G45" s="135" t="str">
        <x:v>A relevar</x:v>
      </x:c>
      <x:c r="H45" s="135" t="str">
        <x:v>logística / entregas / postventa</x:v>
      </x:c>
      <x:c r="I45" s="135" t="str">
        <x:v>Confirmar decisor, frecuencia de movimientos y vigencia del contacto antes de cotizar.</x:v>
      </x:c>
      <x:c r="J45" s="135" t="str">
        <x:v>https://www.google.com/maps/search/?api=1&amp;query=E+Postacchini+S.A.S.+Oncativo+C%C3%B3rdoba+Argentina</x:v>
      </x:c>
    </x:row>
    <x:row r="46" ht="33.95000076293945" customHeight="1">
      <x:c r="A46" s="136" t="str">
        <x:v>ONC-016</x:v>
      </x:c>
      <x:c r="B46" s="136" t="str">
        <x:v>Oncativo</x:v>
      </x:c>
      <x:c r="C46" s="136" t="str">
        <x:v>B</x:v>
      </x:c>
      <x:c r="D46" s="136" t="str">
        <x:v>Agro Repuestos Oncativo</x:v>
      </x:c>
      <x:c r="E46" s="136" t="str">
        <x:v>Repuestos y accesorios de maquinaria agrícola</x:v>
      </x:c>
      <x:c r="F46" s="136" t="str">
        <x:v>03572 466328</x:v>
      </x:c>
      <x:c r="G46" s="136" t="str">
        <x:v>Verificar</x:v>
      </x:c>
      <x:c r="H46" s="136" t="str">
        <x:v>logística / entregas / postventa</x:v>
      </x:c>
      <x:c r="I46" s="136" t="str">
        <x:v>Confirmar decisor, frecuencia de movimientos y vigencia del contacto antes de cotizar.</x:v>
      </x:c>
      <x:c r="J46" s="136" t="str">
        <x:v>https://www.google.com/maps/search/?api=1&amp;query=Agro+Repuestos+Oncativo+Oncativo+C%C3%B3rdoba+Argentina</x:v>
      </x:c>
    </x:row>
    <x:row r="47" ht="33.95000076293945" customHeight="1">
      <x:c r="A47" s="135" t="str">
        <x:v>ONC-017</x:v>
      </x:c>
      <x:c r="B47" s="135" t="str">
        <x:v>Oncativo</x:v>
      </x:c>
      <x:c r="C47" s="135" t="str">
        <x:v>C</x:v>
      </x:c>
      <x:c r="D47" s="135" t="str">
        <x:v>Murature Oncativo S.A.</x:v>
      </x:c>
      <x:c r="E47" s="135" t="str">
        <x:v>Fertilizantes / agroinsumos</x:v>
      </x:c>
      <x:c r="F47" s="135" t="str">
        <x:v>A relevar</x:v>
      </x:c>
      <x:c r="G47" s="135" t="str">
        <x:v>A relevar</x:v>
      </x:c>
      <x:c r="H47" s="135" t="str">
        <x:v>responsable de acopio / mantenimiento</x:v>
      </x:c>
      <x:c r="I47" s="135" t="str">
        <x:v>Confirmar decisor, frecuencia de movimientos y vigencia del contacto antes de cotizar.</x:v>
      </x:c>
      <x:c r="J47" s="135" t="str">
        <x:v>https://www.google.com/maps/search/?api=1&amp;query=Murature+Oncativo+S.A.+Oncativo+C%C3%B3rdoba+Argentina</x:v>
      </x:c>
    </x:row>
    <x:row r="48" ht="33.95000076293945" customHeight="1">
      <x:c r="A48" s="136" t="str">
        <x:v>ONC-020</x:v>
      </x:c>
      <x:c r="B48" s="136" t="str">
        <x:v>Oncativo</x:v>
      </x:c>
      <x:c r="C48" s="136" t="str">
        <x:v>B</x:v>
      </x:c>
      <x:c r="D48" s="136" t="str">
        <x:v>IPC Oncativo / Piscinas IPC</x:v>
      </x:c>
      <x:c r="E48" s="136" t="str">
        <x:v>Piletas de fibra / piscinas PRFV</x:v>
      </x:c>
      <x:c r="F48" s="136" t="str">
        <x:v>3572 53-2233</x:v>
      </x:c>
      <x:c r="G48" s="136" t="str">
        <x:v>Verificar</x:v>
      </x:c>
      <x:c r="H48" s="136" t="str">
        <x:v>ventas / logística</x:v>
      </x:c>
      <x:c r="I48" s="136" t="str">
        <x:v>Confirmar si es fabricante, sucursal o punto de venta.</x:v>
      </x:c>
      <x:c r="J48" s="136" t="str">
        <x:v>https://www.google.com/maps/search/?api=1&amp;query=IPC+Oncativo+%2F+Piscinas+IPC+Oncativo+C%C3%B3rdoba+Argentina</x:v>
      </x:c>
    </x:row>
    <x:row r="49" ht="33.95000076293945" customHeight="1">
      <x:c r="A49" s="135" t="str">
        <x:v>ONC-021</x:v>
      </x:c>
      <x:c r="B49" s="135" t="str">
        <x:v>Oncativo</x:v>
      </x:c>
      <x:c r="C49" s="135" t="str">
        <x:v>B</x:v>
      </x:c>
      <x:c r="D49" s="135" t="str">
        <x:v>Premoldeados Oncativo</x:v>
      </x:c>
      <x:c r="E49" s="135" t="str">
        <x:v>Premoldeados de hormigón / construcción</x:v>
      </x:c>
      <x:c r="F49" s="135" t="str">
        <x:v>03572 466096</x:v>
      </x:c>
      <x:c r="G49" s="135" t="str">
        <x:v>Verificar</x:v>
      </x:c>
      <x:c r="H49" s="135" t="str">
        <x:v>planta / despacho</x:v>
      </x:c>
      <x:c r="I49" s="135" t="str">
        <x:v>Confirmar vigencia y domicilio Juan B. Justo 101.</x:v>
      </x:c>
      <x:c r="J49" s="135" t="str">
        <x:v>https://www.google.com/maps/search/?api=1&amp;query=Premoldeados+Oncativo+Oncativo+C%C3%B3rdoba+Argentina</x:v>
      </x:c>
    </x:row>
    <x:row r="50" ht="33.95000076293945" customHeight="1">
      <x:c r="A50" s="136" t="str">
        <x:v>AGI-006</x:v>
      </x:c>
      <x:c r="B50" s="136" t="str">
        <x:v>Alcira Gigena</x:v>
      </x:c>
      <x:c r="C50" s="136" t="str">
        <x:v>B</x:v>
      </x:c>
      <x:c r="D50" s="136" t="str">
        <x:v>Daniotti Maquinarias</x:v>
      </x:c>
      <x:c r="E50" s="136" t="str">
        <x:v>Venta mayorista de maquinaria agrícola / implementos</x:v>
      </x:c>
      <x:c r="F50" s="136" t="str">
        <x:v>0358 4960939</x:v>
      </x:c>
      <x:c r="G50" s="136" t="str">
        <x:v>Verificar</x:v>
      </x:c>
      <x:c r="H50" s="136" t="str">
        <x:v>logística / ventas / postventa</x:v>
      </x:c>
      <x:c r="I50" s="136" t="str">
        <x:v>Confirmar teléfono, decisor y vigencia del punto de venta.</x:v>
      </x:c>
      <x:c r="J50" s="136" t="str">
        <x:v>https://www.google.com/maps/search/?api=1&amp;query=Daniotti+Maquinarias+Alcira+Gigena+C%C3%B3rdoba+Argentina</x:v>
      </x:c>
    </x:row>
    <x:row r="51" ht="33.95000076293945" customHeight="1">
      <x:c r="A51" s="135" t="str">
        <x:v>AGI-003</x:v>
      </x:c>
      <x:c r="B51" s="135" t="str">
        <x:v>Alcira Gigena</x:v>
      </x:c>
      <x:c r="C51" s="135" t="str">
        <x:v>C</x:v>
      </x:c>
      <x:c r="D51" s="135" t="str">
        <x:v>3C Biogás S.A.</x:v>
      </x:c>
      <x:c r="E51" s="135" t="str">
        <x:v>Energía / biogás</x:v>
      </x:c>
      <x:c r="F51" s="135" t="str">
        <x:v>A relevar</x:v>
      </x:c>
      <x:c r="G51" s="135" t="str">
        <x:v>A relevar</x:v>
      </x:c>
      <x:c r="H51" s="135" t="str">
        <x:v>despacho / producción</x:v>
      </x:c>
      <x:c r="I51" s="135" t="str">
        <x:v>Validar contacto decisor y necesidad inmediata.</x:v>
      </x:c>
      <x:c r="J51" s="135" t="str">
        <x:v>https://www.google.com/maps/search/?api=1&amp;query=-32.757000,-64.332000</x:v>
      </x:c>
    </x:row>
    <x:row r="52" ht="33.95000076293945" customHeight="1">
      <x:c r="A52" s="136" t="str">
        <x:v>BER-002</x:v>
      </x:c>
      <x:c r="B52" s="136" t="str">
        <x:v>Berrotarán</x:v>
      </x:c>
      <x:c r="C52" s="136" t="str">
        <x:v>C</x:v>
      </x:c>
      <x:c r="D52" s="136" t="str">
        <x:v>Canteras/corralones locales</x:v>
      </x:c>
      <x:c r="E52" s="136" t="str">
        <x:v>Áridos / materiales</x:v>
      </x:c>
      <x:c r="F52" s="136" t="str">
        <x:v>A relevar</x:v>
      </x:c>
      <x:c r="G52" s="136" t="str">
        <x:v>A relevar</x:v>
      </x:c>
      <x:c r="H52" s="136" t="str">
        <x:v>planta / mantenimiento</x:v>
      </x:c>
      <x:c r="I52" s="136" t="str">
        <x:v>Validar contacto decisor y necesidad inmediata.</x:v>
      </x:c>
      <x:c r="J52" s="136" t="str">
        <x:v>https://www.google.com/maps/search/?api=1&amp;query=-32.452000,-64.384000</x:v>
      </x:c>
    </x:row>
    <x:row r="53" ht="33.95000076293945" customHeight="1">
      <x:c r="A53" s="135" t="str">
        <x:v>ELE-004</x:v>
      </x:c>
      <x:c r="B53" s="135" t="str">
        <x:v>Elena</x:v>
      </x:c>
      <x:c r="C53" s="135" t="str">
        <x:v>B</x:v>
      </x:c>
      <x:c r="D53" s="135" t="str">
        <x:v>Ecocaio</x:v>
      </x:c>
      <x:c r="E53" s="135" t="str">
        <x:v>Maquinaria e implementos agrícolas</x:v>
      </x:c>
      <x:c r="F53" s="135" t="str">
        <x:v>A relevar</x:v>
      </x:c>
      <x:c r="G53" s="135" t="str">
        <x:v>A relevar</x:v>
      </x:c>
      <x:c r="H53" s="135" t="str">
        <x:v>logística / ventas / postventa</x:v>
      </x:c>
      <x:c r="I53" s="135" t="str">
        <x:v>Relevar teléfono directo de ventas/logística y validar decisor.</x:v>
      </x:c>
      <x:c r="J53" s="135" t="str">
        <x:v>https://www.google.com/maps/search/?api=1&amp;query=Ecocaio+Elena+C%C3%B3rdoba+Argentina</x:v>
      </x:c>
    </x:row>
    <x:row r="54" ht="33.95000076293945" customHeight="1">
      <x:c r="A54" s="136" t="str">
        <x:v>LH-001</x:v>
      </x:c>
      <x:c r="B54" s="136" t="str">
        <x:v>Las Higueras</x:v>
      </x:c>
      <x:c r="C54" s="136" t="str">
        <x:v>B</x:v>
      </x:c>
      <x:c r="D54" s="136" t="str">
        <x:v>Parque Industrial y Logístico Las Higueras</x:v>
      </x:c>
      <x:c r="E54" s="136" t="str">
        <x:v>Radicaciones / logística</x:v>
      </x:c>
      <x:c r="F54" s="136" t="str">
        <x:v>A relevar vía municipio/parque</x:v>
      </x:c>
      <x:c r="G54" s="136" t="str">
        <x:v>A relevar</x:v>
      </x:c>
      <x:c r="H54" s="136" t="str">
        <x:v>despacho / producción</x:v>
      </x:c>
      <x:c r="I54" s="136" t="str">
        <x:v>Validar contacto decisor y necesidad inmediata.</x:v>
      </x:c>
      <x:c r="J54" s="136" t="str">
        <x:v>https://www.google.com/maps/search/?api=1&amp;query=-33.093000,-64.288000</x:v>
      </x:c>
    </x:row>
    <x:row r="55" ht="33.95000076293945" customHeight="1">
      <x:c r="A55" s="135" t="str">
        <x:v>RC-034</x:v>
      </x:c>
      <x:c r="B55" s="135" t="str">
        <x:v>Río Cuarto</x:v>
      </x:c>
      <x:c r="C55" s="135" t="str">
        <x:v>A</x:v>
      </x:c>
      <x:c r="D55" s="135" t="str">
        <x:v>AgroBigo Maquinarias</x:v>
      </x:c>
      <x:c r="E55" s="135" t="str">
        <x:v>Concesionario oficial Chery / Ascanelli / tractores e implementos</x:v>
      </x:c>
      <x:c r="F55" s="135" t="str">
        <x:v>0358 4335762</x:v>
      </x:c>
      <x:c r="G55" s="135" t="str">
        <x:v>Verificar</x:v>
      </x:c>
      <x:c r="H55" s="135" t="str">
        <x:v>logística / entregas / usados / postventa / gerente comercial</x:v>
      </x:c>
      <x:c r="I55" s="135" t="str">
        <x:v>Relevar/confirmar teléfono directo de ventas o logística y validar decisor de entregas.</x:v>
      </x:c>
      <x:c r="J55" s="135" t="str">
        <x:v>https://www.google.com/maps/search/?api=1&amp;query=AgroBigo+Maquinarias+R%C3%ADo+Cuarto+C%C3%B3rdoba+Argentina</x:v>
      </x:c>
    </x:row>
    <x:row r="56" ht="33.95000076293945" customHeight="1">
      <x:c r="A56" s="136" t="str">
        <x:v>RC-032</x:v>
      </x:c>
      <x:c r="B56" s="136" t="str">
        <x:v>Río Cuarto</x:v>
      </x:c>
      <x:c r="C56" s="136" t="str">
        <x:v>A</x:v>
      </x:c>
      <x:c r="D56" s="136" t="str">
        <x:v>SALA / Agrotecnología Sala — Río Cuarto</x:v>
      </x:c>
      <x:c r="E56" s="136" t="str">
        <x:v>Concesionario John Deere / PLA / maquinaria agrícola / postventa</x:v>
      </x:c>
      <x:c r="F56" s="136" t="str">
        <x:v>A relevar</x:v>
      </x:c>
      <x:c r="G56" s="136" t="str">
        <x:v>A relevar</x:v>
      </x:c>
      <x:c r="H56" s="136" t="str">
        <x:v>logística / entregas / usados / postventa / gerente comercial</x:v>
      </x:c>
      <x:c r="I56" s="136" t="str">
        <x:v>Relevar/confirmar teléfono directo de ventas o logística y validar decisor de entregas.</x:v>
      </x:c>
      <x:c r="J56" s="136" t="str">
        <x:v>https://www.google.com/maps/search/?api=1&amp;query=SALA+%2F+Agrotecnolog%C3%ADa+Sala+%E2%80%94+R%C3%ADo+Cuarto+R%C3%ADo+Cuarto+C%C3%B3rdoba+Argentina</x:v>
      </x:c>
    </x:row>
    <x:row r="57" ht="33.95000076293945" customHeight="1">
      <x:c r="A57" s="135" t="str">
        <x:v>RC-039</x:v>
      </x:c>
      <x:c r="B57" s="135" t="str">
        <x:v>Río Cuarto</x:v>
      </x:c>
      <x:c r="C57" s="135" t="str">
        <x:v>A</x:v>
      </x:c>
      <x:c r="D57" s="135" t="str">
        <x:v>Rodagro — Río Cuarto</x:v>
      </x:c>
      <x:c r="E57" s="135" t="str">
        <x:v>Representante CLAAS / Allochis / Ascanelli / GEMA / maquinaria agrícola</x:v>
      </x:c>
      <x:c r="F57" s="135" t="str">
        <x:v>+54 9 358 4797917</x:v>
      </x:c>
      <x:c r="G57" s="135" t="str">
        <x:v>Verificar</x:v>
      </x:c>
      <x:c r="H57" s="135" t="str">
        <x:v>logística / entregas / usados / postventa / gerente comercial</x:v>
      </x:c>
      <x:c r="I57" s="135" t="str">
        <x:v>Relevar/confirmar teléfono directo de ventas o logística y validar decisor de entregas.</x:v>
      </x:c>
      <x:c r="J57" s="135" t="str">
        <x:v>https://www.google.com/maps/search/?api=1&amp;query=Rodagro+%E2%80%94+R%C3%ADo+Cuarto+R%C3%ADo+Cuarto+C%C3%B3rdoba+Argentina</x:v>
      </x:c>
    </x:row>
    <x:row r="58" ht="33.95000076293945" customHeight="1">
      <x:c r="A58" s="136" t="str">
        <x:v>RC-020</x:v>
      </x:c>
      <x:c r="B58" s="136" t="str">
        <x:v>Río Cuarto</x:v>
      </x:c>
      <x:c r="C58" s="136" t="str">
        <x:v>A</x:v>
      </x:c>
      <x:c r="D58" s="136" t="str">
        <x:v>Semtraco — Río Cuarto</x:v>
      </x:c>
      <x:c r="E58" s="136" t="str">
        <x:v>Concesionario Case IH / Erca / JCB / implementos</x:v>
      </x:c>
      <x:c r="F58" s="136" t="str">
        <x:v>03584 158451</x:v>
      </x:c>
      <x:c r="G58" s="136" t="str">
        <x:v>Verificar</x:v>
      </x:c>
      <x:c r="H58" s="136" t="str">
        <x:v>logística / ventas / postventa</x:v>
      </x:c>
      <x:c r="I58" s="136" t="str">
        <x:v>Confirmar teléfono, decisor y vigencia del punto de venta.</x:v>
      </x:c>
      <x:c r="J58" s="136" t="str">
        <x:v>https://www.google.com/maps/search/?api=1&amp;query=Semtraco+%E2%80%94+R%C3%ADo+Cuarto+R%C3%ADo+Cuarto+C%C3%B3rdoba+Argentina</x:v>
      </x:c>
    </x:row>
    <x:row r="59" ht="33.95000076293945" customHeight="1">
      <x:c r="A59" s="135" t="str">
        <x:v>RC-033</x:v>
      </x:c>
      <x:c r="B59" s="135" t="str">
        <x:v>Río Cuarto</x:v>
      </x:c>
      <x:c r="C59" s="135" t="str">
        <x:v>A</x:v>
      </x:c>
      <x:c r="D59" s="135" t="str">
        <x:v>Ulla Maquinarias — Río Cuarto</x:v>
      </x:c>
      <x:c r="E59" s="135" t="str">
        <x:v>Concesionario oficial Case IH / maquinaria agrícola / postventa</x:v>
      </x:c>
      <x:c r="F59" s="135" t="str">
        <x:v>A relevar</x:v>
      </x:c>
      <x:c r="G59" s="135" t="str">
        <x:v>A relevar</x:v>
      </x:c>
      <x:c r="H59" s="135" t="str">
        <x:v>logística / entregas / usados / postventa / gerente comercial</x:v>
      </x:c>
      <x:c r="I59" s="135" t="str">
        <x:v>Relevar/confirmar teléfono directo de ventas o logística y validar decisor de entregas.</x:v>
      </x:c>
      <x:c r="J59" s="135" t="str">
        <x:v>https://www.google.com/maps/search/?api=1&amp;query=Ulla+Maquinarias+%E2%80%94+R%C3%ADo+Cuarto+R%C3%ADo+Cuarto+C%C3%B3rdoba+Argentina</x:v>
      </x:c>
    </x:row>
    <x:row r="60" ht="33.95000076293945" customHeight="1">
      <x:c r="A60" s="136" t="str">
        <x:v>RC-031</x:v>
      </x:c>
      <x:c r="B60" s="136" t="str">
        <x:v>Río Cuarto</x:v>
      </x:c>
      <x:c r="C60" s="136" t="str">
        <x:v>A</x:v>
      </x:c>
      <x:c r="D60" s="136" t="str">
        <x:v>Piscinas iGUi — Río Cuarto</x:v>
      </x:c>
      <x:c r="E60" s="136" t="str">
        <x:v>Piscinas de fibra / contratista / franquicia</x:v>
      </x:c>
      <x:c r="F60" s="136" t="str">
        <x:v>0800 222 4484</x:v>
      </x:c>
      <x:c r="G60" s="136" t="str">
        <x:v>Verificar</x:v>
      </x:c>
      <x:c r="H60" s="136" t="str">
        <x:v>logística / instalaciones / obras / ventas</x:v>
      </x:c>
      <x:c r="I60" s="136" t="str">
        <x:v>Validar teléfono directo, decisor y si la instalación/manipulación se realiza con equipo propio o tercerizado.</x:v>
      </x:c>
      <x:c r="J60" s="136" t="str">
        <x:v>https://www.google.com/maps/search/?api=1&amp;query=Piscinas+iGUi+%E2%80%94+R%C3%ADo+Cuarto+R%C3%ADo+Cuarto+C%C3%B3rdoba+Argentina</x:v>
      </x:c>
    </x:row>
    <x:row r="61" ht="33.95000076293945" customHeight="1">
      <x:c r="A61" s="135" t="str">
        <x:v>RC-011</x:v>
      </x:c>
      <x:c r="B61" s="135" t="str">
        <x:v>Río Cuarto</x:v>
      </x:c>
      <x:c r="C61" s="135" t="str">
        <x:v>A</x:v>
      </x:c>
      <x:c r="D61" s="135" t="str">
        <x:v>BIDESA Obras Viales y Civiles</x:v>
      </x:c>
      <x:c r="E61" s="135" t="str">
        <x:v>Obra vial / UTE</x:v>
      </x:c>
      <x:c r="F61" s="135" t="str">
        <x:v>A relevar en obrador</x:v>
      </x:c>
      <x:c r="G61" s="135" t="str">
        <x:v>A relevar</x:v>
      </x:c>
      <x:c r="H61" s="135" t="str">
        <x:v>jefe de obra / logística</x:v>
      </x:c>
      <x:c r="I61" s="135" t="str">
        <x:v>Validar contacto decisor y necesidad inmediata.</x:v>
      </x:c>
      <x:c r="J61" s="135" t="str">
        <x:v>https://www.google.com/maps/search/?api=1&amp;query=-33.108000,-64.327000</x:v>
      </x:c>
    </x:row>
    <x:row r="62" ht="33.95000076293945" customHeight="1">
      <x:c r="A62" s="3" t="str">
        <x:v>RC-012</x:v>
      </x:c>
      <x:c r="B62" s="3" t="str">
        <x:v>Río Cuarto</x:v>
      </x:c>
      <x:c r="C62" s="3" t="str">
        <x:v>A</x:v>
      </x:c>
      <x:c r="D62" s="3" t="str">
        <x:v>Luciano S.A.</x:v>
      </x:c>
      <x:c r="E62" s="3" t="str">
        <x:v>Obra vial / UTE</x:v>
      </x:c>
      <x:c r="F62" s="3" t="str">
        <x:v>A relevar</x:v>
      </x:c>
      <x:c r="G62" s="3" t="str">
        <x:v>A relevar</x:v>
      </x:c>
      <x:c r="H62" s="3" t="str">
        <x:v>jefe de obra / logística</x:v>
      </x:c>
      <x:c r="I62" s="3" t="str">
        <x:v>Validar contacto decisor y necesidad inmediata.</x:v>
      </x:c>
      <x:c r="J62" s="3" t="str">
        <x:v>https://www.google.com/maps/search/?api=1&amp;query=-33.111000,-64.329000</x:v>
      </x:c>
    </x:row>
    <x:row r="63">
      <x:c r="A63" s="135" t="str">
        <x:v>RC-024</x:v>
      </x:c>
      <x:c r="B63" s="135" t="str">
        <x:v>Río Cuarto</x:v>
      </x:c>
      <x:c r="C63" s="135" t="str">
        <x:v>B</x:v>
      </x:c>
      <x:c r="D63" s="135" t="str">
        <x:v>Hugo y Enzo Reinaudo S.A.</x:v>
      </x:c>
      <x:c r="E63" s="135" t="str">
        <x:v>Venta de tractores y maquinaria agrícola</x:v>
      </x:c>
      <x:c r="F63" s="135" t="str">
        <x:v>0358 4646025</x:v>
      </x:c>
      <x:c r="G63" s="135" t="str">
        <x:v>Verificar</x:v>
      </x:c>
      <x:c r="H63" s="135" t="str">
        <x:v>logística / ventas / postventa</x:v>
      </x:c>
      <x:c r="I63" s="135" t="str">
        <x:v>Confirmar teléfono, decisor y vigencia del punto de venta.</x:v>
      </x:c>
      <x:c r="J63" s="135" t="str">
        <x:v>https://www.google.com/maps/search/?api=1&amp;query=Hugo+y+Enzo+Reinaudo+S.A.+R%C3%ADo+Cuarto+C%C3%B3rdoba+Argentina</x:v>
      </x:c>
    </x:row>
    <x:row r="64">
      <x:c r="A64" s="136" t="str">
        <x:v>RC-017</x:v>
      </x:c>
      <x:c r="B64" s="136" t="str">
        <x:v>Río Cuarto</x:v>
      </x:c>
      <x:c r="C64" s="136" t="str">
        <x:v>B</x:v>
      </x:c>
      <x:c r="D64" s="136" t="str">
        <x:v>CARMIX S.R.L.</x:v>
      </x:c>
      <x:c r="E64" s="136" t="str">
        <x:v>Premoldeados / pisos industriales / pavimento / silos</x:v>
      </x:c>
      <x:c r="F64" s="136" t="str">
        <x:v>A relevar</x:v>
      </x:c>
      <x:c r="G64" s="136" t="str">
        <x:v>A relevar</x:v>
      </x:c>
      <x:c r="H64" s="136" t="str">
        <x:v>despacho / obra</x:v>
      </x:c>
      <x:c r="I64" s="136" t="str">
        <x:v>Confirmar decisor y vigencia del dato antes de incluir en salida prioritaria.</x:v>
      </x:c>
      <x:c r="J64" s="136" t="str">
        <x:v>https://www.google.com/maps/search/?api=1&amp;query=CARMIX+S.R.L.+R%C3%ADo+Cuarto+C%C3%B3rdoba+Argentina</x:v>
      </x:c>
    </x:row>
    <x:row r="65">
      <x:c r="A65" s="135" t="str">
        <x:v>VA-003</x:v>
      </x:c>
      <x:c r="B65" s="135" t="str">
        <x:v>Villa Ascasubi</x:v>
      </x:c>
      <x:c r="C65" s="135" t="str">
        <x:v>B</x:v>
      </x:c>
      <x:c r="D65" s="135" t="str">
        <x:v>Construir Villa Ascasubi</x:v>
      </x:c>
      <x:c r="E65" s="135" t="str">
        <x:v>Corralón / materiales construcción / tránsito pesado</x:v>
      </x:c>
      <x:c r="F65" s="135" t="str">
        <x:v>3571 577272</x:v>
      </x:c>
      <x:c r="G65" s="135" t="str">
        <x:v>Verificar</x:v>
      </x:c>
      <x:c r="H65" s="135" t="str">
        <x:v>dueño / compras / logística</x:v>
      </x:c>
      <x:c r="I65" s="135" t="str">
        <x:v>Confirmar teléfono alternativo y frecuencia de fletes pesados.</x:v>
      </x:c>
      <x:c r="J65" s="135" t="str">
        <x:v>https://www.google.com/maps/search/?api=1&amp;query=Construir+Villa+Ascasubi+Villa+Ascasubi+C%C3%B3rdoba+Argentina</x:v>
      </x:c>
    </x:row>
    <x:row r="66">
      <x:c r="A66" s="136" t="str">
        <x:v>VA-004</x:v>
      </x:c>
      <x:c r="B66" s="136" t="str">
        <x:v>Villa Ascasubi</x:v>
      </x:c>
      <x:c r="C66" s="136" t="str">
        <x:v>B</x:v>
      </x:c>
      <x:c r="D66" s="136" t="str">
        <x:v>La Vencedora — Sucursal Villa Ascasubi</x:v>
      </x:c>
      <x:c r="E66" s="136" t="str">
        <x:v>Cooperativa agropecuaria / cereales y combustible</x:v>
      </x:c>
      <x:c r="F66" s="136" t="str">
        <x:v>A relevar</x:v>
      </x:c>
      <x:c r="G66" s="136" t="str">
        <x:v>A relevar</x:v>
      </x:c>
      <x:c r="H66" s="136" t="str">
        <x:v>acopio / encargado de sucursal</x:v>
      </x:c>
      <x:c r="I66" s="136" t="str">
        <x:v>Relevar teléfono directo de sucursal y responsable operativo.</x:v>
      </x:c>
      <x:c r="J66" s="136" t="str">
        <x:v>https://www.google.com/maps/search/?api=1&amp;query=La+Vencedora+%E2%80%94+Sucursal+Villa+Ascasubi+Villa+Ascasubi+C%C3%B3rdoba+Argentina</x:v>
      </x:c>
    </x:row>
    <x:row r="67">
      <x:c r="A67" s="135" t="str">
        <x:v>ALM-002</x:v>
      </x:c>
      <x:c r="B67" s="135" t="str">
        <x:v>Almafuerte</x:v>
      </x:c>
      <x:c r="C67" s="135" t="str">
        <x:v>B</x:v>
      </x:c>
      <x:c r="D67" s="135" t="str">
        <x:v>Gil Daniel — Maquinaria Agrícola</x:v>
      </x:c>
      <x:c r="E67" s="135" t="str">
        <x:v>Venta de maquinaria e implementos agrícolas</x:v>
      </x:c>
      <x:c r="F67" s="135" t="str">
        <x:v>03571 472325</x:v>
      </x:c>
      <x:c r="G67" s="135" t="str">
        <x:v>Verificar</x:v>
      </x:c>
      <x:c r="H67" s="135" t="str">
        <x:v>logística / ventas / postventa</x:v>
      </x:c>
      <x:c r="I67" s="135" t="str">
        <x:v>Confirmar teléfono, decisor y vigencia del punto de venta.</x:v>
      </x:c>
      <x:c r="J67" s="135" t="str">
        <x:v>https://www.google.com/maps/search/?api=1&amp;query=Gil+Daniel+%E2%80%94+Maquinaria+Agr%C3%ADcola+Almafuerte+C%C3%B3rdoba+Argentina</x:v>
      </x:c>
    </x:row>
    <x:row r="68">
      <x:c r="A68" s="136" t="str">
        <x:v>HER-021</x:v>
      </x:c>
      <x:c r="B68" s="136" t="str">
        <x:v>Hernando</x:v>
      </x:c>
      <x:c r="C68" s="136" t="str">
        <x:v>A</x:v>
      </x:c>
      <x:c r="D68" s="136" t="str">
        <x:v>Zuppa Hermanos — Hernando</x:v>
      </x:c>
      <x:c r="E68" s="136" t="str">
        <x:v>Sucursal regional / piscinas, construcción e instalación</x:v>
      </x:c>
      <x:c r="F68" s="136" t="str">
        <x:v>0353 154257089</x:v>
      </x:c>
      <x:c r="G68" s="136" t="str">
        <x:v>Verificar</x:v>
      </x:c>
      <x:c r="H68" s="136" t="str">
        <x:v>logística / instalaciones / obras / ventas</x:v>
      </x:c>
      <x:c r="I68" s="136" t="str">
        <x:v>Validar teléfono directo, decisor y si la instalación/manipulación se realiza con equipo propio o tercerizado.</x:v>
      </x:c>
      <x:c r="J68" s="136" t="str">
        <x:v>https://www.google.com/maps/search/?api=1&amp;query=Zuppa+Hermanos+%E2%80%94+Hernando+Hernando+C%C3%B3rdoba+Argentina</x:v>
      </x:c>
    </x:row>
    <x:row r="69">
      <x:c r="A69" s="135" t="str">
        <x:v>HER-010</x:v>
      </x:c>
      <x:c r="B69" s="135" t="str">
        <x:v>Hernando</x:v>
      </x:c>
      <x:c r="C69" s="135" t="str">
        <x:v>B</x:v>
      </x:c>
      <x:c r="D69" s="135" t="str">
        <x:v>Agrícola José Verra S.A.</x:v>
      </x:c>
      <x:c r="E69" s="135" t="str">
        <x:v>Servicio y maquinaria agrícola</x:v>
      </x:c>
      <x:c r="F69" s="135" t="str">
        <x:v>03532 415543</x:v>
      </x:c>
      <x:c r="G69" s="135" t="str">
        <x:v>Verificar</x:v>
      </x:c>
      <x:c r="H69" s="135" t="str">
        <x:v>logística / entregas / postventa</x:v>
      </x:c>
      <x:c r="I69" s="135" t="str">
        <x:v>Confirmar decisor, frecuencia de movimientos y vigencia del contacto antes de cotizar.</x:v>
      </x:c>
      <x:c r="J69" s="135" t="str">
        <x:v>https://www.google.com/maps/search/?api=1&amp;query=Agr%C3%ADcola+Jos%C3%A9+Verra+S.A.+Hernando+C%C3%B3rdoba+Argentina</x:v>
      </x:c>
    </x:row>
    <x:row r="70">
      <x:c r="A70" s="136" t="str">
        <x:v>HER-020</x:v>
      </x:c>
      <x:c r="B70" s="136" t="str">
        <x:v>Hernando</x:v>
      </x:c>
      <x:c r="C70" s="136" t="str">
        <x:v>B</x:v>
      </x:c>
      <x:c r="D70" s="136" t="str">
        <x:v>Boero Maquinarias</x:v>
      </x:c>
      <x:c r="E70" s="136" t="str">
        <x:v>Venta de maquinaria agrícola e implementos</x:v>
      </x:c>
      <x:c r="F70" s="136" t="str">
        <x:v>0353 4960847 / +54 353 4187486</x:v>
      </x:c>
      <x:c r="G70" s="136" t="str">
        <x:v>Verificar</x:v>
      </x:c>
      <x:c r="H70" s="136" t="str">
        <x:v>logística / ventas / postventa</x:v>
      </x:c>
      <x:c r="I70" s="136" t="str">
        <x:v>Confirmar teléfono, decisor y vigencia del punto de venta.</x:v>
      </x:c>
      <x:c r="J70" s="136" t="str">
        <x:v>https://www.google.com/maps/search/?api=1&amp;query=Boero+Maquinarias+Hernando+C%C3%B3rdoba+Argentina</x:v>
      </x:c>
    </x:row>
    <x:row r="71">
      <x:c r="A71" s="135" t="str">
        <x:v>HER-015</x:v>
      </x:c>
      <x:c r="B71" s="135" t="str">
        <x:v>Hernando</x:v>
      </x:c>
      <x:c r="C71" s="135" t="str">
        <x:v>C</x:v>
      </x:c>
      <x:c r="D71" s="135" t="str">
        <x:v>Her.Agro Maquinarias</x:v>
      </x:c>
      <x:c r="E71" s="135" t="str">
        <x:v>Maquinaria agrícola nueva/usada</x:v>
      </x:c>
      <x:c r="F71" s="135" t="str">
        <x:v>3535 690587 (a confirmar)</x:v>
      </x:c>
      <x:c r="G71" s="135" t="str">
        <x:v>Verificar</x:v>
      </x:c>
      <x:c r="H71" s="135" t="str">
        <x:v>responsable de acopio / mantenimiento</x:v>
      </x:c>
      <x:c r="I71" s="135" t="str">
        <x:v>Validar contacto decisor y necesidad inmediata.</x:v>
      </x:c>
      <x:c r="J71" s="135" t="str">
        <x:v>https://www.google.com/maps/search/?api=1&amp;query=-32.422000,-63.731000</x:v>
      </x:c>
    </x:row>
    <x:row r="72">
      <x:c r="A72" s="136" t="str">
        <x:v>HER-016</x:v>
      </x:c>
      <x:c r="B72" s="136" t="str">
        <x:v>Hernando</x:v>
      </x:c>
      <x:c r="C72" s="136" t="str">
        <x:v>C</x:v>
      </x:c>
      <x:c r="D72" s="136" t="str">
        <x:v>AgroServ S.R.L.</x:v>
      </x:c>
      <x:c r="E72" s="136" t="str">
        <x:v>Concesionario maquinaria agrícola</x:v>
      </x:c>
      <x:c r="F72" s="136" t="str">
        <x:v>A relevar</x:v>
      </x:c>
      <x:c r="G72" s="136" t="str">
        <x:v>A relevar</x:v>
      </x:c>
      <x:c r="H72" s="136" t="str">
        <x:v>responsable de acopio / mantenimiento</x:v>
      </x:c>
      <x:c r="I72" s="136" t="str">
        <x:v>Validar contacto decisor y necesidad inmediata.</x:v>
      </x:c>
      <x:c r="J72" s="136" t="str">
        <x:v>https://www.google.com/maps/search/?api=1&amp;query=-32.429500,-63.734500</x:v>
      </x:c>
    </x:row>
    <x:row r="73">
      <x:c r="A73" s="135" t="str">
        <x:v>VM-021</x:v>
      </x:c>
      <x:c r="B73" s="135" t="str">
        <x:v>Villa María</x:v>
      </x:c>
      <x:c r="C73" s="135" t="str">
        <x:v>A</x:v>
      </x:c>
      <x:c r="D73" s="135" t="str">
        <x:v>Grupo Caon — Villa María</x:v>
      </x:c>
      <x:c r="E73" s="135" t="str">
        <x:v>Concesionario Case IH / maquinaria agrícola / postventa</x:v>
      </x:c>
      <x:c r="F73" s="135" t="str">
        <x:v>A relevar</x:v>
      </x:c>
      <x:c r="G73" s="135" t="str">
        <x:v>A relevar</x:v>
      </x:c>
      <x:c r="H73" s="135" t="str">
        <x:v>logística / ventas / postventa</x:v>
      </x:c>
      <x:c r="I73" s="135" t="str">
        <x:v>Relevar teléfono directo de ventas/logística y validar decisor.</x:v>
      </x:c>
      <x:c r="J73" s="135" t="str">
        <x:v>https://www.google.com/maps/search/?api=1&amp;query=Grupo+Caon+%E2%80%94+Villa+Mar%C3%ADa+Villa+Mar%C3%ADa+C%C3%B3rdoba+Argentina</x:v>
      </x:c>
    </x:row>
    <x:row r="74">
      <x:c r="A74" s="136" t="str">
        <x:v>VM-043</x:v>
      </x:c>
      <x:c r="B74" s="136" t="str">
        <x:v>Villa María</x:v>
      </x:c>
      <x:c r="C74" s="136" t="str">
        <x:v>A</x:v>
      </x:c>
      <x:c r="D74" s="136" t="str">
        <x:v>SALA / Agrotecnología Sala — Villa María</x:v>
      </x:c>
      <x:c r="E74" s="136" t="str">
        <x:v>Concesionario John Deere / PLA / maquinaria agrícola / postventa</x:v>
      </x:c>
      <x:c r="F74" s="136" t="str">
        <x:v>A relevar</x:v>
      </x:c>
      <x:c r="G74" s="136" t="str">
        <x:v>A relevar</x:v>
      </x:c>
      <x:c r="H74" s="136" t="str">
        <x:v>logística / entregas / usados / postventa / gerente comercial</x:v>
      </x:c>
      <x:c r="I74" s="136" t="str">
        <x:v>Relevar/confirmar teléfono directo de ventas o logística y validar decisor de entregas.</x:v>
      </x:c>
      <x:c r="J74" s="136" t="str">
        <x:v>https://www.google.com/maps/search/?api=1&amp;query=SALA+%2F+Agrotecnolog%C3%ADa+Sala+%E2%80%94+Villa+Mar%C3%ADa+Villa+Mar%C3%ADa+C%C3%B3rdoba+Argentina</x:v>
      </x:c>
    </x:row>
    <x:row r="75">
      <x:c r="A75" s="135" t="str">
        <x:v>VM-040</x:v>
      </x:c>
      <x:c r="B75" s="135" t="str">
        <x:v>Villa María</x:v>
      </x:c>
      <x:c r="C75" s="135" t="str">
        <x:v>A</x:v>
      </x:c>
      <x:c r="D75" s="135" t="str">
        <x:v>Indusplast Piscinas — Villa María</x:v>
      </x:c>
      <x:c r="E75" s="135" t="str">
        <x:v>Franquicia / piscinas de fibra de vidrio / instalación</x:v>
      </x:c>
      <x:c r="F75" s="135" t="str">
        <x:v>0353 4520828 / +54 9 353 5668994</x:v>
      </x:c>
      <x:c r="G75" s="135" t="str">
        <x:v>Verificar</x:v>
      </x:c>
      <x:c r="H75" s="135" t="str">
        <x:v>logística / instalaciones / obras / ventas</x:v>
      </x:c>
      <x:c r="I75" s="135" t="str">
        <x:v>Validar teléfono directo, decisor y si la instalación/manipulación se realiza con equipo propio o tercerizado.</x:v>
      </x:c>
      <x:c r="J75" s="135" t="str">
        <x:v>https://www.google.com/maps/search/?api=1&amp;query=Indusplast+Piscinas+%E2%80%94+Villa+Mar%C3%ADa+Villa+Mar%C3%ADa+C%C3%B3rdoba+Argentina</x:v>
      </x:c>
    </x:row>
    <x:row r="76">
      <x:c r="A76" s="136" t="str">
        <x:v>VM-022</x:v>
      </x:c>
      <x:c r="B76" s="136" t="str">
        <x:v>Villa María</x:v>
      </x:c>
      <x:c r="C76" s="136" t="str">
        <x:v>A</x:v>
      </x:c>
      <x:c r="D76" s="136" t="str">
        <x:v>Managro Implementos Agrícolas</x:v>
      </x:c>
      <x:c r="E76" s="136" t="str">
        <x:v>Venta de implementos agrícolas / representante Ascanelli</x:v>
      </x:c>
      <x:c r="F76" s="136" t="str">
        <x:v>A relevar</x:v>
      </x:c>
      <x:c r="G76" s="136" t="str">
        <x:v>A relevar</x:v>
      </x:c>
      <x:c r="H76" s="136" t="str">
        <x:v>logística / ventas / postventa</x:v>
      </x:c>
      <x:c r="I76" s="136" t="str">
        <x:v>Relevar teléfono directo de ventas/logística y validar decisor.</x:v>
      </x:c>
      <x:c r="J76" s="136" t="str">
        <x:v>https://www.google.com/maps/search/?api=1&amp;query=Managro+Implementos+Agr%C3%ADcolas+Villa+Mar%C3%ADa+C%C3%B3rdoba+Argentina</x:v>
      </x:c>
    </x:row>
    <x:row r="77">
      <x:c r="A77" s="135" t="str">
        <x:v>VM-033</x:v>
      </x:c>
      <x:c r="B77" s="135" t="str">
        <x:v>Villa María</x:v>
      </x:c>
      <x:c r="C77" s="135" t="str">
        <x:v>A</x:v>
      </x:c>
      <x:c r="D77" s="135" t="str">
        <x:v>Metalfor — Villa María</x:v>
      </x:c>
      <x:c r="E77" s="135" t="str">
        <x:v>Fabricante/comercializador de maquinaria agrícola y pulverización</x:v>
      </x:c>
      <x:c r="F77" s="135" t="str">
        <x:v>0353 4614731</x:v>
      </x:c>
      <x:c r="G77" s="135" t="str">
        <x:v>Verificar</x:v>
      </x:c>
      <x:c r="H77" s="135" t="str">
        <x:v>logística / ventas / postventa</x:v>
      </x:c>
      <x:c r="I77" s="135" t="str">
        <x:v>Confirmar teléfono, decisor y vigencia del punto de venta.</x:v>
      </x:c>
      <x:c r="J77" s="135" t="str">
        <x:v>https://www.google.com/maps/search/?api=1&amp;query=Metalfor+%E2%80%94+Villa+Mar%C3%ADa+Villa+Mar%C3%ADa+C%C3%B3rdoba+Argentina</x:v>
      </x:c>
    </x:row>
    <x:row r="78">
      <x:c r="A78" s="136" t="str">
        <x:v>VM-041</x:v>
      </x:c>
      <x:c r="B78" s="136" t="str">
        <x:v>Villa María</x:v>
      </x:c>
      <x:c r="C78" s="136" t="str">
        <x:v>A</x:v>
      </x:c>
      <x:c r="D78" s="136" t="str">
        <x:v>IPC Pools — Villa María</x:v>
      </x:c>
      <x:c r="E78" s="136" t="str">
        <x:v>Contratista / piscinas PRFV / instalación</x:v>
      </x:c>
      <x:c r="F78" s="136" t="str">
        <x:v>0353 5637879 / 0353 4913814</x:v>
      </x:c>
      <x:c r="G78" s="136" t="str">
        <x:v>Verificar</x:v>
      </x:c>
      <x:c r="H78" s="136" t="str">
        <x:v>logística / instalaciones / obras / ventas</x:v>
      </x:c>
      <x:c r="I78" s="136" t="str">
        <x:v>Validar teléfono directo, decisor y si la instalación/manipulación se realiza con equipo propio o tercerizado.</x:v>
      </x:c>
      <x:c r="J78" s="136" t="str">
        <x:v>https://www.google.com/maps/search/?api=1&amp;query=IPC+Pools+%E2%80%94+Villa+Mar%C3%ADa+Villa+Mar%C3%ADa+C%C3%B3rdoba+Argentina</x:v>
      </x:c>
    </x:row>
    <x:row r="79">
      <x:c r="A79" s="135" t="str">
        <x:v>VM-035</x:v>
      </x:c>
      <x:c r="B79" s="135" t="str">
        <x:v>Villa María</x:v>
      </x:c>
      <x:c r="C79" s="135" t="str">
        <x:v>A</x:v>
      </x:c>
      <x:c r="D79" s="135" t="str">
        <x:v>PLA Centro de Distribuciones — Villa María</x:v>
      </x:c>
      <x:c r="E79" s="135" t="str">
        <x:v>Pulverizadoras / maquinaria agrícola / distribución</x:v>
      </x:c>
      <x:c r="F79" s="135" t="str">
        <x:v>0353 4614161</x:v>
      </x:c>
      <x:c r="G79" s="135" t="str">
        <x:v>Verificar</x:v>
      </x:c>
      <x:c r="H79" s="135" t="str">
        <x:v>logística / ventas / postventa</x:v>
      </x:c>
      <x:c r="I79" s="135" t="str">
        <x:v>Confirmar teléfono, decisor y vigencia del punto de venta.</x:v>
      </x:c>
      <x:c r="J79" s="135" t="str">
        <x:v>https://www.google.com/maps/search/?api=1&amp;query=PLA+Centro+de+Distribuciones+%E2%80%94+Villa+Mar%C3%ADa+Villa+Mar%C3%ADa+C%C3%B3rdoba+Argentina</x:v>
      </x:c>
    </x:row>
    <x:row r="80">
      <x:c r="A80" s="136" t="str">
        <x:v>VM-005</x:v>
      </x:c>
      <x:c r="B80" s="136" t="str">
        <x:v>Villa María</x:v>
      </x:c>
      <x:c r="C80" s="136" t="str">
        <x:v>A</x:v>
      </x:c>
      <x:c r="D80" s="136" t="str">
        <x:v>Terramar Logística SRL / Terminal Villa María</x:v>
      </x:c>
      <x:c r="E80" s="136" t="str">
        <x:v>Terminal de contenedores / logística</x:v>
      </x:c>
      <x:c r="F80" s="136" t="str">
        <x:v>0353 4533821</x:v>
      </x:c>
      <x:c r="G80" s="136" t="str">
        <x:v>Verificar</x:v>
      </x:c>
      <x:c r="H80" s="136" t="str">
        <x:v>operaciones terminal / logística</x:v>
      </x:c>
      <x:c r="I80" s="136" t="str">
        <x:v>Confirmar decisor y vigencia del dato antes de incluir en salida prioritaria.</x:v>
      </x:c>
      <x:c r="J80" s="136" t="str">
        <x:v>https://www.google.com/maps/search/?api=1&amp;query=Terramar+Log%C3%ADstica+SRL+%2F+Terminal+Villa+Mar%C3%ADa+Villa+Mar%C3%ADa+C%C3%B3rdoba+Argentina</x:v>
      </x:c>
    </x:row>
    <x:row r="81">
      <x:c r="A81" s="135" t="str">
        <x:v>VM-034</x:v>
      </x:c>
      <x:c r="B81" s="135" t="str">
        <x:v>Villa María</x:v>
      </x:c>
      <x:c r="C81" s="135" t="str">
        <x:v>A</x:v>
      </x:c>
      <x:c r="D81" s="135" t="str">
        <x:v>Ombú Máquinas Agrícolas — Villa María</x:v>
      </x:c>
      <x:c r="E81" s="135" t="str">
        <x:v>Maquinaria e implementos agrícolas</x:v>
      </x:c>
      <x:c r="F81" s="135" t="str">
        <x:v>A relevar</x:v>
      </x:c>
      <x:c r="G81" s="135" t="str">
        <x:v>A relevar</x:v>
      </x:c>
      <x:c r="H81" s="135" t="str">
        <x:v>logística / ventas / postventa</x:v>
      </x:c>
      <x:c r="I81" s="135" t="str">
        <x:v>Relevar teléfono directo de ventas/logística y validar decisor.</x:v>
      </x:c>
      <x:c r="J81" s="135" t="str">
        <x:v>https://www.google.com/maps/search/?api=1&amp;query=Omb%C3%BA+M%C3%A1quinas+Agr%C3%ADcolas+%E2%80%94+Villa+Mar%C3%ADa+Villa+Mar%C3%ADa+C%C3%B3rdoba+Argentina</x:v>
      </x:c>
    </x:row>
    <x:row r="82">
      <x:c r="A82" s="136" t="str">
        <x:v>VM-006</x:v>
      </x:c>
      <x:c r="B82" s="136" t="str">
        <x:v>Villa María</x:v>
      </x:c>
      <x:c r="C82" s="136" t="str">
        <x:v>A</x:v>
      </x:c>
      <x:c r="D82" s="136" t="str">
        <x:v>Héctor A. Bertone S.A.</x:v>
      </x:c>
      <x:c r="E82" s="136" t="str">
        <x:v>Acopio / logística granaria</x:v>
      </x:c>
      <x:c r="F82" s="136" t="str">
        <x:v>A relevar</x:v>
      </x:c>
      <x:c r="G82" s="136" t="str">
        <x:v>A relevar</x:v>
      </x:c>
      <x:c r="H82" s="136" t="str">
        <x:v>responsable de acopio / mantenimiento</x:v>
      </x:c>
      <x:c r="I82" s="136" t="str">
        <x:v>Validar contacto decisor y necesidad inmediata.</x:v>
      </x:c>
      <x:c r="J82" s="136" t="str">
        <x:v>https://www.google.com/maps/search/?api=1&amp;query=-32.389000,-63.251000</x:v>
      </x:c>
    </x:row>
    <x:row r="83">
      <x:c r="A83" s="135" t="str">
        <x:v>VM-032</x:v>
      </x:c>
      <x:c r="B83" s="135" t="str">
        <x:v>Villa María</x:v>
      </x:c>
      <x:c r="C83" s="135" t="str">
        <x:v>B</x:v>
      </x:c>
      <x:c r="D83" s="135" t="str">
        <x:v>Impagro Implementos Agrícolas</x:v>
      </x:c>
      <x:c r="E83" s="135" t="str">
        <x:v>Implementos agrícolas y repuestos</x:v>
      </x:c>
      <x:c r="F83" s="135" t="str">
        <x:v>0353 154011306</x:v>
      </x:c>
      <x:c r="G83" s="135" t="str">
        <x:v>Verificar</x:v>
      </x:c>
      <x:c r="H83" s="135" t="str">
        <x:v>logística / ventas / postventa</x:v>
      </x:c>
      <x:c r="I83" s="135" t="str">
        <x:v>Confirmar teléfono, decisor y vigencia del punto de venta.</x:v>
      </x:c>
      <x:c r="J83" s="135" t="str">
        <x:v>https://www.google.com/maps/search/?api=1&amp;query=Impagro+Implementos+Agr%C3%ADcolas+Villa+Mar%C3%ADa+C%C3%B3rdoba+Argentina</x:v>
      </x:c>
    </x:row>
    <x:row r="84">
      <x:c r="A84" s="3" t="str">
        <x:v>VM-031</x:v>
      </x:c>
      <x:c r="B84" s="3" t="str">
        <x:v>Villa María</x:v>
      </x:c>
      <x:c r="C84" s="3" t="str">
        <x:v>B</x:v>
      </x:c>
      <x:c r="D84" s="3" t="str">
        <x:v>Grandes Cosechadoras S.R.L.</x:v>
      </x:c>
      <x:c r="E84" s="3" t="str">
        <x:v>Maquinaria agrícola / cosechadoras y repuestos</x:v>
      </x:c>
      <x:c r="F84" s="3" t="str">
        <x:v>0353 4530785</x:v>
      </x:c>
      <x:c r="G84" s="3" t="str">
        <x:v>Verificar</x:v>
      </x:c>
      <x:c r="H84" s="3" t="str">
        <x:v>logística / ventas / postventa</x:v>
      </x:c>
      <x:c r="I84" s="3" t="str">
        <x:v>Confirmar teléfono, decisor y vigencia del punto de venta.</x:v>
      </x:c>
      <x:c r="J84" s="3" t="str">
        <x:v>https://www.google.com/maps/search/?api=1&amp;query=Grandes+Cosechadoras+S.R.L.+Villa+Mar%C3%ADa+C%C3%B3rdoba+Argentina</x:v>
      </x:c>
    </x:row>
    <x:row r="85">
      <x:c r="A85" s="136" t="str">
        <x:v>VM-025</x:v>
      </x:c>
      <x:c r="B85" s="136" t="str">
        <x:v>Villa María</x:v>
      </x:c>
      <x:c r="C85" s="136" t="str">
        <x:v>B</x:v>
      </x:c>
      <x:c r="D85" s="136" t="str">
        <x:v>Roberto Mosoni — Venta de Tractores</x:v>
      </x:c>
      <x:c r="E85" s="136" t="str">
        <x:v>Venta de tractores y maquinaria agrícola</x:v>
      </x:c>
      <x:c r="F85" s="136" t="str">
        <x:v>0353 156566469</x:v>
      </x:c>
      <x:c r="G85" s="136" t="str">
        <x:v>Verificar</x:v>
      </x:c>
      <x:c r="H85" s="136" t="str">
        <x:v>logística / ventas / postventa</x:v>
      </x:c>
      <x:c r="I85" s="136" t="str">
        <x:v>Confirmar teléfono, decisor y vigencia del punto de venta.</x:v>
      </x:c>
      <x:c r="J85" s="136" t="str">
        <x:v>https://www.google.com/maps/search/?api=1&amp;query=Roberto+Mosoni+%E2%80%94+Venta+de+Tractores+Villa+Mar%C3%ADa+C%C3%B3rdoba+Argentina</x:v>
      </x:c>
    </x:row>
    <x:row r="86">
      <x:c r="A86" s="136" t="str">
        <x:v>VM-036</x:v>
      </x:c>
      <x:c r="B86" s="136" t="str">
        <x:v>Villa María</x:v>
      </x:c>
      <x:c r="C86" s="136" t="str">
        <x:v>B</x:v>
      </x:c>
      <x:c r="D86" s="136" t="str">
        <x:v>RR Agrícola Maquinarias</x:v>
      </x:c>
      <x:c r="E86" s="136" t="str">
        <x:v>Venta de maquinaria agrícola</x:v>
      </x:c>
      <x:c r="F86" s="136" t="str">
        <x:v>0353 4538056</x:v>
      </x:c>
      <x:c r="G86" s="136" t="str">
        <x:v>Verificar</x:v>
      </x:c>
      <x:c r="H86" s="136" t="str">
        <x:v>logística / ventas / postventa</x:v>
      </x:c>
      <x:c r="I86" s="136" t="str">
        <x:v>Confirmar teléfono, decisor y vigencia del punto de venta.</x:v>
      </x:c>
      <x:c r="J86" s="136" t="str">
        <x:v>https://www.google.com/maps/search/?api=1&amp;query=RR+Agr%C3%ADcola+Maquinarias+Villa+Mar%C3%ADa+C%C3%B3rdoba+Argentina</x:v>
      </x:c>
    </x:row>
    <x:row r="87">
      <x:c r="A87" s="136" t="str">
        <x:v>VM-027</x:v>
      </x:c>
      <x:c r="B87" s="136" t="str">
        <x:v>Villa María</x:v>
      </x:c>
      <x:c r="C87" s="136" t="str">
        <x:v>B</x:v>
      </x:c>
      <x:c r="D87" s="136" t="str">
        <x:v>Tractocam S.R.L.</x:v>
      </x:c>
      <x:c r="E87" s="136" t="str">
        <x:v>Maquinaria agrícola nueva/usada / tractores</x:v>
      </x:c>
      <x:c r="F87" s="136" t="str">
        <x:v>0353 4613192 / 0353 4549261</x:v>
      </x:c>
      <x:c r="G87" s="136" t="str">
        <x:v>Verificar</x:v>
      </x:c>
      <x:c r="H87" s="136" t="str">
        <x:v>logística / ventas / postventa</x:v>
      </x:c>
      <x:c r="I87" s="136" t="str">
        <x:v>Confirmar teléfono, decisor y vigencia del punto de venta.</x:v>
      </x:c>
      <x:c r="J87" s="136" t="str">
        <x:v>https://www.google.com/maps/search/?api=1&amp;query=Tractocam+S.R.L.+Villa+Mar%C3%ADa+C%C3%B3rdoba+Argentina</x:v>
      </x:c>
    </x:row>
    <x:row r="88">
      <x:c r="A88" s="136" t="str">
        <x:v>VM-028</x:v>
      </x:c>
      <x:c r="B88" s="136" t="str">
        <x:v>Villa María</x:v>
      </x:c>
      <x:c r="C88" s="136" t="str">
        <x:v>B</x:v>
      </x:c>
      <x:c r="D88" s="136" t="str">
        <x:v>Ulla Maquinarias — Villa María</x:v>
      </x:c>
      <x:c r="E88" s="136" t="str">
        <x:v>Venta de maquinaria agrícola</x:v>
      </x:c>
      <x:c r="F88" s="136" t="str">
        <x:v>0353 4507350</x:v>
      </x:c>
      <x:c r="G88" s="136" t="str">
        <x:v>Verificar</x:v>
      </x:c>
      <x:c r="H88" s="136" t="str">
        <x:v>logística / ventas / postventa</x:v>
      </x:c>
      <x:c r="I88" s="136" t="str">
        <x:v>Confirmar teléfono, decisor y vigencia del punto de venta.</x:v>
      </x:c>
      <x:c r="J88" s="136" t="str">
        <x:v>https://www.google.com/maps/search/?api=1&amp;query=Ulla+Maquinarias+%E2%80%94+Villa+Mar%C3%ADa+Villa+Mar%C3%ADa+C%C3%B3rdoba+Argentina</x:v>
      </x:c>
    </x:row>
    <x:row r="89">
      <x:c r="A89" s="3" t="str">
        <x:v>VM-029</x:v>
      </x:c>
      <x:c r="B89" s="3" t="str">
        <x:v>Villa María</x:v>
      </x:c>
      <x:c r="C89" s="3" t="str">
        <x:v>B</x:v>
      </x:c>
      <x:c r="D89" s="3" t="str">
        <x:v>Tracto Par</x:v>
      </x:c>
      <x:c r="E89" s="3" t="str">
        <x:v>Maquinaria agrícola / repuestos</x:v>
      </x:c>
      <x:c r="F89" s="3" t="str">
        <x:v>0353 4528278</x:v>
      </x:c>
      <x:c r="G89" s="3" t="str">
        <x:v>Verificar</x:v>
      </x:c>
      <x:c r="H89" s="3" t="str">
        <x:v>logística / ventas / postventa</x:v>
      </x:c>
      <x:c r="I89" s="3" t="str">
        <x:v>Confirmar teléfono, decisor y vigencia del punto de venta.</x:v>
      </x:c>
      <x:c r="J89" s="3" t="str">
        <x:v>https://www.google.com/maps/search/?api=1&amp;query=Tracto+Par+Villa+Mar%C3%ADa+C%C3%B3rdoba+Argentina</x:v>
      </x:c>
    </x:row>
    <x:row r="90">
      <x:c r="A90" s="136" t="str">
        <x:v>VM-016</x:v>
      </x:c>
      <x:c r="B90" s="136" t="str">
        <x:v>Villa María</x:v>
      </x:c>
      <x:c r="C90" s="136" t="str">
        <x:v>B</x:v>
      </x:c>
      <x:c r="D90" s="136" t="str">
        <x:v>Ceuta Contenedores</x:v>
      </x:c>
      <x:c r="E90" s="136" t="str">
        <x:v>Contenedores y obradores</x:v>
      </x:c>
      <x:c r="F90" s="136" t="str">
        <x:v>0353 154139159</x:v>
      </x:c>
      <x:c r="G90" s="136" t="str">
        <x:v>Verificar</x:v>
      </x:c>
      <x:c r="H90" s="136" t="str">
        <x:v>operaciones / entregas</x:v>
      </x:c>
      <x:c r="I90" s="136" t="str">
        <x:v>Confirmar decisor y vigencia del dato antes de incluir en salida prioritaria.</x:v>
      </x:c>
      <x:c r="J90" s="136" t="str">
        <x:v>https://www.google.com/maps/search/?api=1&amp;query=Ceuta+Contenedores+Villa+Mar%C3%ADa+C%C3%B3rdoba+Argentina</x:v>
      </x:c>
    </x:row>
    <x:row r="91">
      <x:c r="A91" s="136" t="str">
        <x:v>VM-017</x:v>
      </x:c>
      <x:c r="B91" s="136" t="str">
        <x:v>Villa María</x:v>
      </x:c>
      <x:c r="C91" s="136" t="str">
        <x:v>B</x:v>
      </x:c>
      <x:c r="D91" s="136" t="str">
        <x:v>PILT Villa María — Administración</x:v>
      </x:c>
      <x:c r="E91" s="136" t="str">
        <x:v>Puerta institucional / parque industrial</x:v>
      </x:c>
      <x:c r="F91" s="136" t="str">
        <x:v>0353 4618698 / 0353 4608191</x:v>
      </x:c>
      <x:c r="G91" s="136" t="str">
        <x:v>Verificar</x:v>
      </x:c>
      <x:c r="H91" s="136" t="str">
        <x:v>administración / listado empresas</x:v>
      </x:c>
      <x:c r="I91" s="136" t="str">
        <x:v>Confirmar decisor y vigencia del dato antes de incluir en salida prioritaria.</x:v>
      </x:c>
      <x:c r="J91" s="136" t="str">
        <x:v>https://www.google.com/maps/search/?api=1&amp;query=PILT+Villa+Mar%C3%ADa+%E2%80%94+Administraci%C3%B3n+Villa+Mar%C3%ADa+C%C3%B3rdoba+Argentina</x:v>
      </x:c>
    </x:row>
    <x:row r="92">
      <x:c r="A92" s="136" t="str">
        <x:v>VM-019</x:v>
      </x:c>
      <x:c r="B92" s="136" t="str">
        <x:v>Villa María</x:v>
      </x:c>
      <x:c r="C92" s="136" t="str">
        <x:v>C</x:v>
      </x:c>
      <x:c r="D92" s="136" t="str">
        <x:v>Hans Aberturas SRL</x:v>
      </x:c>
      <x:c r="E92" s="136" t="str">
        <x:v>Metalmecánica / aberturas</x:v>
      </x:c>
      <x:c r="F92" s="136" t="str">
        <x:v>+54 353 4446515</x:v>
      </x:c>
      <x:c r="G92" s="136" t="str">
        <x:v>Verificar</x:v>
      </x:c>
      <x:c r="H92" s="136" t="str">
        <x:v>producción / despacho</x:v>
      </x:c>
      <x:c r="I92" s="136" t="str">
        <x:v>Confirmar decisor y vigencia del dato antes de incluir en salida prioritaria.</x:v>
      </x:c>
      <x:c r="J92" s="136" t="str">
        <x:v>https://www.google.com/maps/search/?api=1&amp;query=Hans+Aberturas+SRL+Villa+Mar%C3%ADa+C%C3%B3rdoba+Argentina</x:v>
      </x:c>
    </x:row>
    <x:row r="93">
      <x:c r="A93" s="3" t="str">
        <x:v>VM-020</x:v>
      </x:c>
      <x:c r="B93" s="3" t="str">
        <x:v>Villa María</x:v>
      </x:c>
      <x:c r="C93" s="3" t="str">
        <x:v>C</x:v>
      </x:c>
      <x:c r="D93" s="3" t="str">
        <x:v>Contemar</x:v>
      </x:c>
      <x:c r="E93" s="3" t="str">
        <x:v>Contenedores y obradores</x:v>
      </x:c>
      <x:c r="F93" s="3" t="str">
        <x:v>A relevar</x:v>
      </x:c>
      <x:c r="G93" s="3" t="str">
        <x:v>A relevar</x:v>
      </x:c>
      <x:c r="H93" s="3" t="str">
        <x:v>operaciones / entregas</x:v>
      </x:c>
      <x:c r="I93" s="3" t="str">
        <x:v>Confirmar decisor y vigencia del dato antes de incluir en salida prioritaria.</x:v>
      </x:c>
      <x:c r="J93" s="3" t="str">
        <x:v>https://www.google.com/maps/search/?api=1&amp;query=Contemar+Villa+Mar%C3%ADa+C%C3%B3rdoba+Argentina</x:v>
      </x:c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  <x:row r="102">
      <x:c r="A102"/>
      <x:c r="B102"/>
      <x:c r="C102"/>
      <x:c r="D102"/>
      <x:c r="E102"/>
      <x:c r="F102"/>
      <x:c r="G102"/>
      <x:c r="H102"/>
      <x:c r="I102"/>
      <x:c r="J102"/>
    </x:row>
    <x:row r="103">
      <x:c r="A103"/>
      <x:c r="B103"/>
      <x:c r="C103"/>
      <x:c r="D103"/>
      <x:c r="E103"/>
      <x:c r="F103"/>
      <x:c r="G103"/>
      <x:c r="H103"/>
      <x:c r="I103"/>
      <x:c r="J103"/>
    </x:row>
    <x:row r="104">
      <x:c r="A104"/>
      <x:c r="B104"/>
      <x:c r="C104"/>
      <x:c r="D104"/>
      <x:c r="E104"/>
      <x:c r="F104"/>
      <x:c r="G104"/>
      <x:c r="H104"/>
      <x:c r="I104"/>
      <x:c r="J104"/>
    </x:row>
    <x:row r="105">
      <x:c r="A105"/>
      <x:c r="B105"/>
      <x:c r="C105"/>
      <x:c r="D105"/>
      <x:c r="E105"/>
      <x:c r="F105"/>
      <x:c r="G105"/>
      <x:c r="H105"/>
      <x:c r="I105"/>
      <x:c r="J105"/>
    </x:row>
    <x:row r="106">
      <x:c r="A106"/>
      <x:c r="B106"/>
      <x:c r="C106"/>
      <x:c r="D106"/>
      <x:c r="E106"/>
      <x:c r="F106"/>
      <x:c r="G106"/>
      <x:c r="H106"/>
      <x:c r="I106"/>
      <x:c r="J106"/>
    </x:row>
    <x:row r="107">
      <x:c r="A107"/>
      <x:c r="B107"/>
      <x:c r="C107"/>
      <x:c r="D107"/>
      <x:c r="E107"/>
      <x:c r="F107"/>
      <x:c r="G107"/>
      <x:c r="H107"/>
      <x:c r="I107"/>
      <x:c r="J107"/>
    </x:row>
    <x:row r="108">
      <x:c r="A108"/>
      <x:c r="B108"/>
      <x:c r="C108"/>
      <x:c r="D108"/>
      <x:c r="E108"/>
      <x:c r="F108"/>
      <x:c r="G108"/>
      <x:c r="H108"/>
      <x:c r="I108"/>
      <x:c r="J108"/>
    </x:row>
    <x:row r="109">
      <x:c r="A109"/>
      <x:c r="B109"/>
      <x:c r="C109"/>
      <x:c r="D109"/>
      <x:c r="E109"/>
      <x:c r="F109"/>
      <x:c r="G109"/>
      <x:c r="H109"/>
      <x:c r="I109"/>
      <x:c r="J109"/>
    </x:row>
    <x:row r="110">
      <x:c r="A110"/>
      <x:c r="B110"/>
      <x:c r="C110"/>
      <x:c r="D110"/>
      <x:c r="E110"/>
      <x:c r="F110"/>
      <x:c r="G110"/>
      <x:c r="H110"/>
      <x:c r="I110"/>
      <x:c r="J110"/>
    </x:row>
    <x:row r="111">
      <x:c r="A111"/>
      <x:c r="B111"/>
      <x:c r="C111"/>
      <x:c r="D111"/>
      <x:c r="E111"/>
      <x:c r="F111"/>
      <x:c r="G111"/>
      <x:c r="H111"/>
      <x:c r="I111"/>
      <x:c r="J111"/>
    </x:row>
    <x:row r="112">
      <x:c r="A112"/>
      <x:c r="B112"/>
      <x:c r="C112"/>
      <x:c r="D112"/>
      <x:c r="E112"/>
      <x:c r="F112"/>
      <x:c r="G112"/>
      <x:c r="H112"/>
      <x:c r="I112"/>
      <x:c r="J112"/>
    </x:row>
    <x:row r="113">
      <x:c r="A113"/>
      <x:c r="B113"/>
      <x:c r="C113"/>
      <x:c r="D113"/>
      <x:c r="E113"/>
      <x:c r="F113"/>
      <x:c r="G113"/>
      <x:c r="H113"/>
      <x:c r="I113"/>
      <x:c r="J113"/>
    </x:row>
    <x:row r="114">
      <x:c r="A114"/>
      <x:c r="B114"/>
      <x:c r="C114"/>
      <x:c r="D114"/>
      <x:c r="E114"/>
      <x:c r="F114"/>
      <x:c r="G114"/>
      <x:c r="H114"/>
      <x:c r="I114"/>
      <x:c r="J114"/>
    </x:row>
    <x:row r="115">
      <x:c r="A115"/>
      <x:c r="B115"/>
      <x:c r="C115"/>
      <x:c r="D115"/>
      <x:c r="E115"/>
      <x:c r="F115"/>
      <x:c r="G115"/>
      <x:c r="H115"/>
      <x:c r="I115"/>
      <x:c r="J115"/>
    </x:row>
    <x:row r="116">
      <x:c r="A116"/>
      <x:c r="B116"/>
      <x:c r="C116"/>
      <x:c r="D116"/>
      <x:c r="E116"/>
      <x:c r="F116"/>
      <x:c r="G116"/>
      <x:c r="H116"/>
      <x:c r="I116"/>
      <x:c r="J116"/>
    </x:row>
    <x:row r="117">
      <x:c r="A117"/>
      <x:c r="B117"/>
      <x:c r="C117"/>
      <x:c r="D117"/>
      <x:c r="E117"/>
      <x:c r="F117"/>
      <x:c r="G117"/>
      <x:c r="H117"/>
      <x:c r="I117"/>
      <x:c r="J117"/>
    </x:row>
    <x:row r="118">
      <x:c r="A118"/>
      <x:c r="B118"/>
      <x:c r="C118"/>
      <x:c r="D118"/>
      <x:c r="E118"/>
      <x:c r="F118"/>
      <x:c r="G118"/>
      <x:c r="H118"/>
      <x:c r="I118"/>
      <x:c r="J118"/>
    </x:row>
    <x:row r="119">
      <x:c r="A119"/>
      <x:c r="B119"/>
      <x:c r="C119"/>
      <x:c r="D119"/>
      <x:c r="E119"/>
      <x:c r="F119"/>
      <x:c r="G119"/>
      <x:c r="H119"/>
      <x:c r="I119"/>
      <x:c r="J119"/>
    </x:row>
    <x:row r="120">
      <x:c r="A120"/>
      <x:c r="B120"/>
      <x:c r="C120"/>
      <x:c r="D120"/>
      <x:c r="E120"/>
      <x:c r="F120"/>
      <x:c r="G120"/>
      <x:c r="H120"/>
      <x:c r="I120"/>
      <x:c r="J120"/>
    </x:row>
    <x:row r="121">
      <x:c r="A121"/>
      <x:c r="B121"/>
      <x:c r="C121"/>
      <x:c r="D121"/>
      <x:c r="E121"/>
      <x:c r="F121"/>
      <x:c r="G121"/>
      <x:c r="H121"/>
      <x:c r="I121"/>
      <x:c r="J121"/>
    </x:row>
    <x:row r="122">
      <x:c r="A122"/>
      <x:c r="B122"/>
      <x:c r="C122"/>
      <x:c r="D122"/>
      <x:c r="E122"/>
      <x:c r="F122"/>
      <x:c r="G122"/>
      <x:c r="H122"/>
      <x:c r="I122"/>
      <x:c r="J122"/>
    </x:row>
    <x:row r="123">
      <x:c r="A123"/>
      <x:c r="B123"/>
      <x:c r="C123"/>
      <x:c r="D123"/>
      <x:c r="E123"/>
      <x:c r="F123"/>
      <x:c r="G123"/>
      <x:c r="H123"/>
      <x:c r="I123"/>
      <x:c r="J123"/>
    </x:row>
    <x:row r="124">
      <x:c r="A124"/>
      <x:c r="B124"/>
      <x:c r="C124"/>
      <x:c r="D124"/>
      <x:c r="E124"/>
      <x:c r="F124"/>
      <x:c r="G124"/>
      <x:c r="H124"/>
      <x:c r="I124"/>
      <x:c r="J124"/>
    </x:row>
    <x:row r="125">
      <x:c r="A125"/>
      <x:c r="B125"/>
      <x:c r="C125"/>
      <x:c r="D125"/>
      <x:c r="E125"/>
      <x:c r="F125"/>
      <x:c r="G125"/>
      <x:c r="H125"/>
      <x:c r="I125"/>
      <x:c r="J125"/>
    </x:row>
    <x:row r="126">
      <x:c r="A126"/>
      <x:c r="B126"/>
      <x:c r="C126"/>
      <x:c r="D126"/>
      <x:c r="E126"/>
      <x:c r="F126"/>
      <x:c r="G126"/>
      <x:c r="H126"/>
      <x:c r="I126"/>
      <x:c r="J126"/>
    </x:row>
    <x:row r="127">
      <x:c r="A127"/>
      <x:c r="B127"/>
      <x:c r="C127"/>
      <x:c r="D127"/>
      <x:c r="E127"/>
      <x:c r="F127"/>
      <x:c r="G127"/>
      <x:c r="H127"/>
      <x:c r="I127"/>
      <x:c r="J127"/>
    </x:row>
    <x:row r="128">
      <x:c r="A128"/>
      <x:c r="B128"/>
      <x:c r="C128"/>
      <x:c r="D128"/>
      <x:c r="E128"/>
      <x:c r="F128"/>
      <x:c r="G128"/>
      <x:c r="H128"/>
      <x:c r="I128"/>
      <x:c r="J128"/>
    </x:row>
    <x:row r="129">
      <x:c r="A129"/>
      <x:c r="B129"/>
      <x:c r="C129"/>
      <x:c r="D129"/>
      <x:c r="E129"/>
      <x:c r="F129"/>
      <x:c r="G129"/>
      <x:c r="H129"/>
      <x:c r="I129"/>
      <x:c r="J129"/>
    </x:row>
    <x:row r="130">
      <x:c r="A130"/>
      <x:c r="B130"/>
      <x:c r="C130"/>
      <x:c r="D130"/>
      <x:c r="E130"/>
      <x:c r="F130"/>
      <x:c r="G130"/>
      <x:c r="H130"/>
      <x:c r="I130"/>
      <x:c r="J130"/>
    </x:row>
    <x:row r="131">
      <x:c r="A131"/>
      <x:c r="B131"/>
      <x:c r="C131"/>
      <x:c r="D131"/>
      <x:c r="E131"/>
      <x:c r="F131"/>
      <x:c r="G131"/>
      <x:c r="H131"/>
      <x:c r="I131"/>
      <x:c r="J131"/>
    </x:row>
    <x:row r="132">
      <x:c r="A132"/>
      <x:c r="B132"/>
      <x:c r="C132"/>
      <x:c r="D132"/>
      <x:c r="E132"/>
      <x:c r="F132"/>
      <x:c r="G132"/>
      <x:c r="H132"/>
      <x:c r="I132"/>
      <x:c r="J132"/>
    </x:row>
    <x:row r="133">
      <x:c r="A133"/>
      <x:c r="B133"/>
      <x:c r="C133"/>
      <x:c r="D133"/>
      <x:c r="E133"/>
      <x:c r="F133"/>
      <x:c r="G133"/>
      <x:c r="H133"/>
      <x:c r="I133"/>
      <x:c r="J133"/>
    </x:row>
    <x:row r="134">
      <x:c r="A134"/>
      <x:c r="B134"/>
      <x:c r="C134"/>
      <x:c r="D134"/>
      <x:c r="E134"/>
      <x:c r="F134"/>
      <x:c r="G134"/>
      <x:c r="H134"/>
      <x:c r="I134"/>
      <x:c r="J134"/>
    </x:row>
    <x:row r="135">
      <x:c r="A135"/>
      <x:c r="B135"/>
      <x:c r="C135"/>
      <x:c r="D135"/>
      <x:c r="E135"/>
      <x:c r="F135"/>
      <x:c r="G135"/>
      <x:c r="H135"/>
      <x:c r="I135"/>
      <x:c r="J135"/>
    </x:row>
    <x:row r="136">
      <x:c r="A136"/>
      <x:c r="B136"/>
      <x:c r="C136"/>
      <x:c r="D136"/>
      <x:c r="E136"/>
      <x:c r="F136"/>
      <x:c r="G136"/>
      <x:c r="H136"/>
      <x:c r="I136"/>
      <x:c r="J136"/>
    </x:row>
    <x:row r="137">
      <x:c r="A137"/>
      <x:c r="B137"/>
      <x:c r="C137"/>
      <x:c r="D137"/>
      <x:c r="E137"/>
      <x:c r="F137"/>
      <x:c r="G137"/>
      <x:c r="H137"/>
      <x:c r="I137"/>
      <x:c r="J137"/>
    </x:row>
    <x:row r="138">
      <x:c r="A138"/>
      <x:c r="B138"/>
      <x:c r="C138"/>
      <x:c r="D138"/>
      <x:c r="E138"/>
      <x:c r="F138"/>
      <x:c r="G138"/>
      <x:c r="H138"/>
      <x:c r="I138"/>
      <x:c r="J138"/>
    </x:row>
    <x:row r="139">
      <x:c r="A139"/>
      <x:c r="B139"/>
      <x:c r="C139"/>
      <x:c r="D139"/>
      <x:c r="E139"/>
      <x:c r="F139"/>
      <x:c r="G139"/>
      <x:c r="H139"/>
      <x:c r="I139"/>
      <x:c r="J139"/>
    </x:row>
    <x:row r="140">
      <x:c r="A140"/>
      <x:c r="B140"/>
      <x:c r="C140"/>
      <x:c r="D140"/>
      <x:c r="E140"/>
      <x:c r="F140"/>
      <x:c r="G140"/>
      <x:c r="H140"/>
      <x:c r="I140"/>
      <x:c r="J140"/>
    </x:row>
    <x:row r="141">
      <x:c r="A141"/>
      <x:c r="B141"/>
      <x:c r="C141"/>
      <x:c r="D141"/>
      <x:c r="E141"/>
      <x:c r="F141"/>
      <x:c r="G141"/>
      <x:c r="H141"/>
      <x:c r="I141"/>
      <x:c r="J141"/>
    </x:row>
    <x:row r="142">
      <x:c r="A142"/>
      <x:c r="B142"/>
      <x:c r="C142"/>
      <x:c r="D142"/>
      <x:c r="E142"/>
      <x:c r="F142"/>
      <x:c r="G142"/>
      <x:c r="H142"/>
      <x:c r="I142"/>
      <x:c r="J142"/>
    </x:row>
    <x:row r="143">
      <x:c r="A143"/>
      <x:c r="B143"/>
      <x:c r="C143"/>
      <x:c r="D143"/>
      <x:c r="E143"/>
      <x:c r="F143"/>
      <x:c r="G143"/>
      <x:c r="H143"/>
      <x:c r="I143"/>
      <x:c r="J143"/>
    </x:row>
    <x:row r="144">
      <x:c r="A144"/>
      <x:c r="B144"/>
      <x:c r="C144"/>
      <x:c r="D144"/>
      <x:c r="E144"/>
      <x:c r="F144"/>
      <x:c r="G144"/>
      <x:c r="H144"/>
      <x:c r="I144"/>
      <x:c r="J144"/>
    </x:row>
    <x:row r="145">
      <x:c r="A145"/>
      <x:c r="B145"/>
      <x:c r="C145"/>
      <x:c r="D145"/>
      <x:c r="E145"/>
      <x:c r="F145"/>
      <x:c r="G145"/>
      <x:c r="H145"/>
      <x:c r="I145"/>
      <x:c r="J145"/>
    </x:row>
    <x:row r="146">
      <x:c r="A146"/>
      <x:c r="B146"/>
      <x:c r="C146"/>
      <x:c r="D146"/>
      <x:c r="E146"/>
      <x:c r="F146"/>
      <x:c r="G146"/>
      <x:c r="H146"/>
      <x:c r="I146"/>
      <x:c r="J146"/>
    </x:row>
    <x:row r="147">
      <x:c r="A147"/>
      <x:c r="B147"/>
      <x:c r="C147"/>
      <x:c r="D147"/>
      <x:c r="E147"/>
      <x:c r="F147"/>
      <x:c r="G147"/>
      <x:c r="H147"/>
      <x:c r="I147"/>
      <x:c r="J147"/>
    </x:row>
    <x:row r="148">
      <x:c r="A148"/>
      <x:c r="B148"/>
      <x:c r="C148"/>
      <x:c r="D148"/>
      <x:c r="E148"/>
      <x:c r="F148"/>
      <x:c r="G148"/>
      <x:c r="H148"/>
      <x:c r="I148"/>
      <x:c r="J148"/>
    </x:row>
    <x:row r="149">
      <x:c r="A149"/>
      <x:c r="B149"/>
      <x:c r="C149"/>
      <x:c r="D149"/>
      <x:c r="E149"/>
      <x:c r="F149"/>
      <x:c r="G149"/>
      <x:c r="H149"/>
      <x:c r="I149"/>
      <x:c r="J149"/>
    </x:row>
    <x:row r="150">
      <x:c r="A150"/>
      <x:c r="B150"/>
      <x:c r="C150"/>
      <x:c r="D150"/>
      <x:c r="E150"/>
      <x:c r="F150"/>
      <x:c r="G150"/>
      <x:c r="H150"/>
      <x:c r="I150"/>
      <x:c r="J150"/>
    </x:row>
  </x:sheetData>
  <x:mergeCells>
    <x:mergeCell ref="A1:J1"/>
    <x:mergeCell ref="A2:J2"/>
  </x:mergeCells>
  <x:conditionalFormatting sqref="G5:G84">
    <x:cfRule type="cellIs" dxfId="12" priority="1">
      <x:formula>"Verificar"</x:formula>
    </x:cfRule>
    <x:cfRule type="cellIs" dxfId="13" priority="2">
      <x:formula>"A relevar"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d18f7fea59a4348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1" width="28" customWidth="1"/>
    <x:col min="2" max="2" width="13" customWidth="1"/>
    <x:col min="3" max="3" width="55" customWidth="1"/>
    <x:col min="4" max="4" width="70" customWidth="1"/>
  </x:cols>
  <x:sheetData>
    <x:row r="1" ht="20.25">
      <x:c r="A1" s="21" t="s">
        <x:v>4</x:v>
      </x:c>
      <x:c r="B1" s="21"/>
      <x:c r="C1" s="21"/>
      <x:c r="D1" s="21"/>
    </x:row>
    <x:row r="2">
      <x:c r="A2" s="22" t="s">
        <x:v>5</x:v>
      </x:c>
      <x:c r="B2" s="22"/>
      <x:c r="C2" s="22"/>
      <x:c r="D2" s="22"/>
    </x:row>
    <x:row r="4">
      <x:c r="A4" s="1" t="s">
        <x:v>6</x:v>
      </x:c>
      <x:c r="B4" s="1" t="s">
        <x:v>7</x:v>
      </x:c>
      <x:c r="C4" s="1" t="s">
        <x:v>8</x:v>
      </x:c>
      <x:c r="D4" s="1" t="s">
        <x:v>9</x:v>
      </x:c>
    </x:row>
    <x:row r="5" ht="48" customHeight="1">
      <x:c r="A5" s="4" t="s">
        <x:v>10</x:v>
      </x:c>
      <x:c r="B5" s="4" t="s">
        <x:v>11</x:v>
      </x:c>
      <x:c r="C5" s="4" t="s">
        <x:v>12</x:v>
      </x:c>
      <x:c r="D5" s="4" t="s">
        <x:v>13</x:v>
      </x:c>
    </x:row>
    <x:row r="6" ht="48" customHeight="1">
      <x:c r="A6" s="2" t="s">
        <x:v>14</x:v>
      </x:c>
      <x:c r="B6" s="2" t="s">
        <x:v>15</x:v>
      </x:c>
      <x:c r="C6" s="2" t="s">
        <x:v>16</x:v>
      </x:c>
      <x:c r="D6" s="2" t="s">
        <x:v>17</x:v>
      </x:c>
    </x:row>
    <x:row r="7" ht="48" customHeight="1">
      <x:c r="A7" s="4" t="s">
        <x:v>18</x:v>
      </x:c>
      <x:c r="B7" s="4" t="s">
        <x:v>19</x:v>
      </x:c>
      <x:c r="C7" s="4" t="s">
        <x:v>20</x:v>
      </x:c>
      <x:c r="D7" s="4" t="s">
        <x:v>21</x:v>
      </x:c>
    </x:row>
    <x:row r="8" ht="48" customHeight="1">
      <x:c r="A8" s="2" t="s">
        <x:v>22</x:v>
      </x:c>
      <x:c r="B8" s="2" t="n">
        <x:f>COUNTIF(Prospectos!J2:J267,"PRFV y plásticos")</x:f>
        <x:v>30</x:v>
      </x:c>
      <x:c r="C8" s="2" t="str">
        <x:v>Fabricantes, franquicias e instaladores de piscinas PRFV: flete del casco + hidrogrúa para descarga y posicionamiento dentro del lote.</x:v>
      </x:c>
      <x:c r="D8" s="2" t="str">
        <x:v>Moldear Piscinas, Indusplast Planta Malagueño, AquaFibra, Porto Piscinas, Arizona Piscinas, Klor Piletas, MPS Piscinas, HidroAg, Punto Piscina, Zuppa Hermanos, RC Piscinas, Luvi Piscinas</x:v>
      </x:c>
    </x:row>
    <x:row r="9" ht="48" customHeight="1">
      <x:c r="A9" s="5" t="s">
        <x:v>23</x:v>
      </x:c>
      <x:c r="B9" s="5" t="n">
        <x:f>COUNTIF(Prospectos!J2:J288,"Maquinaria agrícola")</x:f>
        <x:v>98</x:v>
      </x:c>
      <x:c r="C9" s="5" t="str">
        <x:v>Fabricantes y concesionarios: entregas/retiros de tractores, cosechadoras, pulverizadoras, sembradoras e implementos; canjes, usados, service y exposiciones.</x:v>
      </x:c>
      <x:c r="D9" s="5" t="str">
        <x:v>SALA / John Deere, CONCI, Máquinas del Centro, Comercializadora Pauny, Scaramuzza, Gallagro, AgroBigo, Demarchi, Agrokeegan, Risio, Ulla, Grupo Caon, Catpro, Agro GM, Pallotti, Bartolomé Cerutti, Semtraco, Conax, Ascanelli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25" customWidth="1"/>
    <x:col min="2" max="2" width="42" customWidth="1"/>
    <x:col min="3" max="3" width="24" customWidth="1"/>
    <x:col min="4" max="4" width="68" customWidth="1"/>
  </x:cols>
  <x:sheetData>
    <x:row r="1" ht="20.25">
      <x:c r="A1" s="21" t="s">
        <x:v>24</x:v>
      </x:c>
      <x:c r="B1" s="21"/>
      <x:c r="C1" s="21"/>
      <x:c r="D1" s="21"/>
    </x:row>
    <x:row r="2">
      <x:c r="A2" s="22" t="s">
        <x:v>25</x:v>
      </x:c>
      <x:c r="B2" s="22"/>
      <x:c r="C2" s="22"/>
      <x:c r="D2" s="22"/>
    </x:row>
    <x:row r="4">
      <x:c r="A4" s="1" t="s">
        <x:v>26</x:v>
      </x:c>
      <x:c r="B4" s="1" t="s">
        <x:v>27</x:v>
      </x:c>
      <x:c r="C4" s="1" t="s">
        <x:v>28</x:v>
      </x:c>
      <x:c r="D4" s="1" t="s">
        <x:v>29</x:v>
      </x:c>
    </x:row>
    <x:row r="5" ht="38.099998474121094" customHeight="1">
      <x:c r="A5" s="4" t="str">
        <x:v>Prospectos Resumen</x:v>
      </x:c>
      <x:c r="B5" s="4" t="str">
        <x:v>Vista ejecutiva y compacta para Dirección.</x:v>
      </x:c>
      <x:c r="C5" s="4" t="str">
        <x:v>Sí: solo Nota Dirección.</x:v>
      </x:c>
      <x:c r="D5" s="4" t="str">
        <x:v>Filtrar por categoría, corredor, ciudad o clase. La información comercial detallada queda en Prospectos.</x:v>
      </x:c>
    </x:row>
    <x:row r="6" ht="38.099998474121094" customHeight="1">
      <x:c r="A6" s="2" t="s">
        <x:v>7</x:v>
      </x:c>
      <x:c r="B6" s="2" t="s">
        <x:v>30</x:v>
      </x:c>
      <x:c r="C6" s="2" t="s">
        <x:v>31</x:v>
      </x:c>
      <x:c r="D6" s="2" t="s">
        <x:v>32</x:v>
      </x:c>
    </x:row>
    <x:row r="7" ht="38.099998474121094" customHeight="1">
      <x:c r="A7" s="4" t="s">
        <x:v>33</x:v>
      </x:c>
      <x:c r="B7" s="4" t="s">
        <x:v>34</x:v>
      </x:c>
      <x:c r="C7" s="4" t="s">
        <x:v>35</x:v>
      </x:c>
      <x:c r="D7" s="4" t="s">
        <x:v>36</x:v>
      </x:c>
    </x:row>
    <x:row r="8" ht="38.099998474121094" customHeight="1">
      <x:c r="A8" s="2" t="s">
        <x:v>37</x:v>
      </x:c>
      <x:c r="B8" s="2" t="s">
        <x:v>38</x:v>
      </x:c>
      <x:c r="C8" s="2" t="s">
        <x:v>35</x:v>
      </x:c>
      <x:c r="D8" s="2" t="s">
        <x:v>39</x:v>
      </x:c>
    </x:row>
    <x:row r="9" ht="38.099998474121094" customHeight="1">
      <x:c r="A9" s="4" t="s">
        <x:v>40</x:v>
      </x:c>
      <x:c r="B9" s="4" t="s">
        <x:v>41</x:v>
      </x:c>
      <x:c r="C9" s="4" t="s">
        <x:v>42</x:v>
      </x:c>
      <x:c r="D9" s="4" t="s">
        <x:v>43</x:v>
      </x:c>
    </x:row>
    <x:row r="10" ht="38.099998474121094" customHeight="1">
      <x:c r="A10" s="2" t="s">
        <x:v>44</x:v>
      </x:c>
      <x:c r="B10" s="2" t="s">
        <x:v>45</x:v>
      </x:c>
      <x:c r="C10" s="2" t="s">
        <x:v>46</x:v>
      </x:c>
      <x:c r="D10" s="2" t="s">
        <x:v>47</x:v>
      </x:c>
    </x:row>
    <x:row r="11" ht="38.099998474121094" customHeight="1">
      <x:c r="A11" s="5" t="str">
        <x:v>Categoría comercial</x:v>
      </x:c>
      <x:c r="B11" s="5" t="str">
        <x:v>Maquinaria agrícola agrupa fabricantes, concesionarios, tractores, implementos y agropartes.</x:v>
      </x:c>
      <x:c r="C11" s="5" t="str">
        <x:v>Se puede ajustar en Prospectos.</x:v>
      </x:c>
      <x:c r="D11" s="5" t="str">
        <x:v>Para campaña de concesionarios: filtrar Categoría comercial = Maquinaria agrícola y en Sector buscar “Concesionario” o “Concesionaria”.</x:v>
      </x:c>
    </x:row>
  </x:sheetData>
  <x:mergeCells>
    <x:mergeCell ref="A1:D1"/>
    <x:mergeCell ref="A2:D2"/>
  </x:mergeCells>
  <x:pageMargins left="0.7" right="0.7" top="0.75" bottom="0.75" header="0.3" footer="0.3"/>
</x:worksheet>
</file>